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omments+xml" PartName="/xl/comments1.xml"/>
  <Override ContentType="application/vnd.ms-excel.threadedcomments+xml" PartName="/xl/threadedComments/threadedComment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ms-excel.person+xml" PartName="/xl/persons/person.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Relationship Target="docProps/custom.xml" Type="http://schemas.openxmlformats.org/officeDocument/2006/relationships/custom-properties" Id="rId4"/></Relationships>
</file>

<file path=xl/workbook.xml><?xml version="1.0" encoding="utf-8"?>
<workbook xmlns="http://schemas.openxmlformats.org/spreadsheetml/2006/main" xmlns:r="http://schemas.openxmlformats.org/officeDocument/2006/relationships" xmlns:xdr="http://schemas.openxmlformats.org/drawingml/2006/spreadsheetDrawing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shan\Desktop\Agistin\HydProd_Rev02\Envelops_wws\"/>
    </mc:Choice>
  </mc:AlternateContent>
  <xr:revisionPtr revIDLastSave="0" documentId="13_ncr:1_{FB5D88E4-D435-4A32-BC09-285394E52897}" xr6:coauthVersionLast="47" xr6:coauthVersionMax="47" xr10:uidLastSave="{00000000-0000-0000-0000-000000000000}"/>
  <bookViews>
    <workbookView xWindow="-98" yWindow="-98" windowWidth="21795" windowHeight="12975" tabRatio="796"/>
  </bookViews>
  <sheets>
    <sheet name="Rocof" sheetId="10" r:id="rId1"/>
    <sheet name="csv_rocof" sheetId="6" r:id="rId2"/>
  </sheets>
  <definedNames>
    <definedName name="A">Rocof!$AF$17</definedName>
    <definedName name="Alpha">Rocof!$AF$20</definedName>
    <definedName name="B">Rocof!$AF$16</definedName>
    <definedName name="Beta">Rocof!$AF$21</definedName>
    <definedName name="C_">Rocof!$AF$18</definedName>
    <definedName name="D">Rocof!$AF$19</definedName>
    <definedName name="Damp">Rocof!$AB$8</definedName>
    <definedName name="DeltaPExpect">Rocof!$AF$23</definedName>
    <definedName name="DeltaPexpected">Rocof!$AF$23</definedName>
    <definedName name="EMT_Simulation">Rocof!$M$1</definedName>
    <definedName name="epsilon">Rocof!$AF$6</definedName>
    <definedName name="H">Rocof!$AB$9</definedName>
    <definedName name="marge_basse">Rocof!$AB$18</definedName>
    <definedName name="Marge_haute">Rocof!$AB$17</definedName>
    <definedName name="Num">Rocof!$AF$8</definedName>
    <definedName name="P0">Rocof!$AB$6</definedName>
    <definedName name="Ppeak">Rocof!$AF$15</definedName>
    <definedName name="Rocof">Rocof!$AB$20</definedName>
    <definedName name="Sigma">Rocof!$AF$10</definedName>
    <definedName name="Texpodecrease">Rocof!$AB$21</definedName>
    <definedName name="Tpll">Rocof!$AB$19</definedName>
    <definedName name="Tunnel">Rocof!$AF$13</definedName>
    <definedName name="Wd">Rocof!$AF$5</definedName>
    <definedName name="Wn">Rocof!$AF$12</definedName>
    <definedName name="Xi">Rocof!$AF$9</definedName>
  </definedNames>
  <calcPr calcId="191028" fullCalcOnLoad="tru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tc={424F8CE3-929C-4467-AB0C-CAE8EE9F70C0}</author>
  </authors>
  <commentList>
    <comment ref="L1" authorId="0">
      <text>
        <t xml:space="preserve"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Add 20 ms delay to enveloppes as expected from ENTSOE Document
</t>
      </text>
    </comment>
  </commentList>
</comments>
</file>

<file path=xl/sharedStrings.xml><?xml version="1.0" encoding="utf-8"?>
<sst xmlns="http://schemas.openxmlformats.org/spreadsheetml/2006/main" xmlns:r="http://schemas.openxmlformats.org/officeDocument/2006/relationships" xmlns:xdr="http://schemas.openxmlformats.org/drawingml/2006/spreadsheetDrawing" count="70" uniqueCount="65">
  <si>
    <t>Pour un système du second ordre</t>
  </si>
  <si>
    <t>Ratio</t>
  </si>
  <si>
    <t>min</t>
  </si>
  <si>
    <t>max</t>
  </si>
  <si>
    <t>nominal values</t>
  </si>
  <si>
    <t>Min</t>
  </si>
  <si>
    <t>Max</t>
  </si>
  <si>
    <t>Wd</t>
  </si>
  <si>
    <t>Time</t>
  </si>
  <si>
    <t>Enveloppe min avec marge et tunnel et +10ms</t>
  </si>
  <si>
    <t>enveloppe max</t>
  </si>
  <si>
    <t>enveloppe min avec marge</t>
  </si>
  <si>
    <t xml:space="preserve">Enveloppe min avec marge et tunnel et exp </t>
  </si>
  <si>
    <t>expecter behavior</t>
  </si>
  <si>
    <t>expecter behavior (min values)</t>
  </si>
  <si>
    <t>expecter behavior (max values)</t>
  </si>
  <si>
    <t>Expected second order response with 10 ms delay (only at begining)</t>
  </si>
  <si>
    <t>Expected second order response with x margin with 10 ms delay</t>
  </si>
  <si>
    <t xml:space="preserve">Expected second order response with margin </t>
  </si>
  <si>
    <t>Expected second order response with margin -tunnel</t>
  </si>
  <si>
    <t>Expected second order response with margin +tunnel</t>
  </si>
  <si>
    <t>min margin * Expected second order response with 10 ms delay</t>
  </si>
  <si>
    <t>using the expected envelope as a max when the damped sinusoid decreases</t>
  </si>
  <si>
    <t>P0</t>
  </si>
  <si>
    <t>epsilon</t>
  </si>
  <si>
    <t>SCR</t>
  </si>
  <si>
    <t>deltatheta</t>
  </si>
  <si>
    <t>D</t>
  </si>
  <si>
    <t>Num</t>
  </si>
  <si>
    <t>Xtr</t>
  </si>
  <si>
    <t>Xi</t>
  </si>
  <si>
    <t>H</t>
  </si>
  <si>
    <t>Sigma</t>
  </si>
  <si>
    <t>Wb</t>
  </si>
  <si>
    <t>Xtot</t>
  </si>
  <si>
    <t>Xconv + fil</t>
  </si>
  <si>
    <t>Wn</t>
  </si>
  <si>
    <t>Uconv</t>
  </si>
  <si>
    <t>Tunnel</t>
  </si>
  <si>
    <t>Ugr</t>
  </si>
  <si>
    <t>Xgr</t>
  </si>
  <si>
    <t>Ppeak</t>
  </si>
  <si>
    <t>B</t>
  </si>
  <si>
    <t>A</t>
  </si>
  <si>
    <t>Tpll</t>
  </si>
  <si>
    <t>C</t>
  </si>
  <si>
    <t>Texpodecrease</t>
  </si>
  <si>
    <t>Alpha</t>
  </si>
  <si>
    <t>Beta</t>
  </si>
  <si>
    <t>Rocof(Hz/sec)</t>
  </si>
  <si>
    <t>DeltaPexpected</t>
  </si>
  <si>
    <t>deltaP (inertie)</t>
  </si>
  <si>
    <t>deltaP (damping)</t>
  </si>
  <si>
    <t>Pup</t>
  </si>
  <si>
    <t>Pdown</t>
  </si>
  <si>
    <t>Rocof (pu)</t>
  </si>
  <si>
    <t>EMT Simulation</t>
  </si>
  <si>
    <t>Decreasing detection</t>
  </si>
  <si>
    <t>Detect increase after  decrease</t>
  </si>
  <si>
    <t>find time for increase after decrease</t>
  </si>
  <si>
    <t>Find time for increas after decrease</t>
  </si>
  <si>
    <t>Final band (% Pn)</t>
  </si>
  <si>
    <t>Final Band (% variation)</t>
  </si>
  <si>
    <t>Margin (high)</t>
  </si>
  <si>
    <t>Margin (low)</t>
  </si>
</sst>
</file>

<file path=xl/styles.xml><?xml version="1.0" encoding="utf-8"?>
<styleSheet xmlns="http://schemas.openxmlformats.org/spreadsheetml/2006/main" xmlns:r="http://schemas.openxmlformats.org/officeDocument/2006/relationships" xmlns:xdr="http://schemas.openxmlformats.org/drawingml/2006/spreadsheetDrawing">
  <fonts count="3">
    <font>
      <sz val="11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/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true"/>
    <xf numFmtId="0" fontId="0" fillId="3" borderId="0" xfId="0" applyFill="true"/>
    <xf numFmtId="0" fontId="1" fillId="0" borderId="0" xfId="0" applyFont="true"/>
    <xf numFmtId="9" fontId="0" fillId="2" borderId="0" xfId="0" applyNumberFormat="true" applyFill="true"/>
    <xf numFmtId="0" fontId="0" fillId="0" borderId="0" xfId="0" applyAlignment="true">
      <alignment wrapText="true"/>
    </xf>
    <xf numFmtId="10" fontId="0" fillId="2" borderId="0" xfId="0" applyNumberFormat="true" applyFill="true"/>
    <xf numFmtId="9" fontId="0" fillId="3" borderId="0" xfId="0" applyNumberFormat="true" applyFill="true"/>
    <xf numFmtId="22" fontId="0" fillId="0" borderId="1" xfId="0" applyNumberFormat="true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../customXml/item1.xml" Type="http://schemas.openxmlformats.org/officeDocument/2006/relationships/customXml" Id="rId8"/><Relationship Target="theme/theme1.xml" Type="http://schemas.openxmlformats.org/officeDocument/2006/relationships/theme" Id="rId3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persons/person.xml" Type="http://schemas.microsoft.com/office/2017/10/relationships/person" Id="rId6"/><Relationship Target="vbaProject.bin" Type="http://schemas.microsoft.com/office/2006/relationships/vbaProject" Id="rId11"/><Relationship Target="sharedStrings.xml" Type="http://schemas.openxmlformats.org/officeDocument/2006/relationships/sharedStrings" Id="rId5"/><Relationship Target="../customXml/item3.xml" Type="http://schemas.openxmlformats.org/officeDocument/2006/relationships/customXml" Id="rId10"/><Relationship Target="styles.xml" Type="http://schemas.openxmlformats.org/officeDocument/2006/relationships/styles" Id="rId4"/><Relationship Target="../customXml/item2.xml" Type="http://schemas.openxmlformats.org/officeDocument/2006/relationships/customXml" Id="rId9"/></Relationships>
</file>

<file path=xl/charts/_rels/chart1.xml.rels><?xml version="1.0" encoding="UTF-8"?><Relationships xmlns="http://schemas.openxmlformats.org/package/2006/relationships"><Relationship Target="colors1.xml" Type="http://schemas.microsoft.com/office/2011/relationships/chartColorStyle" Id="rId2"/><Relationship Target="style1.xml" Type="http://schemas.microsoft.com/office/2011/relationships/chartStyle" Id="rId1"/></Relationships>
</file>

<file path=xl/charts/_rels/chart2.xml.rels><?xml version="1.0" encoding="UTF-8"?><Relationships xmlns="http://schemas.openxmlformats.org/package/2006/relationships"><Relationship Target="colors2.xml" Type="http://schemas.microsoft.com/office/2011/relationships/chartColorStyle" Id="rId2"/><Relationship Target="style2.xml" Type="http://schemas.microsoft.com/office/2011/relationships/chartStyle" Id="rId1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1982560031235764E-2"/>
          <c:y val="6.9948137670909946E-2"/>
          <c:w val="0.94958217826077529"/>
          <c:h val="0.9196935036585773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Rocof!$G$6</c:f>
              <c:strCache>
                <c:ptCount val="1"/>
                <c:pt idx="0">
                  <c:v>enveloppe max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Rocof!$A$7:$A$1494</c:f>
              <c:numCache>
                <c:formatCode>General</c:formatCode>
                <c:ptCount val="1488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</c:numCache>
            </c:numRef>
          </c:xVal>
          <c:yVal>
            <c:numRef>
              <c:f>Rocof!$G$7:$G$1494</c:f>
              <c:numCache>
                <c:formatCode>General</c:formatCode>
                <c:ptCount val="1488"/>
                <c:pt idx="0">
                  <c:v>0.1</c:v>
                </c:pt>
                <c:pt idx="1">
                  <c:v>0.10031818024027021</c:v>
                </c:pt>
                <c:pt idx="2">
                  <c:v>0.10126495212032821</c:v>
                </c:pt>
                <c:pt idx="3">
                  <c:v>0.10282025138745546</c:v>
                </c:pt>
                <c:pt idx="4">
                  <c:v>0.1049561314799124</c:v>
                </c:pt>
                <c:pt idx="5">
                  <c:v>0.10763962272914501</c:v>
                </c:pt>
                <c:pt idx="6">
                  <c:v>0.11083455499845565</c:v>
                </c:pt>
                <c:pt idx="7">
                  <c:v>0.11450274803632705</c:v>
                </c:pt>
                <c:pt idx="8">
                  <c:v>0.11860481452003192</c:v>
                </c:pt>
                <c:pt idx="9">
                  <c:v>0.12310072417278708</c:v>
                </c:pt>
                <c:pt idx="10">
                  <c:v>0.12795021878051427</c:v>
                </c:pt>
                <c:pt idx="11">
                  <c:v>0.13311313244598366</c:v>
                </c:pt>
                <c:pt idx="12">
                  <c:v>0.1385496499211378</c:v>
                </c:pt>
                <c:pt idx="13">
                  <c:v>0.14422052284677156</c:v>
                </c:pt>
                <c:pt idx="14">
                  <c:v>0.15008725586287419</c:v>
                </c:pt>
                <c:pt idx="15">
                  <c:v>0.15611226980714948</c:v>
                </c:pt>
                <c:pt idx="16">
                  <c:v>0.16225904636483307</c:v>
                </c:pt>
                <c:pt idx="17">
                  <c:v>0.16849225682460517</c:v>
                </c:pt>
                <c:pt idx="18">
                  <c:v>0.17477787658105326</c:v>
                </c:pt>
                <c:pt idx="19">
                  <c:v>0.18108328642949983</c:v>
                </c:pt>
                <c:pt idx="20">
                  <c:v>0.18737736135769117</c:v>
                </c:pt>
                <c:pt idx="21">
                  <c:v>0.19363054734988858</c:v>
                </c:pt>
                <c:pt idx="22">
                  <c:v>0.19981492662106193</c:v>
                </c:pt>
                <c:pt idx="23">
                  <c:v>0.20590427165498359</c:v>
                </c:pt>
                <c:pt idx="24">
                  <c:v>0.21187408840751004</c:v>
                </c:pt>
                <c:pt idx="25">
                  <c:v>0.21770164904152928</c:v>
                </c:pt>
                <c:pt idx="26">
                  <c:v>0.22336601457465893</c:v>
                </c:pt>
                <c:pt idx="27">
                  <c:v>0.22884804783977103</c:v>
                </c:pt>
                <c:pt idx="28">
                  <c:v>0.23413041717877436</c:v>
                </c:pt>
                <c:pt idx="29">
                  <c:v>0.23919759130998297</c:v>
                </c:pt>
                <c:pt idx="30">
                  <c:v>0.24403582582776395</c:v>
                </c:pt>
                <c:pt idx="31">
                  <c:v>0.24863314180937085</c:v>
                </c:pt>
                <c:pt idx="32">
                  <c:v>0.25297929701758859</c:v>
                </c:pt>
                <c:pt idx="33">
                  <c:v>0.25706575019887201</c:v>
                </c:pt>
                <c:pt idx="34">
                  <c:v>0.26088561898499713</c:v>
                </c:pt>
                <c:pt idx="35">
                  <c:v>0.26443363191187108</c:v>
                </c:pt>
                <c:pt idx="36">
                  <c:v>0.26770607507211847</c:v>
                </c:pt>
                <c:pt idx="37">
                  <c:v>0.27070073391846428</c:v>
                </c:pt>
                <c:pt idx="38">
                  <c:v>0.27341683073287243</c:v>
                </c:pt>
                <c:pt idx="39">
                  <c:v>0.27585495827198958</c:v>
                </c:pt>
                <c:pt idx="40">
                  <c:v>0.27801701009282087</c:v>
                </c:pt>
                <c:pt idx="41">
                  <c:v>0.27990610805385718</c:v>
                </c:pt>
                <c:pt idx="42">
                  <c:v>0.28152652747622769</c:v>
                </c:pt>
                <c:pt idx="43">
                  <c:v>0.28288362043700849</c:v>
                </c:pt>
                <c:pt idx="44">
                  <c:v>0.28398373765272517</c:v>
                </c:pt>
                <c:pt idx="45">
                  <c:v>0.28483414939549057</c:v>
                </c:pt>
                <c:pt idx="46">
                  <c:v>0.28544296586726786</c:v>
                </c:pt>
                <c:pt idx="47">
                  <c:v>0.28581905743958991</c:v>
                </c:pt>
                <c:pt idx="48">
                  <c:v>0.28597197514684247</c:v>
                </c:pt>
                <c:pt idx="49">
                  <c:v>0.28591187180107802</c:v>
                </c:pt>
                <c:pt idx="50">
                  <c:v>0.28564942407540744</c:v>
                </c:pt>
                <c:pt idx="51">
                  <c:v>0.28519575588145835</c:v>
                </c:pt>
                <c:pt idx="52">
                  <c:v>0.28456236334432339</c:v>
                </c:pt>
                <c:pt idx="53">
                  <c:v>0.28376104165598121</c:v>
                </c:pt>
                <c:pt idx="54">
                  <c:v>0.28280381406548633</c:v>
                </c:pt>
                <c:pt idx="55">
                  <c:v>0.28170286324140015</c:v>
                </c:pt>
                <c:pt idx="56">
                  <c:v>0.28047046521910851</c:v>
                </c:pt>
                <c:pt idx="57">
                  <c:v>0.27911892612293132</c:v>
                </c:pt>
                <c:pt idx="58">
                  <c:v>0.27766052183039625</c:v>
                </c:pt>
                <c:pt idx="59">
                  <c:v>0.27610744072381099</c:v>
                </c:pt>
                <c:pt idx="60">
                  <c:v>0.27447172965242078</c:v>
                </c:pt>
                <c:pt idx="61">
                  <c:v>0.27276524320706919</c:v>
                </c:pt>
                <c:pt idx="62">
                  <c:v>0.27099959638845972</c:v>
                </c:pt>
                <c:pt idx="63">
                  <c:v>0.2691861207299317</c:v>
                </c:pt>
                <c:pt idx="64">
                  <c:v>0.26733582391616328</c:v>
                </c:pt>
                <c:pt idx="65">
                  <c:v>0.26545935292047484</c:v>
                </c:pt>
                <c:pt idx="66">
                  <c:v>0.26356696066546603</c:v>
                </c:pt>
                <c:pt idx="67">
                  <c:v>0.26166847619463657</c:v>
                </c:pt>
                <c:pt idx="68">
                  <c:v>0.25977327832644592</c:v>
                </c:pt>
                <c:pt idx="69">
                  <c:v>0.25789027274700177</c:v>
                </c:pt>
                <c:pt idx="70">
                  <c:v>0.25602787248325354</c:v>
                </c:pt>
                <c:pt idx="71">
                  <c:v>0.25419398168523233</c:v>
                </c:pt>
                <c:pt idx="72">
                  <c:v>0.25239598263353225</c:v>
                </c:pt>
                <c:pt idx="73">
                  <c:v>0.25064072587688846</c:v>
                </c:pt>
                <c:pt idx="74">
                  <c:v>0.24893452339437411</c:v>
                </c:pt>
                <c:pt idx="75">
                  <c:v>0.24728314466741291</c:v>
                </c:pt>
                <c:pt idx="76">
                  <c:v>0.2456918155384844</c:v>
                </c:pt>
                <c:pt idx="77">
                  <c:v>0.24416521972607252</c:v>
                </c:pt>
                <c:pt idx="78">
                  <c:v>0.24270750285906489</c:v>
                </c:pt>
                <c:pt idx="79">
                  <c:v>0.241322278888427</c:v>
                </c:pt>
                <c:pt idx="80">
                  <c:v>0.24001263872954087</c:v>
                </c:pt>
                <c:pt idx="81">
                  <c:v>0.23878116098507374</c:v>
                </c:pt>
                <c:pt idx="82">
                  <c:v>0.23762992459561455</c:v>
                </c:pt>
                <c:pt idx="83">
                  <c:v>0.23656052326354354</c:v>
                </c:pt>
                <c:pt idx="84">
                  <c:v>0.23557408149465409</c:v>
                </c:pt>
                <c:pt idx="85">
                  <c:v>0.23467127210189082</c:v>
                </c:pt>
                <c:pt idx="86">
                  <c:v>0.23385233501616387</c:v>
                </c:pt>
                <c:pt idx="87">
                  <c:v>0.23311709725050761</c:v>
                </c:pt>
                <c:pt idx="88">
                  <c:v>0.23246499386583347</c:v>
                </c:pt>
                <c:pt idx="89">
                  <c:v>0.23189508978913492</c:v>
                </c:pt>
                <c:pt idx="90">
                  <c:v>0.23140610233819986</c:v>
                </c:pt>
                <c:pt idx="91">
                  <c:v>0.23099642431062273</c:v>
                </c:pt>
                <c:pt idx="92">
                  <c:v>0.23066414749914521</c:v>
                </c:pt>
                <c:pt idx="93">
                  <c:v>0.23040708650004438</c:v>
                </c:pt>
                <c:pt idx="94">
                  <c:v>0.2302228026863844</c:v>
                </c:pt>
                <c:pt idx="95">
                  <c:v>0.23010862822341205</c:v>
                </c:pt>
                <c:pt idx="96">
                  <c:v>0.23006169000915883</c:v>
                </c:pt>
                <c:pt idx="97">
                  <c:v>0.23007893342937424</c:v>
                </c:pt>
                <c:pt idx="98">
                  <c:v>0.22997878933110649</c:v>
                </c:pt>
                <c:pt idx="99">
                  <c:v>0.22987914470361259</c:v>
                </c:pt>
                <c:pt idx="100">
                  <c:v>0.22977999705577162</c:v>
                </c:pt>
                <c:pt idx="101">
                  <c:v>0.22968134390888728</c:v>
                </c:pt>
                <c:pt idx="102">
                  <c:v>0.22958318279662571</c:v>
                </c:pt>
                <c:pt idx="103">
                  <c:v>0.22948551126495403</c:v>
                </c:pt>
                <c:pt idx="104">
                  <c:v>0.22938832687207888</c:v>
                </c:pt>
                <c:pt idx="105">
                  <c:v>0.22929162718838531</c:v>
                </c:pt>
                <c:pt idx="106">
                  <c:v>0.2291954097963762</c:v>
                </c:pt>
                <c:pt idx="107">
                  <c:v>0.22909967229061179</c:v>
                </c:pt>
                <c:pt idx="108">
                  <c:v>0.22900441227764945</c:v>
                </c:pt>
                <c:pt idx="109">
                  <c:v>0.2289096273759838</c:v>
                </c:pt>
                <c:pt idx="110">
                  <c:v>0.22881531521598747</c:v>
                </c:pt>
                <c:pt idx="111">
                  <c:v>0.2287214734398515</c:v>
                </c:pt>
                <c:pt idx="112">
                  <c:v>0.22862809970152659</c:v>
                </c:pt>
                <c:pt idx="113">
                  <c:v>0.22853519166666442</c:v>
                </c:pt>
                <c:pt idx="114">
                  <c:v>0.22844274701255934</c:v>
                </c:pt>
                <c:pt idx="115">
                  <c:v>0.22835076342809008</c:v>
                </c:pt>
                <c:pt idx="116">
                  <c:v>0.22825923861366232</c:v>
                </c:pt>
                <c:pt idx="117">
                  <c:v>0.22816817028115088</c:v>
                </c:pt>
                <c:pt idx="118">
                  <c:v>0.22807755615384279</c:v>
                </c:pt>
                <c:pt idx="119">
                  <c:v>0.22798739396638001</c:v>
                </c:pt>
                <c:pt idx="120">
                  <c:v>0.22789768146470329</c:v>
                </c:pt>
                <c:pt idx="121">
                  <c:v>0.22780841640599531</c:v>
                </c:pt>
                <c:pt idx="122">
                  <c:v>0.22771959655862506</c:v>
                </c:pt>
                <c:pt idx="123">
                  <c:v>0.22763121970209166</c:v>
                </c:pt>
                <c:pt idx="124">
                  <c:v>0.22754328362696907</c:v>
                </c:pt>
                <c:pt idx="125">
                  <c:v>0.2274557861348509</c:v>
                </c:pt>
                <c:pt idx="126">
                  <c:v>0.22736872503829525</c:v>
                </c:pt>
                <c:pt idx="127">
                  <c:v>0.22728209816077016</c:v>
                </c:pt>
                <c:pt idx="128">
                  <c:v>0.22719590333659917</c:v>
                </c:pt>
                <c:pt idx="129">
                  <c:v>0.22711013841090727</c:v>
                </c:pt>
                <c:pt idx="130">
                  <c:v>0.22702480123956681</c:v>
                </c:pt>
                <c:pt idx="131">
                  <c:v>0.22693988968914403</c:v>
                </c:pt>
                <c:pt idx="132">
                  <c:v>0.22685540163684575</c:v>
                </c:pt>
                <c:pt idx="133">
                  <c:v>0.22677133497046625</c:v>
                </c:pt>
                <c:pt idx="134">
                  <c:v>0.22668768758833457</c:v>
                </c:pt>
                <c:pt idx="135">
                  <c:v>0.22660445739926177</c:v>
                </c:pt>
                <c:pt idx="136">
                  <c:v>0.22652164232248873</c:v>
                </c:pt>
                <c:pt idx="137">
                  <c:v>0.22643924028763424</c:v>
                </c:pt>
                <c:pt idx="138">
                  <c:v>0.22635724923464318</c:v>
                </c:pt>
                <c:pt idx="139">
                  <c:v>0.22627566711373492</c:v>
                </c:pt>
                <c:pt idx="140">
                  <c:v>0.22619449188535218</c:v>
                </c:pt>
                <c:pt idx="141">
                  <c:v>0.22611372152011006</c:v>
                </c:pt>
                <c:pt idx="142">
                  <c:v>0.22603335399874519</c:v>
                </c:pt>
                <c:pt idx="143">
                  <c:v>0.22595338731206532</c:v>
                </c:pt>
                <c:pt idx="144">
                  <c:v>0.22587381946089924</c:v>
                </c:pt>
                <c:pt idx="145">
                  <c:v>0.22579464845604635</c:v>
                </c:pt>
                <c:pt idx="146">
                  <c:v>0.2257158723182276</c:v>
                </c:pt>
                <c:pt idx="147">
                  <c:v>0.22563748907803527</c:v>
                </c:pt>
                <c:pt idx="148">
                  <c:v>0.22555949677588438</c:v>
                </c:pt>
                <c:pt idx="149">
                  <c:v>0.22548189346196323</c:v>
                </c:pt>
                <c:pt idx="150">
                  <c:v>0.22540467719618501</c:v>
                </c:pt>
                <c:pt idx="151">
                  <c:v>0.22532784604813905</c:v>
                </c:pt>
                <c:pt idx="152">
                  <c:v>0.22525139809704259</c:v>
                </c:pt>
                <c:pt idx="153">
                  <c:v>0.22517533143169288</c:v>
                </c:pt>
                <c:pt idx="154">
                  <c:v>0.22509964415041939</c:v>
                </c:pt>
                <c:pt idx="155">
                  <c:v>0.22502433436103608</c:v>
                </c:pt>
                <c:pt idx="156">
                  <c:v>0.22494940018079429</c:v>
                </c:pt>
                <c:pt idx="157">
                  <c:v>0.22487483973633571</c:v>
                </c:pt>
                <c:pt idx="158">
                  <c:v>0.22480065116364517</c:v>
                </c:pt>
                <c:pt idx="159">
                  <c:v>0.22472683260800469</c:v>
                </c:pt>
                <c:pt idx="160">
                  <c:v>0.22465338222394637</c:v>
                </c:pt>
                <c:pt idx="161">
                  <c:v>0.22458029817520686</c:v>
                </c:pt>
                <c:pt idx="162">
                  <c:v>0.22450757863468113</c:v>
                </c:pt>
                <c:pt idx="163">
                  <c:v>0.22443522178437686</c:v>
                </c:pt>
                <c:pt idx="164">
                  <c:v>0.22436322581536899</c:v>
                </c:pt>
                <c:pt idx="165">
                  <c:v>0.22429158892775464</c:v>
                </c:pt>
                <c:pt idx="166">
                  <c:v>0.22422030933060783</c:v>
                </c:pt>
                <c:pt idx="167">
                  <c:v>0.22414938524193495</c:v>
                </c:pt>
                <c:pt idx="168">
                  <c:v>0.22407881488863002</c:v>
                </c:pt>
                <c:pt idx="169">
                  <c:v>0.22400859650643062</c:v>
                </c:pt>
                <c:pt idx="170">
                  <c:v>0.22393872833987349</c:v>
                </c:pt>
                <c:pt idx="171">
                  <c:v>0.22386920864225079</c:v>
                </c:pt>
                <c:pt idx="172">
                  <c:v>0.22380003567556656</c:v>
                </c:pt>
                <c:pt idx="173">
                  <c:v>0.22373120771049293</c:v>
                </c:pt>
                <c:pt idx="174">
                  <c:v>0.22366272302632723</c:v>
                </c:pt>
                <c:pt idx="175">
                  <c:v>0.22359457991094883</c:v>
                </c:pt>
                <c:pt idx="176">
                  <c:v>0.22352677666077625</c:v>
                </c:pt>
                <c:pt idx="177">
                  <c:v>0.22345931158072468</c:v>
                </c:pt>
                <c:pt idx="178">
                  <c:v>0.22339218298416363</c:v>
                </c:pt>
                <c:pt idx="179">
                  <c:v>0.2233253891928747</c:v>
                </c:pt>
                <c:pt idx="180">
                  <c:v>0.22325892853700963</c:v>
                </c:pt>
                <c:pt idx="181">
                  <c:v>0.22319279935504854</c:v>
                </c:pt>
                <c:pt idx="182">
                  <c:v>0.22312699999375851</c:v>
                </c:pt>
                <c:pt idx="183">
                  <c:v>0.22306152880815194</c:v>
                </c:pt>
                <c:pt idx="184">
                  <c:v>0.2229963841614459</c:v>
                </c:pt>
                <c:pt idx="185">
                  <c:v>0.22293156442502082</c:v>
                </c:pt>
                <c:pt idx="186">
                  <c:v>0.22286706797837985</c:v>
                </c:pt>
                <c:pt idx="187">
                  <c:v>0.22280289320910851</c:v>
                </c:pt>
                <c:pt idx="188">
                  <c:v>0.22273903851283422</c:v>
                </c:pt>
                <c:pt idx="189">
                  <c:v>0.22267550229318622</c:v>
                </c:pt>
                <c:pt idx="190">
                  <c:v>0.22261228296175578</c:v>
                </c:pt>
                <c:pt idx="191">
                  <c:v>0.22254937893805621</c:v>
                </c:pt>
                <c:pt idx="192">
                  <c:v>0.22248678864948379</c:v>
                </c:pt>
                <c:pt idx="193">
                  <c:v>0.22242451053127787</c:v>
                </c:pt>
                <c:pt idx="194">
                  <c:v>0.2223625430264824</c:v>
                </c:pt>
                <c:pt idx="195">
                  <c:v>0.22230088458590647</c:v>
                </c:pt>
                <c:pt idx="196">
                  <c:v>0.22223953366808585</c:v>
                </c:pt>
                <c:pt idx="197">
                  <c:v>0.2221784887392444</c:v>
                </c:pt>
                <c:pt idx="198">
                  <c:v>0.22211774827325576</c:v>
                </c:pt>
                <c:pt idx="199">
                  <c:v>0.22205731075160501</c:v>
                </c:pt>
                <c:pt idx="200">
                  <c:v>0.22199717466335112</c:v>
                </c:pt>
                <c:pt idx="201">
                  <c:v>0.22193733850508862</c:v>
                </c:pt>
                <c:pt idx="202">
                  <c:v>0.22187780078091052</c:v>
                </c:pt>
                <c:pt idx="203">
                  <c:v>0.22181856000237055</c:v>
                </c:pt>
                <c:pt idx="204">
                  <c:v>0.22175961468844618</c:v>
                </c:pt>
                <c:pt idx="205">
                  <c:v>0.22170096336550149</c:v>
                </c:pt>
                <c:pt idx="206">
                  <c:v>0.22164260456725043</c:v>
                </c:pt>
                <c:pt idx="207">
                  <c:v>0.2215845368347199</c:v>
                </c:pt>
                <c:pt idx="208">
                  <c:v>0.22152675871621358</c:v>
                </c:pt>
                <c:pt idx="209">
                  <c:v>0.22146926876727552</c:v>
                </c:pt>
                <c:pt idx="210">
                  <c:v>0.22141206555065401</c:v>
                </c:pt>
                <c:pt idx="211">
                  <c:v>0.22135514763626568</c:v>
                </c:pt>
                <c:pt idx="212">
                  <c:v>0.22129851360115965</c:v>
                </c:pt>
                <c:pt idx="213">
                  <c:v>0.2212421620294821</c:v>
                </c:pt>
                <c:pt idx="214">
                  <c:v>0.22118609151244079</c:v>
                </c:pt>
                <c:pt idx="215">
                  <c:v>0.22113030064826994</c:v>
                </c:pt>
                <c:pt idx="216">
                  <c:v>0.22107478804219499</c:v>
                </c:pt>
                <c:pt idx="217">
                  <c:v>0.22101955230639792</c:v>
                </c:pt>
                <c:pt idx="218">
                  <c:v>0.22096459205998242</c:v>
                </c:pt>
                <c:pt idx="219">
                  <c:v>0.2209099059289395</c:v>
                </c:pt>
                <c:pt idx="220">
                  <c:v>0.22085549254611303</c:v>
                </c:pt>
                <c:pt idx="221">
                  <c:v>0.22080135055116562</c:v>
                </c:pt>
                <c:pt idx="222">
                  <c:v>0.22074747859054455</c:v>
                </c:pt>
                <c:pt idx="223">
                  <c:v>0.220693875317448</c:v>
                </c:pt>
                <c:pt idx="224">
                  <c:v>0.2206405393917914</c:v>
                </c:pt>
                <c:pt idx="225">
                  <c:v>0.22058746948017377</c:v>
                </c:pt>
                <c:pt idx="226">
                  <c:v>0.22053466425584456</c:v>
                </c:pt>
                <c:pt idx="227">
                  <c:v>0.22048212239867043</c:v>
                </c:pt>
                <c:pt idx="228">
                  <c:v>0.22042984259510218</c:v>
                </c:pt>
                <c:pt idx="229">
                  <c:v>0.22037782353814206</c:v>
                </c:pt>
                <c:pt idx="230">
                  <c:v>0.22032606392731091</c:v>
                </c:pt>
                <c:pt idx="231">
                  <c:v>0.22027456246861576</c:v>
                </c:pt>
                <c:pt idx="232">
                  <c:v>0.22022331787451743</c:v>
                </c:pt>
                <c:pt idx="233">
                  <c:v>0.22017232886389848</c:v>
                </c:pt>
                <c:pt idx="234">
                  <c:v>0.22012159416203092</c:v>
                </c:pt>
                <c:pt idx="235">
                  <c:v>0.22007111250054456</c:v>
                </c:pt>
                <c:pt idx="236">
                  <c:v>0.22002088261739522</c:v>
                </c:pt>
                <c:pt idx="237">
                  <c:v>0.21997090325683327</c:v>
                </c:pt>
                <c:pt idx="238">
                  <c:v>0.2199211731693721</c:v>
                </c:pt>
                <c:pt idx="239">
                  <c:v>0.21987169111175686</c:v>
                </c:pt>
                <c:pt idx="240">
                  <c:v>0.21982245584693355</c:v>
                </c:pt>
                <c:pt idx="241">
                  <c:v>0.21977346614401799</c:v>
                </c:pt>
                <c:pt idx="242">
                  <c:v>0.2197247207782651</c:v>
                </c:pt>
                <c:pt idx="243">
                  <c:v>0.21967621853103814</c:v>
                </c:pt>
                <c:pt idx="244">
                  <c:v>0.21962795818977843</c:v>
                </c:pt>
                <c:pt idx="245">
                  <c:v>0.21957993854797492</c:v>
                </c:pt>
                <c:pt idx="246">
                  <c:v>0.21953215840513407</c:v>
                </c:pt>
                <c:pt idx="247">
                  <c:v>0.21948461656674983</c:v>
                </c:pt>
                <c:pt idx="248">
                  <c:v>0.21943731184427373</c:v>
                </c:pt>
                <c:pt idx="249">
                  <c:v>0.21939024305508525</c:v>
                </c:pt>
                <c:pt idx="250">
                  <c:v>0.21934340902246224</c:v>
                </c:pt>
                <c:pt idx="251">
                  <c:v>0.21929680857555145</c:v>
                </c:pt>
                <c:pt idx="252">
                  <c:v>0.21925044054933923</c:v>
                </c:pt>
                <c:pt idx="253">
                  <c:v>0.21920430378462258</c:v>
                </c:pt>
                <c:pt idx="254">
                  <c:v>0.21915839712797991</c:v>
                </c:pt>
                <c:pt idx="255">
                  <c:v>0.21911271943174243</c:v>
                </c:pt>
                <c:pt idx="256">
                  <c:v>0.21906726955396533</c:v>
                </c:pt>
                <c:pt idx="257">
                  <c:v>0.21902204635839939</c:v>
                </c:pt>
                <c:pt idx="258">
                  <c:v>0.21897704871446227</c:v>
                </c:pt>
                <c:pt idx="259">
                  <c:v>0.21893227549721062</c:v>
                </c:pt>
                <c:pt idx="260">
                  <c:v>0.21888772558731157</c:v>
                </c:pt>
                <c:pt idx="261">
                  <c:v>0.21884339787101514</c:v>
                </c:pt>
                <c:pt idx="262">
                  <c:v>0.21879929124012604</c:v>
                </c:pt>
                <c:pt idx="263">
                  <c:v>0.21875540459197629</c:v>
                </c:pt>
                <c:pt idx="264">
                  <c:v>0.21871173682939732</c:v>
                </c:pt>
                <c:pt idx="265">
                  <c:v>0.21866828686069278</c:v>
                </c:pt>
                <c:pt idx="266">
                  <c:v>0.21862505359961132</c:v>
                </c:pt>
                <c:pt idx="267">
                  <c:v>0.218582035965319</c:v>
                </c:pt>
                <c:pt idx="268">
                  <c:v>0.21853923288237281</c:v>
                </c:pt>
                <c:pt idx="269">
                  <c:v>0.21849664328069346</c:v>
                </c:pt>
                <c:pt idx="270">
                  <c:v>0.21845426609553864</c:v>
                </c:pt>
                <c:pt idx="271">
                  <c:v>0.21841210026747654</c:v>
                </c:pt>
                <c:pt idx="272">
                  <c:v>0.21837014474235927</c:v>
                </c:pt>
                <c:pt idx="273">
                  <c:v>0.21832839847129648</c:v>
                </c:pt>
                <c:pt idx="274">
                  <c:v>0.21828686041062928</c:v>
                </c:pt>
                <c:pt idx="275">
                  <c:v>0.2182455295219039</c:v>
                </c:pt>
                <c:pt idx="276">
                  <c:v>0.21820440477184605</c:v>
                </c:pt>
                <c:pt idx="277">
                  <c:v>0.2181634851323348</c:v>
                </c:pt>
                <c:pt idx="278">
                  <c:v>0.21812276958037707</c:v>
                </c:pt>
                <c:pt idx="279">
                  <c:v>0.21808225709808188</c:v>
                </c:pt>
                <c:pt idx="280">
                  <c:v>0.2180419466726351</c:v>
                </c:pt>
                <c:pt idx="281">
                  <c:v>0.21800183729627404</c:v>
                </c:pt>
                <c:pt idx="282">
                  <c:v>0.21796192796626207</c:v>
                </c:pt>
                <c:pt idx="283">
                  <c:v>0.21792221768486397</c:v>
                </c:pt>
                <c:pt idx="284">
                  <c:v>0.21788270545932065</c:v>
                </c:pt>
                <c:pt idx="285">
                  <c:v>0.21784339030182431</c:v>
                </c:pt>
                <c:pt idx="286">
                  <c:v>0.21780427122949403</c:v>
                </c:pt>
                <c:pt idx="287">
                  <c:v>0.21776534726435098</c:v>
                </c:pt>
                <c:pt idx="288">
                  <c:v>0.21772661743329402</c:v>
                </c:pt>
                <c:pt idx="289">
                  <c:v>0.21768808076807528</c:v>
                </c:pt>
                <c:pt idx="290">
                  <c:v>0.21764973630527612</c:v>
                </c:pt>
                <c:pt idx="291">
                  <c:v>0.21761158308628309</c:v>
                </c:pt>
                <c:pt idx="292">
                  <c:v>0.21757362015726361</c:v>
                </c:pt>
                <c:pt idx="293">
                  <c:v>0.21753584656914254</c:v>
                </c:pt>
                <c:pt idx="294">
                  <c:v>0.21749826137757822</c:v>
                </c:pt>
                <c:pt idx="295">
                  <c:v>0.21746086364293882</c:v>
                </c:pt>
                <c:pt idx="296">
                  <c:v>0.21742365243027911</c:v>
                </c:pt>
                <c:pt idx="297">
                  <c:v>0.21738662680931681</c:v>
                </c:pt>
                <c:pt idx="298">
                  <c:v>0.21734978585440945</c:v>
                </c:pt>
                <c:pt idx="299">
                  <c:v>0.21731312864453123</c:v>
                </c:pt>
                <c:pt idx="300">
                  <c:v>0.21727665426325005</c:v>
                </c:pt>
                <c:pt idx="301">
                  <c:v>0.21724036179870443</c:v>
                </c:pt>
                <c:pt idx="302">
                  <c:v>0.21720425034358087</c:v>
                </c:pt>
                <c:pt idx="303">
                  <c:v>0.21716831899509115</c:v>
                </c:pt>
                <c:pt idx="304">
                  <c:v>0.21713256685494964</c:v>
                </c:pt>
                <c:pt idx="305">
                  <c:v>0.21709699302935098</c:v>
                </c:pt>
                <c:pt idx="306">
                  <c:v>0.2170615966289477</c:v>
                </c:pt>
                <c:pt idx="307">
                  <c:v>0.21702637676882797</c:v>
                </c:pt>
                <c:pt idx="308">
                  <c:v>0.21699133256849334</c:v>
                </c:pt>
                <c:pt idx="309">
                  <c:v>0.21695646315183714</c:v>
                </c:pt>
                <c:pt idx="310">
                  <c:v>0.21692176764712207</c:v>
                </c:pt>
                <c:pt idx="311">
                  <c:v>0.21688724518695857</c:v>
                </c:pt>
                <c:pt idx="312">
                  <c:v>0.21685289490828352</c:v>
                </c:pt>
                <c:pt idx="313">
                  <c:v>0.21681871595233809</c:v>
                </c:pt>
                <c:pt idx="314">
                  <c:v>0.21678470746464668</c:v>
                </c:pt>
                <c:pt idx="315">
                  <c:v>0.21675086859499521</c:v>
                </c:pt>
                <c:pt idx="316">
                  <c:v>0.21671719849741017</c:v>
                </c:pt>
                <c:pt idx="317">
                  <c:v>0.21668369633013745</c:v>
                </c:pt>
                <c:pt idx="318">
                  <c:v>0.21665036125562109</c:v>
                </c:pt>
                <c:pt idx="319">
                  <c:v>0.21661719244048255</c:v>
                </c:pt>
                <c:pt idx="320">
                  <c:v>0.21658418905549959</c:v>
                </c:pt>
                <c:pt idx="321">
                  <c:v>0.21655135027558597</c:v>
                </c:pt>
                <c:pt idx="322">
                  <c:v>0.21651867527977048</c:v>
                </c:pt>
                <c:pt idx="323">
                  <c:v>0.21648616325117648</c:v>
                </c:pt>
                <c:pt idx="324">
                  <c:v>0.21645381337700154</c:v>
                </c:pt>
                <c:pt idx="325">
                  <c:v>0.2164216248484972</c:v>
                </c:pt>
                <c:pt idx="326">
                  <c:v>0.21638959686094855</c:v>
                </c:pt>
                <c:pt idx="327">
                  <c:v>0.21635772861365421</c:v>
                </c:pt>
                <c:pt idx="328">
                  <c:v>0.2163260193099063</c:v>
                </c:pt>
                <c:pt idx="329">
                  <c:v>0.21629446815697068</c:v>
                </c:pt>
                <c:pt idx="330">
                  <c:v>0.21626307436606679</c:v>
                </c:pt>
                <c:pt idx="331">
                  <c:v>0.21623183715234823</c:v>
                </c:pt>
                <c:pt idx="332">
                  <c:v>0.21620075573488307</c:v>
                </c:pt>
                <c:pt idx="333">
                  <c:v>0.21616982933663426</c:v>
                </c:pt>
                <c:pt idx="334">
                  <c:v>0.21613905718444021</c:v>
                </c:pt>
                <c:pt idx="335">
                  <c:v>0.21610843850899547</c:v>
                </c:pt>
                <c:pt idx="336">
                  <c:v>0.21607797254483169</c:v>
                </c:pt>
                <c:pt idx="337">
                  <c:v>0.216047658530298</c:v>
                </c:pt>
                <c:pt idx="338">
                  <c:v>0.21601749570754258</c:v>
                </c:pt>
                <c:pt idx="339">
                  <c:v>0.21598748332249329</c:v>
                </c:pt>
                <c:pt idx="340">
                  <c:v>0.21595762062483886</c:v>
                </c:pt>
                <c:pt idx="341">
                  <c:v>0.21592790686801039</c:v>
                </c:pt>
                <c:pt idx="342">
                  <c:v>0.21589834130916236</c:v>
                </c:pt>
                <c:pt idx="343">
                  <c:v>0.21586892320915424</c:v>
                </c:pt>
                <c:pt idx="344">
                  <c:v>0.21583965183253201</c:v>
                </c:pt>
                <c:pt idx="345">
                  <c:v>0.21581052644750981</c:v>
                </c:pt>
                <c:pt idx="346">
                  <c:v>0.21578154632595137</c:v>
                </c:pt>
                <c:pt idx="347">
                  <c:v>0.21575271074335223</c:v>
                </c:pt>
                <c:pt idx="348">
                  <c:v>0.21572401897882126</c:v>
                </c:pt>
                <c:pt idx="349">
                  <c:v>0.21569547031506292</c:v>
                </c:pt>
                <c:pt idx="350">
                  <c:v>0.21566706403835906</c:v>
                </c:pt>
                <c:pt idx="351">
                  <c:v>0.21563879943855135</c:v>
                </c:pt>
                <c:pt idx="352">
                  <c:v>0.21561067580902327</c:v>
                </c:pt>
                <c:pt idx="353">
                  <c:v>0.21558269244668266</c:v>
                </c:pt>
                <c:pt idx="354">
                  <c:v>0.21555484865194396</c:v>
                </c:pt>
                <c:pt idx="355">
                  <c:v>0.2155271437287109</c:v>
                </c:pt>
                <c:pt idx="356">
                  <c:v>0.21549957698435895</c:v>
                </c:pt>
                <c:pt idx="357">
                  <c:v>0.21547214772971801</c:v>
                </c:pt>
                <c:pt idx="358">
                  <c:v>0.21544485527905533</c:v>
                </c:pt>
                <c:pt idx="359">
                  <c:v>0.21541769895005819</c:v>
                </c:pt>
                <c:pt idx="360">
                  <c:v>0.21539067806381701</c:v>
                </c:pt>
                <c:pt idx="361">
                  <c:v>0.21536379194480815</c:v>
                </c:pt>
                <c:pt idx="362">
                  <c:v>0.21533703992087727</c:v>
                </c:pt>
                <c:pt idx="363">
                  <c:v>0.21531042132322242</c:v>
                </c:pt>
                <c:pt idx="364">
                  <c:v>0.21528393548637725</c:v>
                </c:pt>
                <c:pt idx="365">
                  <c:v>0.21525758174819443</c:v>
                </c:pt>
                <c:pt idx="366">
                  <c:v>0.21523135944982913</c:v>
                </c:pt>
                <c:pt idx="367">
                  <c:v>0.21520526793572253</c:v>
                </c:pt>
                <c:pt idx="368">
                  <c:v>0.21517930655358547</c:v>
                </c:pt>
                <c:pt idx="369">
                  <c:v>0.21515347465438195</c:v>
                </c:pt>
                <c:pt idx="370">
                  <c:v>0.21512777159231328</c:v>
                </c:pt>
                <c:pt idx="371">
                  <c:v>0.21510219672480141</c:v>
                </c:pt>
                <c:pt idx="372">
                  <c:v>0.21507674941247346</c:v>
                </c:pt>
                <c:pt idx="373">
                  <c:v>0.2150514290191452</c:v>
                </c:pt>
                <c:pt idx="374">
                  <c:v>0.2150262349118055</c:v>
                </c:pt>
                <c:pt idx="375">
                  <c:v>0.21500116646060041</c:v>
                </c:pt>
                <c:pt idx="376">
                  <c:v>0.2149762230388173</c:v>
                </c:pt>
                <c:pt idx="377">
                  <c:v>0.21495140402286939</c:v>
                </c:pt>
                <c:pt idx="378">
                  <c:v>0.21492670879227987</c:v>
                </c:pt>
                <c:pt idx="379">
                  <c:v>0.21490213672966679</c:v>
                </c:pt>
                <c:pt idx="380">
                  <c:v>0.21487768722072725</c:v>
                </c:pt>
                <c:pt idx="381">
                  <c:v>0.21485335965422231</c:v>
                </c:pt>
                <c:pt idx="382">
                  <c:v>0.21482915342196146</c:v>
                </c:pt>
                <c:pt idx="383">
                  <c:v>0.21480506791878767</c:v>
                </c:pt>
                <c:pt idx="384">
                  <c:v>0.21478110254256216</c:v>
                </c:pt>
                <c:pt idx="385">
                  <c:v>0.21475725669414925</c:v>
                </c:pt>
                <c:pt idx="386">
                  <c:v>0.2147335297774014</c:v>
                </c:pt>
                <c:pt idx="387">
                  <c:v>0.21470992119914456</c:v>
                </c:pt>
                <c:pt idx="388">
                  <c:v>0.21468643036916302</c:v>
                </c:pt>
                <c:pt idx="389">
                  <c:v>0.21466305670018476</c:v>
                </c:pt>
                <c:pt idx="390">
                  <c:v>0.21463979960786689</c:v>
                </c:pt>
                <c:pt idx="391">
                  <c:v>0.21461665851078088</c:v>
                </c:pt>
                <c:pt idx="392">
                  <c:v>0.21459363283039806</c:v>
                </c:pt>
                <c:pt idx="393">
                  <c:v>0.21457072199107524</c:v>
                </c:pt>
                <c:pt idx="394">
                  <c:v>0.21454792542004031</c:v>
                </c:pt>
                <c:pt idx="395">
                  <c:v>0.2145252425473777</c:v>
                </c:pt>
                <c:pt idx="396">
                  <c:v>0.21450267280601454</c:v>
                </c:pt>
                <c:pt idx="397">
                  <c:v>0.21448021563170599</c:v>
                </c:pt>
                <c:pt idx="398">
                  <c:v>0.21445787046302156</c:v>
                </c:pt>
                <c:pt idx="399">
                  <c:v>0.21443563674133093</c:v>
                </c:pt>
                <c:pt idx="400">
                  <c:v>0.21441351391078989</c:v>
                </c:pt>
                <c:pt idx="401">
                  <c:v>0.21439150141832641</c:v>
                </c:pt>
                <c:pt idx="402">
                  <c:v>0.2143695987136271</c:v>
                </c:pt>
                <c:pt idx="403">
                  <c:v>0.21434780524912328</c:v>
                </c:pt>
                <c:pt idx="404">
                  <c:v>0.21432612047997718</c:v>
                </c:pt>
                <c:pt idx="405">
                  <c:v>0.21430454386406828</c:v>
                </c:pt>
                <c:pt idx="406">
                  <c:v>0.21428307486198023</c:v>
                </c:pt>
                <c:pt idx="407">
                  <c:v>0.21426171293698676</c:v>
                </c:pt>
                <c:pt idx="408">
                  <c:v>0.21424045755503879</c:v>
                </c:pt>
                <c:pt idx="409">
                  <c:v>0.21421930818475049</c:v>
                </c:pt>
                <c:pt idx="410">
                  <c:v>0.21419826429738659</c:v>
                </c:pt>
                <c:pt idx="411">
                  <c:v>0.21417732536684875</c:v>
                </c:pt>
                <c:pt idx="412">
                  <c:v>0.21415649086966265</c:v>
                </c:pt>
                <c:pt idx="413">
                  <c:v>0.21413576028496478</c:v>
                </c:pt>
                <c:pt idx="414">
                  <c:v>0.21411513309448943</c:v>
                </c:pt>
                <c:pt idx="415">
                  <c:v>0.21409460878255576</c:v>
                </c:pt>
                <c:pt idx="416">
                  <c:v>0.21407418683605495</c:v>
                </c:pt>
                <c:pt idx="417">
                  <c:v>0.21405386674443722</c:v>
                </c:pt>
                <c:pt idx="418">
                  <c:v>0.21403364799969926</c:v>
                </c:pt>
                <c:pt idx="419">
                  <c:v>0.21401353009637136</c:v>
                </c:pt>
                <c:pt idx="420">
                  <c:v>0.21399351253150489</c:v>
                </c:pt>
                <c:pt idx="421">
                  <c:v>0.21397359480465977</c:v>
                </c:pt>
                <c:pt idx="422">
                  <c:v>0.21395377641789165</c:v>
                </c:pt>
                <c:pt idx="423">
                  <c:v>0.21393405687573996</c:v>
                </c:pt>
                <c:pt idx="424">
                  <c:v>0.21391443568521501</c:v>
                </c:pt>
                <c:pt idx="425">
                  <c:v>0.21389491235578612</c:v>
                </c:pt>
                <c:pt idx="426">
                  <c:v>0.21387548639936893</c:v>
                </c:pt>
                <c:pt idx="427">
                  <c:v>0.2138561573303136</c:v>
                </c:pt>
                <c:pt idx="428">
                  <c:v>0.21383692466539239</c:v>
                </c:pt>
                <c:pt idx="429">
                  <c:v>0.21381778792378764</c:v>
                </c:pt>
                <c:pt idx="430">
                  <c:v>0.21379874662707982</c:v>
                </c:pt>
                <c:pt idx="431">
                  <c:v>0.21377980029923555</c:v>
                </c:pt>
                <c:pt idx="432">
                  <c:v>0.2137609484665956</c:v>
                </c:pt>
                <c:pt idx="433">
                  <c:v>0.21374219065786321</c:v>
                </c:pt>
                <c:pt idx="434">
                  <c:v>0.21372352640409215</c:v>
                </c:pt>
                <c:pt idx="435">
                  <c:v>0.21370495523867511</c:v>
                </c:pt>
                <c:pt idx="436">
                  <c:v>0.21368647669733204</c:v>
                </c:pt>
                <c:pt idx="437">
                  <c:v>0.21366809031809841</c:v>
                </c:pt>
                <c:pt idx="438">
                  <c:v>0.21364979564131381</c:v>
                </c:pt>
                <c:pt idx="439">
                  <c:v>0.21363159220961025</c:v>
                </c:pt>
                <c:pt idx="440">
                  <c:v>0.21361347956790117</c:v>
                </c:pt>
                <c:pt idx="441">
                  <c:v>0.21359545726336943</c:v>
                </c:pt>
                <c:pt idx="442">
                  <c:v>0.21357752484545656</c:v>
                </c:pt>
                <c:pt idx="443">
                  <c:v>0.21355968186585117</c:v>
                </c:pt>
                <c:pt idx="444">
                  <c:v>0.21354192787847776</c:v>
                </c:pt>
                <c:pt idx="445">
                  <c:v>0.21352426243948586</c:v>
                </c:pt>
                <c:pt idx="446">
                  <c:v>0.21350668510723847</c:v>
                </c:pt>
                <c:pt idx="447">
                  <c:v>0.21348919544230138</c:v>
                </c:pt>
                <c:pt idx="448">
                  <c:v>0.21347179300743213</c:v>
                </c:pt>
                <c:pt idx="449">
                  <c:v>0.21345447736756884</c:v>
                </c:pt>
                <c:pt idx="450">
                  <c:v>0.21343724808981968</c:v>
                </c:pt>
                <c:pt idx="451">
                  <c:v>0.2134201047434518</c:v>
                </c:pt>
                <c:pt idx="452">
                  <c:v>0.21340304689988066</c:v>
                </c:pt>
                <c:pt idx="453">
                  <c:v>0.2133860741326592</c:v>
                </c:pt>
                <c:pt idx="454">
                  <c:v>0.21336918601746746</c:v>
                </c:pt>
                <c:pt idx="455">
                  <c:v>0.21335238213210161</c:v>
                </c:pt>
                <c:pt idx="456">
                  <c:v>0.21333566205646365</c:v>
                </c:pt>
                <c:pt idx="457">
                  <c:v>0.21331902537255087</c:v>
                </c:pt>
                <c:pt idx="458">
                  <c:v>0.21330247166444527</c:v>
                </c:pt>
                <c:pt idx="459">
                  <c:v>0.21328600051830326</c:v>
                </c:pt>
                <c:pt idx="460">
                  <c:v>0.21326961152234536</c:v>
                </c:pt>
                <c:pt idx="461">
                  <c:v>0.21325330426684586</c:v>
                </c:pt>
                <c:pt idx="462">
                  <c:v>0.21323707834412242</c:v>
                </c:pt>
                <c:pt idx="463">
                  <c:v>0.21322093334852615</c:v>
                </c:pt>
                <c:pt idx="464">
                  <c:v>0.21320486887643142</c:v>
                </c:pt>
                <c:pt idx="465">
                  <c:v>0.21318888452622548</c:v>
                </c:pt>
                <c:pt idx="466">
                  <c:v>0.21317297989829881</c:v>
                </c:pt>
                <c:pt idx="467">
                  <c:v>0.21315715459503481</c:v>
                </c:pt>
                <c:pt idx="468">
                  <c:v>0.21314140822080019</c:v>
                </c:pt>
                <c:pt idx="469">
                  <c:v>0.21312574038193466</c:v>
                </c:pt>
                <c:pt idx="470">
                  <c:v>0.2131101506867415</c:v>
                </c:pt>
                <c:pt idx="471">
                  <c:v>0.21309463874547746</c:v>
                </c:pt>
                <c:pt idx="472">
                  <c:v>0.21307920417034326</c:v>
                </c:pt>
                <c:pt idx="473">
                  <c:v>0.21306384657547373</c:v>
                </c:pt>
                <c:pt idx="474">
                  <c:v>0.21304856557692808</c:v>
                </c:pt>
                <c:pt idx="475">
                  <c:v>0.2130333607926807</c:v>
                </c:pt>
                <c:pt idx="476">
                  <c:v>0.21301823184261109</c:v>
                </c:pt>
                <c:pt idx="477">
                  <c:v>0.2130031783484948</c:v>
                </c:pt>
                <c:pt idx="478">
                  <c:v>0.21298819993399359</c:v>
                </c:pt>
                <c:pt idx="479">
                  <c:v>0.21297329622464634</c:v>
                </c:pt>
                <c:pt idx="480">
                  <c:v>0.21295846684785963</c:v>
                </c:pt>
                <c:pt idx="481">
                  <c:v>0.21294371143289814</c:v>
                </c:pt>
                <c:pt idx="482">
                  <c:v>0.21292902961087584</c:v>
                </c:pt>
                <c:pt idx="483">
                  <c:v>0.21291442101474634</c:v>
                </c:pt>
                <c:pt idx="484">
                  <c:v>0.21289988527929399</c:v>
                </c:pt>
                <c:pt idx="485">
                  <c:v>0.21288542204112471</c:v>
                </c:pt>
                <c:pt idx="486">
                  <c:v>0.21287103093865667</c:v>
                </c:pt>
                <c:pt idx="487">
                  <c:v>0.21285671161211167</c:v>
                </c:pt>
                <c:pt idx="488">
                  <c:v>0.21284246370350579</c:v>
                </c:pt>
                <c:pt idx="489">
                  <c:v>0.21282828685664051</c:v>
                </c:pt>
                <c:pt idx="490">
                  <c:v>0.21281418071709396</c:v>
                </c:pt>
                <c:pt idx="491">
                  <c:v>0.21280014493221189</c:v>
                </c:pt>
                <c:pt idx="492">
                  <c:v>0.21278617915109899</c:v>
                </c:pt>
                <c:pt idx="493">
                  <c:v>0.21277228302460993</c:v>
                </c:pt>
                <c:pt idx="494">
                  <c:v>0.21275845620534095</c:v>
                </c:pt>
                <c:pt idx="495">
                  <c:v>0.21274469834762072</c:v>
                </c:pt>
                <c:pt idx="496">
                  <c:v>0.21273100910750214</c:v>
                </c:pt>
                <c:pt idx="497">
                  <c:v>0.21271738814275354</c:v>
                </c:pt>
                <c:pt idx="498">
                  <c:v>0.21270383511285001</c:v>
                </c:pt>
                <c:pt idx="499">
                  <c:v>0.21269034967896511</c:v>
                </c:pt>
                <c:pt idx="500">
                  <c:v>0.21267693150396233</c:v>
                </c:pt>
                <c:pt idx="501">
                  <c:v>0.21266358025238652</c:v>
                </c:pt>
                <c:pt idx="502">
                  <c:v>0.21265029559045578</c:v>
                </c:pt>
                <c:pt idx="503">
                  <c:v>0.21263707718605285</c:v>
                </c:pt>
                <c:pt idx="504">
                  <c:v>0.21262392470871688</c:v>
                </c:pt>
                <c:pt idx="505">
                  <c:v>0.21261083782963536</c:v>
                </c:pt>
                <c:pt idx="506">
                  <c:v>0.21259781622163548</c:v>
                </c:pt>
                <c:pt idx="507">
                  <c:v>0.2125848595591765</c:v>
                </c:pt>
                <c:pt idx="508">
                  <c:v>0.21257196751834112</c:v>
                </c:pt>
                <c:pt idx="509">
                  <c:v>0.21255913977682767</c:v>
                </c:pt>
                <c:pt idx="510">
                  <c:v>0.21254637601394188</c:v>
                </c:pt>
                <c:pt idx="511">
                  <c:v>0.21253367591058908</c:v>
                </c:pt>
                <c:pt idx="512">
                  <c:v>0.21252103914926607</c:v>
                </c:pt>
                <c:pt idx="513">
                  <c:v>0.21250846541405299</c:v>
                </c:pt>
                <c:pt idx="514">
                  <c:v>0.21249595439060598</c:v>
                </c:pt>
                <c:pt idx="515">
                  <c:v>0.21248350576614872</c:v>
                </c:pt>
                <c:pt idx="516">
                  <c:v>0.21247111922946499</c:v>
                </c:pt>
                <c:pt idx="517">
                  <c:v>0.21245879447089067</c:v>
                </c:pt>
                <c:pt idx="518">
                  <c:v>0.21244653118230616</c:v>
                </c:pt>
                <c:pt idx="519">
                  <c:v>0.21243432905712867</c:v>
                </c:pt>
                <c:pt idx="520">
                  <c:v>0.21242218779030436</c:v>
                </c:pt>
                <c:pt idx="521">
                  <c:v>0.21241010707830099</c:v>
                </c:pt>
                <c:pt idx="522">
                  <c:v>0.21239808661910009</c:v>
                </c:pt>
                <c:pt idx="523">
                  <c:v>0.2123861261121896</c:v>
                </c:pt>
                <c:pt idx="524">
                  <c:v>0.21237422525855615</c:v>
                </c:pt>
                <c:pt idx="525">
                  <c:v>0.21236238376067784</c:v>
                </c:pt>
                <c:pt idx="526">
                  <c:v>0.2123506013225166</c:v>
                </c:pt>
                <c:pt idx="527">
                  <c:v>0.21233887764951087</c:v>
                </c:pt>
                <c:pt idx="528">
                  <c:v>0.21232721244856811</c:v>
                </c:pt>
                <c:pt idx="529">
                  <c:v>0.21231560542805789</c:v>
                </c:pt>
                <c:pt idx="530">
                  <c:v>0.21230405629780386</c:v>
                </c:pt>
                <c:pt idx="531">
                  <c:v>0.21229256476907737</c:v>
                </c:pt>
                <c:pt idx="532">
                  <c:v>0.21228113055458947</c:v>
                </c:pt>
                <c:pt idx="533">
                  <c:v>0.21226975336848425</c:v>
                </c:pt>
                <c:pt idx="534">
                  <c:v>0.21225843292633145</c:v>
                </c:pt>
                <c:pt idx="535">
                  <c:v>0.21224716894511941</c:v>
                </c:pt>
                <c:pt idx="536">
                  <c:v>0.21223596114324811</c:v>
                </c:pt>
                <c:pt idx="537">
                  <c:v>0.21222480924052178</c:v>
                </c:pt>
                <c:pt idx="538">
                  <c:v>0.21221371295814234</c:v>
                </c:pt>
                <c:pt idx="539">
                  <c:v>0.21220267201870219</c:v>
                </c:pt>
                <c:pt idx="540">
                  <c:v>0.21219168614617723</c:v>
                </c:pt>
                <c:pt idx="541">
                  <c:v>0.21218075506592005</c:v>
                </c:pt>
                <c:pt idx="542">
                  <c:v>0.21216987850465313</c:v>
                </c:pt>
                <c:pt idx="543">
                  <c:v>0.21215905619046183</c:v>
                </c:pt>
                <c:pt idx="544">
                  <c:v>0.21214828785278772</c:v>
                </c:pt>
                <c:pt idx="545">
                  <c:v>0.21213757322242183</c:v>
                </c:pt>
                <c:pt idx="546">
                  <c:v>0.21212691203149786</c:v>
                </c:pt>
                <c:pt idx="547">
                  <c:v>0.21211630401348541</c:v>
                </c:pt>
                <c:pt idx="548">
                  <c:v>0.21210574890318357</c:v>
                </c:pt>
                <c:pt idx="549">
                  <c:v>0.2120952464367139</c:v>
                </c:pt>
                <c:pt idx="550">
                  <c:v>0.21208479635151434</c:v>
                </c:pt>
                <c:pt idx="551">
                  <c:v>0.21207439838633219</c:v>
                </c:pt>
                <c:pt idx="552">
                  <c:v>0.21206405228121766</c:v>
                </c:pt>
                <c:pt idx="553">
                  <c:v>0.21205375777751767</c:v>
                </c:pt>
                <c:pt idx="554">
                  <c:v>0.21204351461786913</c:v>
                </c:pt>
                <c:pt idx="555">
                  <c:v>0.21203332254619245</c:v>
                </c:pt>
                <c:pt idx="556">
                  <c:v>0.21202318130768533</c:v>
                </c:pt>
                <c:pt idx="557">
                  <c:v>0.21201309064881629</c:v>
                </c:pt>
                <c:pt idx="558">
                  <c:v>0.21200305031731831</c:v>
                </c:pt>
                <c:pt idx="559">
                  <c:v>0.21199306006218255</c:v>
                </c:pt>
                <c:pt idx="560">
                  <c:v>0.21198311963365218</c:v>
                </c:pt>
                <c:pt idx="561">
                  <c:v>0.21197322878321595</c:v>
                </c:pt>
                <c:pt idx="562">
                  <c:v>0.21196338726360209</c:v>
                </c:pt>
                <c:pt idx="563">
                  <c:v>0.21195359482877202</c:v>
                </c:pt>
                <c:pt idx="564">
                  <c:v>0.21194385123391446</c:v>
                </c:pt>
                <c:pt idx="565">
                  <c:v>0.21193415623543899</c:v>
                </c:pt>
                <c:pt idx="566">
                  <c:v>0.21192450959097014</c:v>
                </c:pt>
                <c:pt idx="567">
                  <c:v>0.21191491105934129</c:v>
                </c:pt>
                <c:pt idx="568">
                  <c:v>0.21190536040058866</c:v>
                </c:pt>
                <c:pt idx="569">
                  <c:v>0.2118958573759453</c:v>
                </c:pt>
                <c:pt idx="570">
                  <c:v>0.21188640174783502</c:v>
                </c:pt>
                <c:pt idx="571">
                  <c:v>0.21187699327986675</c:v>
                </c:pt>
                <c:pt idx="572">
                  <c:v>0.21186763173682821</c:v>
                </c:pt>
                <c:pt idx="573">
                  <c:v>0.21185831688468038</c:v>
                </c:pt>
                <c:pt idx="574">
                  <c:v>0.21184904849055147</c:v>
                </c:pt>
                <c:pt idx="575">
                  <c:v>0.21183982632273107</c:v>
                </c:pt>
                <c:pt idx="576">
                  <c:v>0.2118306501506646</c:v>
                </c:pt>
                <c:pt idx="577">
                  <c:v>0.21182151974494723</c:v>
                </c:pt>
                <c:pt idx="578">
                  <c:v>0.21181243487731838</c:v>
                </c:pt>
                <c:pt idx="579">
                  <c:v>0.21180339532065584</c:v>
                </c:pt>
                <c:pt idx="580">
                  <c:v>0.21179440084897028</c:v>
                </c:pt>
                <c:pt idx="581">
                  <c:v>0.21178545123739934</c:v>
                </c:pt>
                <c:pt idx="582">
                  <c:v>0.21177654626220238</c:v>
                </c:pt>
                <c:pt idx="583">
                  <c:v>0.21176768570075449</c:v>
                </c:pt>
                <c:pt idx="584">
                  <c:v>0.21175886933154114</c:v>
                </c:pt>
                <c:pt idx="585">
                  <c:v>0.21175009693415275</c:v>
                </c:pt>
                <c:pt idx="586">
                  <c:v>0.21174136828927886</c:v>
                </c:pt>
                <c:pt idx="587">
                  <c:v>0.21173268317870286</c:v>
                </c:pt>
                <c:pt idx="588">
                  <c:v>0.2117240413852966</c:v>
                </c:pt>
                <c:pt idx="589">
                  <c:v>0.21171544269301473</c:v>
                </c:pt>
                <c:pt idx="590">
                  <c:v>0.2117068868868896</c:v>
                </c:pt>
                <c:pt idx="591">
                  <c:v>0.21169837375302547</c:v>
                </c:pt>
                <c:pt idx="592">
                  <c:v>0.2116899030785937</c:v>
                </c:pt>
                <c:pt idx="593">
                  <c:v>0.21168147465182685</c:v>
                </c:pt>
                <c:pt idx="594">
                  <c:v>0.21167308826201386</c:v>
                </c:pt>
                <c:pt idx="595">
                  <c:v>0.21166474369949462</c:v>
                </c:pt>
                <c:pt idx="596">
                  <c:v>0.21165644075565454</c:v>
                </c:pt>
                <c:pt idx="597">
                  <c:v>0.21164817922291962</c:v>
                </c:pt>
                <c:pt idx="598">
                  <c:v>0.21163995889475112</c:v>
                </c:pt>
                <c:pt idx="599">
                  <c:v>0.21163177956564039</c:v>
                </c:pt>
                <c:pt idx="600">
                  <c:v>0.21162364103110382</c:v>
                </c:pt>
                <c:pt idx="601">
                  <c:v>0.21161554308767755</c:v>
                </c:pt>
                <c:pt idx="602">
                  <c:v>0.21160748553291264</c:v>
                </c:pt>
                <c:pt idx="603">
                  <c:v>0.21159946816536979</c:v>
                </c:pt>
                <c:pt idx="604">
                  <c:v>0.21159149078461437</c:v>
                </c:pt>
                <c:pt idx="605">
                  <c:v>0.21158355319121147</c:v>
                </c:pt>
                <c:pt idx="606">
                  <c:v>0.21157565518672078</c:v>
                </c:pt>
                <c:pt idx="607">
                  <c:v>0.21156779657369185</c:v>
                </c:pt>
                <c:pt idx="608">
                  <c:v>0.21155997715565894</c:v>
                </c:pt>
                <c:pt idx="609">
                  <c:v>0.21155219673713616</c:v>
                </c:pt>
                <c:pt idx="610">
                  <c:v>0.21154445512361264</c:v>
                </c:pt>
                <c:pt idx="611">
                  <c:v>0.21153675212154766</c:v>
                </c:pt>
                <c:pt idx="612">
                  <c:v>0.21152908753836575</c:v>
                </c:pt>
                <c:pt idx="613">
                  <c:v>0.21152146118245191</c:v>
                </c:pt>
                <c:pt idx="614">
                  <c:v>0.21151387286314693</c:v>
                </c:pt>
                <c:pt idx="615">
                  <c:v>0.21150632239074235</c:v>
                </c:pt>
                <c:pt idx="616">
                  <c:v>0.21149880957647599</c:v>
                </c:pt>
                <c:pt idx="617">
                  <c:v>0.21149133423252708</c:v>
                </c:pt>
                <c:pt idx="618">
                  <c:v>0.21148389617201169</c:v>
                </c:pt>
                <c:pt idx="619">
                  <c:v>0.21147649520897788</c:v>
                </c:pt>
                <c:pt idx="620">
                  <c:v>0.21146913115840121</c:v>
                </c:pt>
                <c:pt idx="621">
                  <c:v>0.21146180383618002</c:v>
                </c:pt>
                <c:pt idx="622">
                  <c:v>0.21145451305913082</c:v>
                </c:pt>
                <c:pt idx="623">
                  <c:v>0.21144725864498393</c:v>
                </c:pt>
                <c:pt idx="624">
                  <c:v>0.21144004041237846</c:v>
                </c:pt>
                <c:pt idx="625">
                  <c:v>0.21143285818085839</c:v>
                </c:pt>
                <c:pt idx="626">
                  <c:v>0.21142571177086739</c:v>
                </c:pt>
                <c:pt idx="627">
                  <c:v>0.21141860100374499</c:v>
                </c:pt>
                <c:pt idx="628">
                  <c:v>0.2114115257017215</c:v>
                </c:pt>
                <c:pt idx="629">
                  <c:v>0.21140448568791409</c:v>
                </c:pt>
                <c:pt idx="630">
                  <c:v>0.21139748078632203</c:v>
                </c:pt>
                <c:pt idx="631">
                  <c:v>0.21139051082182242</c:v>
                </c:pt>
                <c:pt idx="632">
                  <c:v>0.2113835756201658</c:v>
                </c:pt>
                <c:pt idx="633">
                  <c:v>0.21137667500797175</c:v>
                </c:pt>
                <c:pt idx="634">
                  <c:v>0.21136980881272455</c:v>
                </c:pt>
                <c:pt idx="635">
                  <c:v>0.21136297686276906</c:v>
                </c:pt>
                <c:pt idx="636">
                  <c:v>0.21135617898730608</c:v>
                </c:pt>
                <c:pt idx="637">
                  <c:v>0.21134941501638843</c:v>
                </c:pt>
                <c:pt idx="638">
                  <c:v>0.2113426847809165</c:v>
                </c:pt>
                <c:pt idx="639">
                  <c:v>0.21133598811263404</c:v>
                </c:pt>
                <c:pt idx="640">
                  <c:v>0.21132932484412392</c:v>
                </c:pt>
                <c:pt idx="641">
                  <c:v>0.21132269480880417</c:v>
                </c:pt>
                <c:pt idx="642">
                  <c:v>0.21131609784092353</c:v>
                </c:pt>
                <c:pt idx="643">
                  <c:v>0.21130953377555745</c:v>
                </c:pt>
                <c:pt idx="644">
                  <c:v>0.211303002448604</c:v>
                </c:pt>
                <c:pt idx="645">
                  <c:v>0.2112965036967796</c:v>
                </c:pt>
                <c:pt idx="646">
                  <c:v>0.21129003735761515</c:v>
                </c:pt>
                <c:pt idx="647">
                  <c:v>0.21128360326945184</c:v>
                </c:pt>
                <c:pt idx="648">
                  <c:v>0.21127720127143707</c:v>
                </c:pt>
                <c:pt idx="649">
                  <c:v>0.21127083120352064</c:v>
                </c:pt>
                <c:pt idx="650">
                  <c:v>0.2112644929064505</c:v>
                </c:pt>
                <c:pt idx="651">
                  <c:v>0.2112581862217689</c:v>
                </c:pt>
                <c:pt idx="652">
                  <c:v>0.21125191099180834</c:v>
                </c:pt>
                <c:pt idx="653">
                  <c:v>0.21124566705968778</c:v>
                </c:pt>
                <c:pt idx="654">
                  <c:v>0.21123945426930857</c:v>
                </c:pt>
                <c:pt idx="655">
                  <c:v>0.21123327246535067</c:v>
                </c:pt>
                <c:pt idx="656">
                  <c:v>0.21122712149326867</c:v>
                </c:pt>
                <c:pt idx="657">
                  <c:v>0.21122100119928788</c:v>
                </c:pt>
                <c:pt idx="658">
                  <c:v>0.21121491143040066</c:v>
                </c:pt>
                <c:pt idx="659">
                  <c:v>0.21120885203436252</c:v>
                </c:pt>
                <c:pt idx="660">
                  <c:v>0.21120282285968817</c:v>
                </c:pt>
                <c:pt idx="661">
                  <c:v>0.21119682375564797</c:v>
                </c:pt>
                <c:pt idx="662">
                  <c:v>0.21119085457226394</c:v>
                </c:pt>
                <c:pt idx="663">
                  <c:v>0.2111849151603063</c:v>
                </c:pt>
                <c:pt idx="664">
                  <c:v>0.21117900537128936</c:v>
                </c:pt>
                <c:pt idx="665">
                  <c:v>0.2111731250574681</c:v>
                </c:pt>
                <c:pt idx="666">
                  <c:v>0.21116727407183439</c:v>
                </c:pt>
                <c:pt idx="667">
                  <c:v>0.21116145226811328</c:v>
                </c:pt>
                <c:pt idx="668">
                  <c:v>0.21115565950075937</c:v>
                </c:pt>
                <c:pt idx="669">
                  <c:v>0.21114989562495318</c:v>
                </c:pt>
                <c:pt idx="670">
                  <c:v>0.21114416049659746</c:v>
                </c:pt>
                <c:pt idx="671">
                  <c:v>0.21113845397231379</c:v>
                </c:pt>
                <c:pt idx="672">
                  <c:v>0.21113277590943869</c:v>
                </c:pt>
                <c:pt idx="673">
                  <c:v>0.21112712616602031</c:v>
                </c:pt>
                <c:pt idx="674">
                  <c:v>0.21112150460081486</c:v>
                </c:pt>
                <c:pt idx="675">
                  <c:v>0.21111591107328276</c:v>
                </c:pt>
                <c:pt idx="676">
                  <c:v>0.21111034544358565</c:v>
                </c:pt>
                <c:pt idx="677">
                  <c:v>0.21110480757258249</c:v>
                </c:pt>
                <c:pt idx="678">
                  <c:v>0.21109929732182614</c:v>
                </c:pt>
                <c:pt idx="679">
                  <c:v>0.21109381455356008</c:v>
                </c:pt>
                <c:pt idx="680">
                  <c:v>0.21108835913071483</c:v>
                </c:pt>
                <c:pt idx="681">
                  <c:v>0.21108293091690461</c:v>
                </c:pt>
                <c:pt idx="682">
                  <c:v>0.21107752977642363</c:v>
                </c:pt>
                <c:pt idx="683">
                  <c:v>0.21107215557424319</c:v>
                </c:pt>
                <c:pt idx="684">
                  <c:v>0.21106680817600798</c:v>
                </c:pt>
                <c:pt idx="685">
                  <c:v>0.21106148744803277</c:v>
                </c:pt>
                <c:pt idx="686">
                  <c:v>0.21105619325729896</c:v>
                </c:pt>
                <c:pt idx="687">
                  <c:v>0.21105092547145166</c:v>
                </c:pt>
                <c:pt idx="688">
                  <c:v>0.21104568395879586</c:v>
                </c:pt>
                <c:pt idx="689">
                  <c:v>0.21104046858829345</c:v>
                </c:pt>
                <c:pt idx="690">
                  <c:v>0.21103527922956</c:v>
                </c:pt>
                <c:pt idx="691">
                  <c:v>0.21103011575286118</c:v>
                </c:pt>
                <c:pt idx="692">
                  <c:v>0.21102497802910986</c:v>
                </c:pt>
                <c:pt idx="693">
                  <c:v>0.2110198659298626</c:v>
                </c:pt>
                <c:pt idx="694">
                  <c:v>0.21101477932731677</c:v>
                </c:pt>
                <c:pt idx="695">
                  <c:v>0.21100971809430691</c:v>
                </c:pt>
                <c:pt idx="696">
                  <c:v>0.21100468210430207</c:v>
                </c:pt>
                <c:pt idx="697">
                  <c:v>0.21099967123140212</c:v>
                </c:pt>
                <c:pt idx="698">
                  <c:v>0.210994685350335</c:v>
                </c:pt>
                <c:pt idx="699">
                  <c:v>0.21098972433645347</c:v>
                </c:pt>
                <c:pt idx="700">
                  <c:v>0.2109847880657319</c:v>
                </c:pt>
                <c:pt idx="701">
                  <c:v>0.21097987641476329</c:v>
                </c:pt>
                <c:pt idx="702">
                  <c:v>0.21097498926075603</c:v>
                </c:pt>
                <c:pt idx="703">
                  <c:v>0.21097012648153113</c:v>
                </c:pt>
                <c:pt idx="704">
                  <c:v>0.21096528795551872</c:v>
                </c:pt>
                <c:pt idx="705">
                  <c:v>0.21096047356175551</c:v>
                </c:pt>
                <c:pt idx="706">
                  <c:v>0.21095568317988139</c:v>
                </c:pt>
                <c:pt idx="707">
                  <c:v>0.21095091669013655</c:v>
                </c:pt>
                <c:pt idx="708">
                  <c:v>0.21094617397335846</c:v>
                </c:pt>
                <c:pt idx="709">
                  <c:v>0.21094145491097899</c:v>
                </c:pt>
                <c:pt idx="710">
                  <c:v>0.21093675938502132</c:v>
                </c:pt>
                <c:pt idx="711">
                  <c:v>0.21093208727809709</c:v>
                </c:pt>
                <c:pt idx="712">
                  <c:v>0.21092743847340334</c:v>
                </c:pt>
                <c:pt idx="713">
                  <c:v>0.21092281285471975</c:v>
                </c:pt>
                <c:pt idx="714">
                  <c:v>0.21091821030640556</c:v>
                </c:pt>
                <c:pt idx="715">
                  <c:v>0.21091363071339686</c:v>
                </c:pt>
                <c:pt idx="716">
                  <c:v>0.21090907396120362</c:v>
                </c:pt>
                <c:pt idx="717">
                  <c:v>0.21090453993590669</c:v>
                </c:pt>
                <c:pt idx="718">
                  <c:v>0.21090002852415535</c:v>
                </c:pt>
                <c:pt idx="719">
                  <c:v>0.21089553961316393</c:v>
                </c:pt>
                <c:pt idx="720">
                  <c:v>0.21089107309070948</c:v>
                </c:pt>
                <c:pt idx="721">
                  <c:v>0.21088662884512871</c:v>
                </c:pt>
                <c:pt idx="722">
                  <c:v>0.21088220676531527</c:v>
                </c:pt>
                <c:pt idx="723">
                  <c:v>0.21087780674071693</c:v>
                </c:pt>
                <c:pt idx="724">
                  <c:v>0.2108734286613328</c:v>
                </c:pt>
                <c:pt idx="725">
                  <c:v>0.21086907241771069</c:v>
                </c:pt>
                <c:pt idx="726">
                  <c:v>0.21086473790094429</c:v>
                </c:pt>
                <c:pt idx="727">
                  <c:v>0.21086042500267044</c:v>
                </c:pt>
                <c:pt idx="728">
                  <c:v>0.2108561336150665</c:v>
                </c:pt>
                <c:pt idx="729">
                  <c:v>0.21085186363084751</c:v>
                </c:pt>
                <c:pt idx="730">
                  <c:v>0.21084761494326365</c:v>
                </c:pt>
                <c:pt idx="731">
                  <c:v>0.21084338744609754</c:v>
                </c:pt>
                <c:pt idx="732">
                  <c:v>0.2108391810336615</c:v>
                </c:pt>
                <c:pt idx="733">
                  <c:v>0.21083499560079499</c:v>
                </c:pt>
                <c:pt idx="734">
                  <c:v>0.21083083104286199</c:v>
                </c:pt>
                <c:pt idx="735">
                  <c:v>0.21082668725574838</c:v>
                </c:pt>
                <c:pt idx="736">
                  <c:v>0.2108225641358592</c:v>
                </c:pt>
                <c:pt idx="737">
                  <c:v>0.21081846158011625</c:v>
                </c:pt>
                <c:pt idx="738">
                  <c:v>0.21081437948595544</c:v>
                </c:pt>
                <c:pt idx="739">
                  <c:v>0.21081031775132414</c:v>
                </c:pt>
                <c:pt idx="740">
                  <c:v>0.21080627627467891</c:v>
                </c:pt>
                <c:pt idx="741">
                  <c:v>0.2108022549549825</c:v>
                </c:pt>
                <c:pt idx="742">
                  <c:v>0.21079825369170174</c:v>
                </c:pt>
                <c:pt idx="743">
                  <c:v>0.21079427238480486</c:v>
                </c:pt>
                <c:pt idx="744">
                  <c:v>0.21079031093475897</c:v>
                </c:pt>
                <c:pt idx="745">
                  <c:v>0.21078636924252758</c:v>
                </c:pt>
                <c:pt idx="746">
                  <c:v>0.21078244720956824</c:v>
                </c:pt>
                <c:pt idx="747">
                  <c:v>0.21077854473782992</c:v>
                </c:pt>
                <c:pt idx="748">
                  <c:v>0.21077466172975057</c:v>
                </c:pt>
                <c:pt idx="749">
                  <c:v>0.21077079808825477</c:v>
                </c:pt>
                <c:pt idx="750">
                  <c:v>0.21076695371675136</c:v>
                </c:pt>
                <c:pt idx="751">
                  <c:v>0.21076312851913082</c:v>
                </c:pt>
                <c:pt idx="752">
                  <c:v>0.21075932239976303</c:v>
                </c:pt>
                <c:pt idx="753">
                  <c:v>0.21075553526349472</c:v>
                </c:pt>
                <c:pt idx="754">
                  <c:v>0.21075176701564741</c:v>
                </c:pt>
                <c:pt idx="755">
                  <c:v>0.21074801756201461</c:v>
                </c:pt>
                <c:pt idx="756">
                  <c:v>0.21074428680885982</c:v>
                </c:pt>
                <c:pt idx="757">
                  <c:v>0.21074057466291402</c:v>
                </c:pt>
                <c:pt idx="758">
                  <c:v>0.21073688103137334</c:v>
                </c:pt>
                <c:pt idx="759">
                  <c:v>0.21073320582189686</c:v>
                </c:pt>
                <c:pt idx="760">
                  <c:v>0.21072954894260409</c:v>
                </c:pt>
                <c:pt idx="761">
                  <c:v>0.21072591030207288</c:v>
                </c:pt>
                <c:pt idx="762">
                  <c:v>0.21072228980933705</c:v>
                </c:pt>
                <c:pt idx="763">
                  <c:v>0.21071868737388411</c:v>
                </c:pt>
                <c:pt idx="764">
                  <c:v>0.21071510290565287</c:v>
                </c:pt>
                <c:pt idx="765">
                  <c:v>0.21071153631503159</c:v>
                </c:pt>
                <c:pt idx="766">
                  <c:v>0.21070798751285519</c:v>
                </c:pt>
                <c:pt idx="767">
                  <c:v>0.21070445641040353</c:v>
                </c:pt>
                <c:pt idx="768">
                  <c:v>0.21070094291939878</c:v>
                </c:pt>
                <c:pt idx="769">
                  <c:v>0.21069744695200354</c:v>
                </c:pt>
                <c:pt idx="770">
                  <c:v>0.21069396842081839</c:v>
                </c:pt>
                <c:pt idx="771">
                  <c:v>0.21069050723887994</c:v>
                </c:pt>
                <c:pt idx="772">
                  <c:v>0.21068706331965842</c:v>
                </c:pt>
                <c:pt idx="773">
                  <c:v>0.21068363657705569</c:v>
                </c:pt>
                <c:pt idx="774">
                  <c:v>0.210680226925403</c:v>
                </c:pt>
                <c:pt idx="775">
                  <c:v>0.21067683427945882</c:v>
                </c:pt>
                <c:pt idx="776">
                  <c:v>0.21067345855440694</c:v>
                </c:pt>
                <c:pt idx="777">
                  <c:v>0.21067009966585398</c:v>
                </c:pt>
                <c:pt idx="778">
                  <c:v>0.21066675752982755</c:v>
                </c:pt>
                <c:pt idx="779">
                  <c:v>0.2106634320627741</c:v>
                </c:pt>
                <c:pt idx="780">
                  <c:v>0.21066012318155675</c:v>
                </c:pt>
                <c:pt idx="781">
                  <c:v>0.21065683080345338</c:v>
                </c:pt>
                <c:pt idx="782">
                  <c:v>0.21065355484615422</c:v>
                </c:pt>
                <c:pt idx="783">
                  <c:v>0.21065029522776035</c:v>
                </c:pt>
                <c:pt idx="784">
                  <c:v>0.21064705186678095</c:v>
                </c:pt>
                <c:pt idx="785">
                  <c:v>0.210643824682132</c:v>
                </c:pt>
                <c:pt idx="786">
                  <c:v>0.21064061359313357</c:v>
                </c:pt>
                <c:pt idx="787">
                  <c:v>0.2106374185195084</c:v>
                </c:pt>
                <c:pt idx="788">
                  <c:v>0.21063423938137937</c:v>
                </c:pt>
                <c:pt idx="789">
                  <c:v>0.2106310760992679</c:v>
                </c:pt>
                <c:pt idx="790">
                  <c:v>0.21062792859409185</c:v>
                </c:pt>
                <c:pt idx="791">
                  <c:v>0.21062479678716328</c:v>
                </c:pt>
                <c:pt idx="792">
                  <c:v>0.21062168060018693</c:v>
                </c:pt>
                <c:pt idx="793">
                  <c:v>0.21061857995525801</c:v>
                </c:pt>
                <c:pt idx="794">
                  <c:v>0.21061549477486019</c:v>
                </c:pt>
                <c:pt idx="795">
                  <c:v>0.21061242498186378</c:v>
                </c:pt>
                <c:pt idx="796">
                  <c:v>0.21060937049952383</c:v>
                </c:pt>
                <c:pt idx="797">
                  <c:v>0.21060633125147804</c:v>
                </c:pt>
                <c:pt idx="798">
                  <c:v>0.21060330716174519</c:v>
                </c:pt>
                <c:pt idx="799">
                  <c:v>0.21060029815472281</c:v>
                </c:pt>
                <c:pt idx="800">
                  <c:v>0.21059730415518552</c:v>
                </c:pt>
                <c:pt idx="801">
                  <c:v>0.21059432508828324</c:v>
                </c:pt>
                <c:pt idx="802">
                  <c:v>0.21059136087953911</c:v>
                </c:pt>
                <c:pt idx="803">
                  <c:v>0.21058841145484775</c:v>
                </c:pt>
                <c:pt idx="804">
                  <c:v>0.21058547674047345</c:v>
                </c:pt>
                <c:pt idx="805">
                  <c:v>0.21058255666304815</c:v>
                </c:pt>
                <c:pt idx="806">
                  <c:v>0.21057965114956972</c:v>
                </c:pt>
                <c:pt idx="807">
                  <c:v>0.21057676012740029</c:v>
                </c:pt>
                <c:pt idx="808">
                  <c:v>0.21057388352426404</c:v>
                </c:pt>
                <c:pt idx="809">
                  <c:v>0.21057102126824578</c:v>
                </c:pt>
                <c:pt idx="810">
                  <c:v>0.21056817328778898</c:v>
                </c:pt>
                <c:pt idx="811">
                  <c:v>0.21056533951169398</c:v>
                </c:pt>
                <c:pt idx="812">
                  <c:v>0.21056251986911623</c:v>
                </c:pt>
                <c:pt idx="813">
                  <c:v>0.21055971428956449</c:v>
                </c:pt>
                <c:pt idx="814">
                  <c:v>0.21055692270289911</c:v>
                </c:pt>
                <c:pt idx="815">
                  <c:v>0.21055414503933034</c:v>
                </c:pt>
                <c:pt idx="816">
                  <c:v>0.21055138122941641</c:v>
                </c:pt>
                <c:pt idx="817">
                  <c:v>0.21054863120406192</c:v>
                </c:pt>
                <c:pt idx="818">
                  <c:v>0.21054589489451614</c:v>
                </c:pt>
                <c:pt idx="819">
                  <c:v>0.21054317223237112</c:v>
                </c:pt>
                <c:pt idx="820">
                  <c:v>0.21054046314956021</c:v>
                </c:pt>
                <c:pt idx="821">
                  <c:v>0.21053776757835618</c:v>
                </c:pt>
                <c:pt idx="822">
                  <c:v>0.21053508545136962</c:v>
                </c:pt>
                <c:pt idx="823">
                  <c:v>0.21053241670154721</c:v>
                </c:pt>
                <c:pt idx="824">
                  <c:v>0.2105297612621701</c:v>
                </c:pt>
                <c:pt idx="825">
                  <c:v>0.21052711906685212</c:v>
                </c:pt>
                <c:pt idx="826">
                  <c:v>0.21052449004953827</c:v>
                </c:pt>
                <c:pt idx="827">
                  <c:v>0.21052187414450296</c:v>
                </c:pt>
                <c:pt idx="828">
                  <c:v>0.21051927128634845</c:v>
                </c:pt>
                <c:pt idx="829">
                  <c:v>0.21051668141000313</c:v>
                </c:pt>
                <c:pt idx="830">
                  <c:v>0.21051410445072</c:v>
                </c:pt>
                <c:pt idx="831">
                  <c:v>0.21051154034407488</c:v>
                </c:pt>
                <c:pt idx="832">
                  <c:v>0.21050898902596504</c:v>
                </c:pt>
                <c:pt idx="833">
                  <c:v>0.21050645043260735</c:v>
                </c:pt>
                <c:pt idx="834">
                  <c:v>0.21050392450053684</c:v>
                </c:pt>
                <c:pt idx="835">
                  <c:v>0.21050141116660509</c:v>
                </c:pt>
                <c:pt idx="836">
                  <c:v>0.21049891036797863</c:v>
                </c:pt>
                <c:pt idx="837">
                  <c:v>0.21049642204213737</c:v>
                </c:pt>
                <c:pt idx="838">
                  <c:v>0.210493946126873</c:v>
                </c:pt>
                <c:pt idx="839">
                  <c:v>0.21049148256028749</c:v>
                </c:pt>
                <c:pt idx="840">
                  <c:v>0.21048903128079166</c:v>
                </c:pt>
                <c:pt idx="841">
                  <c:v>0.21048659222710325</c:v>
                </c:pt>
                <c:pt idx="842">
                  <c:v>0.21048416533824593</c:v>
                </c:pt>
                <c:pt idx="843">
                  <c:v>0.21048175055354723</c:v>
                </c:pt>
                <c:pt idx="844">
                  <c:v>0.2104793478126375</c:v>
                </c:pt>
                <c:pt idx="845">
                  <c:v>0.210476957055448</c:v>
                </c:pt>
                <c:pt idx="846">
                  <c:v>0.21047457822220977</c:v>
                </c:pt>
                <c:pt idx="847">
                  <c:v>0.21047221125345178</c:v>
                </c:pt>
                <c:pt idx="848">
                  <c:v>0.21046985608999974</c:v>
                </c:pt>
                <c:pt idx="849">
                  <c:v>0.21046751267297442</c:v>
                </c:pt>
                <c:pt idx="850">
                  <c:v>0.2104651809437903</c:v>
                </c:pt>
                <c:pt idx="851">
                  <c:v>0.21046286084415394</c:v>
                </c:pt>
                <c:pt idx="852">
                  <c:v>0.21046055231606287</c:v>
                </c:pt>
                <c:pt idx="853">
                  <c:v>0.21045825530180362</c:v>
                </c:pt>
                <c:pt idx="854">
                  <c:v>0.21045596974395081</c:v>
                </c:pt>
                <c:pt idx="855">
                  <c:v>0.21045369558536536</c:v>
                </c:pt>
                <c:pt idx="856">
                  <c:v>0.21045143276919315</c:v>
                </c:pt>
                <c:pt idx="857">
                  <c:v>0.21044918123886369</c:v>
                </c:pt>
                <c:pt idx="858">
                  <c:v>0.21044694093808863</c:v>
                </c:pt>
                <c:pt idx="859">
                  <c:v>0.21044471181086027</c:v>
                </c:pt>
                <c:pt idx="860">
                  <c:v>0.2104424938014503</c:v>
                </c:pt>
                <c:pt idx="861">
                  <c:v>0.21044028685440846</c:v>
                </c:pt>
                <c:pt idx="862">
                  <c:v>0.21043809091456095</c:v>
                </c:pt>
                <c:pt idx="863">
                  <c:v>0.21043590592700906</c:v>
                </c:pt>
                <c:pt idx="864">
                  <c:v>0.21043373183712805</c:v>
                </c:pt>
                <c:pt idx="865">
                  <c:v>0.21043156859056561</c:v>
                </c:pt>
                <c:pt idx="866">
                  <c:v>0.21042941613324034</c:v>
                </c:pt>
                <c:pt idx="867">
                  <c:v>0.21042727441134085</c:v>
                </c:pt>
                <c:pt idx="868">
                  <c:v>0.21042514337132384</c:v>
                </c:pt>
                <c:pt idx="869">
                  <c:v>0.21042302295991328</c:v>
                </c:pt>
                <c:pt idx="870">
                  <c:v>0.21042091312409872</c:v>
                </c:pt>
                <c:pt idx="871">
                  <c:v>0.2104188138111342</c:v>
                </c:pt>
                <c:pt idx="872">
                  <c:v>0.21041672496853681</c:v>
                </c:pt>
                <c:pt idx="873">
                  <c:v>0.21041464654408526</c:v>
                </c:pt>
                <c:pt idx="874">
                  <c:v>0.21041257848581896</c:v>
                </c:pt>
                <c:pt idx="875">
                  <c:v>0.21041052074203631</c:v>
                </c:pt>
                <c:pt idx="876">
                  <c:v>0.21040847326129358</c:v>
                </c:pt>
                <c:pt idx="877">
                  <c:v>0.21040643599240361</c:v>
                </c:pt>
                <c:pt idx="878">
                  <c:v>0.21040440888443468</c:v>
                </c:pt>
                <c:pt idx="879">
                  <c:v>0.21040239188670889</c:v>
                </c:pt>
                <c:pt idx="880">
                  <c:v>0.21040038494880126</c:v>
                </c:pt>
                <c:pt idx="881">
                  <c:v>0.21039838802053817</c:v>
                </c:pt>
                <c:pt idx="882">
                  <c:v>0.21039640105199631</c:v>
                </c:pt>
                <c:pt idx="883">
                  <c:v>0.21039442399350144</c:v>
                </c:pt>
                <c:pt idx="884">
                  <c:v>0.21039245679562696</c:v>
                </c:pt>
                <c:pt idx="885">
                  <c:v>0.2103904994091928</c:v>
                </c:pt>
                <c:pt idx="886">
                  <c:v>0.21038855178526422</c:v>
                </c:pt>
                <c:pt idx="887">
                  <c:v>0.21038661387515051</c:v>
                </c:pt>
                <c:pt idx="888">
                  <c:v>0.21038468563040374</c:v>
                </c:pt>
                <c:pt idx="889">
                  <c:v>0.21038276700281783</c:v>
                </c:pt>
                <c:pt idx="890">
                  <c:v>0.21038085794442696</c:v>
                </c:pt>
                <c:pt idx="891">
                  <c:v>0.21037895840750448</c:v>
                </c:pt>
                <c:pt idx="892">
                  <c:v>0.21037706834456193</c:v>
                </c:pt>
                <c:pt idx="893">
                  <c:v>0.21037518770834768</c:v>
                </c:pt>
                <c:pt idx="894">
                  <c:v>0.21037331645184565</c:v>
                </c:pt>
                <c:pt idx="895">
                  <c:v>0.21037145452827433</c:v>
                </c:pt>
                <c:pt idx="896">
                  <c:v>0.21036960189108561</c:v>
                </c:pt>
                <c:pt idx="897">
                  <c:v>0.21036775849396339</c:v>
                </c:pt>
                <c:pt idx="898">
                  <c:v>0.21036592429082268</c:v>
                </c:pt>
                <c:pt idx="899">
                  <c:v>0.21036409923580829</c:v>
                </c:pt>
                <c:pt idx="900">
                  <c:v>0.21036228328329376</c:v>
                </c:pt>
                <c:pt idx="901">
                  <c:v>0.21036047638788019</c:v>
                </c:pt>
                <c:pt idx="902">
                  <c:v>0.2103586785043951</c:v>
                </c:pt>
                <c:pt idx="903">
                  <c:v>0.21035688958789128</c:v>
                </c:pt>
                <c:pt idx="904">
                  <c:v>0.21035510959364578</c:v>
                </c:pt>
                <c:pt idx="905">
                  <c:v>0.21035333847715859</c:v>
                </c:pt>
                <c:pt idx="906">
                  <c:v>0.21035157619415173</c:v>
                </c:pt>
                <c:pt idx="907">
                  <c:v>0.21034982270056801</c:v>
                </c:pt>
                <c:pt idx="908">
                  <c:v>0.2103480779525701</c:v>
                </c:pt>
                <c:pt idx="909">
                  <c:v>0.21034634190653906</c:v>
                </c:pt>
                <c:pt idx="910">
                  <c:v>0.21034461451907377</c:v>
                </c:pt>
                <c:pt idx="911">
                  <c:v>0.21034289574698939</c:v>
                </c:pt>
                <c:pt idx="912">
                  <c:v>0.21034118554731651</c:v>
                </c:pt>
                <c:pt idx="913">
                  <c:v>0.21033948387730012</c:v>
                </c:pt>
                <c:pt idx="914">
                  <c:v>0.21033779069439834</c:v>
                </c:pt>
                <c:pt idx="915">
                  <c:v>0.21033610595628149</c:v>
                </c:pt>
                <c:pt idx="916">
                  <c:v>0.2103344296208311</c:v>
                </c:pt>
                <c:pt idx="917">
                  <c:v>0.21033276164613862</c:v>
                </c:pt>
                <c:pt idx="918">
                  <c:v>0.21033110199050464</c:v>
                </c:pt>
                <c:pt idx="919">
                  <c:v>0.21032945061243763</c:v>
                </c:pt>
                <c:pt idx="920">
                  <c:v>0.21032780747065311</c:v>
                </c:pt>
                <c:pt idx="921">
                  <c:v>0.21032617252407243</c:v>
                </c:pt>
                <c:pt idx="922">
                  <c:v>0.21032454573182185</c:v>
                </c:pt>
                <c:pt idx="923">
                  <c:v>0.21032292705323147</c:v>
                </c:pt>
                <c:pt idx="924">
                  <c:v>0.21032131644783425</c:v>
                </c:pt>
                <c:pt idx="925">
                  <c:v>0.21031971387536491</c:v>
                </c:pt>
                <c:pt idx="926">
                  <c:v>0.21031811929575916</c:v>
                </c:pt>
                <c:pt idx="927">
                  <c:v>0.21031653266915235</c:v>
                </c:pt>
                <c:pt idx="928">
                  <c:v>0.21031495395587874</c:v>
                </c:pt>
                <c:pt idx="929">
                  <c:v>0.21031338311647046</c:v>
                </c:pt>
                <c:pt idx="930">
                  <c:v>0.21031182011165639</c:v>
                </c:pt>
                <c:pt idx="931">
                  <c:v>0.21031026490236138</c:v>
                </c:pt>
                <c:pt idx="932">
                  <c:v>0.21030871744970508</c:v>
                </c:pt>
                <c:pt idx="933">
                  <c:v>0.21030717771500107</c:v>
                </c:pt>
                <c:pt idx="934">
                  <c:v>0.21030564565975596</c:v>
                </c:pt>
                <c:pt idx="935">
                  <c:v>0.21030412124566827</c:v>
                </c:pt>
                <c:pt idx="936">
                  <c:v>0.21030260443462756</c:v>
                </c:pt>
                <c:pt idx="937">
                  <c:v>0.21030109518871348</c:v>
                </c:pt>
                <c:pt idx="938">
                  <c:v>0.21029959347019478</c:v>
                </c:pt>
                <c:pt idx="939">
                  <c:v>0.21029809924152842</c:v>
                </c:pt>
                <c:pt idx="940">
                  <c:v>0.21029661246535869</c:v>
                </c:pt>
                <c:pt idx="941">
                  <c:v>0.21029513310451597</c:v>
                </c:pt>
                <c:pt idx="942">
                  <c:v>0.21029366112201631</c:v>
                </c:pt>
                <c:pt idx="943">
                  <c:v>0.21029219648105996</c:v>
                </c:pt>
                <c:pt idx="944">
                  <c:v>0.21029073914503082</c:v>
                </c:pt>
                <c:pt idx="945">
                  <c:v>0.2102892890774955</c:v>
                </c:pt>
                <c:pt idx="946">
                  <c:v>0.21028784624220215</c:v>
                </c:pt>
                <c:pt idx="947">
                  <c:v>0.21028641060307984</c:v>
                </c:pt>
                <c:pt idx="948">
                  <c:v>0.21028498212423757</c:v>
                </c:pt>
                <c:pt idx="949">
                  <c:v>0.21028356076996318</c:v>
                </c:pt>
                <c:pt idx="950">
                  <c:v>0.21028214650472288</c:v>
                </c:pt>
                <c:pt idx="951">
                  <c:v>0.21028073929315982</c:v>
                </c:pt>
                <c:pt idx="952">
                  <c:v>0.21027933910009378</c:v>
                </c:pt>
                <c:pt idx="953">
                  <c:v>0.21027794589051979</c:v>
                </c:pt>
                <c:pt idx="954">
                  <c:v>0.21027655962960751</c:v>
                </c:pt>
                <c:pt idx="955">
                  <c:v>0.21027518028270037</c:v>
                </c:pt>
                <c:pt idx="956">
                  <c:v>0.21027380781531463</c:v>
                </c:pt>
                <c:pt idx="957">
                  <c:v>0.21027244219313856</c:v>
                </c:pt>
                <c:pt idx="958">
                  <c:v>0.21027108338203149</c:v>
                </c:pt>
                <c:pt idx="959">
                  <c:v>0.21026973134802307</c:v>
                </c:pt>
                <c:pt idx="960">
                  <c:v>0.21026838605731241</c:v>
                </c:pt>
                <c:pt idx="961">
                  <c:v>0.21026704747626718</c:v>
                </c:pt>
                <c:pt idx="962">
                  <c:v>0.21026571557142276</c:v>
                </c:pt>
                <c:pt idx="963">
                  <c:v>0.21026439030948146</c:v>
                </c:pt>
                <c:pt idx="964">
                  <c:v>0.21026307165731167</c:v>
                </c:pt>
                <c:pt idx="965">
                  <c:v>0.21026175958194698</c:v>
                </c:pt>
                <c:pt idx="966">
                  <c:v>0.21026045405058552</c:v>
                </c:pt>
                <c:pt idx="967">
                  <c:v>0.2102591550305889</c:v>
                </c:pt>
                <c:pt idx="968">
                  <c:v>0.21025786248948153</c:v>
                </c:pt>
                <c:pt idx="969">
                  <c:v>0.21025657639494977</c:v>
                </c:pt>
                <c:pt idx="970">
                  <c:v>0.21025529671484133</c:v>
                </c:pt>
                <c:pt idx="971">
                  <c:v>0.21025402341716398</c:v>
                </c:pt>
                <c:pt idx="972">
                  <c:v>0.21025275647008534</c:v>
                </c:pt>
                <c:pt idx="973">
                  <c:v>0.21025149584193159</c:v>
                </c:pt>
                <c:pt idx="974">
                  <c:v>0.21025024150118704</c:v>
                </c:pt>
                <c:pt idx="975">
                  <c:v>0.210248993416493</c:v>
                </c:pt>
                <c:pt idx="976">
                  <c:v>0.21024775155664738</c:v>
                </c:pt>
                <c:pt idx="977">
                  <c:v>0.21024651589060356</c:v>
                </c:pt>
                <c:pt idx="978">
                  <c:v>0.21024528638746981</c:v>
                </c:pt>
                <c:pt idx="979">
                  <c:v>0.21024406301650855</c:v>
                </c:pt>
                <c:pt idx="980">
                  <c:v>0.21024284574713542</c:v>
                </c:pt>
                <c:pt idx="981">
                  <c:v>0.21024163454891864</c:v>
                </c:pt>
                <c:pt idx="982">
                  <c:v>0.21024042939157811</c:v>
                </c:pt>
                <c:pt idx="983">
                  <c:v>0.21023923024498492</c:v>
                </c:pt>
                <c:pt idx="984">
                  <c:v>0.21023803707916033</c:v>
                </c:pt>
                <c:pt idx="985">
                  <c:v>0.2102368498642751</c:v>
                </c:pt>
                <c:pt idx="986">
                  <c:v>0.21023566857064885</c:v>
                </c:pt>
                <c:pt idx="987">
                  <c:v>0.21023449316874909</c:v>
                </c:pt>
                <c:pt idx="988">
                  <c:v>0.21023332362919078</c:v>
                </c:pt>
                <c:pt idx="989">
                  <c:v>0.21023215992273536</c:v>
                </c:pt>
                <c:pt idx="990">
                  <c:v>0.2102310020202901</c:v>
                </c:pt>
                <c:pt idx="991">
                  <c:v>0.21022984989290733</c:v>
                </c:pt>
                <c:pt idx="992">
                  <c:v>0.21022870351178391</c:v>
                </c:pt>
                <c:pt idx="993">
                  <c:v>0.21022756284826016</c:v>
                </c:pt>
                <c:pt idx="994">
                  <c:v>0.21022642787381951</c:v>
                </c:pt>
                <c:pt idx="995">
                  <c:v>0.21022529856008748</c:v>
                </c:pt>
                <c:pt idx="996">
                  <c:v>0.21022417487883122</c:v>
                </c:pt>
                <c:pt idx="997">
                  <c:v>0.21022305680195852</c:v>
                </c:pt>
                <c:pt idx="998">
                  <c:v>0.21022194430151758</c:v>
                </c:pt>
                <c:pt idx="999">
                  <c:v>0.21022083734969566</c:v>
                </c:pt>
                <c:pt idx="1000">
                  <c:v>0.21021973591881904</c:v>
                </c:pt>
                <c:pt idx="1001">
                  <c:v>0.21021863998135182</c:v>
                </c:pt>
                <c:pt idx="1002">
                  <c:v>0.21021754950989552</c:v>
                </c:pt>
                <c:pt idx="1003">
                  <c:v>0.21021646447718828</c:v>
                </c:pt>
                <c:pt idx="1004">
                  <c:v>0.21021538485610425</c:v>
                </c:pt>
                <c:pt idx="1005">
                  <c:v>0.21021431061965284</c:v>
                </c:pt>
                <c:pt idx="1006">
                  <c:v>0.21021324174097811</c:v>
                </c:pt>
                <c:pt idx="1007">
                  <c:v>0.21021217819335797</c:v>
                </c:pt>
                <c:pt idx="1008">
                  <c:v>0.21021111995020375</c:v>
                </c:pt>
                <c:pt idx="1009">
                  <c:v>0.21021006698505929</c:v>
                </c:pt>
                <c:pt idx="1010">
                  <c:v>0.21020901927160035</c:v>
                </c:pt>
                <c:pt idx="1011">
                  <c:v>0.21020797678363412</c:v>
                </c:pt>
                <c:pt idx="1012">
                  <c:v>0.21020693949509833</c:v>
                </c:pt>
                <c:pt idx="1013">
                  <c:v>0.21020590738006067</c:v>
                </c:pt>
                <c:pt idx="1014">
                  <c:v>0.21020488041271823</c:v>
                </c:pt>
                <c:pt idx="1015">
                  <c:v>0.21020385856739676</c:v>
                </c:pt>
                <c:pt idx="1016">
                  <c:v>0.21020284181855015</c:v>
                </c:pt>
                <c:pt idx="1017">
                  <c:v>0.21020183014075955</c:v>
                </c:pt>
                <c:pt idx="1018">
                  <c:v>0.21020082350873293</c:v>
                </c:pt>
                <c:pt idx="1019">
                  <c:v>0.21019982189730452</c:v>
                </c:pt>
                <c:pt idx="1020">
                  <c:v>0.21019882528143397</c:v>
                </c:pt>
                <c:pt idx="1021">
                  <c:v>0.21019783363620581</c:v>
                </c:pt>
                <c:pt idx="1022">
                  <c:v>0.21019684693682883</c:v>
                </c:pt>
                <c:pt idx="1023">
                  <c:v>0.21019586515863553</c:v>
                </c:pt>
                <c:pt idx="1024">
                  <c:v>0.21019488827708144</c:v>
                </c:pt>
                <c:pt idx="1025">
                  <c:v>0.21019391626774436</c:v>
                </c:pt>
                <c:pt idx="1026">
                  <c:v>0.21019294910632413</c:v>
                </c:pt>
                <c:pt idx="1027">
                  <c:v>0.21019198676864159</c:v>
                </c:pt>
                <c:pt idx="1028">
                  <c:v>0.21019102923063826</c:v>
                </c:pt>
                <c:pt idx="1029">
                  <c:v>0.21019007646837562</c:v>
                </c:pt>
                <c:pt idx="1030">
                  <c:v>0.21018912845803461</c:v>
                </c:pt>
                <c:pt idx="1031">
                  <c:v>0.21018818517591492</c:v>
                </c:pt>
                <c:pt idx="1032">
                  <c:v>0.21018724659843441</c:v>
                </c:pt>
                <c:pt idx="1033">
                  <c:v>0.21018631270212862</c:v>
                </c:pt>
                <c:pt idx="1034">
                  <c:v>0.21018538346365012</c:v>
                </c:pt>
                <c:pt idx="1035">
                  <c:v>0.21018445885976783</c:v>
                </c:pt>
                <c:pt idx="1036">
                  <c:v>0.21018353886736663</c:v>
                </c:pt>
                <c:pt idx="1037">
                  <c:v>0.21018262346344668</c:v>
                </c:pt>
                <c:pt idx="1038">
                  <c:v>0.21018171262512286</c:v>
                </c:pt>
                <c:pt idx="1039">
                  <c:v>0.2101808063296241</c:v>
                </c:pt>
                <c:pt idx="1040">
                  <c:v>0.21017990455429297</c:v>
                </c:pt>
                <c:pt idx="1041">
                  <c:v>0.21017900727658512</c:v>
                </c:pt>
                <c:pt idx="1042">
                  <c:v>0.21017811447406848</c:v>
                </c:pt>
                <c:pt idx="1043">
                  <c:v>0.21017722612442297</c:v>
                </c:pt>
                <c:pt idx="1044">
                  <c:v>0.21017634220543985</c:v>
                </c:pt>
                <c:pt idx="1045">
                  <c:v>0.21017546269502102</c:v>
                </c:pt>
                <c:pt idx="1046">
                  <c:v>0.21017458757117868</c:v>
                </c:pt>
                <c:pt idx="1047">
                  <c:v>0.21017371681203473</c:v>
                </c:pt>
                <c:pt idx="1048">
                  <c:v>0.21017285039582012</c:v>
                </c:pt>
                <c:pt idx="1049">
                  <c:v>0.21017198830087441</c:v>
                </c:pt>
                <c:pt idx="1050">
                  <c:v>0.21017113050564518</c:v>
                </c:pt>
                <c:pt idx="1051">
                  <c:v>0.21017027698868751</c:v>
                </c:pt>
                <c:pt idx="1052">
                  <c:v>0.21016942772866343</c:v>
                </c:pt>
                <c:pt idx="1053">
                  <c:v>0.21016858270434136</c:v>
                </c:pt>
                <c:pt idx="1054">
                  <c:v>0.21016774189459569</c:v>
                </c:pt>
                <c:pt idx="1055">
                  <c:v>0.21016690527840615</c:v>
                </c:pt>
                <c:pt idx="1056">
                  <c:v>0.21016607283485728</c:v>
                </c:pt>
                <c:pt idx="1057">
                  <c:v>0.2101652445431379</c:v>
                </c:pt>
                <c:pt idx="1058">
                  <c:v>0.21016442038254068</c:v>
                </c:pt>
                <c:pt idx="1059">
                  <c:v>0.21016360033246162</c:v>
                </c:pt>
                <c:pt idx="1060">
                  <c:v>0.21016278437239938</c:v>
                </c:pt>
                <c:pt idx="1061">
                  <c:v>0.21016197248195495</c:v>
                </c:pt>
                <c:pt idx="1062">
                  <c:v>0.21016116464083096</c:v>
                </c:pt>
                <c:pt idx="1063">
                  <c:v>0.21016036082883144</c:v>
                </c:pt>
                <c:pt idx="1064">
                  <c:v>0.21015956102586097</c:v>
                </c:pt>
                <c:pt idx="1065">
                  <c:v>0.21015876521192445</c:v>
                </c:pt>
                <c:pt idx="1066">
                  <c:v>0.21015797336712649</c:v>
                </c:pt>
                <c:pt idx="1067">
                  <c:v>0.21015718547167095</c:v>
                </c:pt>
                <c:pt idx="1068">
                  <c:v>0.21015640150586035</c:v>
                </c:pt>
                <c:pt idx="1069">
                  <c:v>0.21015562145009559</c:v>
                </c:pt>
                <c:pt idx="1070">
                  <c:v>0.21015484528487516</c:v>
                </c:pt>
                <c:pt idx="1071">
                  <c:v>0.21015407299079497</c:v>
                </c:pt>
                <c:pt idx="1072">
                  <c:v>0.21015330454854753</c:v>
                </c:pt>
                <c:pt idx="1073">
                  <c:v>0.21015253993892175</c:v>
                </c:pt>
                <c:pt idx="1074">
                  <c:v>0.21015177914280248</c:v>
                </c:pt>
                <c:pt idx="1075">
                  <c:v>0.2101510221411696</c:v>
                </c:pt>
                <c:pt idx="1076">
                  <c:v>0.21015026891509814</c:v>
                </c:pt>
                <c:pt idx="1077">
                  <c:v>0.21014951944575744</c:v>
                </c:pt>
                <c:pt idx="1078">
                  <c:v>0.2101487737144106</c:v>
                </c:pt>
                <c:pt idx="1079">
                  <c:v>0.21014803170241442</c:v>
                </c:pt>
                <c:pt idx="1080">
                  <c:v>0.21014729339121846</c:v>
                </c:pt>
                <c:pt idx="1081">
                  <c:v>0.21014655876236499</c:v>
                </c:pt>
                <c:pt idx="1082">
                  <c:v>0.21014582779748819</c:v>
                </c:pt>
                <c:pt idx="1083">
                  <c:v>0.21014510047831392</c:v>
                </c:pt>
                <c:pt idx="1084">
                  <c:v>0.2101443767866592</c:v>
                </c:pt>
                <c:pt idx="1085">
                  <c:v>0.21014365670443164</c:v>
                </c:pt>
                <c:pt idx="1086">
                  <c:v>0.21014294021362917</c:v>
                </c:pt>
                <c:pt idx="1087">
                  <c:v>0.21014222729633947</c:v>
                </c:pt>
                <c:pt idx="1088">
                  <c:v>0.21014151793473962</c:v>
                </c:pt>
                <c:pt idx="1089">
                  <c:v>0.21014081211109553</c:v>
                </c:pt>
                <c:pt idx="1090">
                  <c:v>0.21014010980776149</c:v>
                </c:pt>
                <c:pt idx="1091">
                  <c:v>0.21013941100717998</c:v>
                </c:pt>
                <c:pt idx="1092">
                  <c:v>0.21013871569188092</c:v>
                </c:pt>
                <c:pt idx="1093">
                  <c:v>0.21013802384448133</c:v>
                </c:pt>
                <c:pt idx="1094">
                  <c:v>0.21013733544768509</c:v>
                </c:pt>
                <c:pt idx="1095">
                  <c:v>0.21013665048428215</c:v>
                </c:pt>
                <c:pt idx="1096">
                  <c:v>0.21013596893714848</c:v>
                </c:pt>
                <c:pt idx="1097">
                  <c:v>0.21013529078924531</c:v>
                </c:pt>
                <c:pt idx="1098">
                  <c:v>0.21013461602361888</c:v>
                </c:pt>
                <c:pt idx="1099">
                  <c:v>0.21013394462340013</c:v>
                </c:pt>
                <c:pt idx="1100">
                  <c:v>0.21013327657180386</c:v>
                </c:pt>
                <c:pt idx="1101">
                  <c:v>0.21013261185212889</c:v>
                </c:pt>
                <c:pt idx="1102">
                  <c:v>0.21013195044775707</c:v>
                </c:pt>
                <c:pt idx="1103">
                  <c:v>0.21013129234215339</c:v>
                </c:pt>
                <c:pt idx="1104">
                  <c:v>0.21013063751886502</c:v>
                </c:pt>
                <c:pt idx="1105">
                  <c:v>0.21012998596152149</c:v>
                </c:pt>
                <c:pt idx="1106">
                  <c:v>0.21012933765383374</c:v>
                </c:pt>
                <c:pt idx="1107">
                  <c:v>0.21012869257959405</c:v>
                </c:pt>
                <c:pt idx="1108">
                  <c:v>0.2101280507226756</c:v>
                </c:pt>
                <c:pt idx="1109">
                  <c:v>0.21012741206703184</c:v>
                </c:pt>
                <c:pt idx="1110">
                  <c:v>0.21012677659669643</c:v>
                </c:pt>
                <c:pt idx="1111">
                  <c:v>0.21012614429578252</c:v>
                </c:pt>
                <c:pt idx="1112">
                  <c:v>0.2101255151484826</c:v>
                </c:pt>
                <c:pt idx="1113">
                  <c:v>0.21012488913906791</c:v>
                </c:pt>
                <c:pt idx="1114">
                  <c:v>0.21012426625188818</c:v>
                </c:pt>
                <c:pt idx="1115">
                  <c:v>0.21012364647137122</c:v>
                </c:pt>
                <c:pt idx="1116">
                  <c:v>0.21012302978202252</c:v>
                </c:pt>
                <c:pt idx="1117">
                  <c:v>0.21012241616842475</c:v>
                </c:pt>
                <c:pt idx="1118">
                  <c:v>0.21012180561523758</c:v>
                </c:pt>
                <c:pt idx="1119">
                  <c:v>0.21012119810719715</c:v>
                </c:pt>
                <c:pt idx="1120">
                  <c:v>0.21012059362911573</c:v>
                </c:pt>
                <c:pt idx="1121">
                  <c:v>0.21011999216588123</c:v>
                </c:pt>
                <c:pt idx="1122">
                  <c:v>0.21011939370245719</c:v>
                </c:pt>
                <c:pt idx="1123">
                  <c:v>0.21011879822388196</c:v>
                </c:pt>
                <c:pt idx="1124">
                  <c:v>0.21011820571526846</c:v>
                </c:pt>
                <c:pt idx="1125">
                  <c:v>0.21011761616180402</c:v>
                </c:pt>
                <c:pt idx="1126">
                  <c:v>0.21011702954874972</c:v>
                </c:pt>
                <c:pt idx="1127">
                  <c:v>0.21011644586144029</c:v>
                </c:pt>
                <c:pt idx="1128">
                  <c:v>0.2101158650852834</c:v>
                </c:pt>
                <c:pt idx="1129">
                  <c:v>0.21011528720575973</c:v>
                </c:pt>
                <c:pt idx="1130">
                  <c:v>0.21011471220842221</c:v>
                </c:pt>
                <c:pt idx="1131">
                  <c:v>0.21011414007889584</c:v>
                </c:pt>
                <c:pt idx="1132">
                  <c:v>0.2101135708028774</c:v>
                </c:pt>
                <c:pt idx="1133">
                  <c:v>0.21011300436613495</c:v>
                </c:pt>
                <c:pt idx="1134">
                  <c:v>0.21011244075450752</c:v>
                </c:pt>
                <c:pt idx="1135">
                  <c:v>0.21011187995390479</c:v>
                </c:pt>
                <c:pt idx="1136">
                  <c:v>0.2101113219503068</c:v>
                </c:pt>
                <c:pt idx="1137">
                  <c:v>0.21011076672976331</c:v>
                </c:pt>
                <c:pt idx="1138">
                  <c:v>0.21011021427839388</c:v>
                </c:pt>
                <c:pt idx="1139">
                  <c:v>0.21010966458238711</c:v>
                </c:pt>
                <c:pt idx="1140">
                  <c:v>0.21010911762800066</c:v>
                </c:pt>
                <c:pt idx="1141">
                  <c:v>0.21010857340156053</c:v>
                </c:pt>
                <c:pt idx="1142">
                  <c:v>0.21010803188946114</c:v>
                </c:pt>
                <c:pt idx="1143">
                  <c:v>0.21010749307816462</c:v>
                </c:pt>
                <c:pt idx="1144">
                  <c:v>0.21010695695420062</c:v>
                </c:pt>
                <c:pt idx="1145">
                  <c:v>0.21010642350416603</c:v>
                </c:pt>
                <c:pt idx="1146">
                  <c:v>0.21010589271472463</c:v>
                </c:pt>
                <c:pt idx="1147">
                  <c:v>0.21010536457260659</c:v>
                </c:pt>
                <c:pt idx="1148">
                  <c:v>0.21010483906460836</c:v>
                </c:pt>
                <c:pt idx="1149">
                  <c:v>0.21010431617759223</c:v>
                </c:pt>
                <c:pt idx="1150">
                  <c:v>0.21010379589848593</c:v>
                </c:pt>
                <c:pt idx="1151">
                  <c:v>0.21010327821428254</c:v>
                </c:pt>
                <c:pt idx="1152">
                  <c:v>0.21010276311203985</c:v>
                </c:pt>
                <c:pt idx="1153">
                  <c:v>0.21010225057888032</c:v>
                </c:pt>
                <c:pt idx="1154">
                  <c:v>0.21010174060199061</c:v>
                </c:pt>
                <c:pt idx="1155">
                  <c:v>0.21010123316862123</c:v>
                </c:pt>
                <c:pt idx="1156">
                  <c:v>0.21010072826608633</c:v>
                </c:pt>
                <c:pt idx="1157">
                  <c:v>0.21010022588176336</c:v>
                </c:pt>
                <c:pt idx="1158">
                  <c:v>0.21009972600309262</c:v>
                </c:pt>
                <c:pt idx="1159">
                  <c:v>0.21009922861757718</c:v>
                </c:pt>
                <c:pt idx="1160">
                  <c:v>0.21009873371278232</c:v>
                </c:pt>
                <c:pt idx="1161">
                  <c:v>0.21009824127633542</c:v>
                </c:pt>
                <c:pt idx="1162">
                  <c:v>0.21009775129592556</c:v>
                </c:pt>
                <c:pt idx="1163">
                  <c:v>0.21009726375930321</c:v>
                </c:pt>
                <c:pt idx="1164">
                  <c:v>0.21009677865427989</c:v>
                </c:pt>
                <c:pt idx="1165">
                  <c:v>0.21009629596872792</c:v>
                </c:pt>
                <c:pt idx="1166">
                  <c:v>0.21009581569058028</c:v>
                </c:pt>
                <c:pt idx="1167">
                  <c:v>0.2100953378078298</c:v>
                </c:pt>
                <c:pt idx="1168">
                  <c:v>0.21009486230852953</c:v>
                </c:pt>
                <c:pt idx="1169">
                  <c:v>0.21009438918079193</c:v>
                </c:pt>
                <c:pt idx="1170">
                  <c:v>0.21009391841278874</c:v>
                </c:pt>
                <c:pt idx="1171">
                  <c:v>0.21009344999275076</c:v>
                </c:pt>
                <c:pt idx="1172">
                  <c:v>0.21009298390896747</c:v>
                </c:pt>
                <c:pt idx="1173">
                  <c:v>0.21009252014978674</c:v>
                </c:pt>
                <c:pt idx="1174">
                  <c:v>0.21009205870361458</c:v>
                </c:pt>
                <c:pt idx="1175">
                  <c:v>0.21009159955891482</c:v>
                </c:pt>
                <c:pt idx="1176">
                  <c:v>0.21009114270420881</c:v>
                </c:pt>
                <c:pt idx="1177">
                  <c:v>0.21009068812807513</c:v>
                </c:pt>
                <c:pt idx="1178">
                  <c:v>0.21009023581914937</c:v>
                </c:pt>
                <c:pt idx="1179">
                  <c:v>0.2100897857661238</c:v>
                </c:pt>
                <c:pt idx="1180">
                  <c:v>0.21008933795774704</c:v>
                </c:pt>
                <c:pt idx="1181">
                  <c:v>0.21008889238282391</c:v>
                </c:pt>
                <c:pt idx="1182">
                  <c:v>0.21008844903021495</c:v>
                </c:pt>
                <c:pt idx="1183">
                  <c:v>0.21008800788883636</c:v>
                </c:pt>
                <c:pt idx="1184">
                  <c:v>0.21008756894765956</c:v>
                </c:pt>
                <c:pt idx="1185">
                  <c:v>0.21008713219571107</c:v>
                </c:pt>
                <c:pt idx="1186">
                  <c:v>0.21008669762207199</c:v>
                </c:pt>
                <c:pt idx="1187">
                  <c:v>0.21008626521587792</c:v>
                </c:pt>
                <c:pt idx="1188">
                  <c:v>0.21008583496631877</c:v>
                </c:pt>
                <c:pt idx="1189">
                  <c:v>0.21008540686263827</c:v>
                </c:pt>
                <c:pt idx="1190">
                  <c:v>0.2100849808941338</c:v>
                </c:pt>
                <c:pt idx="1191">
                  <c:v>0.21008455705015605</c:v>
                </c:pt>
                <c:pt idx="1192">
                  <c:v>0.210084135320109</c:v>
                </c:pt>
                <c:pt idx="1193">
                  <c:v>0.21008371569344936</c:v>
                </c:pt>
                <c:pt idx="1194">
                  <c:v>0.21008329815968635</c:v>
                </c:pt>
                <c:pt idx="1195">
                  <c:v>0.21008288270838171</c:v>
                </c:pt>
                <c:pt idx="1196">
                  <c:v>0.21008246932914909</c:v>
                </c:pt>
                <c:pt idx="1197">
                  <c:v>0.21008205801165403</c:v>
                </c:pt>
                <c:pt idx="1198">
                  <c:v>0.21008164874561347</c:v>
                </c:pt>
                <c:pt idx="1199">
                  <c:v>0.21008124152079583</c:v>
                </c:pt>
                <c:pt idx="1200">
                  <c:v>0.21008083632702046</c:v>
                </c:pt>
                <c:pt idx="1201">
                  <c:v>0.21008043315415742</c:v>
                </c:pt>
                <c:pt idx="1202">
                  <c:v>0.21008003199212749</c:v>
                </c:pt>
                <c:pt idx="1203">
                  <c:v>0.21007963283090147</c:v>
                </c:pt>
                <c:pt idx="1204">
                  <c:v>0.21007923566050041</c:v>
                </c:pt>
                <c:pt idx="1205">
                  <c:v>0.21007884047099501</c:v>
                </c:pt>
                <c:pt idx="1206">
                  <c:v>0.21007844725250546</c:v>
                </c:pt>
                <c:pt idx="1207">
                  <c:v>0.2100780559952013</c:v>
                </c:pt>
                <c:pt idx="1208">
                  <c:v>0.21007766668930111</c:v>
                </c:pt>
                <c:pt idx="1209">
                  <c:v>0.2100772793250722</c:v>
                </c:pt>
                <c:pt idx="1210">
                  <c:v>0.21007689389283041</c:v>
                </c:pt>
                <c:pt idx="1211">
                  <c:v>0.21007651038293995</c:v>
                </c:pt>
                <c:pt idx="1212">
                  <c:v>0.21007612878581305</c:v>
                </c:pt>
                <c:pt idx="1213">
                  <c:v>0.21007574909190979</c:v>
                </c:pt>
                <c:pt idx="1214">
                  <c:v>0.21007537129173776</c:v>
                </c:pt>
                <c:pt idx="1215">
                  <c:v>0.21007499537585195</c:v>
                </c:pt>
                <c:pt idx="1216">
                  <c:v>0.21007462133485444</c:v>
                </c:pt>
                <c:pt idx="1217">
                  <c:v>0.21007424915939416</c:v>
                </c:pt>
                <c:pt idx="1218">
                  <c:v>0.21007387884016676</c:v>
                </c:pt>
                <c:pt idx="1219">
                  <c:v>0.21007351036791422</c:v>
                </c:pt>
                <c:pt idx="1220">
                  <c:v>0.21007314373342467</c:v>
                </c:pt>
                <c:pt idx="1221">
                  <c:v>0.21007277892753229</c:v>
                </c:pt>
                <c:pt idx="1222">
                  <c:v>0.21007241594111692</c:v>
                </c:pt>
                <c:pt idx="1223">
                  <c:v>0.21007205476510382</c:v>
                </c:pt>
                <c:pt idx="1224">
                  <c:v>0.21007169539046361</c:v>
                </c:pt>
                <c:pt idx="1225">
                  <c:v>0.21007133780821186</c:v>
                </c:pt>
                <c:pt idx="1226">
                  <c:v>0.21007098200940905</c:v>
                </c:pt>
                <c:pt idx="1227">
                  <c:v>0.21007062798516019</c:v>
                </c:pt>
                <c:pt idx="1228">
                  <c:v>0.21007027572661463</c:v>
                </c:pt>
                <c:pt idx="1229">
                  <c:v>0.21006992522496587</c:v>
                </c:pt>
                <c:pt idx="1230">
                  <c:v>0.21006957647145141</c:v>
                </c:pt>
                <c:pt idx="1231">
                  <c:v>0.21006922945735235</c:v>
                </c:pt>
                <c:pt idx="1232">
                  <c:v>0.21006888417399333</c:v>
                </c:pt>
                <c:pt idx="1233">
                  <c:v>0.21006854061274222</c:v>
                </c:pt>
                <c:pt idx="1234">
                  <c:v>0.21006819876501004</c:v>
                </c:pt>
                <c:pt idx="1235">
                  <c:v>0.21006785862225053</c:v>
                </c:pt>
                <c:pt idx="1236">
                  <c:v>0.21006752017596009</c:v>
                </c:pt>
                <c:pt idx="1237">
                  <c:v>0.21006718341767755</c:v>
                </c:pt>
                <c:pt idx="1238">
                  <c:v>0.21006684833898398</c:v>
                </c:pt>
                <c:pt idx="1239">
                  <c:v>0.21006651493150236</c:v>
                </c:pt>
                <c:pt idx="1240">
                  <c:v>0.21006618318689751</c:v>
                </c:pt>
                <c:pt idx="1241">
                  <c:v>0.21006585309687575</c:v>
                </c:pt>
                <c:pt idx="1242">
                  <c:v>0.21006552465318484</c:v>
                </c:pt>
                <c:pt idx="1243">
                  <c:v>0.21006519784761374</c:v>
                </c:pt>
                <c:pt idx="1244">
                  <c:v>0.21006487267199214</c:v>
                </c:pt>
                <c:pt idx="1245">
                  <c:v>0.21006454911819078</c:v>
                </c:pt>
                <c:pt idx="1246">
                  <c:v>0.21006422717812068</c:v>
                </c:pt>
                <c:pt idx="1247">
                  <c:v>0.21006390684373344</c:v>
                </c:pt>
                <c:pt idx="1248">
                  <c:v>0.21006358810702058</c:v>
                </c:pt>
                <c:pt idx="1249">
                  <c:v>0.2100632709600137</c:v>
                </c:pt>
                <c:pt idx="1250">
                  <c:v>0.21006295539478415</c:v>
                </c:pt>
                <c:pt idx="1251">
                  <c:v>0.21006264140344272</c:v>
                </c:pt>
                <c:pt idx="1252">
                  <c:v>0.21006232897813965</c:v>
                </c:pt>
                <c:pt idx="1253">
                  <c:v>0.21006201811106429</c:v>
                </c:pt>
                <c:pt idx="1254">
                  <c:v>0.21006170879444491</c:v>
                </c:pt>
                <c:pt idx="1255">
                  <c:v>0.21006140102054865</c:v>
                </c:pt>
                <c:pt idx="1256">
                  <c:v>0.21006109478168106</c:v>
                </c:pt>
                <c:pt idx="1257">
                  <c:v>0.21006079007018619</c:v>
                </c:pt>
                <c:pt idx="1258">
                  <c:v>0.21006048687844625</c:v>
                </c:pt>
                <c:pt idx="1259">
                  <c:v>0.21006018519888142</c:v>
                </c:pt>
                <c:pt idx="1260">
                  <c:v>0.21005988502394973</c:v>
                </c:pt>
                <c:pt idx="1261">
                  <c:v>0.21005958634614674</c:v>
                </c:pt>
                <c:pt idx="1262">
                  <c:v>0.21005928915800548</c:v>
                </c:pt>
                <c:pt idx="1263">
                  <c:v>0.21005899345209628</c:v>
                </c:pt>
                <c:pt idx="1264">
                  <c:v>0.21005869922102649</c:v>
                </c:pt>
                <c:pt idx="1265">
                  <c:v>0.21005840645744023</c:v>
                </c:pt>
                <c:pt idx="1266">
                  <c:v>0.21005811515401845</c:v>
                </c:pt>
                <c:pt idx="1267">
                  <c:v>0.21005782530347855</c:v>
                </c:pt>
                <c:pt idx="1268">
                  <c:v>0.21005753689857432</c:v>
                </c:pt>
                <c:pt idx="1269">
                  <c:v>0.21005724993209546</c:v>
                </c:pt>
                <c:pt idx="1270">
                  <c:v>0.21005696439686794</c:v>
                </c:pt>
                <c:pt idx="1271">
                  <c:v>0.21005668028575325</c:v>
                </c:pt>
                <c:pt idx="1272">
                  <c:v>0.21005639759164868</c:v>
                </c:pt>
                <c:pt idx="1273">
                  <c:v>0.21005611630748688</c:v>
                </c:pt>
                <c:pt idx="1274">
                  <c:v>0.21005583642623565</c:v>
                </c:pt>
                <c:pt idx="1275">
                  <c:v>0.21005555794089797</c:v>
                </c:pt>
                <c:pt idx="1276">
                  <c:v>0.21005528084451175</c:v>
                </c:pt>
                <c:pt idx="1277">
                  <c:v>0.21005500513014952</c:v>
                </c:pt>
                <c:pt idx="1278">
                  <c:v>0.21005473079091835</c:v>
                </c:pt>
                <c:pt idx="1279">
                  <c:v>0.21005445781995985</c:v>
                </c:pt>
                <c:pt idx="1280">
                  <c:v>0.21005418621044969</c:v>
                </c:pt>
                <c:pt idx="1281">
                  <c:v>0.21005391595559764</c:v>
                </c:pt>
                <c:pt idx="1282">
                  <c:v>0.21005364704864721</c:v>
                </c:pt>
                <c:pt idx="1283">
                  <c:v>0.21005337948287583</c:v>
                </c:pt>
                <c:pt idx="1284">
                  <c:v>0.21005311325159431</c:v>
                </c:pt>
                <c:pt idx="1285">
                  <c:v>0.21005284834814686</c:v>
                </c:pt>
                <c:pt idx="1286">
                  <c:v>0.21005258476591082</c:v>
                </c:pt>
                <c:pt idx="1287">
                  <c:v>0.2100523224982967</c:v>
                </c:pt>
                <c:pt idx="1288">
                  <c:v>0.21005206153874778</c:v>
                </c:pt>
                <c:pt idx="1289">
                  <c:v>0.21005180188074002</c:v>
                </c:pt>
                <c:pt idx="1290">
                  <c:v>0.21005154351778194</c:v>
                </c:pt>
                <c:pt idx="1291">
                  <c:v>0.21005128644341453</c:v>
                </c:pt>
                <c:pt idx="1292">
                  <c:v>0.21005103065121083</c:v>
                </c:pt>
                <c:pt idx="1293">
                  <c:v>0.21005077613477613</c:v>
                </c:pt>
                <c:pt idx="1294">
                  <c:v>0.21005052288774745</c:v>
                </c:pt>
                <c:pt idx="1295">
                  <c:v>0.21005027090379352</c:v>
                </c:pt>
                <c:pt idx="1296">
                  <c:v>0.21005002017661484</c:v>
                </c:pt>
                <c:pt idx="1297">
                  <c:v>0.21004977069994324</c:v>
                </c:pt>
                <c:pt idx="1298">
                  <c:v>0.21004952246754166</c:v>
                </c:pt>
                <c:pt idx="1299">
                  <c:v>0.21004927547320434</c:v>
                </c:pt>
                <c:pt idx="1300">
                  <c:v>0.21004902971075645</c:v>
                </c:pt>
                <c:pt idx="1301">
                  <c:v>0.2100487851740539</c:v>
                </c:pt>
                <c:pt idx="1302">
                  <c:v>0.21004854185698318</c:v>
                </c:pt>
                <c:pt idx="1303">
                  <c:v>0.21004829975346145</c:v>
                </c:pt>
                <c:pt idx="1304">
                  <c:v>0.2100480588574361</c:v>
                </c:pt>
                <c:pt idx="1305">
                  <c:v>0.21004781916288467</c:v>
                </c:pt>
                <c:pt idx="1306">
                  <c:v>0.21004758066381479</c:v>
                </c:pt>
                <c:pt idx="1307">
                  <c:v>0.210047343354264</c:v>
                </c:pt>
                <c:pt idx="1308">
                  <c:v>0.2100471072282995</c:v>
                </c:pt>
                <c:pt idx="1309">
                  <c:v>0.21004687228001817</c:v>
                </c:pt>
                <c:pt idx="1310">
                  <c:v>0.21004663850354632</c:v>
                </c:pt>
                <c:pt idx="1311">
                  <c:v>0.21004640589303947</c:v>
                </c:pt>
                <c:pt idx="1312">
                  <c:v>0.21004617444268231</c:v>
                </c:pt>
                <c:pt idx="1313">
                  <c:v>0.2100459441466887</c:v>
                </c:pt>
                <c:pt idx="1314">
                  <c:v>0.21004571499930108</c:v>
                </c:pt>
                <c:pt idx="1315">
                  <c:v>0.21004548699479086</c:v>
                </c:pt>
                <c:pt idx="1316">
                  <c:v>0.21004526012745789</c:v>
                </c:pt>
                <c:pt idx="1317">
                  <c:v>0.21004503439163047</c:v>
                </c:pt>
                <c:pt idx="1318">
                  <c:v>0.21004480978166518</c:v>
                </c:pt>
                <c:pt idx="1319">
                  <c:v>0.21004458629194672</c:v>
                </c:pt>
                <c:pt idx="1320">
                  <c:v>0.21004436391688791</c:v>
                </c:pt>
                <c:pt idx="1321">
                  <c:v>0.21004414265092936</c:v>
                </c:pt>
                <c:pt idx="1322">
                  <c:v>0.21004392248853937</c:v>
                </c:pt>
                <c:pt idx="1323">
                  <c:v>0.21004370342421386</c:v>
                </c:pt>
                <c:pt idx="1324">
                  <c:v>0.21004348545247625</c:v>
                </c:pt>
                <c:pt idx="1325">
                  <c:v>0.21004326856787719</c:v>
                </c:pt>
                <c:pt idx="1326">
                  <c:v>0.21004305276499463</c:v>
                </c:pt>
                <c:pt idx="1327">
                  <c:v>0.21004283803843338</c:v>
                </c:pt>
                <c:pt idx="1328">
                  <c:v>0.21004262438282534</c:v>
                </c:pt>
                <c:pt idx="1329">
                  <c:v>0.21004241179282912</c:v>
                </c:pt>
                <c:pt idx="1330">
                  <c:v>0.21004220026312992</c:v>
                </c:pt>
                <c:pt idx="1331">
                  <c:v>0.21004198978843946</c:v>
                </c:pt>
                <c:pt idx="1332">
                  <c:v>0.21004178036349591</c:v>
                </c:pt>
                <c:pt idx="1333">
                  <c:v>0.21004157198306367</c:v>
                </c:pt>
                <c:pt idx="1334">
                  <c:v>0.21004136464193313</c:v>
                </c:pt>
                <c:pt idx="1335">
                  <c:v>0.21004115833492082</c:v>
                </c:pt>
                <c:pt idx="1336">
                  <c:v>0.21004095305686898</c:v>
                </c:pt>
                <c:pt idx="1337">
                  <c:v>0.21004074880264573</c:v>
                </c:pt>
                <c:pt idx="1338">
                  <c:v>0.21004054556714463</c:v>
                </c:pt>
                <c:pt idx="1339">
                  <c:v>0.21004034334528487</c:v>
                </c:pt>
                <c:pt idx="1340">
                  <c:v>0.21004014213201083</c:v>
                </c:pt>
                <c:pt idx="1341">
                  <c:v>0.21003994192229219</c:v>
                </c:pt>
                <c:pt idx="1342">
                  <c:v>0.21003974271112369</c:v>
                </c:pt>
                <c:pt idx="1343">
                  <c:v>0.21003954449352502</c:v>
                </c:pt>
                <c:pt idx="1344">
                  <c:v>0.21003934726454071</c:v>
                </c:pt>
                <c:pt idx="1345">
                  <c:v>0.21003915101924009</c:v>
                </c:pt>
                <c:pt idx="1346">
                  <c:v>0.21003895575271703</c:v>
                </c:pt>
                <c:pt idx="1347">
                  <c:v>0.21003876146008976</c:v>
                </c:pt>
                <c:pt idx="1348">
                  <c:v>0.21003856813650107</c:v>
                </c:pt>
                <c:pt idx="1349">
                  <c:v>0.21003837577711776</c:v>
                </c:pt>
                <c:pt idx="1350">
                  <c:v>0.2100381843771309</c:v>
                </c:pt>
                <c:pt idx="1351">
                  <c:v>0.21003799393175543</c:v>
                </c:pt>
                <c:pt idx="1352">
                  <c:v>0.21003780443623027</c:v>
                </c:pt>
                <c:pt idx="1353">
                  <c:v>0.21003761588581793</c:v>
                </c:pt>
                <c:pt idx="1354">
                  <c:v>0.21003742827580474</c:v>
                </c:pt>
                <c:pt idx="1355">
                  <c:v>0.21003724160150039</c:v>
                </c:pt>
                <c:pt idx="1356">
                  <c:v>0.21003705585823801</c:v>
                </c:pt>
                <c:pt idx="1357">
                  <c:v>0.21003687104137403</c:v>
                </c:pt>
                <c:pt idx="1358">
                  <c:v>0.21003668714628798</c:v>
                </c:pt>
                <c:pt idx="1359">
                  <c:v>0.21003650416838249</c:v>
                </c:pt>
                <c:pt idx="1360">
                  <c:v>0.21003632210308315</c:v>
                </c:pt>
                <c:pt idx="1361">
                  <c:v>0.21003614094583822</c:v>
                </c:pt>
                <c:pt idx="1362">
                  <c:v>0.21003596069211888</c:v>
                </c:pt>
                <c:pt idx="1363">
                  <c:v>0.21003578133741868</c:v>
                </c:pt>
                <c:pt idx="1364">
                  <c:v>0.21003560287725381</c:v>
                </c:pt>
                <c:pt idx="1365">
                  <c:v>0.21003542530716268</c:v>
                </c:pt>
                <c:pt idx="1366">
                  <c:v>0.21003524862270612</c:v>
                </c:pt>
                <c:pt idx="1367">
                  <c:v>0.21003507281946693</c:v>
                </c:pt>
                <c:pt idx="1368">
                  <c:v>0.21003489789305008</c:v>
                </c:pt>
                <c:pt idx="1369">
                  <c:v>0.21003472383908239</c:v>
                </c:pt>
                <c:pt idx="1370">
                  <c:v>0.21003455065321242</c:v>
                </c:pt>
                <c:pt idx="1371">
                  <c:v>0.2100343783311106</c:v>
                </c:pt>
                <c:pt idx="1372">
                  <c:v>0.21003420686846891</c:v>
                </c:pt>
                <c:pt idx="1373">
                  <c:v>0.21003403626100065</c:v>
                </c:pt>
                <c:pt idx="1374">
                  <c:v>0.21003386650444072</c:v>
                </c:pt>
                <c:pt idx="1375">
                  <c:v>0.21003369759454515</c:v>
                </c:pt>
                <c:pt idx="1376">
                  <c:v>0.2100335295270912</c:v>
                </c:pt>
                <c:pt idx="1377">
                  <c:v>0.21003336229787717</c:v>
                </c:pt>
                <c:pt idx="1378">
                  <c:v>0.21003319590272235</c:v>
                </c:pt>
                <c:pt idx="1379">
                  <c:v>0.21003303033746679</c:v>
                </c:pt>
                <c:pt idx="1380">
                  <c:v>0.21003286559797141</c:v>
                </c:pt>
                <c:pt idx="1381">
                  <c:v>0.21003270168011767</c:v>
                </c:pt>
                <c:pt idx="1382">
                  <c:v>0.21003253857980764</c:v>
                </c:pt>
                <c:pt idx="1383">
                  <c:v>0.21003237629296378</c:v>
                </c:pt>
                <c:pt idx="1384">
                  <c:v>0.21003221481552897</c:v>
                </c:pt>
                <c:pt idx="1385">
                  <c:v>0.21003205414346621</c:v>
                </c:pt>
                <c:pt idx="1386">
                  <c:v>0.21003189427275876</c:v>
                </c:pt>
                <c:pt idx="1387">
                  <c:v>0.21003173519940971</c:v>
                </c:pt>
                <c:pt idx="1388">
                  <c:v>0.21003157691944235</c:v>
                </c:pt>
                <c:pt idx="1389">
                  <c:v>0.21003141942889958</c:v>
                </c:pt>
                <c:pt idx="1390">
                  <c:v>0.2100312627238442</c:v>
                </c:pt>
                <c:pt idx="1391">
                  <c:v>0.21003110680035852</c:v>
                </c:pt>
                <c:pt idx="1392">
                  <c:v>0.2100309516545445</c:v>
                </c:pt>
                <c:pt idx="1393">
                  <c:v>0.21003079728252344</c:v>
                </c:pt>
                <c:pt idx="1394">
                  <c:v>0.21003064368043606</c:v>
                </c:pt>
                <c:pt idx="1395">
                  <c:v>0.21003049084444225</c:v>
                </c:pt>
                <c:pt idx="1396">
                  <c:v>0.21003033877072114</c:v>
                </c:pt>
                <c:pt idx="1397">
                  <c:v>0.21003018745547092</c:v>
                </c:pt>
                <c:pt idx="1398">
                  <c:v>0.21003003689490862</c:v>
                </c:pt>
                <c:pt idx="1399">
                  <c:v>0.21002988708527032</c:v>
                </c:pt>
                <c:pt idx="1400">
                  <c:v>0.21002973802281066</c:v>
                </c:pt>
                <c:pt idx="1401">
                  <c:v>0.21002958970380309</c:v>
                </c:pt>
                <c:pt idx="1402">
                  <c:v>0.21002944212453972</c:v>
                </c:pt>
                <c:pt idx="1403">
                  <c:v>0.21002929528133096</c:v>
                </c:pt>
                <c:pt idx="1404">
                  <c:v>0.21002914917050575</c:v>
                </c:pt>
                <c:pt idx="1405">
                  <c:v>0.21002900378841133</c:v>
                </c:pt>
                <c:pt idx="1406">
                  <c:v>0.21002885913141317</c:v>
                </c:pt>
                <c:pt idx="1407">
                  <c:v>0.21002871519589472</c:v>
                </c:pt>
                <c:pt idx="1408">
                  <c:v>0.21002857197825775</c:v>
                </c:pt>
                <c:pt idx="1409">
                  <c:v>0.21002842947492167</c:v>
                </c:pt>
                <c:pt idx="1410">
                  <c:v>0.21002828768232396</c:v>
                </c:pt>
                <c:pt idx="1411">
                  <c:v>0.21002814659691976</c:v>
                </c:pt>
                <c:pt idx="1412">
                  <c:v>0.21002800621518197</c:v>
                </c:pt>
                <c:pt idx="1413">
                  <c:v>0.210027866533601</c:v>
                </c:pt>
                <c:pt idx="1414">
                  <c:v>0.21002772754868487</c:v>
                </c:pt>
                <c:pt idx="1415">
                  <c:v>0.21002758925695886</c:v>
                </c:pt>
                <c:pt idx="1416">
                  <c:v>0.21002745165496572</c:v>
                </c:pt>
                <c:pt idx="1417">
                  <c:v>0.21002731473926539</c:v>
                </c:pt>
                <c:pt idx="1418">
                  <c:v>0.21002717850643493</c:v>
                </c:pt>
                <c:pt idx="1419">
                  <c:v>0.21002704295306862</c:v>
                </c:pt>
                <c:pt idx="1420">
                  <c:v>0.21002690807577745</c:v>
                </c:pt>
                <c:pt idx="1421">
                  <c:v>0.21002677387118962</c:v>
                </c:pt>
                <c:pt idx="1422">
                  <c:v>0.21002664033594998</c:v>
                </c:pt>
                <c:pt idx="1423">
                  <c:v>0.21002650746672014</c:v>
                </c:pt>
                <c:pt idx="1424">
                  <c:v>0.21002637526017831</c:v>
                </c:pt>
                <c:pt idx="1425">
                  <c:v>0.21002624371301937</c:v>
                </c:pt>
                <c:pt idx="1426">
                  <c:v>0.21002611282195466</c:v>
                </c:pt>
                <c:pt idx="1427">
                  <c:v>0.2100259825837118</c:v>
                </c:pt>
                <c:pt idx="1428">
                  <c:v>0.2100258529950349</c:v>
                </c:pt>
                <c:pt idx="1429">
                  <c:v>0.21002572405268422</c:v>
                </c:pt>
                <c:pt idx="1430">
                  <c:v>0.21002559575343621</c:v>
                </c:pt>
                <c:pt idx="1431">
                  <c:v>0.2100254680940834</c:v>
                </c:pt>
                <c:pt idx="1432">
                  <c:v>0.21002534107143422</c:v>
                </c:pt>
                <c:pt idx="1433">
                  <c:v>0.21002521468231317</c:v>
                </c:pt>
                <c:pt idx="1434">
                  <c:v>0.21002508892356048</c:v>
                </c:pt>
                <c:pt idx="1435">
                  <c:v>0.21002496379203217</c:v>
                </c:pt>
                <c:pt idx="1436">
                  <c:v>0.21002483928459997</c:v>
                </c:pt>
                <c:pt idx="1437">
                  <c:v>0.21002471539815121</c:v>
                </c:pt>
                <c:pt idx="1438">
                  <c:v>0.21002459212958868</c:v>
                </c:pt>
                <c:pt idx="1439">
                  <c:v>0.21002446947583064</c:v>
                </c:pt>
                <c:pt idx="1440">
                  <c:v>0.21002434743381082</c:v>
                </c:pt>
                <c:pt idx="1441">
                  <c:v>0.21002422600047804</c:v>
                </c:pt>
                <c:pt idx="1442">
                  <c:v>0.21002410517279663</c:v>
                </c:pt>
                <c:pt idx="1443">
                  <c:v>0.21002398494774571</c:v>
                </c:pt>
                <c:pt idx="1444">
                  <c:v>0.21002386532231976</c:v>
                </c:pt>
                <c:pt idx="1445">
                  <c:v>0.21002374629352816</c:v>
                </c:pt>
                <c:pt idx="1446">
                  <c:v>0.21002362785839507</c:v>
                </c:pt>
                <c:pt idx="1447">
                  <c:v>0.21002351001395969</c:v>
                </c:pt>
                <c:pt idx="1448">
                  <c:v>0.21002339275727588</c:v>
                </c:pt>
                <c:pt idx="1449">
                  <c:v>0.21002327608541221</c:v>
                </c:pt>
                <c:pt idx="1450">
                  <c:v>0.2100231599954519</c:v>
                </c:pt>
                <c:pt idx="1451">
                  <c:v>0.21002304448449272</c:v>
                </c:pt>
                <c:pt idx="1452">
                  <c:v>0.2100229295496468</c:v>
                </c:pt>
                <c:pt idx="1453">
                  <c:v>0.21002281518804083</c:v>
                </c:pt>
                <c:pt idx="1454">
                  <c:v>0.21002270139681578</c:v>
                </c:pt>
                <c:pt idx="1455">
                  <c:v>0.2100225881731268</c:v>
                </c:pt>
                <c:pt idx="1456">
                  <c:v>0.21002247551414333</c:v>
                </c:pt>
                <c:pt idx="1457">
                  <c:v>0.21002236341704889</c:v>
                </c:pt>
                <c:pt idx="1458">
                  <c:v>0.210022251879041</c:v>
                </c:pt>
                <c:pt idx="1459">
                  <c:v>0.21002214089733129</c:v>
                </c:pt>
                <c:pt idx="1460">
                  <c:v>0.21002203046914519</c:v>
                </c:pt>
                <c:pt idx="1461">
                  <c:v>0.21002192059172192</c:v>
                </c:pt>
                <c:pt idx="1462">
                  <c:v>0.21002181126231462</c:v>
                </c:pt>
                <c:pt idx="1463">
                  <c:v>0.21002170247818996</c:v>
                </c:pt>
                <c:pt idx="1464">
                  <c:v>0.21002159423662842</c:v>
                </c:pt>
                <c:pt idx="1465">
                  <c:v>0.21002148653492392</c:v>
                </c:pt>
                <c:pt idx="1466">
                  <c:v>0.2100213793703839</c:v>
                </c:pt>
                <c:pt idx="1467">
                  <c:v>0.21002127274032928</c:v>
                </c:pt>
                <c:pt idx="1468">
                  <c:v>0.21002116664209425</c:v>
                </c:pt>
                <c:pt idx="1469">
                  <c:v>0.21002106107302637</c:v>
                </c:pt>
                <c:pt idx="1470">
                  <c:v>0.21002095603048643</c:v>
                </c:pt>
                <c:pt idx="1471">
                  <c:v>0.21002085151184835</c:v>
                </c:pt>
                <c:pt idx="1472">
                  <c:v>0.21002074751449912</c:v>
                </c:pt>
                <c:pt idx="1473">
                  <c:v>0.21002064403583887</c:v>
                </c:pt>
                <c:pt idx="1474">
                  <c:v>0.21002054107328061</c:v>
                </c:pt>
                <c:pt idx="1475">
                  <c:v>0.21002043862425018</c:v>
                </c:pt>
                <c:pt idx="1476">
                  <c:v>0.21002033668618647</c:v>
                </c:pt>
                <c:pt idx="1477">
                  <c:v>0.21002023525654095</c:v>
                </c:pt>
                <c:pt idx="1478">
                  <c:v>0.21002013433277794</c:v>
                </c:pt>
                <c:pt idx="1479">
                  <c:v>0.21002003391237428</c:v>
                </c:pt>
                <c:pt idx="1480">
                  <c:v>0.21001993399281943</c:v>
                </c:pt>
                <c:pt idx="1481">
                  <c:v>0.21001983457161549</c:v>
                </c:pt>
                <c:pt idx="1482">
                  <c:v>0.21001973564627685</c:v>
                </c:pt>
                <c:pt idx="1483">
                  <c:v>0.21001963721433037</c:v>
                </c:pt>
                <c:pt idx="1484">
                  <c:v>0.21001953927331529</c:v>
                </c:pt>
                <c:pt idx="1485">
                  <c:v>0.21001944182078308</c:v>
                </c:pt>
                <c:pt idx="1486">
                  <c:v>0.21001934485429741</c:v>
                </c:pt>
                <c:pt idx="1487">
                  <c:v>0.2100192483714341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33-4F49-87A1-EEF509FB0D0C}"/>
            </c:ext>
          </c:extLst>
        </c:ser>
        <c:ser>
          <c:idx val="5"/>
          <c:order val="1"/>
          <c:tx>
            <c:strRef>
              <c:f>Rocof!$M$6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Rocof!$A$7:$A$1494</c:f>
              <c:numCache>
                <c:formatCode>General</c:formatCode>
                <c:ptCount val="1488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</c:numCache>
            </c:numRef>
          </c:xVal>
          <c:yVal>
            <c:numRef>
              <c:f>Rocof!$M$7:$M$1494</c:f>
              <c:numCache>
                <c:formatCode>General</c:formatCode>
                <c:ptCount val="1488"/>
                <c:pt idx="0">
                  <c:v>0.08</c:v>
                </c:pt>
                <c:pt idx="1">
                  <c:v>8.0244754030977083E-2</c:v>
                </c:pt>
                <c:pt idx="2">
                  <c:v>8.0973040092560164E-2</c:v>
                </c:pt>
                <c:pt idx="3">
                  <c:v>8.2169424144196507E-2</c:v>
                </c:pt>
                <c:pt idx="4">
                  <c:v>8.3812408830701846E-2</c:v>
                </c:pt>
                <c:pt idx="5">
                  <c:v>8.5876632868573083E-2</c:v>
                </c:pt>
                <c:pt idx="6">
                  <c:v>8.8334273075735117E-2</c:v>
                </c:pt>
                <c:pt idx="7">
                  <c:v>9.1155960027943878E-2</c:v>
                </c:pt>
                <c:pt idx="8">
                  <c:v>9.4311395784639943E-2</c:v>
                </c:pt>
                <c:pt idx="9">
                  <c:v>9.7769787825220833E-2</c:v>
                </c:pt>
                <c:pt idx="10">
                  <c:v>0.10150016829270328</c:v>
                </c:pt>
                <c:pt idx="11">
                  <c:v>0.10547164034306436</c:v>
                </c:pt>
                <c:pt idx="12">
                  <c:v>0.1096535768624137</c:v>
                </c:pt>
                <c:pt idx="13">
                  <c:v>0.11401578680520889</c:v>
                </c:pt>
                <c:pt idx="14">
                  <c:v>0.11852865835605705</c:v>
                </c:pt>
                <c:pt idx="15">
                  <c:v>0.12316328446703806</c:v>
                </c:pt>
                <c:pt idx="16">
                  <c:v>0.12789157412679469</c:v>
                </c:pt>
                <c:pt idx="17">
                  <c:v>0.13268635140354246</c:v>
                </c:pt>
                <c:pt idx="18">
                  <c:v>0.13752144352388712</c:v>
                </c:pt>
                <c:pt idx="19">
                  <c:v>0.14237175879192293</c:v>
                </c:pt>
                <c:pt idx="20">
                  <c:v>0.14721335489053167</c:v>
                </c:pt>
                <c:pt idx="21">
                  <c:v>0.15202349796145276</c:v>
                </c:pt>
                <c:pt idx="22">
                  <c:v>0.15678071278543226</c:v>
                </c:pt>
                <c:pt idx="23">
                  <c:v>0.16146482434998738</c:v>
                </c:pt>
                <c:pt idx="24">
                  <c:v>0.1660569910827</c:v>
                </c:pt>
                <c:pt idx="25">
                  <c:v>0.17053973003194559</c:v>
                </c:pt>
                <c:pt idx="26">
                  <c:v>0.17489693428819919</c:v>
                </c:pt>
                <c:pt idx="27">
                  <c:v>0.17911388295367003</c:v>
                </c:pt>
                <c:pt idx="28">
                  <c:v>0.18317724398367258</c:v>
                </c:pt>
                <c:pt idx="29">
                  <c:v>0.18707507023844844</c:v>
                </c:pt>
                <c:pt idx="30">
                  <c:v>0.19079678909827996</c:v>
                </c:pt>
                <c:pt idx="31">
                  <c:v>0.19433318600720836</c:v>
                </c:pt>
                <c:pt idx="32">
                  <c:v>0.19767638232122201</c:v>
                </c:pt>
                <c:pt idx="33">
                  <c:v>0.20081980784528616</c:v>
                </c:pt>
                <c:pt idx="34">
                  <c:v>0.20375816844999778</c:v>
                </c:pt>
                <c:pt idx="35">
                  <c:v>0.20648740916297775</c:v>
                </c:pt>
                <c:pt idx="36">
                  <c:v>0.20900467313239884</c:v>
                </c:pt>
                <c:pt idx="37">
                  <c:v>0.21130825686035715</c:v>
                </c:pt>
                <c:pt idx="38">
                  <c:v>0.21339756210220956</c:v>
                </c:pt>
                <c:pt idx="39">
                  <c:v>0.21527304482460735</c:v>
                </c:pt>
                <c:pt idx="40">
                  <c:v>0.21693616160986223</c:v>
                </c:pt>
                <c:pt idx="41">
                  <c:v>0.21838931388758243</c:v>
                </c:pt>
                <c:pt idx="42">
                  <c:v>0.21963579036632896</c:v>
                </c:pt>
                <c:pt idx="43">
                  <c:v>0.22067970802846804</c:v>
                </c:pt>
                <c:pt idx="44">
                  <c:v>0.22152595204055781</c:v>
                </c:pt>
                <c:pt idx="45">
                  <c:v>0.2221801149196081</c:v>
                </c:pt>
                <c:pt idx="46">
                  <c:v>0.22264843528251371</c:v>
                </c:pt>
                <c:pt idx="47">
                  <c:v>0.22293773649199222</c:v>
                </c:pt>
                <c:pt idx="48">
                  <c:v>0.22305536549757116</c:v>
                </c:pt>
                <c:pt idx="49">
                  <c:v>0.22300913215467538</c:v>
                </c:pt>
                <c:pt idx="50">
                  <c:v>0.22280724928877493</c:v>
                </c:pt>
                <c:pt idx="51">
                  <c:v>0.22245827375496796</c:v>
                </c:pt>
                <c:pt idx="52">
                  <c:v>0.22197104872640261</c:v>
                </c:pt>
                <c:pt idx="53">
                  <c:v>0.22135464742767785</c:v>
                </c:pt>
                <c:pt idx="54">
                  <c:v>0.22061831851191255</c:v>
                </c:pt>
                <c:pt idx="55">
                  <c:v>0.2197714332626155</c:v>
                </c:pt>
                <c:pt idx="56">
                  <c:v>0.21882343478392963</c:v>
                </c:pt>
                <c:pt idx="57">
                  <c:v>0.21778378932533177</c:v>
                </c:pt>
                <c:pt idx="58">
                  <c:v>0.21666193986953558</c:v>
                </c:pt>
                <c:pt idx="59">
                  <c:v>0.2154672620952392</c:v>
                </c:pt>
                <c:pt idx="60">
                  <c:v>0.21420902280955445</c:v>
                </c:pt>
                <c:pt idx="61">
                  <c:v>0.21289634092851478</c:v>
                </c:pt>
                <c:pt idx="62">
                  <c:v>0.21153815106804597</c:v>
                </c:pt>
                <c:pt idx="63">
                  <c:v>0.21014316979225517</c:v>
                </c:pt>
                <c:pt idx="64">
                  <c:v>0.20871986455089486</c:v>
                </c:pt>
                <c:pt idx="65">
                  <c:v>0.2072764253234422</c:v>
                </c:pt>
                <c:pt idx="66">
                  <c:v>0.20582073897343539</c:v>
                </c:pt>
                <c:pt idx="67">
                  <c:v>0.20436036630356658</c:v>
                </c:pt>
                <c:pt idx="68">
                  <c:v>0.2029025217895738</c:v>
                </c:pt>
                <c:pt idx="69">
                  <c:v>0.20145405595923213</c:v>
                </c:pt>
                <c:pt idx="70">
                  <c:v>0.20002144037173347</c:v>
                </c:pt>
                <c:pt idx="71">
                  <c:v>0.19861075514248644</c:v>
                </c:pt>
                <c:pt idx="72">
                  <c:v>0.19722767894887094</c:v>
                </c:pt>
                <c:pt idx="73">
                  <c:v>0.19587748144376033</c:v>
                </c:pt>
                <c:pt idx="74">
                  <c:v>0.19456501799567238</c:v>
                </c:pt>
                <c:pt idx="75">
                  <c:v>0.19329472666724073</c:v>
                </c:pt>
                <c:pt idx="76">
                  <c:v>0.19207062733729569</c:v>
                </c:pt>
                <c:pt idx="77">
                  <c:v>0.19089632286620967</c:v>
                </c:pt>
                <c:pt idx="78">
                  <c:v>0.18977500219928067</c:v>
                </c:pt>
                <c:pt idx="79">
                  <c:v>0.18870944529879002</c:v>
                </c:pt>
                <c:pt idx="80">
                  <c:v>0.18770202979195455</c:v>
                </c:pt>
                <c:pt idx="81">
                  <c:v>0.18675473921928748</c:v>
                </c:pt>
                <c:pt idx="82">
                  <c:v>0.18586917276585735</c:v>
                </c:pt>
                <c:pt idx="83">
                  <c:v>0.18504655635657194</c:v>
                </c:pt>
                <c:pt idx="84">
                  <c:v>0.18428775499588773</c:v>
                </c:pt>
                <c:pt idx="85">
                  <c:v>0.18359328623222371</c:v>
                </c:pt>
                <c:pt idx="86">
                  <c:v>0.18296333462781836</c:v>
                </c:pt>
                <c:pt idx="87">
                  <c:v>0.1823977671157751</c:v>
                </c:pt>
                <c:pt idx="88">
                  <c:v>0.18189614912756422</c:v>
                </c:pt>
                <c:pt idx="89">
                  <c:v>0.18145776137625763</c:v>
                </c:pt>
                <c:pt idx="90">
                  <c:v>0.18108161718323068</c:v>
                </c:pt>
                <c:pt idx="91">
                  <c:v>0.18076648023894054</c:v>
                </c:pt>
                <c:pt idx="92">
                  <c:v>0.18051088269165017</c:v>
                </c:pt>
                <c:pt idx="93">
                  <c:v>0.18031314346157259</c:v>
                </c:pt>
                <c:pt idx="94">
                  <c:v>0.18017138668183416</c:v>
                </c:pt>
                <c:pt idx="95">
                  <c:v>0.18008356017185542</c:v>
                </c:pt>
                <c:pt idx="96">
                  <c:v>0.18004745385319909</c:v>
                </c:pt>
                <c:pt idx="97">
                  <c:v>0.18006071802259555</c:v>
                </c:pt>
                <c:pt idx="98">
                  <c:v>0.18012088140169963</c:v>
                </c:pt>
                <c:pt idx="99">
                  <c:v>0.18022536888812352</c:v>
                </c:pt>
                <c:pt idx="100">
                  <c:v>0.18037151893740072</c:v>
                </c:pt>
                <c:pt idx="101">
                  <c:v>0.18055660051073025</c:v>
                </c:pt>
                <c:pt idx="102">
                  <c:v>0.18077782952860683</c:v>
                </c:pt>
                <c:pt idx="103">
                  <c:v>0.1810323847757267</c:v>
                </c:pt>
                <c:pt idx="104">
                  <c:v>0.18131742320784675</c:v>
                </c:pt>
                <c:pt idx="105">
                  <c:v>0.18163009461654164</c:v>
                </c:pt>
                <c:pt idx="106">
                  <c:v>0.18196755561302302</c:v>
                </c:pt>
                <c:pt idx="107">
                  <c:v>0.18232698289733723</c:v>
                </c:pt>
                <c:pt idx="108">
                  <c:v>0.18270558578431861</c:v>
                </c:pt>
                <c:pt idx="109">
                  <c:v>0.18310061796262653</c:v>
                </c:pt>
                <c:pt idx="110">
                  <c:v>0.18350938846801862</c:v>
                </c:pt>
                <c:pt idx="111">
                  <c:v>0.18392927185668959</c:v>
                </c:pt>
                <c:pt idx="112">
                  <c:v>0.18435771756902306</c:v>
                </c:pt>
                <c:pt idx="113">
                  <c:v>0.18479225847844771</c:v>
                </c:pt>
                <c:pt idx="114">
                  <c:v>0.18523051862424572</c:v>
                </c:pt>
                <c:pt idx="115">
                  <c:v>0.18567022013112167</c:v>
                </c:pt>
                <c:pt idx="116">
                  <c:v>0.18610918932209267</c:v>
                </c:pt>
                <c:pt idx="117">
                  <c:v>0.18654536203480124</c:v>
                </c:pt>
                <c:pt idx="118">
                  <c:v>0.18697678815466728</c:v>
                </c:pt>
                <c:pt idx="119">
                  <c:v>0.18740163538139082</c:v>
                </c:pt>
                <c:pt idx="120">
                  <c:v>0.187818192248177</c:v>
                </c:pt>
                <c:pt idx="121">
                  <c:v>0.1882248704156857</c:v>
                </c:pt>
                <c:pt idx="122">
                  <c:v>0.18862020626510456</c:v>
                </c:pt>
                <c:pt idx="123">
                  <c:v>0.18900286181690673</c:v>
                </c:pt>
                <c:pt idx="124">
                  <c:v>0.1893716250037851</c:v>
                </c:pt>
                <c:pt idx="125">
                  <c:v>0.18972540932795445</c:v>
                </c:pt>
                <c:pt idx="126">
                  <c:v>0.19006325293448584</c:v>
                </c:pt>
                <c:pt idx="127">
                  <c:v>0.1903843171335865</c:v>
                </c:pt>
                <c:pt idx="128">
                  <c:v>0.19068788440576886</c:v>
                </c:pt>
                <c:pt idx="129">
                  <c:v>0.19097335592467204</c:v>
                </c:pt>
                <c:pt idx="130">
                  <c:v>0.19124024863290928</c:v>
                </c:pt>
                <c:pt idx="131">
                  <c:v>0.19148819190672908</c:v>
                </c:pt>
                <c:pt idx="132">
                  <c:v>0.19171692384549874</c:v>
                </c:pt>
                <c:pt idx="133">
                  <c:v>0.19192628722205807</c:v>
                </c:pt>
                <c:pt idx="134">
                  <c:v>0.19211622512985452</c:v>
                </c:pt>
                <c:pt idx="135">
                  <c:v>0.19228677636247093</c:v>
                </c:pt>
                <c:pt idx="136">
                  <c:v>0.19243807056069956</c:v>
                </c:pt>
                <c:pt idx="137">
                  <c:v>0.19257032316171446</c:v>
                </c:pt>
                <c:pt idx="138">
                  <c:v>0.19268383018415502</c:v>
                </c:pt>
                <c:pt idx="139">
                  <c:v>0.19277896288207019</c:v>
                </c:pt>
                <c:pt idx="140">
                  <c:v>0.19285616229969232</c:v>
                </c:pt>
                <c:pt idx="141">
                  <c:v>0.19291593375792562</c:v>
                </c:pt>
                <c:pt idx="142">
                  <c:v>0.19295884130225427</c:v>
                </c:pt>
                <c:pt idx="143">
                  <c:v>0.19298550214051108</c:v>
                </c:pt>
                <c:pt idx="144">
                  <c:v>0.19299658109760875</c:v>
                </c:pt>
                <c:pt idx="145">
                  <c:v>0.19299278511293361</c:v>
                </c:pt>
                <c:pt idx="146">
                  <c:v>0.19297485780464324</c:v>
                </c:pt>
                <c:pt idx="147">
                  <c:v>0.1929435741236078</c:v>
                </c:pt>
                <c:pt idx="148">
                  <c:v>0.19289973511819691</c:v>
                </c:pt>
                <c:pt idx="149">
                  <c:v>0.19284416282954941</c:v>
                </c:pt>
                <c:pt idx="150">
                  <c:v>0.19277769533538125</c:v>
                </c:pt>
                <c:pt idx="151">
                  <c:v>0.19270118195879671</c:v>
                </c:pt>
                <c:pt idx="152">
                  <c:v>0.19261547865697418</c:v>
                </c:pt>
                <c:pt idx="153">
                  <c:v>0.1925214436030136</c:v>
                </c:pt>
                <c:pt idx="154">
                  <c:v>0.19241993297265914</c:v>
                </c:pt>
                <c:pt idx="155">
                  <c:v>0.19231179694606093</c:v>
                </c:pt>
                <c:pt idx="156">
                  <c:v>0.19219787593321375</c:v>
                </c:pt>
                <c:pt idx="157">
                  <c:v>0.1920789970302203</c:v>
                </c:pt>
                <c:pt idx="158">
                  <c:v>0.19195597071207382</c:v>
                </c:pt>
                <c:pt idx="159">
                  <c:v>0.19182958776624526</c:v>
                </c:pt>
                <c:pt idx="160">
                  <c:v>0.19170061646999925</c:v>
                </c:pt>
                <c:pt idx="161">
                  <c:v>0.19156980001305546</c:v>
                </c:pt>
                <c:pt idx="162">
                  <c:v>0.19143785416595815</c:v>
                </c:pt>
                <c:pt idx="163">
                  <c:v>0.19130546519332486</c:v>
                </c:pt>
                <c:pt idx="164">
                  <c:v>0.19117328801001304</c:v>
                </c:pt>
                <c:pt idx="165">
                  <c:v>0.19104194457717827</c:v>
                </c:pt>
                <c:pt idx="166">
                  <c:v>0.19091202253419687</c:v>
                </c:pt>
                <c:pt idx="167">
                  <c:v>0.19078407406149361</c:v>
                </c:pt>
                <c:pt idx="168">
                  <c:v>0.19065861496845393</c:v>
                </c:pt>
                <c:pt idx="169">
                  <c:v>0.19053612399980557</c:v>
                </c:pt>
                <c:pt idx="170">
                  <c:v>0.19041704235313273</c:v>
                </c:pt>
                <c:pt idx="171">
                  <c:v>0.19030177339953419</c:v>
                </c:pt>
                <c:pt idx="172">
                  <c:v>0.1901906825988543</c:v>
                </c:pt>
                <c:pt idx="173">
                  <c:v>0.1900840976004019</c:v>
                </c:pt>
                <c:pt idx="174">
                  <c:v>0.18998230851963041</c:v>
                </c:pt>
                <c:pt idx="175">
                  <c:v>0.18988556838087284</c:v>
                </c:pt>
                <c:pt idx="176">
                  <c:v>0.18979409371591555</c:v>
                </c:pt>
                <c:pt idx="177">
                  <c:v>0.18970806530794701</c:v>
                </c:pt>
                <c:pt idx="178">
                  <c:v>0.18962762907023295</c:v>
                </c:pt>
                <c:pt idx="179">
                  <c:v>0.18955289704874353</c:v>
                </c:pt>
                <c:pt idx="180">
                  <c:v>0.18948394853789141</c:v>
                </c:pt>
                <c:pt idx="181">
                  <c:v>0.18942083129852677</c:v>
                </c:pt>
                <c:pt idx="182">
                  <c:v>0.18936356286737596</c:v>
                </c:pt>
                <c:pt idx="183">
                  <c:v>0.18931213194719959</c:v>
                </c:pt>
                <c:pt idx="184">
                  <c:v>0.18926649986708377</c:v>
                </c:pt>
                <c:pt idx="185">
                  <c:v>0.1892266021024584</c:v>
                </c:pt>
                <c:pt idx="186">
                  <c:v>0.18919234984465821</c:v>
                </c:pt>
                <c:pt idx="187">
                  <c:v>0.18916363161010213</c:v>
                </c:pt>
                <c:pt idx="188">
                  <c:v>0.18914031487946129</c:v>
                </c:pt>
                <c:pt idx="189">
                  <c:v>0.18912224775751135</c:v>
                </c:pt>
                <c:pt idx="190">
                  <c:v>0.18910926064472078</c:v>
                </c:pt>
                <c:pt idx="191">
                  <c:v>0.18910116791200587</c:v>
                </c:pt>
                <c:pt idx="192">
                  <c:v>0.1890977695704871</c:v>
                </c:pt>
                <c:pt idx="193">
                  <c:v>0.18909885292850281</c:v>
                </c:pt>
                <c:pt idx="194">
                  <c:v>0.18910419422857477</c:v>
                </c:pt>
                <c:pt idx="195">
                  <c:v>0.18911356025747372</c:v>
                </c:pt>
                <c:pt idx="196">
                  <c:v>0.18912670992299338</c:v>
                </c:pt>
                <c:pt idx="197">
                  <c:v>0.18914339579151535</c:v>
                </c:pt>
                <c:pt idx="198">
                  <c:v>0.18916336558092059</c:v>
                </c:pt>
                <c:pt idx="199">
                  <c:v>0.18918636360388477</c:v>
                </c:pt>
                <c:pt idx="200">
                  <c:v>0.18921213215707233</c:v>
                </c:pt>
                <c:pt idx="201">
                  <c:v>0.18924041285222273</c:v>
                </c:pt>
                <c:pt idx="202">
                  <c:v>0.18927094788559545</c:v>
                </c:pt>
                <c:pt idx="203">
                  <c:v>0.18930348124270696</c:v>
                </c:pt>
                <c:pt idx="204">
                  <c:v>0.18933775983575313</c:v>
                </c:pt>
                <c:pt idx="205">
                  <c:v>0.18937353457155848</c:v>
                </c:pt>
                <c:pt idx="206">
                  <c:v>0.18941056134833195</c:v>
                </c:pt>
                <c:pt idx="207">
                  <c:v>0.18944860197993341</c:v>
                </c:pt>
                <c:pt idx="208">
                  <c:v>0.18948742504676469</c:v>
                </c:pt>
                <c:pt idx="209">
                  <c:v>0.18952680667279306</c:v>
                </c:pt>
                <c:pt idx="210">
                  <c:v>0.1895665312285936</c:v>
                </c:pt>
                <c:pt idx="211">
                  <c:v>0.18960639196065418</c:v>
                </c:pt>
                <c:pt idx="212">
                  <c:v>0.18964619154753004</c:v>
                </c:pt>
                <c:pt idx="213">
                  <c:v>0.18968574258375437</c:v>
                </c:pt>
                <c:pt idx="214">
                  <c:v>0.18972486799271379</c:v>
                </c:pt>
                <c:pt idx="215">
                  <c:v>0.18976340136997791</c:v>
                </c:pt>
                <c:pt idx="216">
                  <c:v>0.18980118725883244</c:v>
                </c:pt>
                <c:pt idx="217">
                  <c:v>0.18983808136000424</c:v>
                </c:pt>
                <c:pt idx="218">
                  <c:v>0.18987395067778481</c:v>
                </c:pt>
                <c:pt idx="219">
                  <c:v>0.18990867360495456</c:v>
                </c:pt>
                <c:pt idx="220">
                  <c:v>0.18994213994908696</c:v>
                </c:pt>
                <c:pt idx="221">
                  <c:v>0.18997425090296505</c:v>
                </c:pt>
                <c:pt idx="222">
                  <c:v>0.19000491896197819</c:v>
                </c:pt>
                <c:pt idx="223">
                  <c:v>0.19003406779147936</c:v>
                </c:pt>
                <c:pt idx="224">
                  <c:v>0.19006163204717832</c:v>
                </c:pt>
                <c:pt idx="225">
                  <c:v>0.19008755715172027</c:v>
                </c:pt>
                <c:pt idx="226">
                  <c:v>0.19011179903065545</c:v>
                </c:pt>
                <c:pt idx="227">
                  <c:v>0.19013432381104356</c:v>
                </c:pt>
                <c:pt idx="228">
                  <c:v>0.19015510748595674</c:v>
                </c:pt>
                <c:pt idx="229">
                  <c:v>0.19017413554814933</c:v>
                </c:pt>
                <c:pt idx="230">
                  <c:v>0.1901914025961505</c:v>
                </c:pt>
                <c:pt idx="231">
                  <c:v>0.19020691191600944</c:v>
                </c:pt>
                <c:pt idx="232">
                  <c:v>0.19022067504188034</c:v>
                </c:pt>
                <c:pt idx="233">
                  <c:v>0.19023271129858235</c:v>
                </c:pt>
                <c:pt idx="234">
                  <c:v>0.190243047329201</c:v>
                </c:pt>
                <c:pt idx="235">
                  <c:v>0.19025171661072071</c:v>
                </c:pt>
                <c:pt idx="236">
                  <c:v>0.19025875896058936</c:v>
                </c:pt>
                <c:pt idx="237">
                  <c:v>0.19026422003701707</c:v>
                </c:pt>
                <c:pt idx="238">
                  <c:v>0.19026815083570583</c:v>
                </c:pt>
                <c:pt idx="239">
                  <c:v>0.19027060718559094</c:v>
                </c:pt>
                <c:pt idx="240">
                  <c:v>0.19027164924605497</c:v>
                </c:pt>
                <c:pt idx="241">
                  <c:v>0.19027134100794757</c:v>
                </c:pt>
                <c:pt idx="242">
                  <c:v>0.19026974980061245</c:v>
                </c:pt>
                <c:pt idx="243">
                  <c:v>0.19026694580698647</c:v>
                </c:pt>
                <c:pt idx="244">
                  <c:v>0.19026300158869736</c:v>
                </c:pt>
                <c:pt idx="245">
                  <c:v>0.1902579916229436</c:v>
                </c:pt>
                <c:pt idx="246">
                  <c:v>0.19025199185279762</c:v>
                </c:pt>
                <c:pt idx="247">
                  <c:v>0.19024507925242878</c:v>
                </c:pt>
                <c:pt idx="248">
                  <c:v>0.19023733140859814</c:v>
                </c:pt>
                <c:pt idx="249">
                  <c:v>0.19022882611963349</c:v>
                </c:pt>
                <c:pt idx="250">
                  <c:v>0.1902196410129508</c:v>
                </c:pt>
                <c:pt idx="251">
                  <c:v>0.19020985318204675</c:v>
                </c:pt>
                <c:pt idx="252">
                  <c:v>0.19019953884374952</c:v>
                </c:pt>
                <c:pt idx="253">
                  <c:v>0.19018877301637904</c:v>
                </c:pt>
                <c:pt idx="254">
                  <c:v>0.19017762921933751</c:v>
                </c:pt>
                <c:pt idx="255">
                  <c:v>0.19016617919452039</c:v>
                </c:pt>
                <c:pt idx="256">
                  <c:v>0.19015449264981832</c:v>
                </c:pt>
                <c:pt idx="257">
                  <c:v>0.19014263702485773</c:v>
                </c:pt>
                <c:pt idx="258">
                  <c:v>0.19013067727901761</c:v>
                </c:pt>
                <c:pt idx="259">
                  <c:v>0.19011867570164917</c:v>
                </c:pt>
                <c:pt idx="260">
                  <c:v>0.19010669174432376</c:v>
                </c:pt>
                <c:pt idx="261">
                  <c:v>0.19009478187483714</c:v>
                </c:pt>
                <c:pt idx="262">
                  <c:v>0.1900829994526074</c:v>
                </c:pt>
                <c:pt idx="263">
                  <c:v>0.19007139462501924</c:v>
                </c:pt>
                <c:pt idx="264">
                  <c:v>0.19006001424418878</c:v>
                </c:pt>
                <c:pt idx="265">
                  <c:v>0.19004890180355119</c:v>
                </c:pt>
                <c:pt idx="266">
                  <c:v>0.19003809739360808</c:v>
                </c:pt>
                <c:pt idx="267">
                  <c:v>0.19002763767611108</c:v>
                </c:pt>
                <c:pt idx="268">
                  <c:v>0.19001755587590688</c:v>
                </c:pt>
                <c:pt idx="269">
                  <c:v>0.19000788178962069</c:v>
                </c:pt>
                <c:pt idx="270">
                  <c:v>0.18999864181031595</c:v>
                </c:pt>
                <c:pt idx="271">
                  <c:v>0.18998985896723242</c:v>
                </c:pt>
                <c:pt idx="272">
                  <c:v>0.18998155297967798</c:v>
                </c:pt>
                <c:pt idx="273">
                  <c:v>0.1899737403241254</c:v>
                </c:pt>
                <c:pt idx="274">
                  <c:v>0.18996643431354959</c:v>
                </c:pt>
                <c:pt idx="275">
                  <c:v>0.18995964518802849</c:v>
                </c:pt>
                <c:pt idx="276">
                  <c:v>0.18995338021562497</c:v>
                </c:pt>
                <c:pt idx="277">
                  <c:v>0.18994764380256582</c:v>
                </c:pt>
                <c:pt idx="278">
                  <c:v>0.18994243761173729</c:v>
                </c:pt>
                <c:pt idx="279">
                  <c:v>0.18993776068852466</c:v>
                </c:pt>
                <c:pt idx="280">
                  <c:v>0.18993360959303587</c:v>
                </c:pt>
                <c:pt idx="281">
                  <c:v>0.18992997853776511</c:v>
                </c:pt>
                <c:pt idx="282">
                  <c:v>0.1899268595297729</c:v>
                </c:pt>
                <c:pt idx="283">
                  <c:v>0.1899242425164816</c:v>
                </c:pt>
                <c:pt idx="284">
                  <c:v>0.1899221155342134</c:v>
                </c:pt>
                <c:pt idx="285">
                  <c:v>0.18992046485862585</c:v>
                </c:pt>
                <c:pt idx="286">
                  <c:v>0.18991927515623308</c:v>
                </c:pt>
                <c:pt idx="287">
                  <c:v>0.18991852963623462</c:v>
                </c:pt>
                <c:pt idx="288">
                  <c:v>0.18991821020191113</c:v>
                </c:pt>
                <c:pt idx="289">
                  <c:v>0.18991829760088302</c:v>
                </c:pt>
                <c:pt idx="290">
                  <c:v>0.18991877157356979</c:v>
                </c:pt>
                <c:pt idx="291">
                  <c:v>0.18991961099922627</c:v>
                </c:pt>
                <c:pt idx="292">
                  <c:v>0.18992079403897685</c:v>
                </c:pt>
                <c:pt idx="293">
                  <c:v>0.18992229827530863</c:v>
                </c:pt>
                <c:pt idx="294">
                  <c:v>0.18992410084752953</c:v>
                </c:pt>
                <c:pt idx="295">
                  <c:v>0.18992617858274027</c:v>
                </c:pt>
                <c:pt idx="296">
                  <c:v>0.18992850812191192</c:v>
                </c:pt>
                <c:pt idx="297">
                  <c:v>0.18993106604070514</c:v>
                </c:pt>
                <c:pt idx="298">
                  <c:v>0.18993382896470951</c:v>
                </c:pt>
                <c:pt idx="299">
                  <c:v>0.1899367736788235</c:v>
                </c:pt>
                <c:pt idx="300">
                  <c:v>0.18993987723053807</c:v>
                </c:pt>
                <c:pt idx="301">
                  <c:v>0.18994311702692657</c:v>
                </c:pt>
                <c:pt idx="302">
                  <c:v>0.18994647092518491</c:v>
                </c:pt>
                <c:pt idx="303">
                  <c:v>0.18994991731660194</c:v>
                </c:pt>
                <c:pt idx="304">
                  <c:v>0.18995343520388036</c:v>
                </c:pt>
                <c:pt idx="305">
                  <c:v>0.18995700427176151</c:v>
                </c:pt>
                <c:pt idx="306">
                  <c:v>0.18996060495094316</c:v>
                </c:pt>
                <c:pt idx="307">
                  <c:v>0.18996421847531161</c:v>
                </c:pt>
                <c:pt idx="308">
                  <c:v>0.18996782693254036</c:v>
                </c:pt>
                <c:pt idx="309">
                  <c:v>0.18997141330813683</c:v>
                </c:pt>
                <c:pt idx="310">
                  <c:v>0.18997496152304594</c:v>
                </c:pt>
                <c:pt idx="311">
                  <c:v>0.18997845646494513</c:v>
                </c:pt>
                <c:pt idx="312">
                  <c:v>0.18998188401338814</c:v>
                </c:pt>
                <c:pt idx="313">
                  <c:v>0.18998523105897824</c:v>
                </c:pt>
                <c:pt idx="314">
                  <c:v>0.18998848551676945</c:v>
                </c:pt>
                <c:pt idx="315">
                  <c:v>0.18999163633411387</c:v>
                </c:pt>
                <c:pt idx="316">
                  <c:v>0.1899946734931878</c:v>
                </c:pt>
                <c:pt idx="317">
                  <c:v>0.1899975880084448</c:v>
                </c:pt>
                <c:pt idx="318">
                  <c:v>0.19000037191925451</c:v>
                </c:pt>
                <c:pt idx="319">
                  <c:v>0.19000301827799787</c:v>
                </c:pt>
                <c:pt idx="320">
                  <c:v>0.19000552113389724</c:v>
                </c:pt>
                <c:pt idx="321">
                  <c:v>0.19000787551286588</c:v>
                </c:pt>
                <c:pt idx="322">
                  <c:v>0.19001007739366893</c:v>
                </c:pt>
                <c:pt idx="323">
                  <c:v>0.19001212368068829</c:v>
                </c:pt>
                <c:pt idx="324">
                  <c:v>0.19001401217358807</c:v>
                </c:pt>
                <c:pt idx="325">
                  <c:v>0.190015741534177</c:v>
                </c:pt>
                <c:pt idx="326">
                  <c:v>0.19001731125076238</c:v>
                </c:pt>
                <c:pt idx="327">
                  <c:v>0.19001872160028921</c:v>
                </c:pt>
                <c:pt idx="328">
                  <c:v>0.19001997360855294</c:v>
                </c:pt>
                <c:pt idx="329">
                  <c:v>0.19002106900877067</c:v>
                </c:pt>
                <c:pt idx="330">
                  <c:v>0.1900220101987885</c:v>
                </c:pt>
                <c:pt idx="331">
                  <c:v>0.19002280019719694</c:v>
                </c:pt>
                <c:pt idx="332">
                  <c:v>0.1900234425986167</c:v>
                </c:pt>
                <c:pt idx="333">
                  <c:v>0.19002394152841018</c:v>
                </c:pt>
                <c:pt idx="334">
                  <c:v>0.19002430159706241</c:v>
                </c:pt>
                <c:pt idx="335">
                  <c:v>0.19002452785446633</c:v>
                </c:pt>
                <c:pt idx="336">
                  <c:v>0.19002462574433593</c:v>
                </c:pt>
                <c:pt idx="337">
                  <c:v>0.19002460105895816</c:v>
                </c:pt>
                <c:pt idx="338">
                  <c:v>0.19002445989448477</c:v>
                </c:pt>
                <c:pt idx="339">
                  <c:v>0.19002420860695063</c:v>
                </c:pt>
                <c:pt idx="340">
                  <c:v>0.19002385376919406</c:v>
                </c:pt>
                <c:pt idx="341">
                  <c:v>0.19002340212884089</c:v>
                </c:pt>
                <c:pt idx="342">
                  <c:v>0.19002286056750184</c:v>
                </c:pt>
                <c:pt idx="343">
                  <c:v>0.19002223606131852</c:v>
                </c:pt>
                <c:pt idx="344">
                  <c:v>0.1900215356429818</c:v>
                </c:pt>
                <c:pt idx="345">
                  <c:v>0.19002076636533183</c:v>
                </c:pt>
                <c:pt idx="346">
                  <c:v>0.19001993526663696</c:v>
                </c:pt>
                <c:pt idx="347">
                  <c:v>0.1900190493376358</c:v>
                </c:pt>
                <c:pt idx="348">
                  <c:v>0.19001811549041403</c:v>
                </c:pt>
                <c:pt idx="349">
                  <c:v>0.19001714052917512</c:v>
                </c:pt>
                <c:pt idx="350">
                  <c:v>0.19001613112295301</c:v>
                </c:pt>
                <c:pt idx="351">
                  <c:v>0.19001509378030207</c:v>
                </c:pt>
                <c:pt idx="352">
                  <c:v>0.19001403482598886</c:v>
                </c:pt>
                <c:pt idx="353">
                  <c:v>0.19001296037970031</c:v>
                </c:pt>
                <c:pt idx="354">
                  <c:v>0.19001187633677091</c:v>
                </c:pt>
                <c:pt idx="355">
                  <c:v>0.19001078835092344</c:v>
                </c:pt>
                <c:pt idx="356">
                  <c:v>0.19000970181900678</c:v>
                </c:pt>
                <c:pt idx="357">
                  <c:v>0.19000862186770745</c:v>
                </c:pt>
                <c:pt idx="358">
                  <c:v>0.1900075533422009</c:v>
                </c:pt>
                <c:pt idx="359">
                  <c:v>0.19000650079670373</c:v>
                </c:pt>
                <c:pt idx="360">
                  <c:v>0.19000546848687772</c:v>
                </c:pt>
                <c:pt idx="361">
                  <c:v>0.19000446036403323</c:v>
                </c:pt>
                <c:pt idx="362">
                  <c:v>0.1900034800710706</c:v>
                </c:pt>
                <c:pt idx="363">
                  <c:v>0.19000253094009528</c:v>
                </c:pt>
                <c:pt idx="364">
                  <c:v>0.19000161599163584</c:v>
                </c:pt>
                <c:pt idx="365">
                  <c:v>0.19000073793539041</c:v>
                </c:pt>
                <c:pt idx="366">
                  <c:v>0.18999989917242396</c:v>
                </c:pt>
                <c:pt idx="367">
                  <c:v>0.18999910179873458</c:v>
                </c:pt>
                <c:pt idx="368">
                  <c:v>0.18999834761010526</c:v>
                </c:pt>
                <c:pt idx="369">
                  <c:v>0.18999763810815506</c:v>
                </c:pt>
                <c:pt idx="370">
                  <c:v>0.18999697450750258</c:v>
                </c:pt>
                <c:pt idx="371">
                  <c:v>0.18999635774395271</c:v>
                </c:pt>
                <c:pt idx="372">
                  <c:v>0.18999578848361795</c:v>
                </c:pt>
                <c:pt idx="373">
                  <c:v>0.18999526713288506</c:v>
                </c:pt>
                <c:pt idx="374">
                  <c:v>0.18999479384913798</c:v>
                </c:pt>
                <c:pt idx="375">
                  <c:v>0.18999436855214907</c:v>
                </c:pt>
                <c:pt idx="376">
                  <c:v>0.18999399093605124</c:v>
                </c:pt>
                <c:pt idx="377">
                  <c:v>0.18999366048180563</c:v>
                </c:pt>
                <c:pt idx="378">
                  <c:v>0.18999337647008122</c:v>
                </c:pt>
                <c:pt idx="379">
                  <c:v>0.18999313799446402</c:v>
                </c:pt>
                <c:pt idx="380">
                  <c:v>0.18999294397491734</c:v>
                </c:pt>
                <c:pt idx="381">
                  <c:v>0.18999279317141587</c:v>
                </c:pt>
                <c:pt idx="382">
                  <c:v>0.18999268419768042</c:v>
                </c:pt>
                <c:pt idx="383">
                  <c:v>0.18999261553494212</c:v>
                </c:pt>
                <c:pt idx="384">
                  <c:v>0.18999258554566936</c:v>
                </c:pt>
                <c:pt idx="385">
                  <c:v>0.18999259248719341</c:v>
                </c:pt>
                <c:pt idx="386">
                  <c:v>0.18999263452517212</c:v>
                </c:pt>
                <c:pt idx="387">
                  <c:v>0.18999270974683602</c:v>
                </c:pt>
                <c:pt idx="388">
                  <c:v>0.18999281617396302</c:v>
                </c:pt>
                <c:pt idx="389">
                  <c:v>0.18999295177553394</c:v>
                </c:pt>
                <c:pt idx="390">
                  <c:v>0.18999311448002304</c:v>
                </c:pt>
                <c:pt idx="391">
                  <c:v>0.189993302187283</c:v>
                </c:pt>
                <c:pt idx="392">
                  <c:v>0.18999351277998722</c:v>
                </c:pt>
                <c:pt idx="393">
                  <c:v>0.1899937441345963</c:v>
                </c:pt>
                <c:pt idx="394">
                  <c:v>0.18999399413181914</c:v>
                </c:pt>
                <c:pt idx="395">
                  <c:v>0.18999426066654396</c:v>
                </c:pt>
                <c:pt idx="396">
                  <c:v>0.18999454165721669</c:v>
                </c:pt>
                <c:pt idx="397">
                  <c:v>0.18999483505464954</c:v>
                </c:pt>
                <c:pt idx="398">
                  <c:v>0.18999513885024516</c:v>
                </c:pt>
                <c:pt idx="399">
                  <c:v>0.18999545108362539</c:v>
                </c:pt>
                <c:pt idx="400">
                  <c:v>0.18999576984965738</c:v>
                </c:pt>
                <c:pt idx="401">
                  <c:v>0.18999609330487277</c:v>
                </c:pt>
                <c:pt idx="402">
                  <c:v>0.18999641967327868</c:v>
                </c:pt>
                <c:pt idx="403">
                  <c:v>0.18999674725156285</c:v>
                </c:pt>
                <c:pt idx="404">
                  <c:v>0.18999707441369679</c:v>
                </c:pt>
                <c:pt idx="405">
                  <c:v>0.18999739961494511</c:v>
                </c:pt>
                <c:pt idx="406">
                  <c:v>0.18999772139529031</c:v>
                </c:pt>
                <c:pt idx="407">
                  <c:v>0.1899980383822851</c:v>
                </c:pt>
                <c:pt idx="408">
                  <c:v>0.18999834929334708</c:v>
                </c:pt>
                <c:pt idx="409">
                  <c:v>0.18999865293751125</c:v>
                </c:pt>
                <c:pt idx="410">
                  <c:v>0.18999894821665902</c:v>
                </c:pt>
                <c:pt idx="411">
                  <c:v>0.18999923412624303</c:v>
                </c:pt>
                <c:pt idx="412">
                  <c:v>0.18999950975552909</c:v>
                </c:pt>
                <c:pt idx="413">
                  <c:v>0.18999977428737741</c:v>
                </c:pt>
                <c:pt idx="414">
                  <c:v>0.19000002699758689</c:v>
                </c:pt>
                <c:pt idx="415">
                  <c:v>0.19000026725382685</c:v>
                </c:pt>
                <c:pt idx="416">
                  <c:v>0.19000049451418116</c:v>
                </c:pt>
                <c:pt idx="417">
                  <c:v>0.19000070832533128</c:v>
                </c:pt>
                <c:pt idx="418">
                  <c:v>0.19000090832040345</c:v>
                </c:pt>
                <c:pt idx="419">
                  <c:v>0.19000109421650807</c:v>
                </c:pt>
                <c:pt idx="420">
                  <c:v>0.19000126581199675</c:v>
                </c:pt>
                <c:pt idx="421">
                  <c:v>0.1900014229834649</c:v>
                </c:pt>
                <c:pt idx="422">
                  <c:v>0.19000156568252602</c:v>
                </c:pt>
                <c:pt idx="423">
                  <c:v>0.19000169393238436</c:v>
                </c:pt>
                <c:pt idx="424">
                  <c:v>0.19000180782423265</c:v>
                </c:pt>
                <c:pt idx="425">
                  <c:v>0.19000190751349982</c:v>
                </c:pt>
                <c:pt idx="426">
                  <c:v>0.19000199321597469</c:v>
                </c:pt>
                <c:pt idx="427">
                  <c:v>0.19000206520382998</c:v>
                </c:pt>
                <c:pt idx="428">
                  <c:v>0.19000212380157039</c:v>
                </c:pt>
                <c:pt idx="429">
                  <c:v>0.1900021693819281</c:v>
                </c:pt>
                <c:pt idx="430">
                  <c:v>0.19000220236172755</c:v>
                </c:pt>
                <c:pt idx="431">
                  <c:v>0.19000222319774118</c:v>
                </c:pt>
                <c:pt idx="432">
                  <c:v>0.19000223238255615</c:v>
                </c:pt>
                <c:pt idx="433">
                  <c:v>0.19000223044047101</c:v>
                </c:pt>
                <c:pt idx="434">
                  <c:v>0.19000221792344146</c:v>
                </c:pt>
                <c:pt idx="435">
                  <c:v>0.19000219540709073</c:v>
                </c:pt>
                <c:pt idx="436">
                  <c:v>0.19000216348680193</c:v>
                </c:pt>
                <c:pt idx="437">
                  <c:v>0.19000212277390635</c:v>
                </c:pt>
                <c:pt idx="438">
                  <c:v>0.19000207389198087</c:v>
                </c:pt>
                <c:pt idx="439">
                  <c:v>0.19000201747326817</c:v>
                </c:pt>
                <c:pt idx="440">
                  <c:v>0.19000195415522944</c:v>
                </c:pt>
                <c:pt idx="441">
                  <c:v>0.19000188457724052</c:v>
                </c:pt>
                <c:pt idx="442">
                  <c:v>0.19000180937743999</c:v>
                </c:pt>
                <c:pt idx="443">
                  <c:v>0.19000172918973685</c:v>
                </c:pt>
                <c:pt idx="444">
                  <c:v>0.1900016446409844</c:v>
                </c:pt>
                <c:pt idx="445">
                  <c:v>0.19000155634832572</c:v>
                </c:pt>
                <c:pt idx="446">
                  <c:v>0.19000146491671505</c:v>
                </c:pt>
                <c:pt idx="447">
                  <c:v>0.19000137093661823</c:v>
                </c:pt>
                <c:pt idx="448">
                  <c:v>0.19000127498189498</c:v>
                </c:pt>
                <c:pt idx="449">
                  <c:v>0.19000117760786336</c:v>
                </c:pt>
                <c:pt idx="450">
                  <c:v>0.1900010793495478</c:v>
                </c:pt>
                <c:pt idx="451">
                  <c:v>0.19000098072010935</c:v>
                </c:pt>
                <c:pt idx="452">
                  <c:v>0.19000088220945721</c:v>
                </c:pt>
                <c:pt idx="453">
                  <c:v>0.19000078428303929</c:v>
                </c:pt>
                <c:pt idx="454">
                  <c:v>0.19000068738080844</c:v>
                </c:pt>
                <c:pt idx="455">
                  <c:v>0.19000059191636151</c:v>
                </c:pt>
                <c:pt idx="456">
                  <c:v>0.19000049827624604</c:v>
                </c:pt>
                <c:pt idx="457">
                  <c:v>0.19000040681943048</c:v>
                </c:pt>
                <c:pt idx="458">
                  <c:v>0.19000031787693206</c:v>
                </c:pt>
                <c:pt idx="459">
                  <c:v>0.19000023175159636</c:v>
                </c:pt>
                <c:pt idx="460">
                  <c:v>0.19000014871802287</c:v>
                </c:pt>
                <c:pt idx="461">
                  <c:v>0.19000006902262859</c:v>
                </c:pt>
                <c:pt idx="462">
                  <c:v>0.189999992883844</c:v>
                </c:pt>
                <c:pt idx="463">
                  <c:v>0.189999920492433</c:v>
                </c:pt>
                <c:pt idx="464">
                  <c:v>0.18999985201192965</c:v>
                </c:pt>
                <c:pt idx="465">
                  <c:v>0.18999978757918401</c:v>
                </c:pt>
                <c:pt idx="466">
                  <c:v>0.18999972730500864</c:v>
                </c:pt>
                <c:pt idx="467">
                  <c:v>0.18999967127491862</c:v>
                </c:pt>
                <c:pt idx="468">
                  <c:v>0.18999961954995626</c:v>
                </c:pt>
                <c:pt idx="469">
                  <c:v>0.18999957216759239</c:v>
                </c:pt>
                <c:pt idx="470">
                  <c:v>0.18999952914269697</c:v>
                </c:pt>
                <c:pt idx="471">
                  <c:v>0.18999949046857006</c:v>
                </c:pt>
                <c:pt idx="472">
                  <c:v>0.18999945611802588</c:v>
                </c:pt>
                <c:pt idx="473">
                  <c:v>0.18999942604452208</c:v>
                </c:pt>
                <c:pt idx="474">
                  <c:v>0.18999940018332623</c:v>
                </c:pt>
                <c:pt idx="475">
                  <c:v>0.1899993784527127</c:v>
                </c:pt>
                <c:pt idx="476">
                  <c:v>0.18999936075518242</c:v>
                </c:pt>
                <c:pt idx="477">
                  <c:v>0.18999934697869852</c:v>
                </c:pt>
                <c:pt idx="478">
                  <c:v>0.18999933699793126</c:v>
                </c:pt>
                <c:pt idx="479">
                  <c:v>0.18999933067550592</c:v>
                </c:pt>
                <c:pt idx="480">
                  <c:v>0.18999932786324739</c:v>
                </c:pt>
                <c:pt idx="481">
                  <c:v>0.18999932840341566</c:v>
                </c:pt>
                <c:pt idx="482">
                  <c:v>0.18999933212992698</c:v>
                </c:pt>
                <c:pt idx="483">
                  <c:v>0.18999933886955522</c:v>
                </c:pt>
                <c:pt idx="484">
                  <c:v>0.18999934844310887</c:v>
                </c:pt>
                <c:pt idx="485">
                  <c:v>0.18999936066657913</c:v>
                </c:pt>
                <c:pt idx="486">
                  <c:v>0.18999937535225522</c:v>
                </c:pt>
                <c:pt idx="487">
                  <c:v>0.18999939230980267</c:v>
                </c:pt>
                <c:pt idx="488">
                  <c:v>0.18999941134730194</c:v>
                </c:pt>
                <c:pt idx="489">
                  <c:v>0.18999943227224375</c:v>
                </c:pt>
                <c:pt idx="490">
                  <c:v>0.18999945489247863</c:v>
                </c:pt>
                <c:pt idx="491">
                  <c:v>0.18999947901711878</c:v>
                </c:pt>
                <c:pt idx="492">
                  <c:v>0.18999950445738956</c:v>
                </c:pt>
                <c:pt idx="493">
                  <c:v>0.18999953102742925</c:v>
                </c:pt>
                <c:pt idx="494">
                  <c:v>0.18999955854503653</c:v>
                </c:pt>
                <c:pt idx="495">
                  <c:v>0.18999958683236318</c:v>
                </c:pt>
                <c:pt idx="496">
                  <c:v>0.18999961571655269</c:v>
                </c:pt>
                <c:pt idx="497">
                  <c:v>0.18999964503032366</c:v>
                </c:pt>
                <c:pt idx="498">
                  <c:v>0.18999967461249814</c:v>
                </c:pt>
                <c:pt idx="499">
                  <c:v>0.18999970430847501</c:v>
                </c:pt>
                <c:pt idx="500">
                  <c:v>0.18999973397064865</c:v>
                </c:pt>
                <c:pt idx="501">
                  <c:v>0.18999976345877406</c:v>
                </c:pt>
                <c:pt idx="502">
                  <c:v>0.18999979264027861</c:v>
                </c:pt>
                <c:pt idx="503">
                  <c:v>0.18999982139052207</c:v>
                </c:pt>
                <c:pt idx="504">
                  <c:v>0.18999984959300598</c:v>
                </c:pt>
                <c:pt idx="505">
                  <c:v>0.18999987713953392</c:v>
                </c:pt>
                <c:pt idx="506">
                  <c:v>0.18999990393032412</c:v>
                </c:pt>
                <c:pt idx="507">
                  <c:v>0.18999992987407641</c:v>
                </c:pt>
                <c:pt idx="508">
                  <c:v>0.18999995488799526</c:v>
                </c:pt>
                <c:pt idx="509">
                  <c:v>0.18999997889777126</c:v>
                </c:pt>
                <c:pt idx="510">
                  <c:v>0.19000000183752247</c:v>
                </c:pt>
                <c:pt idx="511">
                  <c:v>0.19000002364969873</c:v>
                </c:pt>
                <c:pt idx="512">
                  <c:v>0.1900000442849506</c:v>
                </c:pt>
                <c:pt idx="513">
                  <c:v>0.19000006370196532</c:v>
                </c:pt>
                <c:pt idx="514">
                  <c:v>0.19000008186727274</c:v>
                </c:pt>
                <c:pt idx="515">
                  <c:v>0.19000009875502277</c:v>
                </c:pt>
                <c:pt idx="516">
                  <c:v>0.19000011434673741</c:v>
                </c:pt>
                <c:pt idx="517">
                  <c:v>0.19000012863103963</c:v>
                </c:pt>
                <c:pt idx="518">
                  <c:v>0.19000014160336148</c:v>
                </c:pt>
                <c:pt idx="519">
                  <c:v>0.19000015326563391</c:v>
                </c:pt>
                <c:pt idx="520">
                  <c:v>0.19000016362596048</c:v>
                </c:pt>
                <c:pt idx="521">
                  <c:v>0.19000017269827754</c:v>
                </c:pt>
                <c:pt idx="522">
                  <c:v>0.19000018050200324</c:v>
                </c:pt>
                <c:pt idx="523">
                  <c:v>0.19000018706167715</c:v>
                </c:pt>
                <c:pt idx="524">
                  <c:v>0.19000019240659322</c:v>
                </c:pt>
                <c:pt idx="525">
                  <c:v>0.19000019657042758</c:v>
                </c:pt>
                <c:pt idx="526">
                  <c:v>0.19000019959086395</c:v>
                </c:pt>
                <c:pt idx="527">
                  <c:v>0.19000020150921773</c:v>
                </c:pt>
                <c:pt idx="528">
                  <c:v>0.19000020237006143</c:v>
                </c:pt>
                <c:pt idx="529">
                  <c:v>0.19000020222085245</c:v>
                </c:pt>
                <c:pt idx="530">
                  <c:v>0.19000020111156535</c:v>
                </c:pt>
                <c:pt idx="531">
                  <c:v>0.19000019909433019</c:v>
                </c:pt>
                <c:pt idx="532">
                  <c:v>0.19000019622307787</c:v>
                </c:pt>
                <c:pt idx="533">
                  <c:v>0.19000019255319436</c:v>
                </c:pt>
                <c:pt idx="534">
                  <c:v>0.19000018814118486</c:v>
                </c:pt>
                <c:pt idx="535">
                  <c:v>0.19000018304434879</c:v>
                </c:pt>
                <c:pt idx="536">
                  <c:v>0.19000017732046703</c:v>
                </c:pt>
                <c:pt idx="537">
                  <c:v>0.19000017102750211</c:v>
                </c:pt>
                <c:pt idx="538">
                  <c:v>0.19000016422331187</c:v>
                </c:pt>
                <c:pt idx="539">
                  <c:v>0.19000015696537798</c:v>
                </c:pt>
                <c:pt idx="540">
                  <c:v>0.19000014931054926</c:v>
                </c:pt>
                <c:pt idx="541">
                  <c:v>0.19000014131480059</c:v>
                </c:pt>
                <c:pt idx="542">
                  <c:v>0.19000013303300767</c:v>
                </c:pt>
                <c:pt idx="543">
                  <c:v>0.19000012451873838</c:v>
                </c:pt>
                <c:pt idx="544">
                  <c:v>0.19000011582406001</c:v>
                </c:pt>
                <c:pt idx="545">
                  <c:v>0.19000010699936362</c:v>
                </c:pt>
                <c:pt idx="546">
                  <c:v>0.19000009809320453</c:v>
                </c:pt>
                <c:pt idx="547">
                  <c:v>0.19000008915215977</c:v>
                </c:pt>
                <c:pt idx="548">
                  <c:v>0.19000008022070156</c:v>
                </c:pt>
                <c:pt idx="549">
                  <c:v>0.19000007134108743</c:v>
                </c:pt>
                <c:pt idx="550">
                  <c:v>0.19000006255326596</c:v>
                </c:pt>
                <c:pt idx="551">
                  <c:v>0.19000005389479824</c:v>
                </c:pt>
                <c:pt idx="552">
                  <c:v>0.19000004540079479</c:v>
                </c:pt>
                <c:pt idx="553">
                  <c:v>0.19000003710386698</c:v>
                </c:pt>
                <c:pt idx="554">
                  <c:v>0.19000002903409291</c:v>
                </c:pt>
                <c:pt idx="555">
                  <c:v>0.19000002121899728</c:v>
                </c:pt>
                <c:pt idx="556">
                  <c:v>0.19000001368354397</c:v>
                </c:pt>
                <c:pt idx="557">
                  <c:v>0.19000000645014165</c:v>
                </c:pt>
                <c:pt idx="558">
                  <c:v>0.18999999953866128</c:v>
                </c:pt>
                <c:pt idx="559">
                  <c:v>0.18999999296646469</c:v>
                </c:pt>
                <c:pt idx="560">
                  <c:v>0.1899999867484439</c:v>
                </c:pt>
                <c:pt idx="561">
                  <c:v>0.18999998089707046</c:v>
                </c:pt>
                <c:pt idx="562">
                  <c:v>0.18999997542245373</c:v>
                </c:pt>
                <c:pt idx="563">
                  <c:v>0.18999997033240773</c:v>
                </c:pt>
                <c:pt idx="564">
                  <c:v>0.1899999656325258</c:v>
                </c:pt>
                <c:pt idx="565">
                  <c:v>0.18999996132626201</c:v>
                </c:pt>
                <c:pt idx="566">
                  <c:v>0.18999995741501902</c:v>
                </c:pt>
                <c:pt idx="567">
                  <c:v>0.18999995389824154</c:v>
                </c:pt>
                <c:pt idx="568">
                  <c:v>0.18999995077351434</c:v>
                </c:pt>
                <c:pt idx="569">
                  <c:v>0.18999994803666442</c:v>
                </c:pt>
                <c:pt idx="570">
                  <c:v>0.18999994568186704</c:v>
                </c:pt>
                <c:pt idx="571">
                  <c:v>0.18999994370175377</c:v>
                </c:pt>
                <c:pt idx="572">
                  <c:v>0.18999994208752319</c:v>
                </c:pt>
                <c:pt idx="573">
                  <c:v>0.18999994082905303</c:v>
                </c:pt>
                <c:pt idx="574">
                  <c:v>0.18999993991501263</c:v>
                </c:pt>
                <c:pt idx="575">
                  <c:v>0.18999993933297643</c:v>
                </c:pt>
                <c:pt idx="576">
                  <c:v>0.18999993906953672</c:v>
                </c:pt>
                <c:pt idx="577">
                  <c:v>0.18999993911041546</c:v>
                </c:pt>
                <c:pt idx="578">
                  <c:v>0.18999993944057542</c:v>
                </c:pt>
                <c:pt idx="579">
                  <c:v>0.1899999400443288</c:v>
                </c:pt>
                <c:pt idx="580">
                  <c:v>0.18999994090544406</c:v>
                </c:pt>
                <c:pt idx="581">
                  <c:v>0.18999994200725029</c:v>
                </c:pt>
                <c:pt idx="582">
                  <c:v>0.18999994333273823</c:v>
                </c:pt>
                <c:pt idx="583">
                  <c:v>0.18999994486465807</c:v>
                </c:pt>
                <c:pt idx="584">
                  <c:v>0.18999994658561381</c:v>
                </c:pt>
                <c:pt idx="585">
                  <c:v>0.18999994847815366</c:v>
                </c:pt>
                <c:pt idx="586">
                  <c:v>0.18999995052485602</c:v>
                </c:pt>
                <c:pt idx="587">
                  <c:v>0.18999995270841169</c:v>
                </c:pt>
                <c:pt idx="588">
                  <c:v>0.18999995501170075</c:v>
                </c:pt>
                <c:pt idx="589">
                  <c:v>0.18999995741786568</c:v>
                </c:pt>
                <c:pt idx="590">
                  <c:v>0.18999995991037882</c:v>
                </c:pt>
                <c:pt idx="591">
                  <c:v>0.18999996247310569</c:v>
                </c:pt>
                <c:pt idx="592">
                  <c:v>0.18999996509036265</c:v>
                </c:pt>
                <c:pt idx="593">
                  <c:v>0.18999996774697017</c:v>
                </c:pt>
                <c:pt idx="594">
                  <c:v>0.18999997042830086</c:v>
                </c:pt>
                <c:pt idx="595">
                  <c:v>0.18999997312032235</c:v>
                </c:pt>
                <c:pt idx="596">
                  <c:v>0.18999997580963551</c:v>
                </c:pt>
                <c:pt idx="597">
                  <c:v>0.18999997848350778</c:v>
                </c:pt>
                <c:pt idx="598">
                  <c:v>0.18999998112990124</c:v>
                </c:pt>
                <c:pt idx="599">
                  <c:v>0.18999998373749663</c:v>
                </c:pt>
                <c:pt idx="600">
                  <c:v>0.18999998629571233</c:v>
                </c:pt>
                <c:pt idx="601">
                  <c:v>0.18999998879471897</c:v>
                </c:pt>
                <c:pt idx="602">
                  <c:v>0.18999999122544986</c:v>
                </c:pt>
                <c:pt idx="603">
                  <c:v>0.18999999357960701</c:v>
                </c:pt>
                <c:pt idx="604">
                  <c:v>0.18999999584966354</c:v>
                </c:pt>
                <c:pt idx="605">
                  <c:v>0.18999999802886186</c:v>
                </c:pt>
                <c:pt idx="606">
                  <c:v>0.19000000011120871</c:v>
                </c:pt>
                <c:pt idx="607">
                  <c:v>0.19000000209146631</c:v>
                </c:pt>
                <c:pt idx="608">
                  <c:v>0.19000000396514075</c:v>
                </c:pt>
                <c:pt idx="609">
                  <c:v>0.19000000572846712</c:v>
                </c:pt>
                <c:pt idx="610">
                  <c:v>0.19000000737839207</c:v>
                </c:pt>
                <c:pt idx="611">
                  <c:v>0.19000000891255348</c:v>
                </c:pt>
                <c:pt idx="612">
                  <c:v>0.1900000103292584</c:v>
                </c:pt>
                <c:pt idx="613">
                  <c:v>0.19000001162745817</c:v>
                </c:pt>
                <c:pt idx="614">
                  <c:v>0.19000001280672224</c:v>
                </c:pt>
                <c:pt idx="615">
                  <c:v>0.19000001386720994</c:v>
                </c:pt>
                <c:pt idx="616">
                  <c:v>0.19000001480964107</c:v>
                </c:pt>
                <c:pt idx="617">
                  <c:v>0.19000001563526508</c:v>
                </c:pt>
                <c:pt idx="618">
                  <c:v>0.19000001634582919</c:v>
                </c:pt>
                <c:pt idx="619">
                  <c:v>0.19000001694354585</c:v>
                </c:pt>
                <c:pt idx="620">
                  <c:v>0.1900000174310594</c:v>
                </c:pt>
                <c:pt idx="621">
                  <c:v>0.19000001781141246</c:v>
                </c:pt>
                <c:pt idx="622">
                  <c:v>0.19000001808801176</c:v>
                </c:pt>
                <c:pt idx="623">
                  <c:v>0.19000001826459434</c:v>
                </c:pt>
                <c:pt idx="624">
                  <c:v>0.19000001834519337</c:v>
                </c:pt>
                <c:pt idx="625">
                  <c:v>0.1900000183341044</c:v>
                </c:pt>
                <c:pt idx="626">
                  <c:v>0.19000001823585222</c:v>
                </c:pt>
                <c:pt idx="627">
                  <c:v>0.19000001805515776</c:v>
                </c:pt>
                <c:pt idx="628">
                  <c:v>0.19000001779690623</c:v>
                </c:pt>
                <c:pt idx="629">
                  <c:v>0.1900000174661155</c:v>
                </c:pt>
                <c:pt idx="630">
                  <c:v>0.1900000170679057</c:v>
                </c:pt>
                <c:pt idx="631">
                  <c:v>0.19000001660746982</c:v>
                </c:pt>
                <c:pt idx="632">
                  <c:v>0.19000001609004524</c:v>
                </c:pt>
                <c:pt idx="633">
                  <c:v>0.19000001552088652</c:v>
                </c:pt>
                <c:pt idx="634">
                  <c:v>0.19000001490523938</c:v>
                </c:pt>
                <c:pt idx="635">
                  <c:v>0.1900000142483162</c:v>
                </c:pt>
                <c:pt idx="636">
                  <c:v>0.19000001355527246</c:v>
                </c:pt>
                <c:pt idx="637">
                  <c:v>0.19000001283118512</c:v>
                </c:pt>
                <c:pt idx="638">
                  <c:v>0.19000001208103193</c:v>
                </c:pt>
                <c:pt idx="639">
                  <c:v>0.19000001130967265</c:v>
                </c:pt>
                <c:pt idx="640">
                  <c:v>0.19000001052183141</c:v>
                </c:pt>
                <c:pt idx="641">
                  <c:v>0.19000000972208081</c:v>
                </c:pt>
                <c:pt idx="642">
                  <c:v>0.19000000891482743</c:v>
                </c:pt>
                <c:pt idx="643">
                  <c:v>0.19000000810429873</c:v>
                </c:pt>
                <c:pt idx="644">
                  <c:v>0.19000000729453187</c:v>
                </c:pt>
                <c:pt idx="645">
                  <c:v>0.19000000648936327</c:v>
                </c:pt>
                <c:pt idx="646">
                  <c:v>0.19000000569242026</c:v>
                </c:pt>
                <c:pt idx="647">
                  <c:v>0.19000000490711411</c:v>
                </c:pt>
                <c:pt idx="648">
                  <c:v>0.19000000413663379</c:v>
                </c:pt>
                <c:pt idx="649">
                  <c:v>0.19000000338394202</c:v>
                </c:pt>
                <c:pt idx="650">
                  <c:v>0.19000000265177186</c:v>
                </c:pt>
                <c:pt idx="651">
                  <c:v>0.19000000194262487</c:v>
                </c:pt>
                <c:pt idx="652">
                  <c:v>0.19000000125877053</c:v>
                </c:pt>
                <c:pt idx="653">
                  <c:v>0.19000000060224667</c:v>
                </c:pt>
                <c:pt idx="654">
                  <c:v>0.18999999997486089</c:v>
                </c:pt>
                <c:pt idx="655">
                  <c:v>0.18999999937819334</c:v>
                </c:pt>
                <c:pt idx="656">
                  <c:v>0.18999999881360013</c:v>
                </c:pt>
                <c:pt idx="657">
                  <c:v>0.18999999828221775</c:v>
                </c:pt>
                <c:pt idx="658">
                  <c:v>0.18999999778496851</c:v>
                </c:pt>
                <c:pt idx="659">
                  <c:v>0.18999999732256634</c:v>
                </c:pt>
                <c:pt idx="660">
                  <c:v>0.18999999689552372</c:v>
                </c:pt>
                <c:pt idx="661">
                  <c:v>0.18999999650415894</c:v>
                </c:pt>
                <c:pt idx="662">
                  <c:v>0.18999999614860416</c:v>
                </c:pt>
                <c:pt idx="663">
                  <c:v>0.18999999582881377</c:v>
                </c:pt>
                <c:pt idx="664">
                  <c:v>0.18999999554457325</c:v>
                </c:pt>
                <c:pt idx="665">
                  <c:v>0.18999999529550851</c:v>
                </c:pt>
                <c:pt idx="666">
                  <c:v>0.1899999950810955</c:v>
                </c:pt>
                <c:pt idx="667">
                  <c:v>0.18999999490066988</c:v>
                </c:pt>
                <c:pt idx="668">
                  <c:v>0.18999999475343715</c:v>
                </c:pt>
                <c:pt idx="669">
                  <c:v>0.18999999463848283</c:v>
                </c:pt>
                <c:pt idx="670">
                  <c:v>0.1899999945547825</c:v>
                </c:pt>
                <c:pt idx="671">
                  <c:v>0.18999999450121238</c:v>
                </c:pt>
                <c:pt idx="672">
                  <c:v>0.18999999447655921</c:v>
                </c:pt>
                <c:pt idx="673">
                  <c:v>0.18999999447953064</c:v>
                </c:pt>
                <c:pt idx="674">
                  <c:v>0.18999999450876515</c:v>
                </c:pt>
                <c:pt idx="675">
                  <c:v>0.18999999456284206</c:v>
                </c:pt>
                <c:pt idx="676">
                  <c:v>0.18999999464029116</c:v>
                </c:pt>
                <c:pt idx="677">
                  <c:v>0.18999999473960197</c:v>
                </c:pt>
                <c:pt idx="678">
                  <c:v>0.1899999948592333</c:v>
                </c:pt>
                <c:pt idx="679">
                  <c:v>0.18999999499762177</c:v>
                </c:pt>
                <c:pt idx="680">
                  <c:v>0.18999999515319066</c:v>
                </c:pt>
                <c:pt idx="681">
                  <c:v>0.1899999953243578</c:v>
                </c:pt>
                <c:pt idx="682">
                  <c:v>0.18999999550954372</c:v>
                </c:pt>
                <c:pt idx="683">
                  <c:v>0.18999999570717879</c:v>
                </c:pt>
                <c:pt idx="684">
                  <c:v>0.18999999591571048</c:v>
                </c:pt>
                <c:pt idx="685">
                  <c:v>0.18999999613360979</c:v>
                </c:pt>
                <c:pt idx="686">
                  <c:v>0.18999999635937748</c:v>
                </c:pt>
                <c:pt idx="687">
                  <c:v>0.1899999965915499</c:v>
                </c:pt>
                <c:pt idx="688">
                  <c:v>0.18999999682870394</c:v>
                </c:pt>
                <c:pt idx="689">
                  <c:v>0.18999999706946225</c:v>
                </c:pt>
                <c:pt idx="690">
                  <c:v>0.18999999731249734</c:v>
                </c:pt>
                <c:pt idx="691">
                  <c:v>0.18999999755653552</c:v>
                </c:pt>
                <c:pt idx="692">
                  <c:v>0.18999999780036053</c:v>
                </c:pt>
                <c:pt idx="693">
                  <c:v>0.18999999804281639</c:v>
                </c:pt>
                <c:pt idx="694">
                  <c:v>0.18999999828281003</c:v>
                </c:pt>
                <c:pt idx="695">
                  <c:v>0.18999999851931348</c:v>
                </c:pt>
                <c:pt idx="696">
                  <c:v>0.18999999875136561</c:v>
                </c:pt>
                <c:pt idx="697">
                  <c:v>0.18999999897807349</c:v>
                </c:pt>
                <c:pt idx="698">
                  <c:v>0.18999999919861321</c:v>
                </c:pt>
                <c:pt idx="699">
                  <c:v>0.18999999941223064</c:v>
                </c:pt>
                <c:pt idx="700">
                  <c:v>0.18999999961824154</c:v>
                </c:pt>
                <c:pt idx="701">
                  <c:v>0.18999999981603133</c:v>
                </c:pt>
                <c:pt idx="702">
                  <c:v>0.19000000000505488</c:v>
                </c:pt>
                <c:pt idx="703">
                  <c:v>0.19000000018483545</c:v>
                </c:pt>
                <c:pt idx="704">
                  <c:v>0.19000000035496381</c:v>
                </c:pt>
                <c:pt idx="705">
                  <c:v>0.19000000051509691</c:v>
                </c:pt>
                <c:pt idx="706">
                  <c:v>0.19000000066495618</c:v>
                </c:pt>
                <c:pt idx="707">
                  <c:v>0.19000000080432577</c:v>
                </c:pt>
                <c:pt idx="708">
                  <c:v>0.19000000093305067</c:v>
                </c:pt>
                <c:pt idx="709">
                  <c:v>0.19000000105103415</c:v>
                </c:pt>
                <c:pt idx="710">
                  <c:v>0.19000000115823573</c:v>
                </c:pt>
                <c:pt idx="711">
                  <c:v>0.1900000012546684</c:v>
                </c:pt>
                <c:pt idx="712">
                  <c:v>0.19000000134039613</c:v>
                </c:pt>
                <c:pt idx="713">
                  <c:v>0.19000000141553083</c:v>
                </c:pt>
                <c:pt idx="714">
                  <c:v>0.19000000148022977</c:v>
                </c:pt>
                <c:pt idx="715">
                  <c:v>0.19000000153469243</c:v>
                </c:pt>
                <c:pt idx="716">
                  <c:v>0.19000000157915745</c:v>
                </c:pt>
                <c:pt idx="717">
                  <c:v>0.19000000161389974</c:v>
                </c:pt>
                <c:pt idx="718">
                  <c:v>0.19000000163922726</c:v>
                </c:pt>
                <c:pt idx="719">
                  <c:v>0.19000000165547809</c:v>
                </c:pt>
                <c:pt idx="720">
                  <c:v>0.19000000166301709</c:v>
                </c:pt>
                <c:pt idx="721">
                  <c:v>0.1900000016622331</c:v>
                </c:pt>
                <c:pt idx="722">
                  <c:v>0.19000000165353581</c:v>
                </c:pt>
                <c:pt idx="723">
                  <c:v>0.19000000163735273</c:v>
                </c:pt>
                <c:pt idx="724">
                  <c:v>0.19000000161412639</c:v>
                </c:pt>
                <c:pt idx="725">
                  <c:v>0.19000000158431138</c:v>
                </c:pt>
                <c:pt idx="726">
                  <c:v>0.19000000154837166</c:v>
                </c:pt>
                <c:pt idx="727">
                  <c:v>0.19000000150677787</c:v>
                </c:pt>
                <c:pt idx="728">
                  <c:v>0.19000000146000473</c:v>
                </c:pt>
                <c:pt idx="729">
                  <c:v>0.19000000140852857</c:v>
                </c:pt>
                <c:pt idx="730">
                  <c:v>0.19000000135282502</c:v>
                </c:pt>
                <c:pt idx="731">
                  <c:v>0.19000000129336669</c:v>
                </c:pt>
                <c:pt idx="732">
                  <c:v>0.19000000123062119</c:v>
                </c:pt>
                <c:pt idx="733">
                  <c:v>0.19000000116504895</c:v>
                </c:pt>
                <c:pt idx="734">
                  <c:v>0.19000000109710147</c:v>
                </c:pt>
                <c:pt idx="735">
                  <c:v>0.19000000102721973</c:v>
                </c:pt>
                <c:pt idx="736">
                  <c:v>0.19000000095583225</c:v>
                </c:pt>
                <c:pt idx="737">
                  <c:v>0.19000000088335406</c:v>
                </c:pt>
                <c:pt idx="738">
                  <c:v>0.19000000081018498</c:v>
                </c:pt>
                <c:pt idx="739">
                  <c:v>0.19000000073670875</c:v>
                </c:pt>
                <c:pt idx="740">
                  <c:v>0.19000000066329181</c:v>
                </c:pt>
                <c:pt idx="741">
                  <c:v>0.19000000059028252</c:v>
                </c:pt>
                <c:pt idx="742">
                  <c:v>0.19000000051801025</c:v>
                </c:pt>
                <c:pt idx="743">
                  <c:v>0.19000000044678472</c:v>
                </c:pt>
                <c:pt idx="744">
                  <c:v>0.19000000037689566</c:v>
                </c:pt>
                <c:pt idx="745">
                  <c:v>0.19000000030861217</c:v>
                </c:pt>
                <c:pt idx="746">
                  <c:v>0.19000000024218261</c:v>
                </c:pt>
                <c:pt idx="747">
                  <c:v>0.19000000017783436</c:v>
                </c:pt>
                <c:pt idx="748">
                  <c:v>0.19000000011577373</c:v>
                </c:pt>
                <c:pt idx="749">
                  <c:v>0.19000000005618595</c:v>
                </c:pt>
                <c:pt idx="750">
                  <c:v>0.18999999999923559</c:v>
                </c:pt>
                <c:pt idx="751">
                  <c:v>0.18999999994506633</c:v>
                </c:pt>
                <c:pt idx="752">
                  <c:v>0.18999999989380176</c:v>
                </c:pt>
                <c:pt idx="753">
                  <c:v>0.18999999984554539</c:v>
                </c:pt>
                <c:pt idx="754">
                  <c:v>0.1899999998003814</c:v>
                </c:pt>
                <c:pt idx="755">
                  <c:v>0.18999999975837495</c:v>
                </c:pt>
                <c:pt idx="756">
                  <c:v>0.18999999971957304</c:v>
                </c:pt>
                <c:pt idx="757">
                  <c:v>0.18999999968400499</c:v>
                </c:pt>
                <c:pt idx="758">
                  <c:v>0.18999999965168324</c:v>
                </c:pt>
                <c:pt idx="759">
                  <c:v>0.18999999962260405</c:v>
                </c:pt>
                <c:pt idx="760">
                  <c:v>0.1899999995967484</c:v>
                </c:pt>
                <c:pt idx="761">
                  <c:v>0.18999999957408281</c:v>
                </c:pt>
                <c:pt idx="762">
                  <c:v>0.18999999955456004</c:v>
                </c:pt>
                <c:pt idx="763">
                  <c:v>0.18999999953812022</c:v>
                </c:pt>
                <c:pt idx="764">
                  <c:v>0.18999999952469165</c:v>
                </c:pt>
                <c:pt idx="765">
                  <c:v>0.18999999951419172</c:v>
                </c:pt>
                <c:pt idx="766">
                  <c:v>0.18999999950652785</c:v>
                </c:pt>
                <c:pt idx="767">
                  <c:v>0.18999999950159835</c:v>
                </c:pt>
                <c:pt idx="768">
                  <c:v>0.18999999949929341</c:v>
                </c:pt>
                <c:pt idx="769">
                  <c:v>0.18999999949949611</c:v>
                </c:pt>
                <c:pt idx="770">
                  <c:v>0.18999999950208318</c:v>
                </c:pt>
                <c:pt idx="771">
                  <c:v>0.18999999950692592</c:v>
                </c:pt>
                <c:pt idx="772">
                  <c:v>0.18999999951389118</c:v>
                </c:pt>
                <c:pt idx="773">
                  <c:v>0.18999999952284208</c:v>
                </c:pt>
                <c:pt idx="774">
                  <c:v>0.18999999953363905</c:v>
                </c:pt>
                <c:pt idx="775">
                  <c:v>0.18999999954614033</c:v>
                </c:pt>
                <c:pt idx="776">
                  <c:v>0.18999999956020303</c:v>
                </c:pt>
                <c:pt idx="777">
                  <c:v>0.18999999957568375</c:v>
                </c:pt>
                <c:pt idx="778">
                  <c:v>0.18999999959243921</c:v>
                </c:pt>
                <c:pt idx="779">
                  <c:v>0.18999999961032715</c:v>
                </c:pt>
                <c:pt idx="780">
                  <c:v>0.18999999962920672</c:v>
                </c:pt>
                <c:pt idx="781">
                  <c:v>0.18999999964893929</c:v>
                </c:pt>
                <c:pt idx="782">
                  <c:v>0.18999999966938885</c:v>
                </c:pt>
                <c:pt idx="783">
                  <c:v>0.18999999969042258</c:v>
                </c:pt>
                <c:pt idx="784">
                  <c:v>0.18999999971191145</c:v>
                </c:pt>
                <c:pt idx="785">
                  <c:v>0.18999999973373033</c:v>
                </c:pt>
                <c:pt idx="786">
                  <c:v>0.1899999997557589</c:v>
                </c:pt>
                <c:pt idx="787">
                  <c:v>0.18999999977788146</c:v>
                </c:pt>
                <c:pt idx="788">
                  <c:v>0.18999999979998766</c:v>
                </c:pt>
                <c:pt idx="789">
                  <c:v>0.18999999982197247</c:v>
                </c:pt>
                <c:pt idx="790">
                  <c:v>0.18999999984373672</c:v>
                </c:pt>
                <c:pt idx="791">
                  <c:v>0.18999999986518701</c:v>
                </c:pt>
                <c:pt idx="792">
                  <c:v>0.18999999988623606</c:v>
                </c:pt>
                <c:pt idx="793">
                  <c:v>0.18999999990680277</c:v>
                </c:pt>
                <c:pt idx="794">
                  <c:v>0.18999999992681221</c:v>
                </c:pt>
                <c:pt idx="795">
                  <c:v>0.18999999994619593</c:v>
                </c:pt>
                <c:pt idx="796">
                  <c:v>0.18999999996489164</c:v>
                </c:pt>
                <c:pt idx="797">
                  <c:v>0.1899999999828435</c:v>
                </c:pt>
                <c:pt idx="798">
                  <c:v>0.19000000000000192</c:v>
                </c:pt>
                <c:pt idx="799">
                  <c:v>0.1900000000163235</c:v>
                </c:pt>
                <c:pt idx="800">
                  <c:v>0.19000000003177098</c:v>
                </c:pt>
                <c:pt idx="801">
                  <c:v>0.19000000004631309</c:v>
                </c:pt>
                <c:pt idx="802">
                  <c:v>0.19000000005992443</c:v>
                </c:pt>
                <c:pt idx="803">
                  <c:v>0.19000000007258527</c:v>
                </c:pt>
                <c:pt idx="804">
                  <c:v>0.19000000008428145</c:v>
                </c:pt>
                <c:pt idx="805">
                  <c:v>0.19000000009500398</c:v>
                </c:pt>
                <c:pt idx="806">
                  <c:v>0.19000000010474913</c:v>
                </c:pt>
                <c:pt idx="807">
                  <c:v>0.19000000011351792</c:v>
                </c:pt>
                <c:pt idx="808">
                  <c:v>0.19000000012131599</c:v>
                </c:pt>
                <c:pt idx="809">
                  <c:v>0.19000000012815343</c:v>
                </c:pt>
                <c:pt idx="810">
                  <c:v>0.19000000013404439</c:v>
                </c:pt>
                <c:pt idx="811">
                  <c:v>0.19000000013900678</c:v>
                </c:pt>
                <c:pt idx="812">
                  <c:v>0.1900000001430622</c:v>
                </c:pt>
                <c:pt idx="813">
                  <c:v>0.19000000014623547</c:v>
                </c:pt>
                <c:pt idx="814">
                  <c:v>0.19000000014855445</c:v>
                </c:pt>
                <c:pt idx="815">
                  <c:v>0.1900000001500497</c:v>
                </c:pt>
                <c:pt idx="816">
                  <c:v>0.19000000015075424</c:v>
                </c:pt>
                <c:pt idx="817">
                  <c:v>0.19000000015070326</c:v>
                </c:pt>
                <c:pt idx="818">
                  <c:v>0.19000000014993385</c:v>
                </c:pt>
                <c:pt idx="819">
                  <c:v>0.19000000014848473</c:v>
                </c:pt>
                <c:pt idx="820">
                  <c:v>0.19000000014639598</c:v>
                </c:pt>
                <c:pt idx="821">
                  <c:v>0.1900000001437088</c:v>
                </c:pt>
                <c:pt idx="822">
                  <c:v>0.19000000014046523</c:v>
                </c:pt>
                <c:pt idx="823">
                  <c:v>0.1900000001367079</c:v>
                </c:pt>
                <c:pt idx="824">
                  <c:v>0.19000000013247986</c:v>
                </c:pt>
                <c:pt idx="825">
                  <c:v>0.19000000012782428</c:v>
                </c:pt>
                <c:pt idx="826">
                  <c:v>0.19000000012278428</c:v>
                </c:pt>
                <c:pt idx="827">
                  <c:v>0.19000000011740276</c:v>
                </c:pt>
                <c:pt idx="828">
                  <c:v>0.19000000011172205</c:v>
                </c:pt>
                <c:pt idx="829">
                  <c:v>0.19000000010578397</c:v>
                </c:pt>
                <c:pt idx="830">
                  <c:v>0.19000000009962947</c:v>
                </c:pt>
                <c:pt idx="831">
                  <c:v>0.19000000009329848</c:v>
                </c:pt>
                <c:pt idx="832">
                  <c:v>0.19000000008682999</c:v>
                </c:pt>
                <c:pt idx="833">
                  <c:v>0.19000000008026163</c:v>
                </c:pt>
                <c:pt idx="834">
                  <c:v>0.19000000007362963</c:v>
                </c:pt>
                <c:pt idx="835">
                  <c:v>0.19000000006696888</c:v>
                </c:pt>
                <c:pt idx="836">
                  <c:v>0.19000000006031259</c:v>
                </c:pt>
                <c:pt idx="837">
                  <c:v>0.19000000005369244</c:v>
                </c:pt>
                <c:pt idx="838">
                  <c:v>0.19000000004713832</c:v>
                </c:pt>
                <c:pt idx="839">
                  <c:v>0.19000000004067835</c:v>
                </c:pt>
                <c:pt idx="840">
                  <c:v>0.19000000003433884</c:v>
                </c:pt>
                <c:pt idx="841">
                  <c:v>0.19000000002814427</c:v>
                </c:pt>
                <c:pt idx="842">
                  <c:v>0.19000000002211714</c:v>
                </c:pt>
                <c:pt idx="843">
                  <c:v>0.19000000001627818</c:v>
                </c:pt>
                <c:pt idx="844">
                  <c:v>0.1900000000106461</c:v>
                </c:pt>
                <c:pt idx="845">
                  <c:v>0.19000000000523781</c:v>
                </c:pt>
                <c:pt idx="846">
                  <c:v>0.1900000000000682</c:v>
                </c:pt>
                <c:pt idx="847">
                  <c:v>0.18999999999515038</c:v>
                </c:pt>
                <c:pt idx="848">
                  <c:v>0.18999999999049563</c:v>
                </c:pt>
                <c:pt idx="849">
                  <c:v>0.18999999998611333</c:v>
                </c:pt>
                <c:pt idx="850">
                  <c:v>0.18999999998201123</c:v>
                </c:pt>
                <c:pt idx="851">
                  <c:v>0.18999999997819522</c:v>
                </c:pt>
                <c:pt idx="852">
                  <c:v>0.1899999999746696</c:v>
                </c:pt>
                <c:pt idx="853">
                  <c:v>0.18999999997143713</c:v>
                </c:pt>
                <c:pt idx="854">
                  <c:v>0.18999999996849895</c:v>
                </c:pt>
                <c:pt idx="855">
                  <c:v>0.18999999996585476</c:v>
                </c:pt>
                <c:pt idx="856">
                  <c:v>0.18999999996350284</c:v>
                </c:pt>
                <c:pt idx="857">
                  <c:v>0.18999999996144024</c:v>
                </c:pt>
                <c:pt idx="858">
                  <c:v>0.18999999995966266</c:v>
                </c:pt>
                <c:pt idx="859">
                  <c:v>0.18999999995816474</c:v>
                </c:pt>
                <c:pt idx="860">
                  <c:v>0.18999999995694003</c:v>
                </c:pt>
                <c:pt idx="861">
                  <c:v>0.18999999995598102</c:v>
                </c:pt>
                <c:pt idx="862">
                  <c:v>0.18999999995527933</c:v>
                </c:pt>
                <c:pt idx="863">
                  <c:v>0.1899999999548258</c:v>
                </c:pt>
                <c:pt idx="864">
                  <c:v>0.1899999999546105</c:v>
                </c:pt>
                <c:pt idx="865">
                  <c:v>0.18999999995462283</c:v>
                </c:pt>
                <c:pt idx="866">
                  <c:v>0.18999999995485162</c:v>
                </c:pt>
                <c:pt idx="867">
                  <c:v>0.18999999995528524</c:v>
                </c:pt>
                <c:pt idx="868">
                  <c:v>0.1899999999559116</c:v>
                </c:pt>
                <c:pt idx="869">
                  <c:v>0.18999999995671829</c:v>
                </c:pt>
                <c:pt idx="870">
                  <c:v>0.18999999995769273</c:v>
                </c:pt>
                <c:pt idx="871">
                  <c:v>0.189999999958822</c:v>
                </c:pt>
                <c:pt idx="872">
                  <c:v>0.18999999996009317</c:v>
                </c:pt>
                <c:pt idx="873">
                  <c:v>0.18999999996149325</c:v>
                </c:pt>
                <c:pt idx="874">
                  <c:v>0.18999999996300926</c:v>
                </c:pt>
                <c:pt idx="875">
                  <c:v>0.1899999999646283</c:v>
                </c:pt>
                <c:pt idx="876">
                  <c:v>0.18999999996633757</c:v>
                </c:pt>
                <c:pt idx="877">
                  <c:v>0.1899999999681245</c:v>
                </c:pt>
                <c:pt idx="878">
                  <c:v>0.18999999996997677</c:v>
                </c:pt>
                <c:pt idx="879">
                  <c:v>0.18999999997188233</c:v>
                </c:pt>
                <c:pt idx="880">
                  <c:v>0.18999999997382944</c:v>
                </c:pt>
                <c:pt idx="881">
                  <c:v>0.1899999999758068</c:v>
                </c:pt>
                <c:pt idx="882">
                  <c:v>0.18999999997780342</c:v>
                </c:pt>
                <c:pt idx="883">
                  <c:v>0.18999999997980888</c:v>
                </c:pt>
                <c:pt idx="884">
                  <c:v>0.18999999998181311</c:v>
                </c:pt>
                <c:pt idx="885">
                  <c:v>0.18999999998380657</c:v>
                </c:pt>
                <c:pt idx="886">
                  <c:v>0.18999999998578032</c:v>
                </c:pt>
                <c:pt idx="887">
                  <c:v>0.18999999998772579</c:v>
                </c:pt>
                <c:pt idx="888">
                  <c:v>0.18999999998963513</c:v>
                </c:pt>
                <c:pt idx="889">
                  <c:v>0.18999999999150091</c:v>
                </c:pt>
                <c:pt idx="890">
                  <c:v>0.18999999999331635</c:v>
                </c:pt>
                <c:pt idx="891">
                  <c:v>0.18999999999507522</c:v>
                </c:pt>
                <c:pt idx="892">
                  <c:v>0.18999999999677186</c:v>
                </c:pt>
                <c:pt idx="893">
                  <c:v>0.18999999999840123</c:v>
                </c:pt>
                <c:pt idx="894">
                  <c:v>0.18999999999995876</c:v>
                </c:pt>
                <c:pt idx="895">
                  <c:v>0.19000000000144052</c:v>
                </c:pt>
                <c:pt idx="896">
                  <c:v>0.19000000000284312</c:v>
                </c:pt>
                <c:pt idx="897">
                  <c:v>0.19000000000416373</c:v>
                </c:pt>
                <c:pt idx="898">
                  <c:v>0.19000000000540002</c:v>
                </c:pt>
                <c:pt idx="899">
                  <c:v>0.19000000000655015</c:v>
                </c:pt>
                <c:pt idx="900">
                  <c:v>0.19000000000761288</c:v>
                </c:pt>
                <c:pt idx="901">
                  <c:v>0.19000000000858736</c:v>
                </c:pt>
                <c:pt idx="902">
                  <c:v>0.19000000000947323</c:v>
                </c:pt>
                <c:pt idx="903">
                  <c:v>0.19000000001027059</c:v>
                </c:pt>
                <c:pt idx="904">
                  <c:v>0.19000000001097994</c:v>
                </c:pt>
                <c:pt idx="905">
                  <c:v>0.19000000001160217</c:v>
                </c:pt>
                <c:pt idx="906">
                  <c:v>0.19000000001213851</c:v>
                </c:pt>
                <c:pt idx="907">
                  <c:v>0.19000000001259065</c:v>
                </c:pt>
                <c:pt idx="908">
                  <c:v>0.19000000001296052</c:v>
                </c:pt>
                <c:pt idx="909">
                  <c:v>0.19000000001325035</c:v>
                </c:pt>
                <c:pt idx="910">
                  <c:v>0.19000000001346265</c:v>
                </c:pt>
                <c:pt idx="911">
                  <c:v>0.19000000001360018</c:v>
                </c:pt>
                <c:pt idx="912">
                  <c:v>0.19000000001366596</c:v>
                </c:pt>
                <c:pt idx="913">
                  <c:v>0.19000000001366318</c:v>
                </c:pt>
                <c:pt idx="914">
                  <c:v>0.19000000001359516</c:v>
                </c:pt>
                <c:pt idx="915">
                  <c:v>0.1900000000134654</c:v>
                </c:pt>
                <c:pt idx="916">
                  <c:v>0.1900000000132776</c:v>
                </c:pt>
                <c:pt idx="917">
                  <c:v>0.19000000001303541</c:v>
                </c:pt>
                <c:pt idx="918">
                  <c:v>0.1900000000127427</c:v>
                </c:pt>
                <c:pt idx="919">
                  <c:v>0.19000000001240328</c:v>
                </c:pt>
                <c:pt idx="920">
                  <c:v>0.19000000001202111</c:v>
                </c:pt>
                <c:pt idx="921">
                  <c:v>0.19000000001160006</c:v>
                </c:pt>
                <c:pt idx="922">
                  <c:v>0.19000000001114403</c:v>
                </c:pt>
                <c:pt idx="923">
                  <c:v>0.19000000001065698</c:v>
                </c:pt>
                <c:pt idx="924">
                  <c:v>0.19000000001014267</c:v>
                </c:pt>
                <c:pt idx="925">
                  <c:v>0.19000000000960493</c:v>
                </c:pt>
                <c:pt idx="926">
                  <c:v>0.19000000000904746</c:v>
                </c:pt>
                <c:pt idx="927">
                  <c:v>0.19000000000847392</c:v>
                </c:pt>
                <c:pt idx="928">
                  <c:v>0.1900000000078878</c:v>
                </c:pt>
                <c:pt idx="929">
                  <c:v>0.19000000000729256</c:v>
                </c:pt>
                <c:pt idx="930">
                  <c:v>0.19000000000669143</c:v>
                </c:pt>
                <c:pt idx="931">
                  <c:v>0.1900000000060876</c:v>
                </c:pt>
                <c:pt idx="932">
                  <c:v>0.19000000000548414</c:v>
                </c:pt>
                <c:pt idx="933">
                  <c:v>0.19000000000488385</c:v>
                </c:pt>
                <c:pt idx="934">
                  <c:v>0.19000000000428949</c:v>
                </c:pt>
                <c:pt idx="935">
                  <c:v>0.1900000000037036</c:v>
                </c:pt>
                <c:pt idx="936">
                  <c:v>0.19000000000312856</c:v>
                </c:pt>
                <c:pt idx="937">
                  <c:v>0.19000000000256656</c:v>
                </c:pt>
                <c:pt idx="938">
                  <c:v>0.19000000000201975</c:v>
                </c:pt>
                <c:pt idx="939">
                  <c:v>0.19000000000148992</c:v>
                </c:pt>
                <c:pt idx="940">
                  <c:v>0.19000000000097877</c:v>
                </c:pt>
                <c:pt idx="941">
                  <c:v>0.19000000000048795</c:v>
                </c:pt>
                <c:pt idx="942">
                  <c:v>0.19000000000001865</c:v>
                </c:pt>
                <c:pt idx="943">
                  <c:v>0.18999999999957221</c:v>
                </c:pt>
                <c:pt idx="944">
                  <c:v>0.18999999999914957</c:v>
                </c:pt>
                <c:pt idx="945">
                  <c:v>0.18999999999875158</c:v>
                </c:pt>
                <c:pt idx="946">
                  <c:v>0.18999999999837902</c:v>
                </c:pt>
                <c:pt idx="947">
                  <c:v>0.18999999999803235</c:v>
                </c:pt>
                <c:pt idx="948">
                  <c:v>0.189999999997712</c:v>
                </c:pt>
                <c:pt idx="949">
                  <c:v>0.18999999999741823</c:v>
                </c:pt>
                <c:pt idx="950">
                  <c:v>0.18999999999715114</c:v>
                </c:pt>
                <c:pt idx="951">
                  <c:v>0.1899999999969107</c:v>
                </c:pt>
                <c:pt idx="952">
                  <c:v>0.18999999999669676</c:v>
                </c:pt>
                <c:pt idx="953">
                  <c:v>0.18999999999650907</c:v>
                </c:pt>
                <c:pt idx="954">
                  <c:v>0.18999999999634723</c:v>
                </c:pt>
                <c:pt idx="955">
                  <c:v>0.18999999999621076</c:v>
                </c:pt>
                <c:pt idx="956">
                  <c:v>0.18999999999609907</c:v>
                </c:pt>
                <c:pt idx="957">
                  <c:v>0.18999999999601147</c:v>
                </c:pt>
                <c:pt idx="958">
                  <c:v>0.18999999999594724</c:v>
                </c:pt>
                <c:pt idx="959">
                  <c:v>0.1899999999959055</c:v>
                </c:pt>
                <c:pt idx="960">
                  <c:v>0.1899999999958854</c:v>
                </c:pt>
                <c:pt idx="961">
                  <c:v>0.18999999999588599</c:v>
                </c:pt>
                <c:pt idx="962">
                  <c:v>0.18999999999590622</c:v>
                </c:pt>
                <c:pt idx="963">
                  <c:v>0.18999999999594502</c:v>
                </c:pt>
                <c:pt idx="964">
                  <c:v>0.18999999999600137</c:v>
                </c:pt>
                <c:pt idx="965">
                  <c:v>0.18999999999607406</c:v>
                </c:pt>
                <c:pt idx="966">
                  <c:v>0.18999999999616199</c:v>
                </c:pt>
                <c:pt idx="967">
                  <c:v>0.18999999999626399</c:v>
                </c:pt>
                <c:pt idx="968">
                  <c:v>0.1899999999963789</c:v>
                </c:pt>
                <c:pt idx="969">
                  <c:v>0.18999999999650552</c:v>
                </c:pt>
                <c:pt idx="970">
                  <c:v>0.18999999999664269</c:v>
                </c:pt>
                <c:pt idx="971">
                  <c:v>0.18999999999678924</c:v>
                </c:pt>
                <c:pt idx="972">
                  <c:v>0.18999999999694397</c:v>
                </c:pt>
                <c:pt idx="973">
                  <c:v>0.18999999999710582</c:v>
                </c:pt>
                <c:pt idx="974">
                  <c:v>0.18999999999727357</c:v>
                </c:pt>
                <c:pt idx="975">
                  <c:v>0.18999999999744621</c:v>
                </c:pt>
                <c:pt idx="976">
                  <c:v>0.18999999999762263</c:v>
                </c:pt>
                <c:pt idx="977">
                  <c:v>0.18999999999780182</c:v>
                </c:pt>
                <c:pt idx="978">
                  <c:v>0.18999999999798278</c:v>
                </c:pt>
                <c:pt idx="979">
                  <c:v>0.18999999999816458</c:v>
                </c:pt>
                <c:pt idx="980">
                  <c:v>0.18999999999834633</c:v>
                </c:pt>
                <c:pt idx="981">
                  <c:v>0.18999999999852707</c:v>
                </c:pt>
                <c:pt idx="982">
                  <c:v>0.18999999999870604</c:v>
                </c:pt>
                <c:pt idx="983">
                  <c:v>0.18999999999888251</c:v>
                </c:pt>
                <c:pt idx="984">
                  <c:v>0.1899999999990557</c:v>
                </c:pt>
                <c:pt idx="985">
                  <c:v>0.18999999999922496</c:v>
                </c:pt>
                <c:pt idx="986">
                  <c:v>0.18999999999938966</c:v>
                </c:pt>
                <c:pt idx="987">
                  <c:v>0.18999999999954925</c:v>
                </c:pt>
                <c:pt idx="988">
                  <c:v>0.18999999999970324</c:v>
                </c:pt>
                <c:pt idx="989">
                  <c:v>0.18999999999985112</c:v>
                </c:pt>
                <c:pt idx="990">
                  <c:v>0.18999999999999251</c:v>
                </c:pt>
                <c:pt idx="991">
                  <c:v>0.19000000000012701</c:v>
                </c:pt>
                <c:pt idx="992">
                  <c:v>0.19000000000025438</c:v>
                </c:pt>
                <c:pt idx="993">
                  <c:v>0.19000000000037431</c:v>
                </c:pt>
                <c:pt idx="994">
                  <c:v>0.19000000000048661</c:v>
                </c:pt>
                <c:pt idx="995">
                  <c:v>0.19000000000059108</c:v>
                </c:pt>
                <c:pt idx="996">
                  <c:v>0.19000000000068762</c:v>
                </c:pt>
                <c:pt idx="997">
                  <c:v>0.19000000000077621</c:v>
                </c:pt>
                <c:pt idx="998">
                  <c:v>0.19000000000085671</c:v>
                </c:pt>
                <c:pt idx="999">
                  <c:v>0.19000000000092923</c:v>
                </c:pt>
                <c:pt idx="1000">
                  <c:v>0.19000000000099376</c:v>
                </c:pt>
                <c:pt idx="1001">
                  <c:v>0.19000000000105038</c:v>
                </c:pt>
                <c:pt idx="1002">
                  <c:v>0.19000000000109921</c:v>
                </c:pt>
                <c:pt idx="1003">
                  <c:v>0.19000000000114042</c:v>
                </c:pt>
                <c:pt idx="1004">
                  <c:v>0.19000000000117415</c:v>
                </c:pt>
                <c:pt idx="1005">
                  <c:v>0.1900000000012006</c:v>
                </c:pt>
                <c:pt idx="1006">
                  <c:v>0.19000000000122003</c:v>
                </c:pt>
                <c:pt idx="1007">
                  <c:v>0.19000000000123268</c:v>
                </c:pt>
                <c:pt idx="1008">
                  <c:v>0.19000000000123884</c:v>
                </c:pt>
                <c:pt idx="1009">
                  <c:v>0.19000000000123873</c:v>
                </c:pt>
                <c:pt idx="1010">
                  <c:v>0.19000000000123274</c:v>
                </c:pt>
                <c:pt idx="1011">
                  <c:v>0.19000000000122114</c:v>
                </c:pt>
                <c:pt idx="1012">
                  <c:v>0.19000000000120421</c:v>
                </c:pt>
                <c:pt idx="1013">
                  <c:v>0.19000000000118239</c:v>
                </c:pt>
                <c:pt idx="1014">
                  <c:v>0.19000000000115597</c:v>
                </c:pt>
                <c:pt idx="1015">
                  <c:v>0.19000000000112532</c:v>
                </c:pt>
                <c:pt idx="1016">
                  <c:v>0.1900000000010908</c:v>
                </c:pt>
                <c:pt idx="1017">
                  <c:v>0.19000000000105272</c:v>
                </c:pt>
                <c:pt idx="1018">
                  <c:v>0.19000000000101144</c:v>
                </c:pt>
                <c:pt idx="1019">
                  <c:v>0.19000000000096734</c:v>
                </c:pt>
                <c:pt idx="1020">
                  <c:v>0.19000000000092082</c:v>
                </c:pt>
                <c:pt idx="1021">
                  <c:v>0.19000000000087208</c:v>
                </c:pt>
                <c:pt idx="1022">
                  <c:v>0.19000000000082162</c:v>
                </c:pt>
                <c:pt idx="1023">
                  <c:v>0.19000000000076966</c:v>
                </c:pt>
                <c:pt idx="1024">
                  <c:v>0.19000000000071654</c:v>
                </c:pt>
                <c:pt idx="1025">
                  <c:v>0.19000000000066258</c:v>
                </c:pt>
                <c:pt idx="1026">
                  <c:v>0.1900000000006081</c:v>
                </c:pt>
                <c:pt idx="1027">
                  <c:v>0.19000000000055339</c:v>
                </c:pt>
                <c:pt idx="1028">
                  <c:v>0.19000000000049866</c:v>
                </c:pt>
                <c:pt idx="1029">
                  <c:v>0.19000000000044423</c:v>
                </c:pt>
                <c:pt idx="1030">
                  <c:v>0.19000000000039033</c:v>
                </c:pt>
                <c:pt idx="1031">
                  <c:v>0.19000000000033718</c:v>
                </c:pt>
                <c:pt idx="1032">
                  <c:v>0.19000000000028505</c:v>
                </c:pt>
                <c:pt idx="1033">
                  <c:v>0.19000000000023404</c:v>
                </c:pt>
                <c:pt idx="1034">
                  <c:v>0.19000000000018441</c:v>
                </c:pt>
                <c:pt idx="1035">
                  <c:v>0.19000000000013637</c:v>
                </c:pt>
                <c:pt idx="1036">
                  <c:v>0.19000000000008999</c:v>
                </c:pt>
                <c:pt idx="1037">
                  <c:v>0.19000000000004541</c:v>
                </c:pt>
                <c:pt idx="1038">
                  <c:v>0.19000000000000283</c:v>
                </c:pt>
                <c:pt idx="1039">
                  <c:v>0.18999999999996231</c:v>
                </c:pt>
                <c:pt idx="1040">
                  <c:v>0.1899999999999239</c:v>
                </c:pt>
                <c:pt idx="1041">
                  <c:v>0.18999999999988779</c:v>
                </c:pt>
                <c:pt idx="1042">
                  <c:v>0.18999999999985395</c:v>
                </c:pt>
                <c:pt idx="1043">
                  <c:v>0.18999999999982242</c:v>
                </c:pt>
                <c:pt idx="1044">
                  <c:v>0.18999999999979333</c:v>
                </c:pt>
                <c:pt idx="1045">
                  <c:v>0.18999999999976663</c:v>
                </c:pt>
                <c:pt idx="1046">
                  <c:v>0.18999999999974237</c:v>
                </c:pt>
                <c:pt idx="1047">
                  <c:v>0.1899999999997205</c:v>
                </c:pt>
                <c:pt idx="1048">
                  <c:v>0.18999999999970105</c:v>
                </c:pt>
                <c:pt idx="1049">
                  <c:v>0.18999999999968398</c:v>
                </c:pt>
                <c:pt idx="1050">
                  <c:v>0.18999999999966921</c:v>
                </c:pt>
                <c:pt idx="1051">
                  <c:v>0.18999999999965678</c:v>
                </c:pt>
                <c:pt idx="1052">
                  <c:v>0.18999999999964662</c:v>
                </c:pt>
                <c:pt idx="1053">
                  <c:v>0.1899999999996386</c:v>
                </c:pt>
                <c:pt idx="1054">
                  <c:v>0.18999999999963274</c:v>
                </c:pt>
                <c:pt idx="1055">
                  <c:v>0.18999999999962891</c:v>
                </c:pt>
                <c:pt idx="1056">
                  <c:v>0.18999999999962702</c:v>
                </c:pt>
                <c:pt idx="1057">
                  <c:v>0.18999999999962702</c:v>
                </c:pt>
                <c:pt idx="1058">
                  <c:v>0.1899999999996288</c:v>
                </c:pt>
                <c:pt idx="1059">
                  <c:v>0.1899999999996323</c:v>
                </c:pt>
                <c:pt idx="1060">
                  <c:v>0.18999999999963735</c:v>
                </c:pt>
                <c:pt idx="1061">
                  <c:v>0.1899999999996439</c:v>
                </c:pt>
                <c:pt idx="1062">
                  <c:v>0.18999999999965184</c:v>
                </c:pt>
                <c:pt idx="1063">
                  <c:v>0.18999999999966105</c:v>
                </c:pt>
                <c:pt idx="1064">
                  <c:v>0.18999999999967143</c:v>
                </c:pt>
                <c:pt idx="1065">
                  <c:v>0.18999999999968287</c:v>
                </c:pt>
                <c:pt idx="1066">
                  <c:v>0.1899999999996953</c:v>
                </c:pt>
                <c:pt idx="1067">
                  <c:v>0.18999999999970857</c:v>
                </c:pt>
                <c:pt idx="1068">
                  <c:v>0.18999999999972256</c:v>
                </c:pt>
                <c:pt idx="1069">
                  <c:v>0.18999999999973721</c:v>
                </c:pt>
                <c:pt idx="1070">
                  <c:v>0.18999999999975242</c:v>
                </c:pt>
                <c:pt idx="1071">
                  <c:v>0.18999999999976805</c:v>
                </c:pt>
                <c:pt idx="1072">
                  <c:v>0.18999999999978404</c:v>
                </c:pt>
                <c:pt idx="1073">
                  <c:v>0.18999999999980027</c:v>
                </c:pt>
                <c:pt idx="1074">
                  <c:v>0.1899999999998167</c:v>
                </c:pt>
                <c:pt idx="1075">
                  <c:v>0.18999999999983316</c:v>
                </c:pt>
                <c:pt idx="1076">
                  <c:v>0.18999999999984962</c:v>
                </c:pt>
                <c:pt idx="1077">
                  <c:v>0.18999999999986603</c:v>
                </c:pt>
                <c:pt idx="1078">
                  <c:v>0.18999999999988226</c:v>
                </c:pt>
                <c:pt idx="1079">
                  <c:v>0.18999999999989825</c:v>
                </c:pt>
                <c:pt idx="1080">
                  <c:v>0.18999999999991396</c:v>
                </c:pt>
                <c:pt idx="1081">
                  <c:v>0.18999999999992934</c:v>
                </c:pt>
                <c:pt idx="1082">
                  <c:v>0.18999999999994427</c:v>
                </c:pt>
                <c:pt idx="1083">
                  <c:v>0.18999999999995876</c:v>
                </c:pt>
                <c:pt idx="1084">
                  <c:v>0.18999999999997275</c:v>
                </c:pt>
                <c:pt idx="1085">
                  <c:v>0.18999999999998612</c:v>
                </c:pt>
                <c:pt idx="1086">
                  <c:v>0.189999999999999</c:v>
                </c:pt>
                <c:pt idx="1087">
                  <c:v>0.19000000000001119</c:v>
                </c:pt>
                <c:pt idx="1088">
                  <c:v>0.19000000000002276</c:v>
                </c:pt>
                <c:pt idx="1089">
                  <c:v>0.19000000000003364</c:v>
                </c:pt>
                <c:pt idx="1090">
                  <c:v>0.19000000000004386</c:v>
                </c:pt>
                <c:pt idx="1091">
                  <c:v>0.19000000000005335</c:v>
                </c:pt>
                <c:pt idx="1092">
                  <c:v>0.19000000000006212</c:v>
                </c:pt>
                <c:pt idx="1093">
                  <c:v>0.19000000000007017</c:v>
                </c:pt>
                <c:pt idx="1094">
                  <c:v>0.1900000000000775</c:v>
                </c:pt>
                <c:pt idx="1095">
                  <c:v>0.19000000000008407</c:v>
                </c:pt>
                <c:pt idx="1096">
                  <c:v>0.19000000000008993</c:v>
                </c:pt>
                <c:pt idx="1097">
                  <c:v>0.19000000000009509</c:v>
                </c:pt>
                <c:pt idx="1098">
                  <c:v>0.19000000000009953</c:v>
                </c:pt>
                <c:pt idx="1099">
                  <c:v>0.19000000000010328</c:v>
                </c:pt>
                <c:pt idx="1100">
                  <c:v>0.19000000000010636</c:v>
                </c:pt>
                <c:pt idx="1101">
                  <c:v>0.1900000000001088</c:v>
                </c:pt>
                <c:pt idx="1102">
                  <c:v>0.19000000000011055</c:v>
                </c:pt>
                <c:pt idx="1103">
                  <c:v>0.19000000000011175</c:v>
                </c:pt>
                <c:pt idx="1104">
                  <c:v>0.1900000000001123</c:v>
                </c:pt>
                <c:pt idx="1105">
                  <c:v>0.1900000000001123</c:v>
                </c:pt>
                <c:pt idx="1106">
                  <c:v>0.19000000000011177</c:v>
                </c:pt>
                <c:pt idx="1107">
                  <c:v>0.19000000000011075</c:v>
                </c:pt>
                <c:pt idx="1108">
                  <c:v>0.19000000000010922</c:v>
                </c:pt>
                <c:pt idx="1109">
                  <c:v>0.19000000000010725</c:v>
                </c:pt>
                <c:pt idx="1110">
                  <c:v>0.19000000000010486</c:v>
                </c:pt>
                <c:pt idx="1111">
                  <c:v>0.19000000000010209</c:v>
                </c:pt>
                <c:pt idx="1112">
                  <c:v>0.19000000000009898</c:v>
                </c:pt>
                <c:pt idx="1113">
                  <c:v>0.19000000000009554</c:v>
                </c:pt>
                <c:pt idx="1114">
                  <c:v>0.19000000000009182</c:v>
                </c:pt>
                <c:pt idx="1115">
                  <c:v>0.19000000000008782</c:v>
                </c:pt>
                <c:pt idx="1116">
                  <c:v>0.1900000000000836</c:v>
                </c:pt>
                <c:pt idx="1117">
                  <c:v>0.19000000000007919</c:v>
                </c:pt>
                <c:pt idx="1118">
                  <c:v>0.19000000000007461</c:v>
                </c:pt>
                <c:pt idx="1119">
                  <c:v>0.19000000000006989</c:v>
                </c:pt>
                <c:pt idx="1120">
                  <c:v>0.19000000000006509</c:v>
                </c:pt>
                <c:pt idx="1121">
                  <c:v>0.1900000000000602</c:v>
                </c:pt>
                <c:pt idx="1122">
                  <c:v>0.19000000000005526</c:v>
                </c:pt>
                <c:pt idx="1123">
                  <c:v>0.1900000000000503</c:v>
                </c:pt>
                <c:pt idx="1124">
                  <c:v>0.19000000000004535</c:v>
                </c:pt>
                <c:pt idx="1125">
                  <c:v>0.19000000000004041</c:v>
                </c:pt>
                <c:pt idx="1126">
                  <c:v>0.19000000000003553</c:v>
                </c:pt>
                <c:pt idx="1127">
                  <c:v>0.1900000000000307</c:v>
                </c:pt>
                <c:pt idx="1128">
                  <c:v>0.19000000000002598</c:v>
                </c:pt>
                <c:pt idx="1129">
                  <c:v>0.19000000000002135</c:v>
                </c:pt>
                <c:pt idx="1130">
                  <c:v>0.19000000000001685</c:v>
                </c:pt>
                <c:pt idx="1131">
                  <c:v>0.19000000000001249</c:v>
                </c:pt>
                <c:pt idx="1132">
                  <c:v>0.19000000000000827</c:v>
                </c:pt>
                <c:pt idx="1133">
                  <c:v>0.19000000000000422</c:v>
                </c:pt>
                <c:pt idx="1134">
                  <c:v>0.19000000000000036</c:v>
                </c:pt>
                <c:pt idx="1135">
                  <c:v>0.18999999999999667</c:v>
                </c:pt>
                <c:pt idx="1136">
                  <c:v>0.1899999999999932</c:v>
                </c:pt>
                <c:pt idx="1137">
                  <c:v>0.18999999999998993</c:v>
                </c:pt>
                <c:pt idx="1138">
                  <c:v>0.18999999999998685</c:v>
                </c:pt>
                <c:pt idx="1139">
                  <c:v>0.18999999999998399</c:v>
                </c:pt>
                <c:pt idx="1140">
                  <c:v>0.18999999999998135</c:v>
                </c:pt>
                <c:pt idx="1141">
                  <c:v>0.18999999999997891</c:v>
                </c:pt>
                <c:pt idx="1142">
                  <c:v>0.18999999999997672</c:v>
                </c:pt>
                <c:pt idx="1143">
                  <c:v>0.18999999999997472</c:v>
                </c:pt>
                <c:pt idx="1144">
                  <c:v>0.18999999999997297</c:v>
                </c:pt>
                <c:pt idx="1145">
                  <c:v>0.18999999999997139</c:v>
                </c:pt>
                <c:pt idx="1146">
                  <c:v>0.18999999999997005</c:v>
                </c:pt>
                <c:pt idx="1147">
                  <c:v>0.18999999999996892</c:v>
                </c:pt>
                <c:pt idx="1148">
                  <c:v>0.18999999999996797</c:v>
                </c:pt>
                <c:pt idx="1149">
                  <c:v>0.18999999999996725</c:v>
                </c:pt>
                <c:pt idx="1150">
                  <c:v>0.18999999999996672</c:v>
                </c:pt>
                <c:pt idx="1151">
                  <c:v>0.18999999999996636</c:v>
                </c:pt>
                <c:pt idx="1152">
                  <c:v>0.1899999999999662</c:v>
                </c:pt>
                <c:pt idx="1153">
                  <c:v>0.1899999999999662</c:v>
                </c:pt>
                <c:pt idx="1154">
                  <c:v>0.18999999999996636</c:v>
                </c:pt>
                <c:pt idx="1155">
                  <c:v>0.18999999999996667</c:v>
                </c:pt>
                <c:pt idx="1156">
                  <c:v>0.18999999999996711</c:v>
                </c:pt>
                <c:pt idx="1157">
                  <c:v>0.18999999999996769</c:v>
                </c:pt>
                <c:pt idx="1158">
                  <c:v>0.18999999999996842</c:v>
                </c:pt>
                <c:pt idx="1159">
                  <c:v>0.18999999999996925</c:v>
                </c:pt>
                <c:pt idx="1160">
                  <c:v>0.18999999999997019</c:v>
                </c:pt>
                <c:pt idx="1161">
                  <c:v>0.18999999999997122</c:v>
                </c:pt>
                <c:pt idx="1162">
                  <c:v>0.18999999999997236</c:v>
                </c:pt>
                <c:pt idx="1163">
                  <c:v>0.18999999999997355</c:v>
                </c:pt>
                <c:pt idx="1164">
                  <c:v>0.1899999999999748</c:v>
                </c:pt>
                <c:pt idx="1165">
                  <c:v>0.18999999999997613</c:v>
                </c:pt>
                <c:pt idx="1166">
                  <c:v>0.18999999999997752</c:v>
                </c:pt>
                <c:pt idx="1167">
                  <c:v>0.18999999999997894</c:v>
                </c:pt>
                <c:pt idx="1168">
                  <c:v>0.18999999999998038</c:v>
                </c:pt>
                <c:pt idx="1169">
                  <c:v>0.18999999999998185</c:v>
                </c:pt>
                <c:pt idx="1170">
                  <c:v>0.18999999999998335</c:v>
                </c:pt>
                <c:pt idx="1171">
                  <c:v>0.18999999999998485</c:v>
                </c:pt>
                <c:pt idx="1172">
                  <c:v>0.18999999999998635</c:v>
                </c:pt>
                <c:pt idx="1173">
                  <c:v>0.18999999999998782</c:v>
                </c:pt>
                <c:pt idx="1174">
                  <c:v>0.18999999999998929</c:v>
                </c:pt>
                <c:pt idx="1175">
                  <c:v>0.18999999999999073</c:v>
                </c:pt>
                <c:pt idx="1176">
                  <c:v>0.18999999999999218</c:v>
                </c:pt>
                <c:pt idx="1177">
                  <c:v>0.18999999999999356</c:v>
                </c:pt>
                <c:pt idx="1178">
                  <c:v>0.18999999999999492</c:v>
                </c:pt>
                <c:pt idx="1179">
                  <c:v>0.18999999999999623</c:v>
                </c:pt>
                <c:pt idx="1180">
                  <c:v>0.1899999999999975</c:v>
                </c:pt>
                <c:pt idx="1181">
                  <c:v>0.18999999999999873</c:v>
                </c:pt>
                <c:pt idx="1182">
                  <c:v>0.18999999999999989</c:v>
                </c:pt>
                <c:pt idx="1183">
                  <c:v>0.190000000000001</c:v>
                </c:pt>
                <c:pt idx="1184">
                  <c:v>0.19000000000000206</c:v>
                </c:pt>
                <c:pt idx="1185">
                  <c:v>0.19000000000000303</c:v>
                </c:pt>
                <c:pt idx="1186">
                  <c:v>0.19000000000000394</c:v>
                </c:pt>
                <c:pt idx="1187">
                  <c:v>0.1900000000000048</c:v>
                </c:pt>
                <c:pt idx="1188">
                  <c:v>0.19000000000000561</c:v>
                </c:pt>
                <c:pt idx="1189">
                  <c:v>0.19000000000000633</c:v>
                </c:pt>
                <c:pt idx="1190">
                  <c:v>0.190000000000007</c:v>
                </c:pt>
                <c:pt idx="1191">
                  <c:v>0.19000000000000761</c:v>
                </c:pt>
                <c:pt idx="1192">
                  <c:v>0.19000000000000816</c:v>
                </c:pt>
                <c:pt idx="1193">
                  <c:v>0.19000000000000861</c:v>
                </c:pt>
                <c:pt idx="1194">
                  <c:v>0.190000000000009</c:v>
                </c:pt>
                <c:pt idx="1195">
                  <c:v>0.19000000000000936</c:v>
                </c:pt>
                <c:pt idx="1196">
                  <c:v>0.19000000000000963</c:v>
                </c:pt>
                <c:pt idx="1197">
                  <c:v>0.19000000000000986</c:v>
                </c:pt>
                <c:pt idx="1198">
                  <c:v>0.19000000000001002</c:v>
                </c:pt>
                <c:pt idx="1199">
                  <c:v>0.19000000000001013</c:v>
                </c:pt>
                <c:pt idx="1200">
                  <c:v>0.19000000000001016</c:v>
                </c:pt>
                <c:pt idx="1201">
                  <c:v>0.19000000000001016</c:v>
                </c:pt>
                <c:pt idx="1202">
                  <c:v>0.19000000000001013</c:v>
                </c:pt>
                <c:pt idx="1203">
                  <c:v>0.19000000000001005</c:v>
                </c:pt>
                <c:pt idx="1204">
                  <c:v>0.19000000000000991</c:v>
                </c:pt>
                <c:pt idx="1205">
                  <c:v>0.19000000000000972</c:v>
                </c:pt>
                <c:pt idx="1206">
                  <c:v>0.19000000000000952</c:v>
                </c:pt>
                <c:pt idx="1207">
                  <c:v>0.19000000000000927</c:v>
                </c:pt>
                <c:pt idx="1208">
                  <c:v>0.190000000000009</c:v>
                </c:pt>
                <c:pt idx="1209">
                  <c:v>0.19000000000000866</c:v>
                </c:pt>
                <c:pt idx="1210">
                  <c:v>0.19000000000000833</c:v>
                </c:pt>
                <c:pt idx="1211">
                  <c:v>0.19000000000000797</c:v>
                </c:pt>
                <c:pt idx="1212">
                  <c:v>0.19000000000000758</c:v>
                </c:pt>
                <c:pt idx="1213">
                  <c:v>0.19000000000000719</c:v>
                </c:pt>
                <c:pt idx="1214">
                  <c:v>0.19000000000000677</c:v>
                </c:pt>
                <c:pt idx="1215">
                  <c:v>0.19000000000000633</c:v>
                </c:pt>
                <c:pt idx="1216">
                  <c:v>0.19000000000000591</c:v>
                </c:pt>
                <c:pt idx="1217">
                  <c:v>0.19000000000000547</c:v>
                </c:pt>
                <c:pt idx="1218">
                  <c:v>0.190000000000005</c:v>
                </c:pt>
                <c:pt idx="1219">
                  <c:v>0.19000000000000458</c:v>
                </c:pt>
                <c:pt idx="1220">
                  <c:v>0.19000000000000411</c:v>
                </c:pt>
                <c:pt idx="1221">
                  <c:v>0.19000000000000367</c:v>
                </c:pt>
                <c:pt idx="1222">
                  <c:v>0.19000000000000322</c:v>
                </c:pt>
                <c:pt idx="1223">
                  <c:v>0.19000000000000281</c:v>
                </c:pt>
                <c:pt idx="1224">
                  <c:v>0.19000000000000236</c:v>
                </c:pt>
                <c:pt idx="1225">
                  <c:v>0.19000000000000195</c:v>
                </c:pt>
                <c:pt idx="1226">
                  <c:v>0.19000000000000156</c:v>
                </c:pt>
                <c:pt idx="1227">
                  <c:v>0.19000000000000114</c:v>
                </c:pt>
                <c:pt idx="1228">
                  <c:v>0.19000000000000078</c:v>
                </c:pt>
                <c:pt idx="1229">
                  <c:v>0.19000000000000039</c:v>
                </c:pt>
                <c:pt idx="1230">
                  <c:v>0.19000000000000006</c:v>
                </c:pt>
                <c:pt idx="1231">
                  <c:v>0.18999999999999972</c:v>
                </c:pt>
                <c:pt idx="1232">
                  <c:v>0.18999999999999939</c:v>
                </c:pt>
                <c:pt idx="1233">
                  <c:v>0.18999999999999911</c:v>
                </c:pt>
                <c:pt idx="1234">
                  <c:v>0.18999999999999881</c:v>
                </c:pt>
                <c:pt idx="1235">
                  <c:v>0.18999999999999856</c:v>
                </c:pt>
                <c:pt idx="1236">
                  <c:v>0.18999999999999831</c:v>
                </c:pt>
                <c:pt idx="1237">
                  <c:v>0.18999999999999811</c:v>
                </c:pt>
                <c:pt idx="1238">
                  <c:v>0.18999999999999789</c:v>
                </c:pt>
                <c:pt idx="1239">
                  <c:v>0.18999999999999773</c:v>
                </c:pt>
                <c:pt idx="1240">
                  <c:v>0.18999999999999756</c:v>
                </c:pt>
                <c:pt idx="1241">
                  <c:v>0.18999999999999742</c:v>
                </c:pt>
                <c:pt idx="1242">
                  <c:v>0.18999999999999728</c:v>
                </c:pt>
                <c:pt idx="1243">
                  <c:v>0.18999999999999717</c:v>
                </c:pt>
                <c:pt idx="1244">
                  <c:v>0.18999999999999712</c:v>
                </c:pt>
                <c:pt idx="1245">
                  <c:v>0.18999999999999703</c:v>
                </c:pt>
                <c:pt idx="1246">
                  <c:v>0.18999999999999698</c:v>
                </c:pt>
                <c:pt idx="1247">
                  <c:v>0.18999999999999695</c:v>
                </c:pt>
                <c:pt idx="1248">
                  <c:v>0.18999999999999695</c:v>
                </c:pt>
                <c:pt idx="1249">
                  <c:v>0.18999999999999695</c:v>
                </c:pt>
                <c:pt idx="1250">
                  <c:v>0.18999999999999695</c:v>
                </c:pt>
                <c:pt idx="1251">
                  <c:v>0.18999999999999698</c:v>
                </c:pt>
                <c:pt idx="1252">
                  <c:v>0.189999999999997</c:v>
                </c:pt>
                <c:pt idx="1253">
                  <c:v>0.18999999999999706</c:v>
                </c:pt>
                <c:pt idx="1254">
                  <c:v>0.18999999999999712</c:v>
                </c:pt>
                <c:pt idx="1255">
                  <c:v>0.18999999999999723</c:v>
                </c:pt>
                <c:pt idx="1256">
                  <c:v>0.18999999999999728</c:v>
                </c:pt>
                <c:pt idx="1257">
                  <c:v>0.18999999999999739</c:v>
                </c:pt>
                <c:pt idx="1258">
                  <c:v>0.1899999999999975</c:v>
                </c:pt>
                <c:pt idx="1259">
                  <c:v>0.18999999999999762</c:v>
                </c:pt>
                <c:pt idx="1260">
                  <c:v>0.18999999999999773</c:v>
                </c:pt>
                <c:pt idx="1261">
                  <c:v>0.18999999999999784</c:v>
                </c:pt>
                <c:pt idx="1262">
                  <c:v>0.18999999999999795</c:v>
                </c:pt>
                <c:pt idx="1263">
                  <c:v>0.18999999999999809</c:v>
                </c:pt>
                <c:pt idx="1264">
                  <c:v>0.18999999999999823</c:v>
                </c:pt>
                <c:pt idx="1265">
                  <c:v>0.18999999999999834</c:v>
                </c:pt>
                <c:pt idx="1266">
                  <c:v>0.1899999999999985</c:v>
                </c:pt>
                <c:pt idx="1267">
                  <c:v>0.18999999999999861</c:v>
                </c:pt>
                <c:pt idx="1268">
                  <c:v>0.18999999999999875</c:v>
                </c:pt>
                <c:pt idx="1269">
                  <c:v>0.18999999999999889</c:v>
                </c:pt>
                <c:pt idx="1270">
                  <c:v>0.18999999999999903</c:v>
                </c:pt>
                <c:pt idx="1271">
                  <c:v>0.18999999999999917</c:v>
                </c:pt>
                <c:pt idx="1272">
                  <c:v>0.18999999999999928</c:v>
                </c:pt>
                <c:pt idx="1273">
                  <c:v>0.18999999999999942</c:v>
                </c:pt>
                <c:pt idx="1274">
                  <c:v>0.18999999999999953</c:v>
                </c:pt>
                <c:pt idx="1275">
                  <c:v>0.18999999999999967</c:v>
                </c:pt>
                <c:pt idx="1276">
                  <c:v>0.18999999999999978</c:v>
                </c:pt>
                <c:pt idx="1277">
                  <c:v>0.18999999999999989</c:v>
                </c:pt>
                <c:pt idx="1278">
                  <c:v>0.19</c:v>
                </c:pt>
                <c:pt idx="1279">
                  <c:v>0.19000000000000009</c:v>
                </c:pt>
                <c:pt idx="1280">
                  <c:v>0.19000000000000017</c:v>
                </c:pt>
                <c:pt idx="1281">
                  <c:v>0.19000000000000028</c:v>
                </c:pt>
                <c:pt idx="1282">
                  <c:v>0.19000000000000034</c:v>
                </c:pt>
                <c:pt idx="1283">
                  <c:v>0.19000000000000045</c:v>
                </c:pt>
                <c:pt idx="1284">
                  <c:v>0.1900000000000005</c:v>
                </c:pt>
                <c:pt idx="1285">
                  <c:v>0.19000000000000056</c:v>
                </c:pt>
                <c:pt idx="1286">
                  <c:v>0.19000000000000064</c:v>
                </c:pt>
                <c:pt idx="1287">
                  <c:v>0.1900000000000007</c:v>
                </c:pt>
                <c:pt idx="1288">
                  <c:v>0.19000000000000072</c:v>
                </c:pt>
                <c:pt idx="1289">
                  <c:v>0.19000000000000078</c:v>
                </c:pt>
                <c:pt idx="1290">
                  <c:v>0.19000000000000081</c:v>
                </c:pt>
                <c:pt idx="1291">
                  <c:v>0.19000000000000083</c:v>
                </c:pt>
                <c:pt idx="1292">
                  <c:v>0.19000000000000089</c:v>
                </c:pt>
                <c:pt idx="1293">
                  <c:v>0.19000000000000089</c:v>
                </c:pt>
                <c:pt idx="1294">
                  <c:v>0.19000000000000092</c:v>
                </c:pt>
                <c:pt idx="1295">
                  <c:v>0.19000000000000095</c:v>
                </c:pt>
                <c:pt idx="1296">
                  <c:v>0.19000000000000092</c:v>
                </c:pt>
                <c:pt idx="1297">
                  <c:v>0.19000000000000092</c:v>
                </c:pt>
                <c:pt idx="1298">
                  <c:v>0.19000000000000095</c:v>
                </c:pt>
                <c:pt idx="1299">
                  <c:v>0.19000000000000089</c:v>
                </c:pt>
                <c:pt idx="1300">
                  <c:v>0.19000000000000089</c:v>
                </c:pt>
                <c:pt idx="1301">
                  <c:v>0.19000000000000089</c:v>
                </c:pt>
                <c:pt idx="1302">
                  <c:v>0.19000000000000086</c:v>
                </c:pt>
                <c:pt idx="1303">
                  <c:v>0.19000000000000083</c:v>
                </c:pt>
                <c:pt idx="1304">
                  <c:v>0.19000000000000081</c:v>
                </c:pt>
                <c:pt idx="1305">
                  <c:v>0.19000000000000078</c:v>
                </c:pt>
                <c:pt idx="1306">
                  <c:v>0.19000000000000075</c:v>
                </c:pt>
                <c:pt idx="1307">
                  <c:v>0.19000000000000072</c:v>
                </c:pt>
                <c:pt idx="1308">
                  <c:v>0.1900000000000007</c:v>
                </c:pt>
                <c:pt idx="1309">
                  <c:v>0.19000000000000067</c:v>
                </c:pt>
                <c:pt idx="1310">
                  <c:v>0.19000000000000061</c:v>
                </c:pt>
                <c:pt idx="1311">
                  <c:v>0.19000000000000059</c:v>
                </c:pt>
                <c:pt idx="1312">
                  <c:v>0.19000000000000053</c:v>
                </c:pt>
                <c:pt idx="1313">
                  <c:v>0.1900000000000005</c:v>
                </c:pt>
                <c:pt idx="1314">
                  <c:v>0.19000000000000045</c:v>
                </c:pt>
                <c:pt idx="1315">
                  <c:v>0.19000000000000042</c:v>
                </c:pt>
                <c:pt idx="1316">
                  <c:v>0.19000000000000039</c:v>
                </c:pt>
                <c:pt idx="1317">
                  <c:v>0.19000000000000034</c:v>
                </c:pt>
                <c:pt idx="1318">
                  <c:v>0.19000000000000028</c:v>
                </c:pt>
                <c:pt idx="1319">
                  <c:v>0.19000000000000025</c:v>
                </c:pt>
                <c:pt idx="1320">
                  <c:v>0.19000000000000022</c:v>
                </c:pt>
                <c:pt idx="1321">
                  <c:v>0.19000000000000017</c:v>
                </c:pt>
                <c:pt idx="1322">
                  <c:v>0.19000000000000014</c:v>
                </c:pt>
                <c:pt idx="1323">
                  <c:v>0.19000000000000011</c:v>
                </c:pt>
                <c:pt idx="1324">
                  <c:v>0.19000000000000006</c:v>
                </c:pt>
                <c:pt idx="1325">
                  <c:v>0.19000000000000003</c:v>
                </c:pt>
                <c:pt idx="1326">
                  <c:v>0.19</c:v>
                </c:pt>
                <c:pt idx="1327">
                  <c:v>0.18999999999999997</c:v>
                </c:pt>
                <c:pt idx="1328">
                  <c:v>0.18999999999999995</c:v>
                </c:pt>
                <c:pt idx="1329">
                  <c:v>0.18999999999999992</c:v>
                </c:pt>
                <c:pt idx="1330">
                  <c:v>0.18999999999999989</c:v>
                </c:pt>
                <c:pt idx="1331">
                  <c:v>0.18999999999999989</c:v>
                </c:pt>
                <c:pt idx="1332">
                  <c:v>0.18999999999999984</c:v>
                </c:pt>
                <c:pt idx="1333">
                  <c:v>0.18999999999999984</c:v>
                </c:pt>
                <c:pt idx="1334">
                  <c:v>0.18999999999999981</c:v>
                </c:pt>
                <c:pt idx="1335">
                  <c:v>0.18999999999999978</c:v>
                </c:pt>
                <c:pt idx="1336">
                  <c:v>0.18999999999999978</c:v>
                </c:pt>
                <c:pt idx="1337">
                  <c:v>0.18999999999999978</c:v>
                </c:pt>
                <c:pt idx="1338">
                  <c:v>0.18999999999999978</c:v>
                </c:pt>
                <c:pt idx="1339">
                  <c:v>0.18999999999999972</c:v>
                </c:pt>
                <c:pt idx="1340">
                  <c:v>0.18999999999999975</c:v>
                </c:pt>
                <c:pt idx="1341">
                  <c:v>0.18999999999999972</c:v>
                </c:pt>
                <c:pt idx="1342">
                  <c:v>0.18999999999999972</c:v>
                </c:pt>
                <c:pt idx="1343">
                  <c:v>0.18999999999999972</c:v>
                </c:pt>
                <c:pt idx="1344">
                  <c:v>0.18999999999999972</c:v>
                </c:pt>
                <c:pt idx="1345">
                  <c:v>0.18999999999999972</c:v>
                </c:pt>
                <c:pt idx="1346">
                  <c:v>0.18999999999999972</c:v>
                </c:pt>
                <c:pt idx="1347">
                  <c:v>0.18999999999999972</c:v>
                </c:pt>
                <c:pt idx="1348">
                  <c:v>0.18999999999999972</c:v>
                </c:pt>
                <c:pt idx="1349">
                  <c:v>0.18999999999999972</c:v>
                </c:pt>
                <c:pt idx="1350">
                  <c:v>0.18999999999999975</c:v>
                </c:pt>
                <c:pt idx="1351">
                  <c:v>0.18999999999999975</c:v>
                </c:pt>
                <c:pt idx="1352">
                  <c:v>0.18999999999999975</c:v>
                </c:pt>
                <c:pt idx="1353">
                  <c:v>0.18999999999999978</c:v>
                </c:pt>
                <c:pt idx="1354">
                  <c:v>0.18999999999999978</c:v>
                </c:pt>
                <c:pt idx="1355">
                  <c:v>0.18999999999999978</c:v>
                </c:pt>
                <c:pt idx="1356">
                  <c:v>0.18999999999999978</c:v>
                </c:pt>
                <c:pt idx="1357">
                  <c:v>0.18999999999999981</c:v>
                </c:pt>
                <c:pt idx="1358">
                  <c:v>0.18999999999999984</c:v>
                </c:pt>
                <c:pt idx="1359">
                  <c:v>0.18999999999999984</c:v>
                </c:pt>
                <c:pt idx="1360">
                  <c:v>0.18999999999999984</c:v>
                </c:pt>
                <c:pt idx="1361">
                  <c:v>0.18999999999999984</c:v>
                </c:pt>
                <c:pt idx="1362">
                  <c:v>0.18999999999999986</c:v>
                </c:pt>
                <c:pt idx="1363">
                  <c:v>0.18999999999999989</c:v>
                </c:pt>
                <c:pt idx="1364">
                  <c:v>0.18999999999999989</c:v>
                </c:pt>
                <c:pt idx="1365">
                  <c:v>0.18999999999999989</c:v>
                </c:pt>
                <c:pt idx="1366">
                  <c:v>0.18999999999999989</c:v>
                </c:pt>
                <c:pt idx="1367">
                  <c:v>0.18999999999999995</c:v>
                </c:pt>
                <c:pt idx="1368">
                  <c:v>0.18999999999999995</c:v>
                </c:pt>
                <c:pt idx="1369">
                  <c:v>0.18999999999999995</c:v>
                </c:pt>
                <c:pt idx="1370">
                  <c:v>0.18999999999999995</c:v>
                </c:pt>
                <c:pt idx="1371">
                  <c:v>0.18999999999999997</c:v>
                </c:pt>
                <c:pt idx="1372">
                  <c:v>0.18999999999999997</c:v>
                </c:pt>
                <c:pt idx="1373">
                  <c:v>0.19</c:v>
                </c:pt>
                <c:pt idx="1374">
                  <c:v>0.19</c:v>
                </c:pt>
                <c:pt idx="1375">
                  <c:v>0.19</c:v>
                </c:pt>
                <c:pt idx="1376">
                  <c:v>0.19</c:v>
                </c:pt>
                <c:pt idx="1377">
                  <c:v>0.19000000000000003</c:v>
                </c:pt>
                <c:pt idx="1378">
                  <c:v>0.19000000000000003</c:v>
                </c:pt>
                <c:pt idx="1379">
                  <c:v>0.19000000000000003</c:v>
                </c:pt>
                <c:pt idx="1380">
                  <c:v>0.19000000000000006</c:v>
                </c:pt>
                <c:pt idx="1381">
                  <c:v>0.19000000000000006</c:v>
                </c:pt>
                <c:pt idx="1382">
                  <c:v>0.19000000000000006</c:v>
                </c:pt>
                <c:pt idx="1383">
                  <c:v>0.19000000000000006</c:v>
                </c:pt>
                <c:pt idx="1384">
                  <c:v>0.19000000000000006</c:v>
                </c:pt>
                <c:pt idx="1385">
                  <c:v>0.19000000000000006</c:v>
                </c:pt>
                <c:pt idx="1386">
                  <c:v>0.19000000000000006</c:v>
                </c:pt>
                <c:pt idx="1387">
                  <c:v>0.19000000000000006</c:v>
                </c:pt>
                <c:pt idx="1388">
                  <c:v>0.19000000000000006</c:v>
                </c:pt>
                <c:pt idx="1389">
                  <c:v>0.19000000000000006</c:v>
                </c:pt>
                <c:pt idx="1390">
                  <c:v>0.19000000000000009</c:v>
                </c:pt>
                <c:pt idx="1391">
                  <c:v>0.19000000000000009</c:v>
                </c:pt>
                <c:pt idx="1392">
                  <c:v>0.19000000000000009</c:v>
                </c:pt>
                <c:pt idx="1393">
                  <c:v>0.19000000000000009</c:v>
                </c:pt>
                <c:pt idx="1394">
                  <c:v>0.19000000000000009</c:v>
                </c:pt>
                <c:pt idx="1395">
                  <c:v>0.19000000000000009</c:v>
                </c:pt>
                <c:pt idx="1396">
                  <c:v>0.19000000000000009</c:v>
                </c:pt>
                <c:pt idx="1397">
                  <c:v>0.19000000000000009</c:v>
                </c:pt>
                <c:pt idx="1398">
                  <c:v>0.19000000000000009</c:v>
                </c:pt>
                <c:pt idx="1399">
                  <c:v>0.19000000000000009</c:v>
                </c:pt>
                <c:pt idx="1400">
                  <c:v>0.19000000000000006</c:v>
                </c:pt>
                <c:pt idx="1401">
                  <c:v>0.19000000000000006</c:v>
                </c:pt>
                <c:pt idx="1402">
                  <c:v>0.19000000000000006</c:v>
                </c:pt>
                <c:pt idx="1403">
                  <c:v>0.19000000000000006</c:v>
                </c:pt>
                <c:pt idx="1404">
                  <c:v>0.19000000000000006</c:v>
                </c:pt>
                <c:pt idx="1405">
                  <c:v>0.19000000000000006</c:v>
                </c:pt>
                <c:pt idx="1406">
                  <c:v>0.19000000000000006</c:v>
                </c:pt>
                <c:pt idx="1407">
                  <c:v>0.19000000000000006</c:v>
                </c:pt>
                <c:pt idx="1408">
                  <c:v>0.19000000000000006</c:v>
                </c:pt>
                <c:pt idx="1409">
                  <c:v>0.19000000000000006</c:v>
                </c:pt>
                <c:pt idx="1410">
                  <c:v>0.19000000000000006</c:v>
                </c:pt>
                <c:pt idx="1411">
                  <c:v>0.19000000000000003</c:v>
                </c:pt>
                <c:pt idx="1412">
                  <c:v>0.19000000000000003</c:v>
                </c:pt>
                <c:pt idx="1413">
                  <c:v>0.19000000000000003</c:v>
                </c:pt>
                <c:pt idx="1414">
                  <c:v>0.19000000000000003</c:v>
                </c:pt>
                <c:pt idx="1415">
                  <c:v>0.19</c:v>
                </c:pt>
                <c:pt idx="1416">
                  <c:v>0.19</c:v>
                </c:pt>
                <c:pt idx="1417">
                  <c:v>0.19</c:v>
                </c:pt>
                <c:pt idx="1418">
                  <c:v>0.19</c:v>
                </c:pt>
                <c:pt idx="1419">
                  <c:v>0.19</c:v>
                </c:pt>
                <c:pt idx="1420">
                  <c:v>0.19</c:v>
                </c:pt>
                <c:pt idx="1421">
                  <c:v>0.19</c:v>
                </c:pt>
                <c:pt idx="1422">
                  <c:v>0.19</c:v>
                </c:pt>
                <c:pt idx="1423">
                  <c:v>0.19</c:v>
                </c:pt>
                <c:pt idx="1424">
                  <c:v>0.19</c:v>
                </c:pt>
                <c:pt idx="1425">
                  <c:v>0.19</c:v>
                </c:pt>
                <c:pt idx="1426">
                  <c:v>0.19</c:v>
                </c:pt>
                <c:pt idx="1427">
                  <c:v>0.19</c:v>
                </c:pt>
                <c:pt idx="1428">
                  <c:v>0.19</c:v>
                </c:pt>
                <c:pt idx="1429">
                  <c:v>0.19</c:v>
                </c:pt>
                <c:pt idx="1430">
                  <c:v>0.19</c:v>
                </c:pt>
                <c:pt idx="1431">
                  <c:v>0.19</c:v>
                </c:pt>
                <c:pt idx="1432">
                  <c:v>0.18999999999999997</c:v>
                </c:pt>
                <c:pt idx="1433">
                  <c:v>0.18999999999999997</c:v>
                </c:pt>
                <c:pt idx="1434">
                  <c:v>0.18999999999999997</c:v>
                </c:pt>
                <c:pt idx="1435">
                  <c:v>0.18999999999999997</c:v>
                </c:pt>
                <c:pt idx="1436">
                  <c:v>0.18999999999999997</c:v>
                </c:pt>
                <c:pt idx="1437">
                  <c:v>0.18999999999999997</c:v>
                </c:pt>
                <c:pt idx="1438">
                  <c:v>0.18999999999999997</c:v>
                </c:pt>
                <c:pt idx="1439">
                  <c:v>0.18999999999999997</c:v>
                </c:pt>
                <c:pt idx="1440">
                  <c:v>0.18999999999999997</c:v>
                </c:pt>
                <c:pt idx="1441">
                  <c:v>0.18999999999999997</c:v>
                </c:pt>
                <c:pt idx="1442">
                  <c:v>0.18999999999999997</c:v>
                </c:pt>
                <c:pt idx="1443">
                  <c:v>0.18999999999999997</c:v>
                </c:pt>
                <c:pt idx="1444">
                  <c:v>0.18999999999999997</c:v>
                </c:pt>
                <c:pt idx="1445">
                  <c:v>0.18999999999999997</c:v>
                </c:pt>
                <c:pt idx="1446">
                  <c:v>0.19</c:v>
                </c:pt>
                <c:pt idx="1447">
                  <c:v>0.19</c:v>
                </c:pt>
                <c:pt idx="1448">
                  <c:v>0.19</c:v>
                </c:pt>
                <c:pt idx="1449">
                  <c:v>0.19</c:v>
                </c:pt>
                <c:pt idx="1450">
                  <c:v>0.19</c:v>
                </c:pt>
                <c:pt idx="1451">
                  <c:v>0.19</c:v>
                </c:pt>
                <c:pt idx="1452">
                  <c:v>0.19</c:v>
                </c:pt>
                <c:pt idx="1453">
                  <c:v>0.19</c:v>
                </c:pt>
                <c:pt idx="1454">
                  <c:v>0.19</c:v>
                </c:pt>
                <c:pt idx="1455">
                  <c:v>0.19</c:v>
                </c:pt>
                <c:pt idx="1456">
                  <c:v>0.19</c:v>
                </c:pt>
                <c:pt idx="1457">
                  <c:v>0.19</c:v>
                </c:pt>
                <c:pt idx="1458">
                  <c:v>0.19</c:v>
                </c:pt>
                <c:pt idx="1459">
                  <c:v>0.19</c:v>
                </c:pt>
                <c:pt idx="1460">
                  <c:v>0.19</c:v>
                </c:pt>
                <c:pt idx="1461">
                  <c:v>0.19</c:v>
                </c:pt>
                <c:pt idx="1462">
                  <c:v>0.19</c:v>
                </c:pt>
                <c:pt idx="1463">
                  <c:v>0.19</c:v>
                </c:pt>
                <c:pt idx="1464">
                  <c:v>0.19</c:v>
                </c:pt>
                <c:pt idx="1465">
                  <c:v>0.19</c:v>
                </c:pt>
                <c:pt idx="1466">
                  <c:v>0.19</c:v>
                </c:pt>
                <c:pt idx="1467">
                  <c:v>0.19</c:v>
                </c:pt>
                <c:pt idx="1468">
                  <c:v>0.19</c:v>
                </c:pt>
                <c:pt idx="1469">
                  <c:v>0.19</c:v>
                </c:pt>
                <c:pt idx="1470">
                  <c:v>0.19</c:v>
                </c:pt>
                <c:pt idx="1471">
                  <c:v>0.19</c:v>
                </c:pt>
                <c:pt idx="1472">
                  <c:v>0.19</c:v>
                </c:pt>
                <c:pt idx="1473">
                  <c:v>0.19</c:v>
                </c:pt>
                <c:pt idx="1474">
                  <c:v>0.19</c:v>
                </c:pt>
                <c:pt idx="1475">
                  <c:v>0.19</c:v>
                </c:pt>
                <c:pt idx="1476">
                  <c:v>0.19</c:v>
                </c:pt>
                <c:pt idx="1477">
                  <c:v>0.19</c:v>
                </c:pt>
                <c:pt idx="1478">
                  <c:v>0.19</c:v>
                </c:pt>
                <c:pt idx="1479">
                  <c:v>0.19</c:v>
                </c:pt>
                <c:pt idx="1480">
                  <c:v>0.19</c:v>
                </c:pt>
                <c:pt idx="1481">
                  <c:v>0.19</c:v>
                </c:pt>
                <c:pt idx="1482">
                  <c:v>0.19</c:v>
                </c:pt>
                <c:pt idx="1483">
                  <c:v>0.19</c:v>
                </c:pt>
                <c:pt idx="1484">
                  <c:v>0.19</c:v>
                </c:pt>
                <c:pt idx="1485">
                  <c:v>0.19</c:v>
                </c:pt>
                <c:pt idx="1486">
                  <c:v>0.19</c:v>
                </c:pt>
                <c:pt idx="1487">
                  <c:v>0.19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533-4F49-87A1-EEF509FB0D0C}"/>
            </c:ext>
          </c:extLst>
        </c:ser>
        <c:ser>
          <c:idx val="6"/>
          <c:order val="2"/>
          <c:tx>
            <c:strRef>
              <c:f>Rocof!$N$6</c:f>
              <c:strCache>
                <c:ptCount val="1"/>
                <c:pt idx="0">
                  <c:v>expecter behavior (min values)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Rocof!$A$7:$A$1400</c:f>
              <c:numCache>
                <c:formatCode>General</c:formatCode>
                <c:ptCount val="13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</c:numCache>
            </c:numRef>
          </c:xVal>
          <c:yVal>
            <c:numRef>
              <c:f>Rocof!$N$7:$N$1400</c:f>
              <c:numCache>
                <c:formatCode>General</c:formatCode>
                <c:ptCount val="1394"/>
                <c:pt idx="0">
                  <c:v>8.0000000000000016E-2</c:v>
                </c:pt>
                <c:pt idx="1">
                  <c:v>8.0228627947316902E-2</c:v>
                </c:pt>
                <c:pt idx="2">
                  <c:v>8.0910071119837487E-2</c:v>
                </c:pt>
                <c:pt idx="3">
                  <c:v>8.2033965892669952E-2</c:v>
                </c:pt>
                <c:pt idx="4">
                  <c:v>8.358601243908563E-2</c:v>
                </c:pt>
                <c:pt idx="5">
                  <c:v>8.5548916701954664E-2</c:v>
                </c:pt>
                <c:pt idx="6">
                  <c:v>8.7903067427901396E-2</c:v>
                </c:pt>
                <c:pt idx="7">
                  <c:v>9.0627035556438057E-2</c:v>
                </c:pt>
                <c:pt idx="8">
                  <c:v>9.3697954276106499E-2</c:v>
                </c:pt>
                <c:pt idx="9">
                  <c:v>9.7091818641117877E-2</c:v>
                </c:pt>
                <c:pt idx="10">
                  <c:v>0.10078373063345912</c:v>
                </c:pt>
                <c:pt idx="11">
                  <c:v>0.10474810684425749</c:v>
                </c:pt>
                <c:pt idx="12">
                  <c:v>0.10895886011812757</c:v>
                </c:pt>
                <c:pt idx="13">
                  <c:v>0.11338956260588633</c:v>
                </c:pt>
                <c:pt idx="14">
                  <c:v>0.11801359506796205</c:v>
                </c:pt>
                <c:pt idx="15">
                  <c:v>0.12280428553636102</c:v>
                </c:pt>
                <c:pt idx="16">
                  <c:v>0.12773503929111818</c:v>
                </c:pt>
                <c:pt idx="17">
                  <c:v>0.13277946134593133</c:v>
                </c:pt>
                <c:pt idx="18">
                  <c:v>0.1379114721385282</c:v>
                </c:pt>
                <c:pt idx="19">
                  <c:v>0.1431054167979583</c:v>
                </c:pt>
                <c:pt idx="20">
                  <c:v>0.14833616815555001</c:v>
                </c:pt>
                <c:pt idx="21">
                  <c:v>0.15357922353986864</c:v>
                </c:pt>
                <c:pt idx="22">
                  <c:v>0.15881079532255687</c:v>
                </c:pt>
                <c:pt idx="23">
                  <c:v>0.16400789514388925</c:v>
                </c:pt>
                <c:pt idx="24">
                  <c:v>0.16914841173242462</c:v>
                </c:pt>
                <c:pt idx="25">
                  <c:v>0.17421118223433257</c:v>
                </c:pt>
                <c:pt idx="26">
                  <c:v>0.17917605697942296</c:v>
                </c:pt>
                <c:pt idx="27">
                  <c:v>0.184023957628979</c:v>
                </c:pt>
                <c:pt idx="28">
                  <c:v>0.18873692867270009</c:v>
                </c:pt>
                <c:pt idx="29">
                  <c:v>0.19329818226670004</c:v>
                </c:pt>
                <c:pt idx="30">
                  <c:v>0.19769213643041139</c:v>
                </c:pt>
                <c:pt idx="31">
                  <c:v>0.20190444664659707</c:v>
                </c:pt>
                <c:pt idx="32">
                  <c:v>0.20592203093489636</c:v>
                </c:pt>
                <c:pt idx="33">
                  <c:v>0.20973308849501754</c:v>
                </c:pt>
                <c:pt idx="34">
                  <c:v>0.21332711204054616</c:v>
                </c:pt>
                <c:pt idx="35">
                  <c:v>0.21669489396813829</c:v>
                </c:pt>
                <c:pt idx="36">
                  <c:v>0.21982852652945739</c:v>
                </c:pt>
                <c:pt idx="37">
                  <c:v>0.2227213961944654</c:v>
                </c:pt>
                <c:pt idx="38">
                  <c:v>0.22536817241450013</c:v>
                </c:pt>
                <c:pt idx="39">
                  <c:v>0.2277647910118939</c:v>
                </c:pt>
                <c:pt idx="40">
                  <c:v>0.22990843243965803</c:v>
                </c:pt>
                <c:pt idx="41">
                  <c:v>0.23179749516993736</c:v>
                </c:pt>
                <c:pt idx="42">
                  <c:v>0.23343156448350066</c:v>
                </c:pt>
                <c:pt idx="43">
                  <c:v>0.23481137694446585</c:v>
                </c:pt>
                <c:pt idx="44">
                  <c:v>0.23593878085475301</c:v>
                </c:pt>
                <c:pt idx="45">
                  <c:v>0.23681669299141705</c:v>
                </c:pt>
                <c:pt idx="46">
                  <c:v>0.23744905193705423</c:v>
                </c:pt>
                <c:pt idx="47">
                  <c:v>0.23784076831890538</c:v>
                </c:pt>
                <c:pt idx="48">
                  <c:v>0.23799767227613916</c:v>
                </c:pt>
                <c:pt idx="49">
                  <c:v>0.23792645847710503</c:v>
                </c:pt>
                <c:pt idx="50">
                  <c:v>0.23763462900914617</c:v>
                </c:pt>
                <c:pt idx="51">
                  <c:v>0.23713043446290083</c:v>
                </c:pt>
                <c:pt idx="52">
                  <c:v>0.23642281353093719</c:v>
                </c:pt>
                <c:pt idx="53">
                  <c:v>0.235521331437129</c:v>
                </c:pt>
                <c:pt idx="54">
                  <c:v>0.23443611750842919</c:v>
                </c:pt>
                <c:pt idx="55">
                  <c:v>0.23317780219471562</c:v>
                </c:pt>
                <c:pt idx="56">
                  <c:v>0.23175745383521712</c:v>
                </c:pt>
                <c:pt idx="57">
                  <c:v>0.23018651546175811</c:v>
                </c:pt>
                <c:pt idx="58">
                  <c:v>0.22847674191975803</c:v>
                </c:pt>
                <c:pt idx="59">
                  <c:v>0.22664013757765084</c:v>
                </c:pt>
                <c:pt idx="60">
                  <c:v>0.22468889488424459</c:v>
                </c:pt>
                <c:pt idx="61">
                  <c:v>0.22263533402157809</c:v>
                </c:pt>
                <c:pt idx="62">
                  <c:v>0.22049184388814835</c:v>
                </c:pt>
                <c:pt idx="63">
                  <c:v>0.21827082463404618</c:v>
                </c:pt>
                <c:pt idx="64">
                  <c:v>0.215984631955632</c:v>
                </c:pt>
                <c:pt idx="65">
                  <c:v>0.21364552334299314</c:v>
                </c:pt>
                <c:pt idx="66">
                  <c:v>0.21126560645861842</c:v>
                </c:pt>
                <c:pt idx="67">
                  <c:v>0.20885678981059552</c:v>
                </c:pt>
                <c:pt idx="68">
                  <c:v>0.20643073586825039</c:v>
                </c:pt>
                <c:pt idx="69">
                  <c:v>0.20399881675258685</c:v>
                </c:pt>
                <c:pt idx="70">
                  <c:v>0.20157207261822319</c:v>
                </c:pt>
                <c:pt idx="71">
                  <c:v>0.19916117282783408</c:v>
                </c:pt>
                <c:pt idx="72">
                  <c:v>0.19677638000445824</c:v>
                </c:pt>
                <c:pt idx="73">
                  <c:v>0.1944275170314993</c:v>
                </c:pt>
                <c:pt idx="74">
                  <c:v>0.19212393705489045</c:v>
                </c:pt>
                <c:pt idx="75">
                  <c:v>0.18987449652677652</c:v>
                </c:pt>
                <c:pt idx="76">
                  <c:v>0.18768753131525187</c:v>
                </c:pt>
                <c:pt idx="77">
                  <c:v>0.1855708358902326</c:v>
                </c:pt>
                <c:pt idx="78">
                  <c:v>0.18353164558149471</c:v>
                </c:pt>
                <c:pt idx="79">
                  <c:v>0.1815766218913199</c:v>
                </c:pt>
                <c:pt idx="80">
                  <c:v>0.17971184083110991</c:v>
                </c:pt>
                <c:pt idx="81">
                  <c:v>0.17794278423879634</c:v>
                </c:pt>
                <c:pt idx="82">
                  <c:v>0.17627433402192705</c:v>
                </c:pt>
                <c:pt idx="83">
                  <c:v>0.17471076925998738</c:v>
                </c:pt>
                <c:pt idx="84">
                  <c:v>0.17325576608884324</c:v>
                </c:pt>
                <c:pt idx="85">
                  <c:v>0.17191240028020355</c:v>
                </c:pt>
                <c:pt idx="86">
                  <c:v>0.17068315241971255</c:v>
                </c:pt>
                <c:pt idx="87">
                  <c:v>0.16956991557871845</c:v>
                </c:pt>
                <c:pt idx="88">
                  <c:v>0.16857400536693973</c:v>
                </c:pt>
                <c:pt idx="89">
                  <c:v>0.16769617224617336</c:v>
                </c:pt>
                <c:pt idx="90">
                  <c:v>0.16693661597887299</c:v>
                </c:pt>
                <c:pt idx="91">
                  <c:v>0.16629500207986658</c:v>
                </c:pt>
                <c:pt idx="92">
                  <c:v>0.16577048013469337</c:v>
                </c:pt>
                <c:pt idx="93">
                  <c:v>0.1653617038440045</c:v>
                </c:pt>
                <c:pt idx="94">
                  <c:v>0.16506685265019516</c:v>
                </c:pt>
                <c:pt idx="95">
                  <c:v>0.16488365479990336</c:v>
                </c:pt>
                <c:pt idx="96">
                  <c:v>0.16480941169420923</c:v>
                </c:pt>
                <c:pt idx="97">
                  <c:v>0.16484102337728868</c:v>
                </c:pt>
                <c:pt idx="98">
                  <c:v>0.16497501501389245</c:v>
                </c:pt>
                <c:pt idx="99">
                  <c:v>0.16520756420632127</c:v>
                </c:pt>
                <c:pt idx="100">
                  <c:v>0.16553452900252211</c:v>
                </c:pt>
                <c:pt idx="101">
                  <c:v>0.16595147644851968</c:v>
                </c:pt>
                <c:pt idx="102">
                  <c:v>0.1664537115405893</c:v>
                </c:pt>
                <c:pt idx="103">
                  <c:v>0.16703630643534745</c:v>
                </c:pt>
                <c:pt idx="104">
                  <c:v>0.16769412977925086</c:v>
                </c:pt>
                <c:pt idx="105">
                  <c:v>0.16842187602282482</c:v>
                </c:pt>
                <c:pt idx="106">
                  <c:v>0.16921409458925052</c:v>
                </c:pt>
                <c:pt idx="107">
                  <c:v>0.17006521877169728</c:v>
                </c:pt>
                <c:pt idx="108">
                  <c:v>0.1709695942389528</c:v>
                </c:pt>
                <c:pt idx="109">
                  <c:v>0.17192150703444523</c:v>
                </c:pt>
                <c:pt idx="110">
                  <c:v>0.17291521095963236</c:v>
                </c:pt>
                <c:pt idx="111">
                  <c:v>0.17394495423891376</c:v>
                </c:pt>
                <c:pt idx="112">
                  <c:v>0.1750050053696684</c:v>
                </c:pt>
                <c:pt idx="113">
                  <c:v>0.17608967806769255</c:v>
                </c:pt>
                <c:pt idx="114">
                  <c:v>0.17719335522517837</c:v>
                </c:pt>
                <c:pt idx="115">
                  <c:v>0.17831051180538793</c:v>
                </c:pt>
                <c:pt idx="116">
                  <c:v>0.17943573660531564</c:v>
                </c:pt>
                <c:pt idx="117">
                  <c:v>0.18056375282484624</c:v>
                </c:pt>
                <c:pt idx="118">
                  <c:v>0.18168943738818089</c:v>
                </c:pt>
                <c:pt idx="119">
                  <c:v>0.18280783897058117</c:v>
                </c:pt>
                <c:pt idx="120">
                  <c:v>0.18391419469073828</c:v>
                </c:pt>
                <c:pt idx="121">
                  <c:v>0.18500394543628079</c:v>
                </c:pt>
                <c:pt idx="122">
                  <c:v>0.18607274979705996</c:v>
                </c:pt>
                <c:pt idx="123">
                  <c:v>0.18711649658786289</c:v>
                </c:pt>
                <c:pt idx="124">
                  <c:v>0.18813131594908011</c:v>
                </c:pt>
                <c:pt idx="125">
                  <c:v>0.18911358902056177</c:v>
                </c:pt>
                <c:pt idx="126">
                  <c:v>0.19005995619041607</c:v>
                </c:pt>
                <c:pt idx="127">
                  <c:v>0.19096732392680987</c:v>
                </c:pt>
                <c:pt idx="128">
                  <c:v>0.19183287020690151</c:v>
                </c:pt>
                <c:pt idx="129">
                  <c:v>0.19265404856285429</c:v>
                </c:pt>
                <c:pt idx="130">
                  <c:v>0.1934285907704229</c:v>
                </c:pt>
                <c:pt idx="131">
                  <c:v>0.1941545082108615</c:v>
                </c:pt>
                <c:pt idx="132">
                  <c:v>0.1948300919418563</c:v>
                </c:pt>
                <c:pt idx="133">
                  <c:v>0.19545391151782268</c:v>
                </c:pt>
                <c:pt idx="134">
                  <c:v>0.19602481260422025</c:v>
                </c:pt>
                <c:pt idx="135">
                  <c:v>0.1965419134345146</c:v>
                </c:pt>
                <c:pt idx="136">
                  <c:v>0.19700460016205057</c:v>
                </c:pt>
                <c:pt idx="137">
                  <c:v>0.19741252116238786</c:v>
                </c:pt>
                <c:pt idx="138">
                  <c:v>0.19776558034458508</c:v>
                </c:pt>
                <c:pt idx="139">
                  <c:v>0.19806392953250102</c:v>
                </c:pt>
                <c:pt idx="140">
                  <c:v>0.19830795997940875</c:v>
                </c:pt>
                <c:pt idx="141">
                  <c:v>0.19849829308109468</c:v>
                </c:pt>
                <c:pt idx="142">
                  <c:v>0.19863577035413832</c:v>
                </c:pt>
                <c:pt idx="143">
                  <c:v>0.19872144274725023</c:v>
                </c:pt>
                <c:pt idx="144">
                  <c:v>0.19875655935438263</c:v>
                </c:pt>
                <c:pt idx="145">
                  <c:v>0.19874255559883525</c:v>
                </c:pt>
                <c:pt idx="146">
                  <c:v>0.19868104095775943</c:v>
                </c:pt>
                <c:pt idx="147">
                  <c:v>0.19857378629632938</c:v>
                </c:pt>
                <c:pt idx="148">
                  <c:v>0.19842271088041052</c:v>
                </c:pt>
                <c:pt idx="149">
                  <c:v>0.19822986913582191</c:v>
                </c:pt>
                <c:pt idx="150">
                  <c:v>0.197997437221277</c:v>
                </c:pt>
                <c:pt idx="151">
                  <c:v>0.19772769948080457</c:v>
                </c:pt>
                <c:pt idx="152">
                  <c:v>0.19742303483991935</c:v>
                </c:pt>
                <c:pt idx="153">
                  <c:v>0.19708590320803659</c:v>
                </c:pt>
                <c:pt idx="154">
                  <c:v>0.19671883194763098</c:v>
                </c:pt>
                <c:pt idx="155">
                  <c:v>0.19632440246843497</c:v>
                </c:pt>
                <c:pt idx="156">
                  <c:v>0.19590523700257936</c:v>
                </c:pt>
                <c:pt idx="157">
                  <c:v>0.1954639856140096</c:v>
                </c:pt>
                <c:pt idx="158">
                  <c:v>0.19500331349278588</c:v>
                </c:pt>
                <c:pt idx="159">
                  <c:v>0.19452588858201036</c:v>
                </c:pt>
                <c:pt idx="160">
                  <c:v>0.1940343695821361</c:v>
                </c:pt>
                <c:pt idx="161">
                  <c:v>0.19353139437431752</c:v>
                </c:pt>
                <c:pt idx="162">
                  <c:v>0.19301956890128141</c:v>
                </c:pt>
                <c:pt idx="163">
                  <c:v>0.19250145654094181</c:v>
                </c:pt>
                <c:pt idx="164">
                  <c:v>0.19197956800467397</c:v>
                </c:pt>
                <c:pt idx="165">
                  <c:v>0.19145635178881568</c:v>
                </c:pt>
                <c:pt idx="166">
                  <c:v>0.19093418520459507</c:v>
                </c:pt>
                <c:pt idx="167">
                  <c:v>0.19041536600830761</c:v>
                </c:pt>
                <c:pt idx="168">
                  <c:v>0.18990210465019974</c:v>
                </c:pt>
                <c:pt idx="169">
                  <c:v>0.18939651715717318</c:v>
                </c:pt>
                <c:pt idx="170">
                  <c:v>0.18890061866111646</c:v>
                </c:pt>
                <c:pt idx="171">
                  <c:v>0.18841631758142141</c:v>
                </c:pt>
                <c:pt idx="172">
                  <c:v>0.18794541046704771</c:v>
                </c:pt>
                <c:pt idx="173">
                  <c:v>0.18748957750038808</c:v>
                </c:pt>
                <c:pt idx="174">
                  <c:v>0.18705037866216209</c:v>
                </c:pt>
                <c:pt idx="175">
                  <c:v>0.18662925055363822</c:v>
                </c:pt>
                <c:pt idx="176">
                  <c:v>0.18622750386966863</c:v>
                </c:pt>
                <c:pt idx="177">
                  <c:v>0.18584632151331931</c:v>
                </c:pt>
                <c:pt idx="178">
                  <c:v>0.18548675734030523</c:v>
                </c:pt>
                <c:pt idx="179">
                  <c:v>0.1851497355190011</c:v>
                </c:pt>
                <c:pt idx="180">
                  <c:v>0.18483605048949681</c:v>
                </c:pt>
                <c:pt idx="181">
                  <c:v>0.1845463675030154</c:v>
                </c:pt>
                <c:pt idx="182">
                  <c:v>0.1842812237210075</c:v>
                </c:pt>
                <c:pt idx="183">
                  <c:v>0.18404102985138995</c:v>
                </c:pt>
                <c:pt idx="184">
                  <c:v>0.18382607229770914</c:v>
                </c:pt>
                <c:pt idx="185">
                  <c:v>0.18363651579548101</c:v>
                </c:pt>
                <c:pt idx="186">
                  <c:v>0.18347240650859781</c:v>
                </c:pt>
                <c:pt idx="187">
                  <c:v>0.18333367555749025</c:v>
                </c:pt>
                <c:pt idx="188">
                  <c:v>0.18322014294969968</c:v>
                </c:pt>
                <c:pt idx="189">
                  <c:v>0.18313152188264092</c:v>
                </c:pt>
                <c:pt idx="190">
                  <c:v>0.18306742338762888</c:v>
                </c:pt>
                <c:pt idx="191">
                  <c:v>0.18302736128369101</c:v>
                </c:pt>
                <c:pt idx="192">
                  <c:v>0.18301075740929704</c:v>
                </c:pt>
                <c:pt idx="193">
                  <c:v>0.18301694709990041</c:v>
                </c:pt>
                <c:pt idx="194">
                  <c:v>0.18304518487909982</c:v>
                </c:pt>
                <c:pt idx="195">
                  <c:v>0.18309465033128902</c:v>
                </c:pt>
                <c:pt idx="196">
                  <c:v>0.18316445412386589</c:v>
                </c:pt>
                <c:pt idx="197">
                  <c:v>0.18325364414740802</c:v>
                </c:pt>
                <c:pt idx="198">
                  <c:v>0.18336121174269315</c:v>
                </c:pt>
                <c:pt idx="199">
                  <c:v>0.18348609798403176</c:v>
                </c:pt>
                <c:pt idx="200">
                  <c:v>0.1836271999890928</c:v>
                </c:pt>
                <c:pt idx="201">
                  <c:v>0.18378337722622223</c:v>
                </c:pt>
                <c:pt idx="202">
                  <c:v>0.18395345779117855</c:v>
                </c:pt>
                <c:pt idx="203">
                  <c:v>0.1841362446262319</c:v>
                </c:pt>
                <c:pt idx="204">
                  <c:v>0.18433052165568092</c:v>
                </c:pt>
                <c:pt idx="205">
                  <c:v>0.18453505981303198</c:v>
                </c:pt>
                <c:pt idx="206">
                  <c:v>0.18474862293634975</c:v>
                </c:pt>
                <c:pt idx="207">
                  <c:v>0.18496997350961514</c:v>
                </c:pt>
                <c:pt idx="208">
                  <c:v>0.18519787822931238</c:v>
                </c:pt>
                <c:pt idx="209">
                  <c:v>0.18543111337690193</c:v>
                </c:pt>
                <c:pt idx="210">
                  <c:v>0.18566846997931083</c:v>
                </c:pt>
                <c:pt idx="211">
                  <c:v>0.18590875874108209</c:v>
                </c:pt>
                <c:pt idx="212">
                  <c:v>0.18615081473335782</c:v>
                </c:pt>
                <c:pt idx="213">
                  <c:v>0.18639350182642442</c:v>
                </c:pt>
                <c:pt idx="214">
                  <c:v>0.18663571685411012</c:v>
                </c:pt>
                <c:pt idx="215">
                  <c:v>0.18687639349989077</c:v>
                </c:pt>
                <c:pt idx="216">
                  <c:v>0.18711450589612177</c:v>
                </c:pt>
                <c:pt idx="217">
                  <c:v>0.18734907192936531</c:v>
                </c:pt>
                <c:pt idx="218">
                  <c:v>0.18757915624631377</c:v>
                </c:pt>
                <c:pt idx="219">
                  <c:v>0.187803872956322</c:v>
                </c:pt>
                <c:pt idx="220">
                  <c:v>0.18802238802803928</c:v>
                </c:pt>
                <c:pt idx="221">
                  <c:v>0.18823392137907691</c:v>
                </c:pt>
                <c:pt idx="222">
                  <c:v>0.18843774865905172</c:v>
                </c:pt>
                <c:pt idx="223">
                  <c:v>0.18863320272770173</c:v>
                </c:pt>
                <c:pt idx="224">
                  <c:v>0.18881967483108109</c:v>
                </c:pt>
                <c:pt idx="225">
                  <c:v>0.18899661548009086</c:v>
                </c:pt>
                <c:pt idx="226">
                  <c:v>0.18916353503679978</c:v>
                </c:pt>
                <c:pt idx="227">
                  <c:v>0.1893200040151399</c:v>
                </c:pt>
                <c:pt idx="228">
                  <c:v>0.18946565310363045</c:v>
                </c:pt>
                <c:pt idx="229">
                  <c:v>0.18960017291878273</c:v>
                </c:pt>
                <c:pt idx="230">
                  <c:v>0.18972331349876817</c:v>
                </c:pt>
                <c:pt idx="231">
                  <c:v>0.18983488354779066</c:v>
                </c:pt>
                <c:pt idx="232">
                  <c:v>0.18993474944238598</c:v>
                </c:pt>
                <c:pt idx="233">
                  <c:v>0.1900228340115826</c:v>
                </c:pt>
                <c:pt idx="234">
                  <c:v>0.19009911510349062</c:v>
                </c:pt>
                <c:pt idx="235">
                  <c:v>0.19016362395144268</c:v>
                </c:pt>
                <c:pt idx="236">
                  <c:v>0.19021644335329374</c:v>
                </c:pt>
                <c:pt idx="237">
                  <c:v>0.19025770567789041</c:v>
                </c:pt>
                <c:pt idx="238">
                  <c:v>0.19028759071305162</c:v>
                </c:pt>
                <c:pt idx="239">
                  <c:v>0.19030632336965811</c:v>
                </c:pt>
                <c:pt idx="240">
                  <c:v>0.19031417125663058</c:v>
                </c:pt>
                <c:pt idx="241">
                  <c:v>0.19031144214168749</c:v>
                </c:pt>
                <c:pt idx="242">
                  <c:v>0.19029848131281388</c:v>
                </c:pt>
                <c:pt idx="243">
                  <c:v>0.19027566885534633</c:v>
                </c:pt>
                <c:pt idx="244">
                  <c:v>0.19024341685948548</c:v>
                </c:pt>
                <c:pt idx="245">
                  <c:v>0.19020216657289232</c:v>
                </c:pt>
                <c:pt idx="246">
                  <c:v>0.19015238551280805</c:v>
                </c:pt>
                <c:pt idx="247">
                  <c:v>0.19009456455186236</c:v>
                </c:pt>
                <c:pt idx="248">
                  <c:v>0.19002921499140768</c:v>
                </c:pt>
                <c:pt idx="249">
                  <c:v>0.18995686563583564</c:v>
                </c:pt>
                <c:pt idx="250">
                  <c:v>0.18987805988090409</c:v>
                </c:pt>
                <c:pt idx="251">
                  <c:v>0.18979335282863127</c:v>
                </c:pt>
                <c:pt idx="252">
                  <c:v>0.18970330844079758</c:v>
                </c:pt>
                <c:pt idx="253">
                  <c:v>0.18960849674254618</c:v>
                </c:pt>
                <c:pt idx="254">
                  <c:v>0.18950949108698609</c:v>
                </c:pt>
                <c:pt idx="255">
                  <c:v>0.18940686549108757</c:v>
                </c:pt>
                <c:pt idx="256">
                  <c:v>0.18930119205251561</c:v>
                </c:pt>
                <c:pt idx="257">
                  <c:v>0.18919303845638352</c:v>
                </c:pt>
                <c:pt idx="258">
                  <c:v>0.18908296558022408</c:v>
                </c:pt>
                <c:pt idx="259">
                  <c:v>0.18897152520477511</c:v>
                </c:pt>
                <c:pt idx="260">
                  <c:v>0.18885925783746627</c:v>
                </c:pt>
                <c:pt idx="261">
                  <c:v>0.18874669065477268</c:v>
                </c:pt>
                <c:pt idx="262">
                  <c:v>0.18863433556887638</c:v>
                </c:pt>
                <c:pt idx="263">
                  <c:v>0.18852268742335163</c:v>
                </c:pt>
                <c:pt idx="264">
                  <c:v>0.18841222232186328</c:v>
                </c:pt>
                <c:pt idx="265">
                  <c:v>0.18830339609315044</c:v>
                </c:pt>
                <c:pt idx="266">
                  <c:v>0.18819664289485505</c:v>
                </c:pt>
                <c:pt idx="267">
                  <c:v>0.18809237395805439</c:v>
                </c:pt>
                <c:pt idx="268">
                  <c:v>0.1879909764736708</c:v>
                </c:pt>
                <c:pt idx="269">
                  <c:v>0.18789281262126112</c:v>
                </c:pt>
                <c:pt idx="270">
                  <c:v>0.18779821874003677</c:v>
                </c:pt>
                <c:pt idx="271">
                  <c:v>0.18770750464133562</c:v>
                </c:pt>
                <c:pt idx="272">
                  <c:v>0.18762095306116022</c:v>
                </c:pt>
                <c:pt idx="273">
                  <c:v>0.18753881925081409</c:v>
                </c:pt>
                <c:pt idx="274">
                  <c:v>0.18746133070311499</c:v>
                </c:pt>
                <c:pt idx="275">
                  <c:v>0.18738868701113714</c:v>
                </c:pt>
                <c:pt idx="276">
                  <c:v>0.18732105985593889</c:v>
                </c:pt>
                <c:pt idx="277">
                  <c:v>0.18725859311926912</c:v>
                </c:pt>
                <c:pt idx="278">
                  <c:v>0.18720140311681249</c:v>
                </c:pt>
                <c:pt idx="279">
                  <c:v>0.1871495789471368</c:v>
                </c:pt>
                <c:pt idx="280">
                  <c:v>0.18710318295114076</c:v>
                </c:pt>
                <c:pt idx="281">
                  <c:v>0.18706225127647111</c:v>
                </c:pt>
                <c:pt idx="282">
                  <c:v>0.18702679454108434</c:v>
                </c:pt>
                <c:pt idx="283">
                  <c:v>0.18699679858986806</c:v>
                </c:pt>
                <c:pt idx="284">
                  <c:v>0.18697222533801422</c:v>
                </c:pt>
                <c:pt idx="285">
                  <c:v>0.18695301369464756</c:v>
                </c:pt>
                <c:pt idx="286">
                  <c:v>0.18693908056005873</c:v>
                </c:pt>
                <c:pt idx="287">
                  <c:v>0.18693032188977265</c:v>
                </c:pt>
                <c:pt idx="288">
                  <c:v>0.18692661381859771</c:v>
                </c:pt>
                <c:pt idx="289">
                  <c:v>0.18692781383774901</c:v>
                </c:pt>
                <c:pt idx="290">
                  <c:v>0.18693376201812034</c:v>
                </c:pt>
                <c:pt idx="291">
                  <c:v>0.18694428227279056</c:v>
                </c:pt>
                <c:pt idx="292">
                  <c:v>0.18695918365189354</c:v>
                </c:pt>
                <c:pt idx="293">
                  <c:v>0.1869782616630527</c:v>
                </c:pt>
                <c:pt idx="294">
                  <c:v>0.18700129961068032</c:v>
                </c:pt>
                <c:pt idx="295">
                  <c:v>0.1870280699475701</c:v>
                </c:pt>
                <c:pt idx="296">
                  <c:v>0.18705833563236174</c:v>
                </c:pt>
                <c:pt idx="297">
                  <c:v>0.18709185148663399</c:v>
                </c:pt>
                <c:pt idx="298">
                  <c:v>0.18712836554557974</c:v>
                </c:pt>
                <c:pt idx="299">
                  <c:v>0.1871676203964365</c:v>
                </c:pt>
                <c:pt idx="300">
                  <c:v>0.18720935449908316</c:v>
                </c:pt>
                <c:pt idx="301">
                  <c:v>0.18725330348347019</c:v>
                </c:pt>
                <c:pt idx="302">
                  <c:v>0.18729920141882139</c:v>
                </c:pt>
                <c:pt idx="303">
                  <c:v>0.18734678204983088</c:v>
                </c:pt>
                <c:pt idx="304">
                  <c:v>0.18739577999537627</c:v>
                </c:pt>
                <c:pt idx="305">
                  <c:v>0.18744593190557862</c:v>
                </c:pt>
                <c:pt idx="306">
                  <c:v>0.18749697757335543</c:v>
                </c:pt>
                <c:pt idx="307">
                  <c:v>0.1875486609969384</c:v>
                </c:pt>
                <c:pt idx="308">
                  <c:v>0.18760073139015759</c:v>
                </c:pt>
                <c:pt idx="309">
                  <c:v>0.18765294413762718</c:v>
                </c:pt>
                <c:pt idx="310">
                  <c:v>0.18770506169230428</c:v>
                </c:pt>
                <c:pt idx="311">
                  <c:v>0.18775685441323001</c:v>
                </c:pt>
                <c:pt idx="312">
                  <c:v>0.18780810134159509</c:v>
                </c:pt>
                <c:pt idx="313">
                  <c:v>0.18785859091361162</c:v>
                </c:pt>
                <c:pt idx="314">
                  <c:v>0.18790812160899562</c:v>
                </c:pt>
                <c:pt idx="315">
                  <c:v>0.18795650253419627</c:v>
                </c:pt>
                <c:pt idx="316">
                  <c:v>0.18800355393982118</c:v>
                </c:pt>
                <c:pt idx="317">
                  <c:v>0.18804910767202263</c:v>
                </c:pt>
                <c:pt idx="318">
                  <c:v>0.18809300755790825</c:v>
                </c:pt>
                <c:pt idx="319">
                  <c:v>0.18813510972533404</c:v>
                </c:pt>
                <c:pt idx="320">
                  <c:v>0.18817528285771867</c:v>
                </c:pt>
                <c:pt idx="321">
                  <c:v>0.18821340838478828</c:v>
                </c:pt>
                <c:pt idx="322">
                  <c:v>0.1882493806104179</c:v>
                </c:pt>
                <c:pt idx="323">
                  <c:v>0.1882831067789798</c:v>
                </c:pt>
                <c:pt idx="324">
                  <c:v>0.1883145070818395</c:v>
                </c:pt>
                <c:pt idx="325">
                  <c:v>0.18834351460585522</c:v>
                </c:pt>
                <c:pt idx="326">
                  <c:v>0.18837007522593724</c:v>
                </c:pt>
                <c:pt idx="327">
                  <c:v>0.18839414744390842</c:v>
                </c:pt>
                <c:pt idx="328">
                  <c:v>0.18841570217607637</c:v>
                </c:pt>
                <c:pt idx="329">
                  <c:v>0.18843472249208079</c:v>
                </c:pt>
                <c:pt idx="330">
                  <c:v>0.18845120330771614</c:v>
                </c:pt>
                <c:pt idx="331">
                  <c:v>0.18846515103455028</c:v>
                </c:pt>
                <c:pt idx="332">
                  <c:v>0.18847658318926361</c:v>
                </c:pt>
                <c:pt idx="333">
                  <c:v>0.18848552796572157</c:v>
                </c:pt>
                <c:pt idx="334">
                  <c:v>0.18849202377286345</c:v>
                </c:pt>
                <c:pt idx="335">
                  <c:v>0.18849611874154762</c:v>
                </c:pt>
                <c:pt idx="336">
                  <c:v>0.18849787020353165</c:v>
                </c:pt>
                <c:pt idx="337">
                  <c:v>0.18849734414579092</c:v>
                </c:pt>
                <c:pt idx="338">
                  <c:v>0.18849461464338774</c:v>
                </c:pt>
                <c:pt idx="339">
                  <c:v>0.18848976327409875</c:v>
                </c:pt>
                <c:pt idx="340">
                  <c:v>0.18848287851798698</c:v>
                </c:pt>
                <c:pt idx="341">
                  <c:v>0.18847405514507401</c:v>
                </c:pt>
                <c:pt idx="342">
                  <c:v>0.18846339359421943</c:v>
                </c:pt>
                <c:pt idx="343">
                  <c:v>0.18845099934625739</c:v>
                </c:pt>
                <c:pt idx="344">
                  <c:v>0.18843698229436917</c:v>
                </c:pt>
                <c:pt idx="345">
                  <c:v>0.18842145611458944</c:v>
                </c:pt>
                <c:pt idx="346">
                  <c:v>0.18840453763925152</c:v>
                </c:pt>
                <c:pt idx="347">
                  <c:v>0.18838634623607647</c:v>
                </c:pt>
                <c:pt idx="348">
                  <c:v>0.18836700319549912</c:v>
                </c:pt>
                <c:pt idx="349">
                  <c:v>0.1883466311287072</c:v>
                </c:pt>
                <c:pt idx="350">
                  <c:v>0.18832535337874232</c:v>
                </c:pt>
                <c:pt idx="351">
                  <c:v>0.18830329344688107</c:v>
                </c:pt>
                <c:pt idx="352">
                  <c:v>0.18828057443637475</c:v>
                </c:pt>
                <c:pt idx="353">
                  <c:v>0.18825731851548422</c:v>
                </c:pt>
                <c:pt idx="354">
                  <c:v>0.18823364640159956</c:v>
                </c:pt>
                <c:pt idx="355">
                  <c:v>0.1882096768680824</c:v>
                </c:pt>
                <c:pt idx="356">
                  <c:v>0.18818552627531743</c:v>
                </c:pt>
                <c:pt idx="357">
                  <c:v>0.1881613081273035</c:v>
                </c:pt>
                <c:pt idx="358">
                  <c:v>0.18813713265495918</c:v>
                </c:pt>
                <c:pt idx="359">
                  <c:v>0.18811310642716186</c:v>
                </c:pt>
                <c:pt idx="360">
                  <c:v>0.18808933199038275</c:v>
                </c:pt>
                <c:pt idx="361">
                  <c:v>0.18806590753762603</c:v>
                </c:pt>
                <c:pt idx="362">
                  <c:v>0.18804292660722699</c:v>
                </c:pt>
                <c:pt idx="363">
                  <c:v>0.18802047781191308</c:v>
                </c:pt>
                <c:pt idx="364">
                  <c:v>0.18799864459838467</c:v>
                </c:pt>
                <c:pt idx="365">
                  <c:v>0.18797750503752689</c:v>
                </c:pt>
                <c:pt idx="366">
                  <c:v>0.18795713164522471</c:v>
                </c:pt>
                <c:pt idx="367">
                  <c:v>0.18793759123361742</c:v>
                </c:pt>
                <c:pt idx="368">
                  <c:v>0.18791894479249732</c:v>
                </c:pt>
                <c:pt idx="369">
                  <c:v>0.18790124740043318</c:v>
                </c:pt>
                <c:pt idx="370">
                  <c:v>0.18788454816507869</c:v>
                </c:pt>
                <c:pt idx="371">
                  <c:v>0.18786889019201364</c:v>
                </c:pt>
                <c:pt idx="372">
                  <c:v>0.18785431058135771</c:v>
                </c:pt>
                <c:pt idx="373">
                  <c:v>0.18784084045129806</c:v>
                </c:pt>
                <c:pt idx="374">
                  <c:v>0.1878285049875773</c:v>
                </c:pt>
                <c:pt idx="375">
                  <c:v>0.1878173235179042</c:v>
                </c:pt>
                <c:pt idx="376">
                  <c:v>0.18780730961016928</c:v>
                </c:pt>
                <c:pt idx="377">
                  <c:v>0.18779847119327786</c:v>
                </c:pt>
                <c:pt idx="378">
                  <c:v>0.18779081069934828</c:v>
                </c:pt>
                <c:pt idx="379">
                  <c:v>0.18778432522596838</c:v>
                </c:pt>
                <c:pt idx="380">
                  <c:v>0.18777900671715353</c:v>
                </c:pt>
                <c:pt idx="381">
                  <c:v>0.18777484216161006</c:v>
                </c:pt>
                <c:pt idx="382">
                  <c:v>0.18777181380687397</c:v>
                </c:pt>
                <c:pt idx="383">
                  <c:v>0.18776989938786859</c:v>
                </c:pt>
                <c:pt idx="384">
                  <c:v>0.18776907236840784</c:v>
                </c:pt>
                <c:pt idx="385">
                  <c:v>0.18776930219415833</c:v>
                </c:pt>
                <c:pt idx="386">
                  <c:v>0.18777055455557118</c:v>
                </c:pt>
                <c:pt idx="387">
                  <c:v>0.18777279165929503</c:v>
                </c:pt>
                <c:pt idx="388">
                  <c:v>0.18777597250659261</c:v>
                </c:pt>
                <c:pt idx="389">
                  <c:v>0.18778005317729665</c:v>
                </c:pt>
                <c:pt idx="390">
                  <c:v>0.18778498711786357</c:v>
                </c:pt>
                <c:pt idx="391">
                  <c:v>0.18779072543211028</c:v>
                </c:pt>
                <c:pt idx="392">
                  <c:v>0.1877972171732514</c:v>
                </c:pt>
                <c:pt idx="393">
                  <c:v>0.18780440963589262</c:v>
                </c:pt>
                <c:pt idx="394">
                  <c:v>0.18781224864667817</c:v>
                </c:pt>
                <c:pt idx="395">
                  <c:v>0.1878206788523375</c:v>
                </c:pt>
                <c:pt idx="396">
                  <c:v>0.18782964400392699</c:v>
                </c:pt>
                <c:pt idx="397">
                  <c:v>0.18783908723611803</c:v>
                </c:pt>
                <c:pt idx="398">
                  <c:v>0.18784895134044105</c:v>
                </c:pt>
                <c:pt idx="399">
                  <c:v>0.18785917903145533</c:v>
                </c:pt>
                <c:pt idx="400">
                  <c:v>0.18786971320488016</c:v>
                </c:pt>
                <c:pt idx="401">
                  <c:v>0.1878804971867879</c:v>
                </c:pt>
                <c:pt idx="402">
                  <c:v>0.18789147497302797</c:v>
                </c:pt>
                <c:pt idx="403">
                  <c:v>0.18790259145812077</c:v>
                </c:pt>
                <c:pt idx="404">
                  <c:v>0.18791379265293184</c:v>
                </c:pt>
                <c:pt idx="405">
                  <c:v>0.18792502589050764</c:v>
                </c:pt>
                <c:pt idx="406">
                  <c:v>0.1879362400195263</c:v>
                </c:pt>
                <c:pt idx="407">
                  <c:v>0.18794738558489171</c:v>
                </c:pt>
                <c:pt idx="408">
                  <c:v>0.18795841499506746</c:v>
                </c:pt>
                <c:pt idx="409">
                  <c:v>0.18796928267582336</c:v>
                </c:pt>
                <c:pt idx="410">
                  <c:v>0.1879799452101345</c:v>
                </c:pt>
                <c:pt idx="411">
                  <c:v>0.18799036146404571</c:v>
                </c:pt>
                <c:pt idx="412">
                  <c:v>0.18800049269838087</c:v>
                </c:pt>
                <c:pt idx="413">
                  <c:v>0.18801030266624447</c:v>
                </c:pt>
                <c:pt idx="414">
                  <c:v>0.18801975769632781</c:v>
                </c:pt>
                <c:pt idx="415">
                  <c:v>0.18802882676209462</c:v>
                </c:pt>
                <c:pt idx="416">
                  <c:v>0.18803748153698238</c:v>
                </c:pt>
                <c:pt idx="417">
                  <c:v>0.18804569643581318</c:v>
                </c:pt>
                <c:pt idx="418">
                  <c:v>0.18805344864266355</c:v>
                </c:pt>
                <c:pt idx="419">
                  <c:v>0.18806071812549532</c:v>
                </c:pt>
                <c:pt idx="420">
                  <c:v>0.18806748763789952</c:v>
                </c:pt>
                <c:pt idx="421">
                  <c:v>0.18807374270835039</c:v>
                </c:pt>
                <c:pt idx="422">
                  <c:v>0.1880794716174122</c:v>
                </c:pt>
                <c:pt idx="423">
                  <c:v>0.18808466536337876</c:v>
                </c:pt>
                <c:pt idx="424">
                  <c:v>0.18808931761686415</c:v>
                </c:pt>
                <c:pt idx="425">
                  <c:v>0.18809342466489487</c:v>
                </c:pt>
                <c:pt idx="426">
                  <c:v>0.1880969853450839</c:v>
                </c:pt>
                <c:pt idx="427">
                  <c:v>0.18810000097049245</c:v>
                </c:pt>
                <c:pt idx="428">
                  <c:v>0.18810247524580859</c:v>
                </c:pt>
                <c:pt idx="429">
                  <c:v>0.18810441417548987</c:v>
                </c:pt>
                <c:pt idx="430">
                  <c:v>0.18810582596453362</c:v>
                </c:pt>
                <c:pt idx="431">
                  <c:v>0.18810672091254943</c:v>
                </c:pt>
                <c:pt idx="432">
                  <c:v>0.1881071113018177</c:v>
                </c:pt>
                <c:pt idx="433">
                  <c:v>0.18810701128002411</c:v>
                </c:pt>
                <c:pt idx="434">
                  <c:v>0.18810643673835989</c:v>
                </c:pt>
                <c:pt idx="435">
                  <c:v>0.18810540518567881</c:v>
                </c:pt>
                <c:pt idx="436">
                  <c:v>0.18810393561939673</c:v>
                </c:pt>
                <c:pt idx="437">
                  <c:v>0.18810204839381212</c:v>
                </c:pt>
                <c:pt idx="438">
                  <c:v>0.1880997650865171</c:v>
                </c:pt>
                <c:pt idx="439">
                  <c:v>0.1880971083635552</c:v>
                </c:pt>
                <c:pt idx="440">
                  <c:v>0.18809410184396688</c:v>
                </c:pt>
                <c:pt idx="441">
                  <c:v>0.18809076996434748</c:v>
                </c:pt>
                <c:pt idx="442">
                  <c:v>0.18808713784402104</c:v>
                </c:pt>
                <c:pt idx="443">
                  <c:v>0.18808323115141298</c:v>
                </c:pt>
                <c:pt idx="444">
                  <c:v>0.18807907597217993</c:v>
                </c:pt>
                <c:pt idx="445">
                  <c:v>0.18807469867963011</c:v>
                </c:pt>
                <c:pt idx="446">
                  <c:v>0.18807012580794114</c:v>
                </c:pt>
                <c:pt idx="447">
                  <c:v>0.18806538392865177</c:v>
                </c:pt>
                <c:pt idx="448">
                  <c:v>0.18806049953087725</c:v>
                </c:pt>
                <c:pt idx="449">
                  <c:v>0.18805549890566464</c:v>
                </c:pt>
                <c:pt idx="450">
                  <c:v>0.18805040803487447</c:v>
                </c:pt>
                <c:pt idx="451">
                  <c:v>0.18804525248494192</c:v>
                </c:pt>
                <c:pt idx="452">
                  <c:v>0.18804005730583828</c:v>
                </c:pt>
                <c:pt idx="453">
                  <c:v>0.18803484693551964</c:v>
                </c:pt>
                <c:pt idx="454">
                  <c:v>0.18802964511011688</c:v>
                </c:pt>
                <c:pt idx="455">
                  <c:v>0.18802447478008683</c:v>
                </c:pt>
                <c:pt idx="456">
                  <c:v>0.18801935803251096</c:v>
                </c:pt>
                <c:pt idx="457">
                  <c:v>0.18801431601969523</c:v>
                </c:pt>
                <c:pt idx="458">
                  <c:v>0.18800936889419112</c:v>
                </c:pt>
                <c:pt idx="459">
                  <c:v>0.18800453575032561</c:v>
                </c:pt>
                <c:pt idx="460">
                  <c:v>0.18799983457229635</c:v>
                </c:pt>
                <c:pt idx="461">
                  <c:v>0.18799528218885678</c:v>
                </c:pt>
                <c:pt idx="462">
                  <c:v>0.18799089423458581</c:v>
                </c:pt>
                <c:pt idx="463">
                  <c:v>0.18798668511770805</c:v>
                </c:pt>
                <c:pt idx="464">
                  <c:v>0.18798266799440122</c:v>
                </c:pt>
                <c:pt idx="465">
                  <c:v>0.18797885474950179</c:v>
                </c:pt>
                <c:pt idx="466">
                  <c:v>0.18797525598349313</c:v>
                </c:pt>
                <c:pt idx="467">
                  <c:v>0.18797188100563642</c:v>
                </c:pt>
                <c:pt idx="468">
                  <c:v>0.18796873783308155</c:v>
                </c:pt>
                <c:pt idx="469">
                  <c:v>0.18796583319577381</c:v>
                </c:pt>
                <c:pt idx="470">
                  <c:v>0.18796317254695152</c:v>
                </c:pt>
                <c:pt idx="471">
                  <c:v>0.18796076007901222</c:v>
                </c:pt>
                <c:pt idx="472">
                  <c:v>0.18795859874450699</c:v>
                </c:pt>
                <c:pt idx="473">
                  <c:v>0.18795669028200818</c:v>
                </c:pt>
                <c:pt idx="474">
                  <c:v>0.18795503524658108</c:v>
                </c:pt>
                <c:pt idx="475">
                  <c:v>0.18795363304457913</c:v>
                </c:pt>
                <c:pt idx="476">
                  <c:v>0.18795248197247047</c:v>
                </c:pt>
                <c:pt idx="477">
                  <c:v>0.18795157925939621</c:v>
                </c:pt>
                <c:pt idx="478">
                  <c:v>0.18795092111315262</c:v>
                </c:pt>
                <c:pt idx="479">
                  <c:v>0.1879505027692841</c:v>
                </c:pt>
                <c:pt idx="480">
                  <c:v>0.18795031854297006</c:v>
                </c:pt>
                <c:pt idx="481">
                  <c:v>0.18795036188338576</c:v>
                </c:pt>
                <c:pt idx="482">
                  <c:v>0.18795062543021701</c:v>
                </c:pt>
                <c:pt idx="483">
                  <c:v>0.18795110107200813</c:v>
                </c:pt>
                <c:pt idx="484">
                  <c:v>0.18795178000602547</c:v>
                </c:pt>
                <c:pt idx="485">
                  <c:v>0.18795265279932102</c:v>
                </c:pt>
                <c:pt idx="486">
                  <c:v>0.18795370945068637</c:v>
                </c:pt>
                <c:pt idx="487">
                  <c:v>0.18795493945319175</c:v>
                </c:pt>
                <c:pt idx="488">
                  <c:v>0.18795633185701316</c:v>
                </c:pt>
                <c:pt idx="489">
                  <c:v>0.18795787533225763</c:v>
                </c:pt>
                <c:pt idx="490">
                  <c:v>0.18795955823150667</c:v>
                </c:pt>
                <c:pt idx="491">
                  <c:v>0.1879613686518071</c:v>
                </c:pt>
                <c:pt idx="492">
                  <c:v>0.18796329449585031</c:v>
                </c:pt>
                <c:pt idx="493">
                  <c:v>0.18796532353209242</c:v>
                </c:pt>
                <c:pt idx="494">
                  <c:v>0.18796744345358013</c:v>
                </c:pt>
                <c:pt idx="495">
                  <c:v>0.18796964193526067</c:v>
                </c:pt>
                <c:pt idx="496">
                  <c:v>0.18797190668956731</c:v>
                </c:pt>
                <c:pt idx="497">
                  <c:v>0.18797422552008763</c:v>
                </c:pt>
                <c:pt idx="498">
                  <c:v>0.18797658637313397</c:v>
                </c:pt>
                <c:pt idx="499">
                  <c:v>0.1879789773870531</c:v>
                </c:pt>
                <c:pt idx="500">
                  <c:v>0.18798138693912575</c:v>
                </c:pt>
                <c:pt idx="501">
                  <c:v>0.18798380368992232</c:v>
                </c:pt>
                <c:pt idx="502">
                  <c:v>0.18798621662499748</c:v>
                </c:pt>
                <c:pt idx="503">
                  <c:v>0.18798861509382081</c:v>
                </c:pt>
                <c:pt idx="504">
                  <c:v>0.18799098884585694</c:v>
                </c:pt>
                <c:pt idx="505">
                  <c:v>0.1879933280637241</c:v>
                </c:pt>
                <c:pt idx="506">
                  <c:v>0.18799562339337478</c:v>
                </c:pt>
                <c:pt idx="507">
                  <c:v>0.18799786597125773</c:v>
                </c:pt>
                <c:pt idx="508">
                  <c:v>0.18800004744843501</c:v>
                </c:pt>
                <c:pt idx="509">
                  <c:v>0.18800216001164269</c:v>
                </c:pt>
                <c:pt idx="510">
                  <c:v>0.18800419640129679</c:v>
                </c:pt>
                <c:pt idx="511">
                  <c:v>0.18800614992646086</c:v>
                </c:pt>
                <c:pt idx="512">
                  <c:v>0.18800801447680418</c:v>
                </c:pt>
                <c:pt idx="513">
                  <c:v>0.18800978453159095</c:v>
                </c:pt>
                <c:pt idx="514">
                  <c:v>0.18801145516575535</c:v>
                </c:pt>
                <c:pt idx="515">
                  <c:v>0.18801302205312592</c:v>
                </c:pt>
                <c:pt idx="516">
                  <c:v>0.18801448146687522</c:v>
                </c:pt>
                <c:pt idx="517">
                  <c:v>0.18801583027728</c:v>
                </c:pt>
                <c:pt idx="518">
                  <c:v>0.18801706594688664</c:v>
                </c:pt>
                <c:pt idx="519">
                  <c:v>0.18801818652318503</c:v>
                </c:pt>
                <c:pt idx="520">
                  <c:v>0.18801919062890218</c:v>
                </c:pt>
                <c:pt idx="521">
                  <c:v>0.18802007745003391</c:v>
                </c:pt>
                <c:pt idx="522">
                  <c:v>0.18802084672173891</c:v>
                </c:pt>
                <c:pt idx="523">
                  <c:v>0.18802149871222612</c:v>
                </c:pt>
                <c:pt idx="524">
                  <c:v>0.18802203420476971</c:v>
                </c:pt>
                <c:pt idx="525">
                  <c:v>0.18802245447799187</c:v>
                </c:pt>
                <c:pt idx="526">
                  <c:v>0.18802276128455486</c:v>
                </c:pt>
                <c:pt idx="527">
                  <c:v>0.18802295682840872</c:v>
                </c:pt>
                <c:pt idx="528">
                  <c:v>0.18802304374074069</c:v>
                </c:pt>
                <c:pt idx="529">
                  <c:v>0.18802302505477508</c:v>
                </c:pt>
                <c:pt idx="530">
                  <c:v>0.18802290417957251</c:v>
                </c:pt>
                <c:pt idx="531">
                  <c:v>0.18802268487297596</c:v>
                </c:pt>
                <c:pt idx="532">
                  <c:v>0.1880223712138529</c:v>
                </c:pt>
                <c:pt idx="533">
                  <c:v>0.1880219675737777</c:v>
                </c:pt>
                <c:pt idx="534">
                  <c:v>0.18802147858830009</c:v>
                </c:pt>
                <c:pt idx="535">
                  <c:v>0.18802090912793973</c:v>
                </c:pt>
                <c:pt idx="536">
                  <c:v>0.18802026426904522</c:v>
                </c:pt>
                <c:pt idx="537">
                  <c:v>0.18801954926465281</c:v>
                </c:pt>
                <c:pt idx="538">
                  <c:v>0.18801876951547347</c:v>
                </c:pt>
                <c:pt idx="539">
                  <c:v>0.18801793054113483</c:v>
                </c:pt>
                <c:pt idx="540">
                  <c:v>0.18801703795179792</c:v>
                </c:pt>
                <c:pt idx="541">
                  <c:v>0.18801609742026371</c:v>
                </c:pt>
                <c:pt idx="542">
                  <c:v>0.18801511465467857</c:v>
                </c:pt>
                <c:pt idx="543">
                  <c:v>0.18801409537194136</c:v>
                </c:pt>
                <c:pt idx="544">
                  <c:v>0.1880130452719091</c:v>
                </c:pt>
                <c:pt idx="545">
                  <c:v>0.18801197001249109</c:v>
                </c:pt>
                <c:pt idx="546">
                  <c:v>0.18801087518571447</c:v>
                </c:pt>
                <c:pt idx="547">
                  <c:v>0.18800976629483782</c:v>
                </c:pt>
                <c:pt idx="548">
                  <c:v>0.18800864873258177</c:v>
                </c:pt>
                <c:pt idx="549">
                  <c:v>0.18800752776053847</c:v>
                </c:pt>
                <c:pt idx="550">
                  <c:v>0.18800640848981481</c:v>
                </c:pt>
                <c:pt idx="551">
                  <c:v>0.18800529586295739</c:v>
                </c:pt>
                <c:pt idx="552">
                  <c:v>0.18800419463719856</c:v>
                </c:pt>
                <c:pt idx="553">
                  <c:v>0.18800310936905767</c:v>
                </c:pt>
                <c:pt idx="554">
                  <c:v>0.18800204440032328</c:v>
                </c:pt>
                <c:pt idx="555">
                  <c:v>0.18800100384543489</c:v>
                </c:pt>
                <c:pt idx="556">
                  <c:v>0.18799999158027736</c:v>
                </c:pt>
                <c:pt idx="557">
                  <c:v>0.18799901123239288</c:v>
                </c:pt>
                <c:pt idx="558">
                  <c:v>0.18799806617260972</c:v>
                </c:pt>
                <c:pt idx="559">
                  <c:v>0.18799715950808055</c:v>
                </c:pt>
                <c:pt idx="560">
                  <c:v>0.18799629407671689</c:v>
                </c:pt>
                <c:pt idx="561">
                  <c:v>0.18799547244300097</c:v>
                </c:pt>
                <c:pt idx="562">
                  <c:v>0.18799469689514955</c:v>
                </c:pt>
                <c:pt idx="563">
                  <c:v>0.18799396944360064</c:v>
                </c:pt>
                <c:pt idx="564">
                  <c:v>0.18799329182078758</c:v>
                </c:pt>
                <c:pt idx="565">
                  <c:v>0.1879926654821612</c:v>
                </c:pt>
                <c:pt idx="566">
                  <c:v>0.18799209160841629</c:v>
                </c:pt>
                <c:pt idx="567">
                  <c:v>0.18799157110887416</c:v>
                </c:pt>
                <c:pt idx="568">
                  <c:v>0.1879911046259703</c:v>
                </c:pt>
                <c:pt idx="569">
                  <c:v>0.18799069254079179</c:v>
                </c:pt>
                <c:pt idx="570">
                  <c:v>0.18799033497960702</c:v>
                </c:pt>
                <c:pt idx="571">
                  <c:v>0.18799003182132706</c:v>
                </c:pt>
                <c:pt idx="572">
                  <c:v>0.18798978270583649</c:v>
                </c:pt>
                <c:pt idx="573">
                  <c:v>0.18798958704312849</c:v>
                </c:pt>
                <c:pt idx="574">
                  <c:v>0.18798944402317846</c:v>
                </c:pt>
                <c:pt idx="575">
                  <c:v>0.18798935262648914</c:v>
                </c:pt>
                <c:pt idx="576">
                  <c:v>0.18798931163523802</c:v>
                </c:pt>
                <c:pt idx="577">
                  <c:v>0.18798931964495971</c:v>
                </c:pt>
                <c:pt idx="578">
                  <c:v>0.18798937507669278</c:v>
                </c:pt>
                <c:pt idx="579">
                  <c:v>0.1879894761895235</c:v>
                </c:pt>
                <c:pt idx="580">
                  <c:v>0.18798962109345718</c:v>
                </c:pt>
                <c:pt idx="581">
                  <c:v>0.18798980776254964</c:v>
                </c:pt>
                <c:pt idx="582">
                  <c:v>0.1879900340482322</c:v>
                </c:pt>
                <c:pt idx="583">
                  <c:v>0.18799029769276382</c:v>
                </c:pt>
                <c:pt idx="584">
                  <c:v>0.18799059634274759</c:v>
                </c:pt>
                <c:pt idx="585">
                  <c:v>0.18799092756264807</c:v>
                </c:pt>
                <c:pt idx="586">
                  <c:v>0.18799128884824973</c:v>
                </c:pt>
                <c:pt idx="587">
                  <c:v>0.18799167763999797</c:v>
                </c:pt>
                <c:pt idx="588">
                  <c:v>0.18799209133616723</c:v>
                </c:pt>
                <c:pt idx="589">
                  <c:v>0.18799252730580251</c:v>
                </c:pt>
                <c:pt idx="590">
                  <c:v>0.18799298290138378</c:v>
                </c:pt>
                <c:pt idx="591">
                  <c:v>0.18799345547116525</c:v>
                </c:pt>
                <c:pt idx="592">
                  <c:v>0.18799394237114558</c:v>
                </c:pt>
                <c:pt idx="593">
                  <c:v>0.18799444097662579</c:v>
                </c:pt>
                <c:pt idx="594">
                  <c:v>0.1879949486933174</c:v>
                </c:pt>
                <c:pt idx="595">
                  <c:v>0.18799546296796488</c:v>
                </c:pt>
                <c:pt idx="596">
                  <c:v>0.18799598129845052</c:v>
                </c:pt>
                <c:pt idx="597">
                  <c:v>0.18799650124335265</c:v>
                </c:pt>
                <c:pt idx="598">
                  <c:v>0.18799702043093203</c:v>
                </c:pt>
                <c:pt idx="599">
                  <c:v>0.18799753656752402</c:v>
                </c:pt>
                <c:pt idx="600">
                  <c:v>0.18799804744531814</c:v>
                </c:pt>
                <c:pt idx="601">
                  <c:v>0.18799855094950929</c:v>
                </c:pt>
                <c:pt idx="602">
                  <c:v>0.18799904506480858</c:v>
                </c:pt>
                <c:pt idx="603">
                  <c:v>0.18799952788130503</c:v>
                </c:pt>
                <c:pt idx="604">
                  <c:v>0.18799999759967206</c:v>
                </c:pt>
                <c:pt idx="605">
                  <c:v>0.18800045253571673</c:v>
                </c:pt>
                <c:pt idx="606">
                  <c:v>0.18800089112427126</c:v>
                </c:pt>
                <c:pt idx="607">
                  <c:v>0.18800131192243141</c:v>
                </c:pt>
                <c:pt idx="608">
                  <c:v>0.18800171361214632</c:v>
                </c:pt>
                <c:pt idx="609">
                  <c:v>0.18800209500217024</c:v>
                </c:pt>
                <c:pt idx="610">
                  <c:v>0.18800245502938612</c:v>
                </c:pt>
                <c:pt idx="611">
                  <c:v>0.18800279275951604</c:v>
                </c:pt>
                <c:pt idx="612">
                  <c:v>0.188003107387234</c:v>
                </c:pt>
                <c:pt idx="613">
                  <c:v>0.18800339823569939</c:v>
                </c:pt>
                <c:pt idx="614">
                  <c:v>0.18800366475553201</c:v>
                </c:pt>
                <c:pt idx="615">
                  <c:v>0.18800390652324994</c:v>
                </c:pt>
                <c:pt idx="616">
                  <c:v>0.18800412323919508</c:v>
                </c:pt>
                <c:pt idx="617">
                  <c:v>0.18800431472497098</c:v>
                </c:pt>
                <c:pt idx="618">
                  <c:v>0.18800448092042041</c:v>
                </c:pt>
                <c:pt idx="619">
                  <c:v>0.18800462188016986</c:v>
                </c:pt>
                <c:pt idx="620">
                  <c:v>0.18800473776977089</c:v>
                </c:pt>
                <c:pt idx="621">
                  <c:v>0.18800482886146788</c:v>
                </c:pt>
                <c:pt idx="622">
                  <c:v>0.18800489552962241</c:v>
                </c:pt>
                <c:pt idx="623">
                  <c:v>0.18800493824582643</c:v>
                </c:pt>
                <c:pt idx="624">
                  <c:v>0.18800495757373495</c:v>
                </c:pt>
                <c:pt idx="625">
                  <c:v>0.18800495416365065</c:v>
                </c:pt>
                <c:pt idx="626">
                  <c:v>0.1880049287468924</c:v>
                </c:pt>
                <c:pt idx="627">
                  <c:v>0.18800488212997918</c:v>
                </c:pt>
                <c:pt idx="628">
                  <c:v>0.18800481518866191</c:v>
                </c:pt>
                <c:pt idx="629">
                  <c:v>0.18800472886183367</c:v>
                </c:pt>
                <c:pt idx="630">
                  <c:v>0.18800462414535057</c:v>
                </c:pt>
                <c:pt idx="631">
                  <c:v>0.18800450208579222</c:v>
                </c:pt>
                <c:pt idx="632">
                  <c:v>0.18800436377419266</c:v>
                </c:pt>
                <c:pt idx="633">
                  <c:v>0.18800421033977052</c:v>
                </c:pt>
                <c:pt idx="634">
                  <c:v>0.18800404294368558</c:v>
                </c:pt>
                <c:pt idx="635">
                  <c:v>0.18800386277284992</c:v>
                </c:pt>
                <c:pt idx="636">
                  <c:v>0.18800367103381885</c:v>
                </c:pt>
                <c:pt idx="637">
                  <c:v>0.18800346894678641</c:v>
                </c:pt>
                <c:pt idx="638">
                  <c:v>0.1880032577397093</c:v>
                </c:pt>
                <c:pt idx="639">
                  <c:v>0.18800303864258114</c:v>
                </c:pt>
                <c:pt idx="640">
                  <c:v>0.18800281288187792</c:v>
                </c:pt>
                <c:pt idx="641">
                  <c:v>0.18800258167519415</c:v>
                </c:pt>
                <c:pt idx="642">
                  <c:v>0.18800234622608752</c:v>
                </c:pt>
                <c:pt idx="643">
                  <c:v>0.1880021077191486</c:v>
                </c:pt>
                <c:pt idx="644">
                  <c:v>0.1880018673153106</c:v>
                </c:pt>
                <c:pt idx="645">
                  <c:v>0.18800162614741214</c:v>
                </c:pt>
                <c:pt idx="646">
                  <c:v>0.18800138531602545</c:v>
                </c:pt>
                <c:pt idx="647">
                  <c:v>0.18800114588555988</c:v>
                </c:pt>
                <c:pt idx="648">
                  <c:v>0.18800090888064958</c:v>
                </c:pt>
                <c:pt idx="649">
                  <c:v>0.18800067528283243</c:v>
                </c:pt>
                <c:pt idx="650">
                  <c:v>0.18800044602752597</c:v>
                </c:pt>
                <c:pt idx="651">
                  <c:v>0.18800022200130445</c:v>
                </c:pt>
                <c:pt idx="652">
                  <c:v>0.1880000040394795</c:v>
                </c:pt>
                <c:pt idx="653">
                  <c:v>0.18799979292398628</c:v>
                </c:pt>
                <c:pt idx="654">
                  <c:v>0.18799958938157374</c:v>
                </c:pt>
                <c:pt idx="655">
                  <c:v>0.18799939408229893</c:v>
                </c:pt>
                <c:pt idx="656">
                  <c:v>0.18799920763832134</c:v>
                </c:pt>
                <c:pt idx="657">
                  <c:v>0.18799903060299367</c:v>
                </c:pt>
                <c:pt idx="658">
                  <c:v>0.18799886347024403</c:v>
                </c:pt>
                <c:pt idx="659">
                  <c:v>0.18799870667424251</c:v>
                </c:pt>
                <c:pt idx="660">
                  <c:v>0.1879985605893453</c:v>
                </c:pt>
                <c:pt idx="661">
                  <c:v>0.18799842553030721</c:v>
                </c:pt>
                <c:pt idx="662">
                  <c:v>0.18799830175275389</c:v>
                </c:pt>
                <c:pt idx="663">
                  <c:v>0.18799818945390295</c:v>
                </c:pt>
                <c:pt idx="664">
                  <c:v>0.18799808877352298</c:v>
                </c:pt>
                <c:pt idx="665">
                  <c:v>0.18799799979511905</c:v>
                </c:pt>
                <c:pt idx="666">
                  <c:v>0.18799792254733189</c:v>
                </c:pt>
                <c:pt idx="667">
                  <c:v>0.18799785700553789</c:v>
                </c:pt>
                <c:pt idx="668">
                  <c:v>0.18799780309363645</c:v>
                </c:pt>
                <c:pt idx="669">
                  <c:v>0.18799776068601087</c:v>
                </c:pt>
                <c:pt idx="670">
                  <c:v>0.18799772960964856</c:v>
                </c:pt>
                <c:pt idx="671">
                  <c:v>0.18799770964640591</c:v>
                </c:pt>
                <c:pt idx="672">
                  <c:v>0.18799770053540346</c:v>
                </c:pt>
                <c:pt idx="673">
                  <c:v>0.18799770197553611</c:v>
                </c:pt>
                <c:pt idx="674">
                  <c:v>0.18799771362808421</c:v>
                </c:pt>
                <c:pt idx="675">
                  <c:v>0.18799773511940998</c:v>
                </c:pt>
                <c:pt idx="676">
                  <c:v>0.1879977660437252</c:v>
                </c:pt>
                <c:pt idx="677">
                  <c:v>0.18799780596591475</c:v>
                </c:pt>
                <c:pt idx="678">
                  <c:v>0.18799785442440292</c:v>
                </c:pt>
                <c:pt idx="679">
                  <c:v>0.18799791093404655</c:v>
                </c:pt>
                <c:pt idx="680">
                  <c:v>0.1879979749890433</c:v>
                </c:pt>
                <c:pt idx="681">
                  <c:v>0.1879980460658397</c:v>
                </c:pt>
                <c:pt idx="682">
                  <c:v>0.18799812362602739</c:v>
                </c:pt>
                <c:pt idx="683">
                  <c:v>0.18799820711921411</c:v>
                </c:pt>
                <c:pt idx="684">
                  <c:v>0.18799829598585815</c:v>
                </c:pt>
                <c:pt idx="685">
                  <c:v>0.18799838966005378</c:v>
                </c:pt>
                <c:pt idx="686">
                  <c:v>0.18799848757225818</c:v>
                </c:pt>
                <c:pt idx="687">
                  <c:v>0.18799858915194786</c:v>
                </c:pt>
                <c:pt idx="688">
                  <c:v>0.18799869383019646</c:v>
                </c:pt>
                <c:pt idx="689">
                  <c:v>0.18799880104216393</c:v>
                </c:pt>
                <c:pt idx="690">
                  <c:v>0.18799891022948906</c:v>
                </c:pt>
                <c:pt idx="691">
                  <c:v>0.18799902084257791</c:v>
                </c:pt>
                <c:pt idx="692">
                  <c:v>0.18799913234278093</c:v>
                </c:pt>
                <c:pt idx="693">
                  <c:v>0.18799924420445252</c:v>
                </c:pt>
                <c:pt idx="694">
                  <c:v>0.1879993559168881</c:v>
                </c:pt>
                <c:pt idx="695">
                  <c:v>0.18799946698613298</c:v>
                </c:pt>
                <c:pt idx="696">
                  <c:v>0.18799957693665992</c:v>
                </c:pt>
                <c:pt idx="697">
                  <c:v>0.1879996853129112</c:v>
                </c:pt>
                <c:pt idx="698">
                  <c:v>0.18799979168070338</c:v>
                </c:pt>
                <c:pt idx="699">
                  <c:v>0.1879998956284922</c:v>
                </c:pt>
                <c:pt idx="700">
                  <c:v>0.18799999676849652</c:v>
                </c:pt>
                <c:pt idx="701">
                  <c:v>0.18800009473768098</c:v>
                </c:pt>
                <c:pt idx="702">
                  <c:v>0.18800018919859715</c:v>
                </c:pt>
                <c:pt idx="703">
                  <c:v>0.18800027984008399</c:v>
                </c:pt>
                <c:pt idx="704">
                  <c:v>0.18800036637782885</c:v>
                </c:pt>
                <c:pt idx="705">
                  <c:v>0.1880004485547912</c:v>
                </c:pt>
                <c:pt idx="706">
                  <c:v>0.18800052614149076</c:v>
                </c:pt>
                <c:pt idx="707">
                  <c:v>0.18800059893616428</c:v>
                </c:pt>
                <c:pt idx="708">
                  <c:v>0.18800066676479296</c:v>
                </c:pt>
                <c:pt idx="709">
                  <c:v>0.18800072948100555</c:v>
                </c:pt>
                <c:pt idx="710">
                  <c:v>0.18800078696586101</c:v>
                </c:pt>
                <c:pt idx="711">
                  <c:v>0.18800083912751553</c:v>
                </c:pt>
                <c:pt idx="712">
                  <c:v>0.18800088590077918</c:v>
                </c:pt>
                <c:pt idx="713">
                  <c:v>0.18800092724656742</c:v>
                </c:pt>
                <c:pt idx="714">
                  <c:v>0.18800096315125331</c:v>
                </c:pt>
                <c:pt idx="715">
                  <c:v>0.18800099362592682</c:v>
                </c:pt>
                <c:pt idx="716">
                  <c:v>0.18800101870556682</c:v>
                </c:pt>
                <c:pt idx="717">
                  <c:v>0.18800103844813246</c:v>
                </c:pt>
                <c:pt idx="718">
                  <c:v>0.18800105293358091</c:v>
                </c:pt>
                <c:pt idx="719">
                  <c:v>0.18800106226281754</c:v>
                </c:pt>
                <c:pt idx="720">
                  <c:v>0.18800106655658586</c:v>
                </c:pt>
                <c:pt idx="721">
                  <c:v>0.18800106595430377</c:v>
                </c:pt>
                <c:pt idx="722">
                  <c:v>0.18800106061285302</c:v>
                </c:pt>
                <c:pt idx="723">
                  <c:v>0.18800105070532908</c:v>
                </c:pt>
                <c:pt idx="724">
                  <c:v>0.18800103641975771</c:v>
                </c:pt>
                <c:pt idx="725">
                  <c:v>0.18800101795778562</c:v>
                </c:pt>
                <c:pt idx="726">
                  <c:v>0.18800099553335126</c:v>
                </c:pt>
                <c:pt idx="727">
                  <c:v>0.18800096937134281</c:v>
                </c:pt>
                <c:pt idx="728">
                  <c:v>0.18800093970624954</c:v>
                </c:pt>
                <c:pt idx="729">
                  <c:v>0.1880009067808126</c:v>
                </c:pt>
                <c:pt idx="730">
                  <c:v>0.18800087084468181</c:v>
                </c:pt>
                <c:pt idx="731">
                  <c:v>0.18800083215308347</c:v>
                </c:pt>
                <c:pt idx="732">
                  <c:v>0.18800079096550576</c:v>
                </c:pt>
                <c:pt idx="733">
                  <c:v>0.18800074754440593</c:v>
                </c:pt>
                <c:pt idx="734">
                  <c:v>0.18800070215394551</c:v>
                </c:pt>
                <c:pt idx="735">
                  <c:v>0.18800065505875732</c:v>
                </c:pt>
                <c:pt idx="736">
                  <c:v>0.18800060652274947</c:v>
                </c:pt>
                <c:pt idx="737">
                  <c:v>0.18800055680795011</c:v>
                </c:pt>
                <c:pt idx="738">
                  <c:v>0.18800050617339709</c:v>
                </c:pt>
                <c:pt idx="739">
                  <c:v>0.18800045487407574</c:v>
                </c:pt>
                <c:pt idx="740">
                  <c:v>0.18800040315990846</c:v>
                </c:pt>
                <c:pt idx="741">
                  <c:v>0.18800035127479842</c:v>
                </c:pt>
                <c:pt idx="742">
                  <c:v>0.18800029945573055</c:v>
                </c:pt>
                <c:pt idx="743">
                  <c:v>0.18800024793193149</c:v>
                </c:pt>
                <c:pt idx="744">
                  <c:v>0.18800019692409076</c:v>
                </c:pt>
                <c:pt idx="745">
                  <c:v>0.18800014664364448</c:v>
                </c:pt>
                <c:pt idx="746">
                  <c:v>0.18800009729212308</c:v>
                </c:pt>
                <c:pt idx="747">
                  <c:v>0.18800004906056361</c:v>
                </c:pt>
                <c:pt idx="748">
                  <c:v>0.18800000212898749</c:v>
                </c:pt>
                <c:pt idx="749">
                  <c:v>0.18799995666594385</c:v>
                </c:pt>
                <c:pt idx="750">
                  <c:v>0.18799991282811856</c:v>
                </c:pt>
                <c:pt idx="751">
                  <c:v>0.18799987076000835</c:v>
                </c:pt>
                <c:pt idx="752">
                  <c:v>0.18799983059365963</c:v>
                </c:pt>
                <c:pt idx="753">
                  <c:v>0.18799979244847137</c:v>
                </c:pt>
                <c:pt idx="754">
                  <c:v>0.18799975643106034</c:v>
                </c:pt>
                <c:pt idx="755">
                  <c:v>0.18799972263518766</c:v>
                </c:pt>
                <c:pt idx="756">
                  <c:v>0.18799969114174528</c:v>
                </c:pt>
                <c:pt idx="757">
                  <c:v>0.18799966201880014</c:v>
                </c:pt>
                <c:pt idx="758">
                  <c:v>0.18799963532169434</c:v>
                </c:pt>
                <c:pt idx="759">
                  <c:v>0.1879996110931986</c:v>
                </c:pt>
                <c:pt idx="760">
                  <c:v>0.18799958936371755</c:v>
                </c:pt>
                <c:pt idx="761">
                  <c:v>0.18799957015154331</c:v>
                </c:pt>
                <c:pt idx="762">
                  <c:v>0.18799955346315531</c:v>
                </c:pt>
                <c:pt idx="763">
                  <c:v>0.18799953929356342</c:v>
                </c:pt>
                <c:pt idx="764">
                  <c:v>0.18799952762669142</c:v>
                </c:pt>
                <c:pt idx="765">
                  <c:v>0.18799951843579799</c:v>
                </c:pt>
                <c:pt idx="766">
                  <c:v>0.1879995116839317</c:v>
                </c:pt>
                <c:pt idx="767">
                  <c:v>0.18799950732441789</c:v>
                </c:pt>
                <c:pt idx="768">
                  <c:v>0.18799950530137283</c:v>
                </c:pt>
                <c:pt idx="769">
                  <c:v>0.18799950555024347</c:v>
                </c:pt>
                <c:pt idx="770">
                  <c:v>0.18799950799836859</c:v>
                </c:pt>
                <c:pt idx="771">
                  <c:v>0.18799951256555836</c:v>
                </c:pt>
                <c:pt idx="772">
                  <c:v>0.18799951916468943</c:v>
                </c:pt>
                <c:pt idx="773">
                  <c:v>0.18799952770231226</c:v>
                </c:pt>
                <c:pt idx="774">
                  <c:v>0.18799953807926745</c:v>
                </c:pt>
                <c:pt idx="775">
                  <c:v>0.18799955019130821</c:v>
                </c:pt>
                <c:pt idx="776">
                  <c:v>0.18799956392972578</c:v>
                </c:pt>
                <c:pt idx="777">
                  <c:v>0.18799957918197538</c:v>
                </c:pt>
                <c:pt idx="778">
                  <c:v>0.18799959583229925</c:v>
                </c:pt>
                <c:pt idx="779">
                  <c:v>0.1879996137623447</c:v>
                </c:pt>
                <c:pt idx="780">
                  <c:v>0.1879996328517739</c:v>
                </c:pt>
                <c:pt idx="781">
                  <c:v>0.18799965297886378</c:v>
                </c:pt>
                <c:pt idx="782">
                  <c:v>0.18799967402109286</c:v>
                </c:pt>
                <c:pt idx="783">
                  <c:v>0.18799969585571341</c:v>
                </c:pt>
                <c:pt idx="784">
                  <c:v>0.18799971836030638</c:v>
                </c:pt>
                <c:pt idx="785">
                  <c:v>0.18799974141331746</c:v>
                </c:pt>
                <c:pt idx="786">
                  <c:v>0.18799976489457262</c:v>
                </c:pt>
                <c:pt idx="787">
                  <c:v>0.18799978868577094</c:v>
                </c:pt>
                <c:pt idx="788">
                  <c:v>0.18799981267095361</c:v>
                </c:pt>
                <c:pt idx="789">
                  <c:v>0.18799983673694795</c:v>
                </c:pt>
                <c:pt idx="790">
                  <c:v>0.18799986077378472</c:v>
                </c:pt>
                <c:pt idx="791">
                  <c:v>0.18799988467508816</c:v>
                </c:pt>
                <c:pt idx="792">
                  <c:v>0.1879999083384376</c:v>
                </c:pt>
                <c:pt idx="793">
                  <c:v>0.18799993166570012</c:v>
                </c:pt>
                <c:pt idx="794">
                  <c:v>0.18799995456333357</c:v>
                </c:pt>
                <c:pt idx="795">
                  <c:v>0.18799997694265946</c:v>
                </c:pt>
                <c:pt idx="796">
                  <c:v>0.18799999872010575</c:v>
                </c:pt>
                <c:pt idx="797">
                  <c:v>0.18800001981741893</c:v>
                </c:pt>
                <c:pt idx="798">
                  <c:v>0.1880000401618459</c:v>
                </c:pt>
                <c:pt idx="799">
                  <c:v>0.18800005968628553</c:v>
                </c:pt>
                <c:pt idx="800">
                  <c:v>0.18800007832941013</c:v>
                </c:pt>
                <c:pt idx="801">
                  <c:v>0.18800009603575735</c:v>
                </c:pt>
                <c:pt idx="802">
                  <c:v>0.18800011275579309</c:v>
                </c:pt>
                <c:pt idx="803">
                  <c:v>0.18800012844594588</c:v>
                </c:pt>
                <c:pt idx="804">
                  <c:v>0.18800014306861357</c:v>
                </c:pt>
                <c:pt idx="805">
                  <c:v>0.18800015659214325</c:v>
                </c:pt>
                <c:pt idx="806">
                  <c:v>0.18800016899078503</c:v>
                </c:pt>
                <c:pt idx="807">
                  <c:v>0.18800018024462134</c:v>
                </c:pt>
                <c:pt idx="808">
                  <c:v>0.1880001903394718</c:v>
                </c:pt>
                <c:pt idx="809">
                  <c:v>0.18800019926677608</c:v>
                </c:pt>
                <c:pt idx="810">
                  <c:v>0.18800020702345516</c:v>
                </c:pt>
                <c:pt idx="811">
                  <c:v>0.18800021361175226</c:v>
                </c:pt>
                <c:pt idx="812">
                  <c:v>0.18800021903905528</c:v>
                </c:pt>
                <c:pt idx="813">
                  <c:v>0.18800022331770194</c:v>
                </c:pt>
                <c:pt idx="814">
                  <c:v>0.18800022646476849</c:v>
                </c:pt>
                <c:pt idx="815">
                  <c:v>0.18800022850184467</c:v>
                </c:pt>
                <c:pt idx="816">
                  <c:v>0.18800022945479489</c:v>
                </c:pt>
                <c:pt idx="817">
                  <c:v>0.18800022935350824</c:v>
                </c:pt>
                <c:pt idx="818">
                  <c:v>0.18800022823163842</c:v>
                </c:pt>
                <c:pt idx="819">
                  <c:v>0.18800022612633474</c:v>
                </c:pt>
                <c:pt idx="820">
                  <c:v>0.18800022307796643</c:v>
                </c:pt>
                <c:pt idx="821">
                  <c:v>0.18800021912984097</c:v>
                </c:pt>
                <c:pt idx="822">
                  <c:v>0.18800021432791811</c:v>
                </c:pt>
                <c:pt idx="823">
                  <c:v>0.18800020872052137</c:v>
                </c:pt>
                <c:pt idx="824">
                  <c:v>0.18800020235804782</c:v>
                </c:pt>
                <c:pt idx="825">
                  <c:v>0.18800019529267781</c:v>
                </c:pt>
                <c:pt idx="826">
                  <c:v>0.18800018757808584</c:v>
                </c:pt>
                <c:pt idx="827">
                  <c:v>0.18800017926915408</c:v>
                </c:pt>
                <c:pt idx="828">
                  <c:v>0.18800017042168909</c:v>
                </c:pt>
                <c:pt idx="829">
                  <c:v>0.18800016109214396</c:v>
                </c:pt>
                <c:pt idx="830">
                  <c:v>0.18800015133734557</c:v>
                </c:pt>
                <c:pt idx="831">
                  <c:v>0.18800014121422948</c:v>
                </c:pt>
                <c:pt idx="832">
                  <c:v>0.18800013077958211</c:v>
                </c:pt>
                <c:pt idx="833">
                  <c:v>0.18800012008979219</c:v>
                </c:pt>
                <c:pt idx="834">
                  <c:v>0.18800010920061139</c:v>
                </c:pt>
                <c:pt idx="835">
                  <c:v>0.18800009816692564</c:v>
                </c:pt>
                <c:pt idx="836">
                  <c:v>0.18800008704253729</c:v>
                </c:pt>
                <c:pt idx="837">
                  <c:v>0.18800007587995921</c:v>
                </c:pt>
                <c:pt idx="838">
                  <c:v>0.18800006473022091</c:v>
                </c:pt>
                <c:pt idx="839">
                  <c:v>0.18800005364268751</c:v>
                </c:pt>
                <c:pt idx="840">
                  <c:v>0.1880000426648917</c:v>
                </c:pt>
                <c:pt idx="841">
                  <c:v>0.18800003184237948</c:v>
                </c:pt>
                <c:pt idx="842">
                  <c:v>0.18800002121856924</c:v>
                </c:pt>
                <c:pt idx="843">
                  <c:v>0.18800001083462509</c:v>
                </c:pt>
                <c:pt idx="844">
                  <c:v>0.18800000072934389</c:v>
                </c:pt>
                <c:pt idx="845">
                  <c:v>0.18799999093905695</c:v>
                </c:pt>
                <c:pt idx="846">
                  <c:v>0.18799998149754527</c:v>
                </c:pt>
                <c:pt idx="847">
                  <c:v>0.18799997243596911</c:v>
                </c:pt>
                <c:pt idx="848">
                  <c:v>0.18799996378281142</c:v>
                </c:pt>
                <c:pt idx="849">
                  <c:v>0.18799995556383514</c:v>
                </c:pt>
                <c:pt idx="850">
                  <c:v>0.18799994780205379</c:v>
                </c:pt>
                <c:pt idx="851">
                  <c:v>0.18799994051771518</c:v>
                </c:pt>
                <c:pt idx="852">
                  <c:v>0.1879999337282984</c:v>
                </c:pt>
                <c:pt idx="853">
                  <c:v>0.18799992744852281</c:v>
                </c:pt>
                <c:pt idx="854">
                  <c:v>0.18799992169036933</c:v>
                </c:pt>
                <c:pt idx="855">
                  <c:v>0.18799991646311315</c:v>
                </c:pt>
                <c:pt idx="856">
                  <c:v>0.18799991177336756</c:v>
                </c:pt>
                <c:pt idx="857">
                  <c:v>0.18799990762513835</c:v>
                </c:pt>
                <c:pt idx="858">
                  <c:v>0.18799990401988786</c:v>
                </c:pt>
                <c:pt idx="859">
                  <c:v>0.18799990095660873</c:v>
                </c:pt>
                <c:pt idx="860">
                  <c:v>0.18799989843190607</c:v>
                </c:pt>
                <c:pt idx="861">
                  <c:v>0.18799989644008791</c:v>
                </c:pt>
                <c:pt idx="862">
                  <c:v>0.1879998949732628</c:v>
                </c:pt>
                <c:pt idx="863">
                  <c:v>0.18799989402144449</c:v>
                </c:pt>
                <c:pt idx="864">
                  <c:v>0.18799989357266228</c:v>
                </c:pt>
                <c:pt idx="865">
                  <c:v>0.18799989361307706</c:v>
                </c:pt>
                <c:pt idx="866">
                  <c:v>0.187999894127102</c:v>
                </c:pt>
                <c:pt idx="867">
                  <c:v>0.18799989509752699</c:v>
                </c:pt>
                <c:pt idx="868">
                  <c:v>0.18799989650564675</c:v>
                </c:pt>
                <c:pt idx="869">
                  <c:v>0.18799989833139125</c:v>
                </c:pt>
                <c:pt idx="870">
                  <c:v>0.18799990055345844</c:v>
                </c:pt>
                <c:pt idx="871">
                  <c:v>0.18799990314944809</c:v>
                </c:pt>
                <c:pt idx="872">
                  <c:v>0.18799990609599626</c:v>
                </c:pt>
                <c:pt idx="873">
                  <c:v>0.18799990936891003</c:v>
                </c:pt>
                <c:pt idx="874">
                  <c:v>0.18799991294330168</c:v>
                </c:pt>
                <c:pt idx="875">
                  <c:v>0.18799991679372147</c:v>
                </c:pt>
                <c:pt idx="876">
                  <c:v>0.18799992089428905</c:v>
                </c:pt>
                <c:pt idx="877">
                  <c:v>0.18799992521882264</c:v>
                </c:pt>
                <c:pt idx="878">
                  <c:v>0.18799992974096513</c:v>
                </c:pt>
                <c:pt idx="879">
                  <c:v>0.1879999344343076</c:v>
                </c:pt>
                <c:pt idx="880">
                  <c:v>0.18799993927250847</c:v>
                </c:pt>
                <c:pt idx="881">
                  <c:v>0.18799994422940919</c:v>
                </c:pt>
                <c:pt idx="882">
                  <c:v>0.18799994927914532</c:v>
                </c:pt>
                <c:pt idx="883">
                  <c:v>0.18799995439625236</c:v>
                </c:pt>
                <c:pt idx="884">
                  <c:v>0.18799995955576723</c:v>
                </c:pt>
                <c:pt idx="885">
                  <c:v>0.18799996473332364</c:v>
                </c:pt>
                <c:pt idx="886">
                  <c:v>0.18799996990524218</c:v>
                </c:pt>
                <c:pt idx="887">
                  <c:v>0.18799997504861432</c:v>
                </c:pt>
                <c:pt idx="888">
                  <c:v>0.18799998014138042</c:v>
                </c:pt>
                <c:pt idx="889">
                  <c:v>0.18799998516240152</c:v>
                </c:pt>
                <c:pt idx="890">
                  <c:v>0.1879999900915246</c:v>
                </c:pt>
                <c:pt idx="891">
                  <c:v>0.18799999490964153</c:v>
                </c:pt>
                <c:pt idx="892">
                  <c:v>0.18799999959874153</c:v>
                </c:pt>
                <c:pt idx="893">
                  <c:v>0.18800000414195683</c:v>
                </c:pt>
                <c:pt idx="894">
                  <c:v>0.18800000852360216</c:v>
                </c:pt>
                <c:pt idx="895">
                  <c:v>0.18800001272920744</c:v>
                </c:pt>
                <c:pt idx="896">
                  <c:v>0.18800001674554401</c:v>
                </c:pt>
                <c:pt idx="897">
                  <c:v>0.18800002056064474</c:v>
                </c:pt>
                <c:pt idx="898">
                  <c:v>0.1880000241638177</c:v>
                </c:pt>
                <c:pt idx="899">
                  <c:v>0.18800002754565354</c:v>
                </c:pt>
                <c:pt idx="900">
                  <c:v>0.18800003069802734</c:v>
                </c:pt>
                <c:pt idx="901">
                  <c:v>0.18800003361409429</c:v>
                </c:pt>
                <c:pt idx="902">
                  <c:v>0.18800003628827996</c:v>
                </c:pt>
                <c:pt idx="903">
                  <c:v>0.18800003871626514</c:v>
                </c:pt>
                <c:pt idx="904">
                  <c:v>0.18800004089496564</c:v>
                </c:pt>
                <c:pt idx="905">
                  <c:v>0.18800004282250721</c:v>
                </c:pt>
                <c:pt idx="906">
                  <c:v>0.18800004449819557</c:v>
                </c:pt>
                <c:pt idx="907">
                  <c:v>0.18800004592248271</c:v>
                </c:pt>
                <c:pt idx="908">
                  <c:v>0.18800004709692839</c:v>
                </c:pt>
                <c:pt idx="909">
                  <c:v>0.18800004802415859</c:v>
                </c:pt>
                <c:pt idx="910">
                  <c:v>0.18800004870782011</c:v>
                </c:pt>
                <c:pt idx="911">
                  <c:v>0.18800004915253199</c:v>
                </c:pt>
                <c:pt idx="912">
                  <c:v>0.18800004936383458</c:v>
                </c:pt>
                <c:pt idx="913">
                  <c:v>0.18800004934813547</c:v>
                </c:pt>
                <c:pt idx="914">
                  <c:v>0.18800004911265383</c:v>
                </c:pt>
                <c:pt idx="915">
                  <c:v>0.18800004866536246</c:v>
                </c:pt>
                <c:pt idx="916">
                  <c:v>0.18800004801492864</c:v>
                </c:pt>
                <c:pt idx="917">
                  <c:v>0.18800004717065333</c:v>
                </c:pt>
                <c:pt idx="918">
                  <c:v>0.18800004614240984</c:v>
                </c:pt>
                <c:pt idx="919">
                  <c:v>0.18800004494058181</c:v>
                </c:pt>
                <c:pt idx="920">
                  <c:v>0.18800004357600064</c:v>
                </c:pt>
                <c:pt idx="921">
                  <c:v>0.18800004205988313</c:v>
                </c:pt>
                <c:pt idx="922">
                  <c:v>0.18800004040376922</c:v>
                </c:pt>
                <c:pt idx="923">
                  <c:v>0.1880000386194603</c:v>
                </c:pt>
                <c:pt idx="924">
                  <c:v>0.18800003671895837</c:v>
                </c:pt>
                <c:pt idx="925">
                  <c:v>0.18800003471440607</c:v>
                </c:pt>
                <c:pt idx="926">
                  <c:v>0.18800003261802811</c:v>
                </c:pt>
                <c:pt idx="927">
                  <c:v>0.18800003044207406</c:v>
                </c:pt>
                <c:pt idx="928">
                  <c:v>0.18800002819876288</c:v>
                </c:pt>
                <c:pt idx="929">
                  <c:v>0.18800002590022949</c:v>
                </c:pt>
                <c:pt idx="930">
                  <c:v>0.18800002355847301</c:v>
                </c:pt>
                <c:pt idx="931">
                  <c:v>0.18800002118530773</c:v>
                </c:pt>
                <c:pt idx="932">
                  <c:v>0.18800001879231593</c:v>
                </c:pt>
                <c:pt idx="933">
                  <c:v>0.18800001639080369</c:v>
                </c:pt>
                <c:pt idx="934">
                  <c:v>0.18800001399175911</c:v>
                </c:pt>
                <c:pt idx="935">
                  <c:v>0.18800001160581314</c:v>
                </c:pt>
                <c:pt idx="936">
                  <c:v>0.18800000924320354</c:v>
                </c:pt>
                <c:pt idx="937">
                  <c:v>0.18800000691374136</c:v>
                </c:pt>
                <c:pt idx="938">
                  <c:v>0.18800000462678082</c:v>
                </c:pt>
                <c:pt idx="939">
                  <c:v>0.18800000239119175</c:v>
                </c:pt>
                <c:pt idx="940">
                  <c:v>0.18800000021533536</c:v>
                </c:pt>
                <c:pt idx="941">
                  <c:v>0.18799999810704296</c:v>
                </c:pt>
                <c:pt idx="942">
                  <c:v>0.18799999607359752</c:v>
                </c:pt>
                <c:pt idx="943">
                  <c:v>0.18799999412171869</c:v>
                </c:pt>
                <c:pt idx="944">
                  <c:v>0.18799999225755024</c:v>
                </c:pt>
                <c:pt idx="945">
                  <c:v>0.18799999048665106</c:v>
                </c:pt>
                <c:pt idx="946">
                  <c:v>0.18799998881398863</c:v>
                </c:pt>
                <c:pt idx="947">
                  <c:v>0.18799998724393541</c:v>
                </c:pt>
                <c:pt idx="948">
                  <c:v>0.18799998578026822</c:v>
                </c:pt>
                <c:pt idx="949">
                  <c:v>0.18799998442617005</c:v>
                </c:pt>
                <c:pt idx="950">
                  <c:v>0.18799998318423444</c:v>
                </c:pt>
                <c:pt idx="951">
                  <c:v>0.18799998205647278</c:v>
                </c:pt>
                <c:pt idx="952">
                  <c:v>0.18799998104432331</c:v>
                </c:pt>
                <c:pt idx="953">
                  <c:v>0.18799998014866298</c:v>
                </c:pt>
                <c:pt idx="954">
                  <c:v>0.18799997936982116</c:v>
                </c:pt>
                <c:pt idx="955">
                  <c:v>0.18799997870759533</c:v>
                </c:pt>
                <c:pt idx="956">
                  <c:v>0.1879999781612689</c:v>
                </c:pt>
                <c:pt idx="957">
                  <c:v>0.18799997772963048</c:v>
                </c:pt>
                <c:pt idx="958">
                  <c:v>0.18799997741099481</c:v>
                </c:pt>
                <c:pt idx="959">
                  <c:v>0.18799997720322537</c:v>
                </c:pt>
                <c:pt idx="960">
                  <c:v>0.18799997710375804</c:v>
                </c:pt>
                <c:pt idx="961">
                  <c:v>0.18799997710962602</c:v>
                </c:pt>
                <c:pt idx="962">
                  <c:v>0.18799997721748576</c:v>
                </c:pt>
                <c:pt idx="963">
                  <c:v>0.18799997742364369</c:v>
                </c:pt>
                <c:pt idx="964">
                  <c:v>0.18799997772408386</c:v>
                </c:pt>
                <c:pt idx="965">
                  <c:v>0.18799997811449592</c:v>
                </c:pt>
                <c:pt idx="966">
                  <c:v>0.1879999785903036</c:v>
                </c:pt>
                <c:pt idx="967">
                  <c:v>0.1879999791466937</c:v>
                </c:pt>
                <c:pt idx="968">
                  <c:v>0.1879999797786448</c:v>
                </c:pt>
                <c:pt idx="969">
                  <c:v>0.18799998048095631</c:v>
                </c:pt>
                <c:pt idx="970">
                  <c:v>0.18799998124827749</c:v>
                </c:pt>
                <c:pt idx="971">
                  <c:v>0.18799998207513577</c:v>
                </c:pt>
                <c:pt idx="972">
                  <c:v>0.18799998295596532</c:v>
                </c:pt>
                <c:pt idx="973">
                  <c:v>0.18799998388513453</c:v>
                </c:pt>
                <c:pt idx="974">
                  <c:v>0.18799998485697356</c:v>
                </c:pt>
                <c:pt idx="975">
                  <c:v>0.18799998586580044</c:v>
                </c:pt>
                <c:pt idx="976">
                  <c:v>0.18799998690594727</c:v>
                </c:pt>
                <c:pt idx="977">
                  <c:v>0.18799998797178466</c:v>
                </c:pt>
                <c:pt idx="978">
                  <c:v>0.18799998905774595</c:v>
                </c:pt>
                <c:pt idx="979">
                  <c:v>0.18799999015834992</c:v>
                </c:pt>
                <c:pt idx="980">
                  <c:v>0.18799999126822264</c:v>
                </c:pt>
                <c:pt idx="981">
                  <c:v>0.18799999238211798</c:v>
                </c:pt>
                <c:pt idx="982">
                  <c:v>0.18799999349493718</c:v>
                </c:pt>
                <c:pt idx="983">
                  <c:v>0.18799999460174671</c:v>
                </c:pt>
                <c:pt idx="984">
                  <c:v>0.18799999569779546</c:v>
                </c:pt>
                <c:pt idx="985">
                  <c:v>0.18799999677852974</c:v>
                </c:pt>
                <c:pt idx="986">
                  <c:v>0.1879999978396078</c:v>
                </c:pt>
                <c:pt idx="987">
                  <c:v>0.18799999887691232</c:v>
                </c:pt>
                <c:pt idx="988">
                  <c:v>0.18799999988656171</c:v>
                </c:pt>
                <c:pt idx="989">
                  <c:v>0.18800000086492019</c:v>
                </c:pt>
                <c:pt idx="990">
                  <c:v>0.18800000180860599</c:v>
                </c:pt>
                <c:pt idx="991">
                  <c:v>0.18800000271449879</c:v>
                </c:pt>
                <c:pt idx="992">
                  <c:v>0.18800000357974517</c:v>
                </c:pt>
                <c:pt idx="993">
                  <c:v>0.1880000044017629</c:v>
                </c:pt>
                <c:pt idx="994">
                  <c:v>0.18800000517824419</c:v>
                </c:pt>
                <c:pt idx="995">
                  <c:v>0.18800000590715715</c:v>
                </c:pt>
                <c:pt idx="996">
                  <c:v>0.18800000658674615</c:v>
                </c:pt>
                <c:pt idx="997">
                  <c:v>0.18800000721553106</c:v>
                </c:pt>
                <c:pt idx="998">
                  <c:v>0.18800000779230525</c:v>
                </c:pt>
                <c:pt idx="999">
                  <c:v>0.18800000831613201</c:v>
                </c:pt>
                <c:pt idx="1000">
                  <c:v>0.18800000878634068</c:v>
                </c:pt>
                <c:pt idx="1001">
                  <c:v>0.18800000920252097</c:v>
                </c:pt>
                <c:pt idx="1002">
                  <c:v>0.18800000956451673</c:v>
                </c:pt>
                <c:pt idx="1003">
                  <c:v>0.18800000987241855</c:v>
                </c:pt>
                <c:pt idx="1004">
                  <c:v>0.18800001012655565</c:v>
                </c:pt>
                <c:pt idx="1005">
                  <c:v>0.18800001032748684</c:v>
                </c:pt>
                <c:pt idx="1006">
                  <c:v>0.18800001047599085</c:v>
                </c:pt>
                <c:pt idx="1007">
                  <c:v>0.18800001057305596</c:v>
                </c:pt>
                <c:pt idx="1008">
                  <c:v>0.18800001061986882</c:v>
                </c:pt>
                <c:pt idx="1009">
                  <c:v>0.18800001061780314</c:v>
                </c:pt>
                <c:pt idx="1010">
                  <c:v>0.18800001056840743</c:v>
                </c:pt>
                <c:pt idx="1011">
                  <c:v>0.18800001047339282</c:v>
                </c:pt>
                <c:pt idx="1012">
                  <c:v>0.1880000103346201</c:v>
                </c:pt>
                <c:pt idx="1013">
                  <c:v>0.18800001015408679</c:v>
                </c:pt>
                <c:pt idx="1014">
                  <c:v>0.18800000993391397</c:v>
                </c:pt>
                <c:pt idx="1015">
                  <c:v>0.18800000967633279</c:v>
                </c:pt>
                <c:pt idx="1016">
                  <c:v>0.18800000938367117</c:v>
                </c:pt>
                <c:pt idx="1017">
                  <c:v>0.18800000905834022</c:v>
                </c:pt>
                <c:pt idx="1018">
                  <c:v>0.18800000870282105</c:v>
                </c:pt>
                <c:pt idx="1019">
                  <c:v>0.1880000083196513</c:v>
                </c:pt>
                <c:pt idx="1020">
                  <c:v>0.18800000791141216</c:v>
                </c:pt>
                <c:pt idx="1021">
                  <c:v>0.18800000748071544</c:v>
                </c:pt>
                <c:pt idx="1022">
                  <c:v>0.1880000070301909</c:v>
                </c:pt>
                <c:pt idx="1023">
                  <c:v>0.18800000656247401</c:v>
                </c:pt>
                <c:pt idx="1024">
                  <c:v>0.18800000608019402</c:v>
                </c:pt>
                <c:pt idx="1025">
                  <c:v>0.18800000558596225</c:v>
                </c:pt>
                <c:pt idx="1026">
                  <c:v>0.18800000508236131</c:v>
                </c:pt>
                <c:pt idx="1027">
                  <c:v>0.18800000457193417</c:v>
                </c:pt>
                <c:pt idx="1028">
                  <c:v>0.18800000405717424</c:v>
                </c:pt>
                <c:pt idx="1029">
                  <c:v>0.18800000354051571</c:v>
                </c:pt>
                <c:pt idx="1030">
                  <c:v>0.18800000302432457</c:v>
                </c:pt>
                <c:pt idx="1031">
                  <c:v>0.1880000025108903</c:v>
                </c:pt>
                <c:pt idx="1032">
                  <c:v>0.1880000020024179</c:v>
                </c:pt>
                <c:pt idx="1033">
                  <c:v>0.18800000150102075</c:v>
                </c:pt>
                <c:pt idx="1034">
                  <c:v>0.18800000100871414</c:v>
                </c:pt>
                <c:pt idx="1035">
                  <c:v>0.18800000052740934</c:v>
                </c:pt>
                <c:pt idx="1036">
                  <c:v>0.18800000005890827</c:v>
                </c:pt>
                <c:pt idx="1037">
                  <c:v>0.18799999960489888</c:v>
                </c:pt>
                <c:pt idx="1038">
                  <c:v>0.18799999916695148</c:v>
                </c:pt>
                <c:pt idx="1039">
                  <c:v>0.18799999874651507</c:v>
                </c:pt>
                <c:pt idx="1040">
                  <c:v>0.18799999834491482</c:v>
                </c:pt>
                <c:pt idx="1041">
                  <c:v>0.18799999796335021</c:v>
                </c:pt>
                <c:pt idx="1042">
                  <c:v>0.18799999760289343</c:v>
                </c:pt>
                <c:pt idx="1043">
                  <c:v>0.18799999726448874</c:v>
                </c:pt>
                <c:pt idx="1044">
                  <c:v>0.18799999694895211</c:v>
                </c:pt>
                <c:pt idx="1045">
                  <c:v>0.18799999665697192</c:v>
                </c:pt>
                <c:pt idx="1046">
                  <c:v>0.18799999638910955</c:v>
                </c:pt>
                <c:pt idx="1047">
                  <c:v>0.18799999614580115</c:v>
                </c:pt>
                <c:pt idx="1048">
                  <c:v>0.18799999592735947</c:v>
                </c:pt>
                <c:pt idx="1049">
                  <c:v>0.18799999573397647</c:v>
                </c:pt>
                <c:pt idx="1050">
                  <c:v>0.18799999556572614</c:v>
                </c:pt>
                <c:pt idx="1051">
                  <c:v>0.18799999542256801</c:v>
                </c:pt>
                <c:pt idx="1052">
                  <c:v>0.18799999530435085</c:v>
                </c:pt>
                <c:pt idx="1053">
                  <c:v>0.18799999521081689</c:v>
                </c:pt>
                <c:pt idx="1054">
                  <c:v>0.18799999514160626</c:v>
                </c:pt>
                <c:pt idx="1055">
                  <c:v>0.18799999509626192</c:v>
                </c:pt>
                <c:pt idx="1056">
                  <c:v>0.18799999507423459</c:v>
                </c:pt>
                <c:pt idx="1057">
                  <c:v>0.18799999507488829</c:v>
                </c:pt>
                <c:pt idx="1058">
                  <c:v>0.18799999509750578</c:v>
                </c:pt>
                <c:pt idx="1059">
                  <c:v>0.1879999951412944</c:v>
                </c:pt>
                <c:pt idx="1060">
                  <c:v>0.18799999520539196</c:v>
                </c:pt>
                <c:pt idx="1061">
                  <c:v>0.18799999528887271</c:v>
                </c:pt>
                <c:pt idx="1062">
                  <c:v>0.18799999539075357</c:v>
                </c:pt>
                <c:pt idx="1063">
                  <c:v>0.1879999955100003</c:v>
                </c:pt>
                <c:pt idx="1064">
                  <c:v>0.18799999564553371</c:v>
                </c:pt>
                <c:pt idx="1065">
                  <c:v>0.18799999579623594</c:v>
                </c:pt>
                <c:pt idx="1066">
                  <c:v>0.18799999596095646</c:v>
                </c:pt>
                <c:pt idx="1067">
                  <c:v>0.18799999613851864</c:v>
                </c:pt>
                <c:pt idx="1068">
                  <c:v>0.18799999632772538</c:v>
                </c:pt>
                <c:pt idx="1069">
                  <c:v>0.1879999965273654</c:v>
                </c:pt>
                <c:pt idx="1070">
                  <c:v>0.187999996736219</c:v>
                </c:pt>
                <c:pt idx="1071">
                  <c:v>0.18799999695306374</c:v>
                </c:pt>
                <c:pt idx="1072">
                  <c:v>0.18799999717668003</c:v>
                </c:pt>
                <c:pt idx="1073">
                  <c:v>0.18799999740585638</c:v>
                </c:pt>
                <c:pt idx="1074">
                  <c:v>0.18799999763939479</c:v>
                </c:pt>
                <c:pt idx="1075">
                  <c:v>0.18799999787611538</c:v>
                </c:pt>
                <c:pt idx="1076">
                  <c:v>0.18799999811486129</c:v>
                </c:pt>
                <c:pt idx="1077">
                  <c:v>0.18799999835450301</c:v>
                </c:pt>
                <c:pt idx="1078">
                  <c:v>0.18799999859394267</c:v>
                </c:pt>
                <c:pt idx="1079">
                  <c:v>0.18799999883211782</c:v>
                </c:pt>
                <c:pt idx="1080">
                  <c:v>0.18799999906800516</c:v>
                </c:pt>
                <c:pt idx="1081">
                  <c:v>0.18799999930062378</c:v>
                </c:pt>
                <c:pt idx="1082">
                  <c:v>0.18799999952903823</c:v>
                </c:pt>
                <c:pt idx="1083">
                  <c:v>0.18799999975236142</c:v>
                </c:pt>
                <c:pt idx="1084">
                  <c:v>0.18799999996975675</c:v>
                </c:pt>
                <c:pt idx="1085">
                  <c:v>0.18800000018044061</c:v>
                </c:pt>
                <c:pt idx="1086">
                  <c:v>0.18800000038368384</c:v>
                </c:pt>
                <c:pt idx="1087">
                  <c:v>0.18800000057881358</c:v>
                </c:pt>
                <c:pt idx="1088">
                  <c:v>0.18800000076521434</c:v>
                </c:pt>
                <c:pt idx="1089">
                  <c:v>0.18800000094232902</c:v>
                </c:pt>
                <c:pt idx="1090">
                  <c:v>0.18800000110965945</c:v>
                </c:pt>
                <c:pt idx="1091">
                  <c:v>0.1880000012667668</c:v>
                </c:pt>
                <c:pt idx="1092">
                  <c:v>0.18800000141327183</c:v>
                </c:pt>
                <c:pt idx="1093">
                  <c:v>0.18800000154885443</c:v>
                </c:pt>
                <c:pt idx="1094">
                  <c:v>0.18800000167325343</c:v>
                </c:pt>
                <c:pt idx="1095">
                  <c:v>0.18800000178626569</c:v>
                </c:pt>
                <c:pt idx="1096">
                  <c:v>0.1880000018877454</c:v>
                </c:pt>
                <c:pt idx="1097">
                  <c:v>0.1880000019776028</c:v>
                </c:pt>
                <c:pt idx="1098">
                  <c:v>0.18800000205580275</c:v>
                </c:pt>
                <c:pt idx="1099">
                  <c:v>0.18800000212236337</c:v>
                </c:pt>
                <c:pt idx="1100">
                  <c:v>0.18800000217735413</c:v>
                </c:pt>
                <c:pt idx="1101">
                  <c:v>0.18800000222089386</c:v>
                </c:pt>
                <c:pt idx="1102">
                  <c:v>0.18800000225314895</c:v>
                </c:pt>
                <c:pt idx="1103">
                  <c:v>0.18800000227433072</c:v>
                </c:pt>
                <c:pt idx="1104">
                  <c:v>0.18800000228469341</c:v>
                </c:pt>
                <c:pt idx="1105">
                  <c:v>0.18800000228453148</c:v>
                </c:pt>
                <c:pt idx="1106">
                  <c:v>0.18800000227417712</c:v>
                </c:pt>
                <c:pt idx="1107">
                  <c:v>0.18800000225399752</c:v>
                </c:pt>
                <c:pt idx="1108">
                  <c:v>0.1880000022243922</c:v>
                </c:pt>
                <c:pt idx="1109">
                  <c:v>0.18800000218579016</c:v>
                </c:pt>
                <c:pt idx="1110">
                  <c:v>0.18800000213864704</c:v>
                </c:pt>
                <c:pt idx="1111">
                  <c:v>0.18800000208344228</c:v>
                </c:pt>
                <c:pt idx="1112">
                  <c:v>0.18800000202067615</c:v>
                </c:pt>
                <c:pt idx="1113">
                  <c:v>0.18800000195086702</c:v>
                </c:pt>
                <c:pt idx="1114">
                  <c:v>0.18800000187454824</c:v>
                </c:pt>
                <c:pt idx="1115">
                  <c:v>0.1880000017922655</c:v>
                </c:pt>
                <c:pt idx="1116">
                  <c:v>0.18800000170457393</c:v>
                </c:pt>
                <c:pt idx="1117">
                  <c:v>0.18800000161203534</c:v>
                </c:pt>
                <c:pt idx="1118">
                  <c:v>0.18800000151521537</c:v>
                </c:pt>
                <c:pt idx="1119">
                  <c:v>0.18800000141468109</c:v>
                </c:pt>
                <c:pt idx="1120">
                  <c:v>0.1880000013109982</c:v>
                </c:pt>
                <c:pt idx="1121">
                  <c:v>0.18800000120472871</c:v>
                </c:pt>
                <c:pt idx="1122">
                  <c:v>0.18800000109642842</c:v>
                </c:pt>
                <c:pt idx="1123">
                  <c:v>0.18800000098664471</c:v>
                </c:pt>
                <c:pt idx="1124">
                  <c:v>0.18800000087591434</c:v>
                </c:pt>
                <c:pt idx="1125">
                  <c:v>0.18800000076476142</c:v>
                </c:pt>
                <c:pt idx="1126">
                  <c:v>0.18800000065369538</c:v>
                </c:pt>
                <c:pt idx="1127">
                  <c:v>0.18800000054320926</c:v>
                </c:pt>
                <c:pt idx="1128">
                  <c:v>0.18800000043377796</c:v>
                </c:pt>
                <c:pt idx="1129">
                  <c:v>0.18800000032585679</c:v>
                </c:pt>
                <c:pt idx="1130">
                  <c:v>0.18800000021987989</c:v>
                </c:pt>
                <c:pt idx="1131">
                  <c:v>0.18800000011625906</c:v>
                </c:pt>
                <c:pt idx="1132">
                  <c:v>0.1880000000153827</c:v>
                </c:pt>
                <c:pt idx="1133">
                  <c:v>0.18799999991761457</c:v>
                </c:pt>
                <c:pt idx="1134">
                  <c:v>0.18799999982329324</c:v>
                </c:pt>
                <c:pt idx="1135">
                  <c:v>0.18799999973273121</c:v>
                </c:pt>
                <c:pt idx="1136">
                  <c:v>0.18799999964621428</c:v>
                </c:pt>
                <c:pt idx="1137">
                  <c:v>0.18799999956400129</c:v>
                </c:pt>
                <c:pt idx="1138">
                  <c:v>0.18799999948632365</c:v>
                </c:pt>
                <c:pt idx="1139">
                  <c:v>0.18799999941338524</c:v>
                </c:pt>
                <c:pt idx="1140">
                  <c:v>0.18799999934536241</c:v>
                </c:pt>
                <c:pt idx="1141">
                  <c:v>0.18799999928240396</c:v>
                </c:pt>
                <c:pt idx="1142">
                  <c:v>0.18799999922463148</c:v>
                </c:pt>
                <c:pt idx="1143">
                  <c:v>0.1879999991721395</c:v>
                </c:pt>
                <c:pt idx="1144">
                  <c:v>0.18799999912499599</c:v>
                </c:pt>
                <c:pt idx="1145">
                  <c:v>0.18799999908324297</c:v>
                </c:pt>
                <c:pt idx="1146">
                  <c:v>0.18799999904689707</c:v>
                </c:pt>
                <c:pt idx="1147">
                  <c:v>0.18799999901595024</c:v>
                </c:pt>
                <c:pt idx="1148">
                  <c:v>0.18799999899037056</c:v>
                </c:pt>
                <c:pt idx="1149">
                  <c:v>0.18799999897010317</c:v>
                </c:pt>
                <c:pt idx="1150">
                  <c:v>0.18799999895507125</c:v>
                </c:pt>
                <c:pt idx="1151">
                  <c:v>0.18799999894517705</c:v>
                </c:pt>
                <c:pt idx="1152">
                  <c:v>0.18799999894030289</c:v>
                </c:pt>
                <c:pt idx="1153">
                  <c:v>0.18799999894031244</c:v>
                </c:pt>
                <c:pt idx="1154">
                  <c:v>0.18799999894505187</c:v>
                </c:pt>
                <c:pt idx="1155">
                  <c:v>0.18799999895435102</c:v>
                </c:pt>
                <c:pt idx="1156">
                  <c:v>0.1879999989680248</c:v>
                </c:pt>
                <c:pt idx="1157">
                  <c:v>0.18799999898587444</c:v>
                </c:pt>
                <c:pt idx="1158">
                  <c:v>0.18799999900768871</c:v>
                </c:pt>
                <c:pt idx="1159">
                  <c:v>0.18799999903324538</c:v>
                </c:pt>
                <c:pt idx="1160">
                  <c:v>0.18799999906231252</c:v>
                </c:pt>
                <c:pt idx="1161">
                  <c:v>0.18799999909464982</c:v>
                </c:pt>
                <c:pt idx="1162">
                  <c:v>0.18799999913000995</c:v>
                </c:pt>
                <c:pt idx="1163">
                  <c:v>0.18799999916813986</c:v>
                </c:pt>
                <c:pt idx="1164">
                  <c:v>0.18799999920878219</c:v>
                </c:pt>
                <c:pt idx="1165">
                  <c:v>0.18799999925167626</c:v>
                </c:pt>
                <c:pt idx="1166">
                  <c:v>0.18799999929655981</c:v>
                </c:pt>
                <c:pt idx="1167">
                  <c:v>0.1879999993431698</c:v>
                </c:pt>
                <c:pt idx="1168">
                  <c:v>0.18799999939124379</c:v>
                </c:pt>
                <c:pt idx="1169">
                  <c:v>0.18799999944052109</c:v>
                </c:pt>
                <c:pt idx="1170">
                  <c:v>0.18799999949074386</c:v>
                </c:pt>
                <c:pt idx="1171">
                  <c:v>0.18799999954165811</c:v>
                </c:pt>
                <c:pt idx="1172">
                  <c:v>0.1879999995930148</c:v>
                </c:pt>
                <c:pt idx="1173">
                  <c:v>0.18799999964457081</c:v>
                </c:pt>
                <c:pt idx="1174">
                  <c:v>0.18799999969608966</c:v>
                </c:pt>
                <c:pt idx="1175">
                  <c:v>0.18799999974734255</c:v>
                </c:pt>
                <c:pt idx="1176">
                  <c:v>0.18799999979810914</c:v>
                </c:pt>
                <c:pt idx="1177">
                  <c:v>0.18799999984817811</c:v>
                </c:pt>
                <c:pt idx="1178">
                  <c:v>0.18799999989734789</c:v>
                </c:pt>
                <c:pt idx="1179">
                  <c:v>0.1879999999454274</c:v>
                </c:pt>
                <c:pt idx="1180">
                  <c:v>0.18799999999223632</c:v>
                </c:pt>
                <c:pt idx="1181">
                  <c:v>0.1880000000376057</c:v>
                </c:pt>
                <c:pt idx="1182">
                  <c:v>0.1880000000813784</c:v>
                </c:pt>
                <c:pt idx="1183">
                  <c:v>0.18800000012340928</c:v>
                </c:pt>
                <c:pt idx="1184">
                  <c:v>0.18800000016356561</c:v>
                </c:pt>
                <c:pt idx="1185">
                  <c:v>0.18800000020172714</c:v>
                </c:pt>
                <c:pt idx="1186">
                  <c:v>0.1880000002377864</c:v>
                </c:pt>
                <c:pt idx="1187">
                  <c:v>0.18800000027164862</c:v>
                </c:pt>
                <c:pt idx="1188">
                  <c:v>0.18800000030323183</c:v>
                </c:pt>
                <c:pt idx="1189">
                  <c:v>0.18800000033246683</c:v>
                </c:pt>
                <c:pt idx="1190">
                  <c:v>0.18800000035929706</c:v>
                </c:pt>
                <c:pt idx="1191">
                  <c:v>0.18800000038367853</c:v>
                </c:pt>
                <c:pt idx="1192">
                  <c:v>0.18800000040557951</c:v>
                </c:pt>
                <c:pt idx="1193">
                  <c:v>0.18800000042498033</c:v>
                </c:pt>
                <c:pt idx="1194">
                  <c:v>0.18800000044187315</c:v>
                </c:pt>
                <c:pt idx="1195">
                  <c:v>0.18800000045626158</c:v>
                </c:pt>
                <c:pt idx="1196">
                  <c:v>0.18800000046816023</c:v>
                </c:pt>
                <c:pt idx="1197">
                  <c:v>0.18800000047759441</c:v>
                </c:pt>
                <c:pt idx="1198">
                  <c:v>0.18800000048459961</c:v>
                </c:pt>
                <c:pt idx="1199">
                  <c:v>0.18800000048922108</c:v>
                </c:pt>
                <c:pt idx="1200">
                  <c:v>0.18800000049151325</c:v>
                </c:pt>
                <c:pt idx="1201">
                  <c:v>0.18800000049153925</c:v>
                </c:pt>
                <c:pt idx="1202">
                  <c:v>0.18800000048937032</c:v>
                </c:pt>
                <c:pt idx="1203">
                  <c:v>0.18800000048508528</c:v>
                </c:pt>
                <c:pt idx="1204">
                  <c:v>0.18800000047876991</c:v>
                </c:pt>
                <c:pt idx="1205">
                  <c:v>0.18800000047051629</c:v>
                </c:pt>
                <c:pt idx="1206">
                  <c:v>0.1880000004604224</c:v>
                </c:pt>
                <c:pt idx="1207">
                  <c:v>0.18800000044859116</c:v>
                </c:pt>
                <c:pt idx="1208">
                  <c:v>0.18800000043513015</c:v>
                </c:pt>
                <c:pt idx="1209">
                  <c:v>0.1880000004201508</c:v>
                </c:pt>
                <c:pt idx="1210">
                  <c:v>0.18800000040376771</c:v>
                </c:pt>
                <c:pt idx="1211">
                  <c:v>0.18800000038609829</c:v>
                </c:pt>
                <c:pt idx="1212">
                  <c:v>0.18800000036726189</c:v>
                </c:pt>
                <c:pt idx="1213">
                  <c:v>0.18800000034737935</c:v>
                </c:pt>
                <c:pt idx="1214">
                  <c:v>0.18800000032657238</c:v>
                </c:pt>
                <c:pt idx="1215">
                  <c:v>0.18800000030496294</c:v>
                </c:pt>
                <c:pt idx="1216">
                  <c:v>0.18800000028267283</c:v>
                </c:pt>
                <c:pt idx="1217">
                  <c:v>0.18800000025982291</c:v>
                </c:pt>
                <c:pt idx="1218">
                  <c:v>0.18800000023653285</c:v>
                </c:pt>
                <c:pt idx="1219">
                  <c:v>0.1880000002129204</c:v>
                </c:pt>
                <c:pt idx="1220">
                  <c:v>0.18800000018910121</c:v>
                </c:pt>
                <c:pt idx="1221">
                  <c:v>0.18800000016518806</c:v>
                </c:pt>
                <c:pt idx="1222">
                  <c:v>0.18800000014129065</c:v>
                </c:pt>
                <c:pt idx="1223">
                  <c:v>0.18800000011751516</c:v>
                </c:pt>
                <c:pt idx="1224">
                  <c:v>0.18800000009396395</c:v>
                </c:pt>
                <c:pt idx="1225">
                  <c:v>0.18800000007073495</c:v>
                </c:pt>
                <c:pt idx="1226">
                  <c:v>0.18800000004792178</c:v>
                </c:pt>
                <c:pt idx="1227">
                  <c:v>0.18800000002561318</c:v>
                </c:pt>
                <c:pt idx="1228">
                  <c:v>0.18800000000389283</c:v>
                </c:pt>
                <c:pt idx="1229">
                  <c:v>0.18799999998283912</c:v>
                </c:pt>
                <c:pt idx="1230">
                  <c:v>0.18799999996252509</c:v>
                </c:pt>
                <c:pt idx="1231">
                  <c:v>0.18799999994301808</c:v>
                </c:pt>
                <c:pt idx="1232">
                  <c:v>0.18799999992437977</c:v>
                </c:pt>
                <c:pt idx="1233">
                  <c:v>0.18799999990666599</c:v>
                </c:pt>
                <c:pt idx="1234">
                  <c:v>0.18799999988992672</c:v>
                </c:pt>
                <c:pt idx="1235">
                  <c:v>0.18799999987420596</c:v>
                </c:pt>
                <c:pt idx="1236">
                  <c:v>0.1879999998595418</c:v>
                </c:pt>
                <c:pt idx="1237">
                  <c:v>0.18799999984596644</c:v>
                </c:pt>
                <c:pt idx="1238">
                  <c:v>0.18799999983350615</c:v>
                </c:pt>
                <c:pt idx="1239">
                  <c:v>0.18799999982218152</c:v>
                </c:pt>
                <c:pt idx="1240">
                  <c:v>0.18799999981200721</c:v>
                </c:pt>
                <c:pt idx="1241">
                  <c:v>0.18799999980299251</c:v>
                </c:pt>
                <c:pt idx="1242">
                  <c:v>0.18799999979514109</c:v>
                </c:pt>
                <c:pt idx="1243">
                  <c:v>0.18799999978845139</c:v>
                </c:pt>
                <c:pt idx="1244">
                  <c:v>0.18799999978291665</c:v>
                </c:pt>
                <c:pt idx="1245">
                  <c:v>0.18799999977852522</c:v>
                </c:pt>
                <c:pt idx="1246">
                  <c:v>0.18799999977526072</c:v>
                </c:pt>
                <c:pt idx="1247">
                  <c:v>0.18799999977310217</c:v>
                </c:pt>
                <c:pt idx="1248">
                  <c:v>0.18799999977202445</c:v>
                </c:pt>
                <c:pt idx="1249">
                  <c:v>0.18799999977199827</c:v>
                </c:pt>
                <c:pt idx="1250">
                  <c:v>0.18799999977299067</c:v>
                </c:pt>
                <c:pt idx="1251">
                  <c:v>0.18799999977496512</c:v>
                </c:pt>
                <c:pt idx="1252">
                  <c:v>0.18799999977788187</c:v>
                </c:pt>
                <c:pt idx="1253">
                  <c:v>0.18799999978169823</c:v>
                </c:pt>
                <c:pt idx="1254">
                  <c:v>0.18799999978636889</c:v>
                </c:pt>
                <c:pt idx="1255">
                  <c:v>0.18799999979184601</c:v>
                </c:pt>
                <c:pt idx="1256">
                  <c:v>0.18799999979807977</c:v>
                </c:pt>
                <c:pt idx="1257">
                  <c:v>0.18799999980501855</c:v>
                </c:pt>
                <c:pt idx="1258">
                  <c:v>0.18799999981260912</c:v>
                </c:pt>
                <c:pt idx="1259">
                  <c:v>0.18799999982079713</c:v>
                </c:pt>
                <c:pt idx="1260">
                  <c:v>0.1879999998295272</c:v>
                </c:pt>
                <c:pt idx="1261">
                  <c:v>0.18799999983874324</c:v>
                </c:pt>
                <c:pt idx="1262">
                  <c:v>0.18799999984838886</c:v>
                </c:pt>
                <c:pt idx="1263">
                  <c:v>0.18799999985840746</c:v>
                </c:pt>
                <c:pt idx="1264">
                  <c:v>0.18799999986874255</c:v>
                </c:pt>
                <c:pt idx="1265">
                  <c:v>0.18799999987933808</c:v>
                </c:pt>
                <c:pt idx="1266">
                  <c:v>0.18799999989013849</c:v>
                </c:pt>
                <c:pt idx="1267">
                  <c:v>0.18799999990108918</c:v>
                </c:pt>
                <c:pt idx="1268">
                  <c:v>0.18799999991213651</c:v>
                </c:pt>
                <c:pt idx="1269">
                  <c:v>0.18799999992322808</c:v>
                </c:pt>
                <c:pt idx="1270">
                  <c:v>0.18799999993431307</c:v>
                </c:pt>
                <c:pt idx="1271">
                  <c:v>0.18799999994534217</c:v>
                </c:pt>
                <c:pt idx="1272">
                  <c:v>0.18799999995626787</c:v>
                </c:pt>
                <c:pt idx="1273">
                  <c:v>0.1879999999670447</c:v>
                </c:pt>
                <c:pt idx="1274">
                  <c:v>0.18799999997762926</c:v>
                </c:pt>
                <c:pt idx="1275">
                  <c:v>0.18799999998798028</c:v>
                </c:pt>
                <c:pt idx="1276">
                  <c:v>0.18799999999805903</c:v>
                </c:pt>
                <c:pt idx="1277">
                  <c:v>0.18800000000782899</c:v>
                </c:pt>
                <c:pt idx="1278">
                  <c:v>0.18800000001725631</c:v>
                </c:pt>
                <c:pt idx="1279">
                  <c:v>0.18800000002630973</c:v>
                </c:pt>
                <c:pt idx="1280">
                  <c:v>0.18800000003496056</c:v>
                </c:pt>
                <c:pt idx="1281">
                  <c:v>0.1880000000431829</c:v>
                </c:pt>
                <c:pt idx="1282">
                  <c:v>0.18800000005095355</c:v>
                </c:pt>
                <c:pt idx="1283">
                  <c:v>0.18800000005825201</c:v>
                </c:pt>
                <c:pt idx="1284">
                  <c:v>0.18800000006506062</c:v>
                </c:pt>
                <c:pt idx="1285">
                  <c:v>0.18800000007136436</c:v>
                </c:pt>
                <c:pt idx="1286">
                  <c:v>0.18800000007715106</c:v>
                </c:pt>
                <c:pt idx="1287">
                  <c:v>0.18800000008241111</c:v>
                </c:pt>
                <c:pt idx="1288">
                  <c:v>0.18800000008713763</c:v>
                </c:pt>
                <c:pt idx="1289">
                  <c:v>0.18800000009132636</c:v>
                </c:pt>
                <c:pt idx="1290">
                  <c:v>0.18800000009497553</c:v>
                </c:pt>
                <c:pt idx="1291">
                  <c:v>0.18800000009808576</c:v>
                </c:pt>
                <c:pt idx="1292">
                  <c:v>0.18800000010066029</c:v>
                </c:pt>
                <c:pt idx="1293">
                  <c:v>0.18800000010270437</c:v>
                </c:pt>
                <c:pt idx="1294">
                  <c:v>0.18800000010422566</c:v>
                </c:pt>
                <c:pt idx="1295">
                  <c:v>0.18800000010523377</c:v>
                </c:pt>
                <c:pt idx="1296">
                  <c:v>0.18800000010574042</c:v>
                </c:pt>
                <c:pt idx="1297">
                  <c:v>0.18800000010575912</c:v>
                </c:pt>
                <c:pt idx="1298">
                  <c:v>0.18800000010530515</c:v>
                </c:pt>
                <c:pt idx="1299">
                  <c:v>0.18800000010439541</c:v>
                </c:pt>
                <c:pt idx="1300">
                  <c:v>0.18800000010304835</c:v>
                </c:pt>
                <c:pt idx="1301">
                  <c:v>0.1880000001012837</c:v>
                </c:pt>
                <c:pt idx="1302">
                  <c:v>0.18800000009912254</c:v>
                </c:pt>
                <c:pt idx="1303">
                  <c:v>0.18800000009658699</c:v>
                </c:pt>
                <c:pt idx="1304">
                  <c:v>0.18800000009370016</c:v>
                </c:pt>
                <c:pt idx="1305">
                  <c:v>0.18800000009048595</c:v>
                </c:pt>
                <c:pt idx="1306">
                  <c:v>0.1880000000869691</c:v>
                </c:pt>
                <c:pt idx="1307">
                  <c:v>0.1880000000831748</c:v>
                </c:pt>
                <c:pt idx="1308">
                  <c:v>0.1880000000791287</c:v>
                </c:pt>
                <c:pt idx="1309">
                  <c:v>0.18800000007485684</c:v>
                </c:pt>
                <c:pt idx="1310">
                  <c:v>0.18800000007038536</c:v>
                </c:pt>
                <c:pt idx="1311">
                  <c:v>0.18800000006574055</c:v>
                </c:pt>
                <c:pt idx="1312">
                  <c:v>0.18800000006094855</c:v>
                </c:pt>
                <c:pt idx="1313">
                  <c:v>0.1880000000560354</c:v>
                </c:pt>
                <c:pt idx="1314">
                  <c:v>0.18800000005102688</c:v>
                </c:pt>
                <c:pt idx="1315">
                  <c:v>0.1880000000459483</c:v>
                </c:pt>
                <c:pt idx="1316">
                  <c:v>0.18800000004082457</c:v>
                </c:pt>
                <c:pt idx="1317">
                  <c:v>0.18800000003567996</c:v>
                </c:pt>
                <c:pt idx="1318">
                  <c:v>0.18800000003053813</c:v>
                </c:pt>
                <c:pt idx="1319">
                  <c:v>0.18800000002542192</c:v>
                </c:pt>
                <c:pt idx="1320">
                  <c:v>0.18800000002035336</c:v>
                </c:pt>
                <c:pt idx="1321">
                  <c:v>0.18800000001535355</c:v>
                </c:pt>
                <c:pt idx="1322">
                  <c:v>0.1880000000104427</c:v>
                </c:pt>
                <c:pt idx="1323">
                  <c:v>0.18800000000563988</c:v>
                </c:pt>
                <c:pt idx="1324">
                  <c:v>0.18800000000096312</c:v>
                </c:pt>
                <c:pt idx="1325">
                  <c:v>0.18799999999642938</c:v>
                </c:pt>
                <c:pt idx="1326">
                  <c:v>0.18799999999205436</c:v>
                </c:pt>
                <c:pt idx="1327">
                  <c:v>0.18799999998785258</c:v>
                </c:pt>
                <c:pt idx="1328">
                  <c:v>0.18799999998383737</c:v>
                </c:pt>
                <c:pt idx="1329">
                  <c:v>0.1879999999800207</c:v>
                </c:pt>
                <c:pt idx="1330">
                  <c:v>0.18799999997641348</c:v>
                </c:pt>
                <c:pt idx="1331">
                  <c:v>0.18799999997302513</c:v>
                </c:pt>
                <c:pt idx="1332">
                  <c:v>0.18799999996986388</c:v>
                </c:pt>
                <c:pt idx="1333">
                  <c:v>0.18799999996693673</c:v>
                </c:pt>
                <c:pt idx="1334">
                  <c:v>0.18799999996424932</c:v>
                </c:pt>
                <c:pt idx="1335">
                  <c:v>0.18799999996180616</c:v>
                </c:pt>
                <c:pt idx="1336">
                  <c:v>0.18799999995961042</c:v>
                </c:pt>
                <c:pt idx="1337">
                  <c:v>0.18799999995766412</c:v>
                </c:pt>
                <c:pt idx="1338">
                  <c:v>0.18799999995596808</c:v>
                </c:pt>
                <c:pt idx="1339">
                  <c:v>0.18799999995452202</c:v>
                </c:pt>
                <c:pt idx="1340">
                  <c:v>0.1879999999533245</c:v>
                </c:pt>
                <c:pt idx="1341">
                  <c:v>0.18799999995237304</c:v>
                </c:pt>
                <c:pt idx="1342">
                  <c:v>0.18799999995166411</c:v>
                </c:pt>
                <c:pt idx="1343">
                  <c:v>0.18799999995119332</c:v>
                </c:pt>
                <c:pt idx="1344">
                  <c:v>0.18799999995095518</c:v>
                </c:pt>
                <c:pt idx="1345">
                  <c:v>0.18799999995094346</c:v>
                </c:pt>
                <c:pt idx="1346">
                  <c:v>0.18799999995115108</c:v>
                </c:pt>
                <c:pt idx="1347">
                  <c:v>0.18799999995157024</c:v>
                </c:pt>
                <c:pt idx="1348">
                  <c:v>0.18799999995219235</c:v>
                </c:pt>
                <c:pt idx="1349">
                  <c:v>0.18799999995300831</c:v>
                </c:pt>
                <c:pt idx="1350">
                  <c:v>0.18799999995400829</c:v>
                </c:pt>
                <c:pt idx="1351">
                  <c:v>0.18799999995518207</c:v>
                </c:pt>
                <c:pt idx="1352">
                  <c:v>0.18799999995651895</c:v>
                </c:pt>
                <c:pt idx="1353">
                  <c:v>0.18799999995800781</c:v>
                </c:pt>
                <c:pt idx="1354">
                  <c:v>0.18799999995963723</c:v>
                </c:pt>
                <c:pt idx="1355">
                  <c:v>0.18799999996139549</c:v>
                </c:pt>
                <c:pt idx="1356">
                  <c:v>0.18799999996327071</c:v>
                </c:pt>
                <c:pt idx="1357">
                  <c:v>0.18799999996525085</c:v>
                </c:pt>
                <c:pt idx="1358">
                  <c:v>0.18799999996732369</c:v>
                </c:pt>
                <c:pt idx="1359">
                  <c:v>0.18799999996947714</c:v>
                </c:pt>
                <c:pt idx="1360">
                  <c:v>0.187999999971699</c:v>
                </c:pt>
                <c:pt idx="1361">
                  <c:v>0.18799999997397723</c:v>
                </c:pt>
                <c:pt idx="1362">
                  <c:v>0.18799999997629985</c:v>
                </c:pt>
                <c:pt idx="1363">
                  <c:v>0.18799999997865513</c:v>
                </c:pt>
                <c:pt idx="1364">
                  <c:v>0.18799999998103151</c:v>
                </c:pt>
                <c:pt idx="1365">
                  <c:v>0.18799999998341771</c:v>
                </c:pt>
                <c:pt idx="1366">
                  <c:v>0.1879999999858028</c:v>
                </c:pt>
                <c:pt idx="1367">
                  <c:v>0.18799999998817613</c:v>
                </c:pt>
                <c:pt idx="1368">
                  <c:v>0.18799999999052747</c:v>
                </c:pt>
                <c:pt idx="1369">
                  <c:v>0.18799999999284708</c:v>
                </c:pt>
                <c:pt idx="1370">
                  <c:v>0.18799999999512557</c:v>
                </c:pt>
                <c:pt idx="1371">
                  <c:v>0.18799999999735403</c:v>
                </c:pt>
                <c:pt idx="1372">
                  <c:v>0.18799999999952413</c:v>
                </c:pt>
                <c:pt idx="1373">
                  <c:v>0.18800000000162803</c:v>
                </c:pt>
                <c:pt idx="1374">
                  <c:v>0.18800000000365838</c:v>
                </c:pt>
                <c:pt idx="1375">
                  <c:v>0.18800000000560846</c:v>
                </c:pt>
                <c:pt idx="1376">
                  <c:v>0.18800000000747208</c:v>
                </c:pt>
                <c:pt idx="1377">
                  <c:v>0.18800000000924369</c:v>
                </c:pt>
                <c:pt idx="1378">
                  <c:v>0.18800000001091821</c:v>
                </c:pt>
                <c:pt idx="1379">
                  <c:v>0.18800000001249129</c:v>
                </c:pt>
                <c:pt idx="1380">
                  <c:v>0.18800000001395906</c:v>
                </c:pt>
                <c:pt idx="1381">
                  <c:v>0.1880000000153183</c:v>
                </c:pt>
                <c:pt idx="1382">
                  <c:v>0.18800000001656633</c:v>
                </c:pt>
                <c:pt idx="1383">
                  <c:v>0.18800000001770112</c:v>
                </c:pt>
                <c:pt idx="1384">
                  <c:v>0.18800000001872119</c:v>
                </c:pt>
                <c:pt idx="1385">
                  <c:v>0.18800000001962552</c:v>
                </c:pt>
                <c:pt idx="1386">
                  <c:v>0.18800000002041378</c:v>
                </c:pt>
                <c:pt idx="1387">
                  <c:v>0.18800000002108611</c:v>
                </c:pt>
                <c:pt idx="1388">
                  <c:v>0.18800000002164313</c:v>
                </c:pt>
                <c:pt idx="1389">
                  <c:v>0.188000000022086</c:v>
                </c:pt>
                <c:pt idx="1390">
                  <c:v>0.18800000002241635</c:v>
                </c:pt>
                <c:pt idx="1391">
                  <c:v>0.18800000002263623</c:v>
                </c:pt>
                <c:pt idx="1392">
                  <c:v>0.18800000002274814</c:v>
                </c:pt>
                <c:pt idx="1393">
                  <c:v>0.18800000002275497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533-4F49-87A1-EEF509FB0D0C}"/>
            </c:ext>
          </c:extLst>
        </c:ser>
        <c:ser>
          <c:idx val="7"/>
          <c:order val="3"/>
          <c:tx>
            <c:strRef>
              <c:f>Rocof!$O$6</c:f>
              <c:strCache>
                <c:ptCount val="1"/>
                <c:pt idx="0">
                  <c:v>expecter behavior (max values)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Rocof!$A$7:$A$1400</c:f>
              <c:numCache>
                <c:formatCode>General</c:formatCode>
                <c:ptCount val="139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</c:numCache>
            </c:numRef>
          </c:xVal>
          <c:yVal>
            <c:numRef>
              <c:f>Rocof!$O$7:$O$1400</c:f>
              <c:numCache>
                <c:formatCode>General</c:formatCode>
                <c:ptCount val="1394"/>
                <c:pt idx="0">
                  <c:v>0.08</c:v>
                </c:pt>
                <c:pt idx="1">
                  <c:v>8.0224849468468834E-2</c:v>
                </c:pt>
                <c:pt idx="2">
                  <c:v>8.0868969485640291E-2</c:v>
                </c:pt>
                <c:pt idx="3">
                  <c:v>8.1891757620476485E-2</c:v>
                </c:pt>
                <c:pt idx="4">
                  <c:v>8.32570100325907E-2</c:v>
                </c:pt>
                <c:pt idx="5">
                  <c:v>8.4931179716580693E-2</c:v>
                </c:pt>
                <c:pt idx="6">
                  <c:v>8.6882477306000863E-2</c:v>
                </c:pt>
                <c:pt idx="7">
                  <c:v>8.9080428733867137E-2</c:v>
                </c:pt>
                <c:pt idx="8">
                  <c:v>9.1495678181776161E-2</c:v>
                </c:pt>
                <c:pt idx="9">
                  <c:v>9.4099920338724635E-2</c:v>
                </c:pt>
                <c:pt idx="10">
                  <c:v>9.6865898470446271E-2</c:v>
                </c:pt>
                <c:pt idx="11">
                  <c:v>9.9767433618790646E-2</c:v>
                </c:pt>
                <c:pt idx="12">
                  <c:v>0.10277946608181984</c:v>
                </c:pt>
                <c:pt idx="13">
                  <c:v>0.10587809902669612</c:v>
                </c:pt>
                <c:pt idx="14">
                  <c:v>0.10904063887396867</c:v>
                </c:pt>
                <c:pt idx="15">
                  <c:v>0.11224562972799322</c:v>
                </c:pt>
                <c:pt idx="16">
                  <c:v>0.11547288058236296</c:v>
                </c:pt>
                <c:pt idx="17">
                  <c:v>0.11870348483296955</c:v>
                </c:pt>
                <c:pt idx="18">
                  <c:v>0.12191983207646886</c:v>
                </c:pt>
                <c:pt idx="19">
                  <c:v>0.12510561241874441</c:v>
                </c:pt>
                <c:pt idx="20">
                  <c:v>0.12824581365448323</c:v>
                </c:pt>
                <c:pt idx="21">
                  <c:v>0.13132671175361446</c:v>
                </c:pt>
                <c:pt idx="22">
                  <c:v>0.13433585512977386</c:v>
                </c:pt>
                <c:pt idx="23">
                  <c:v>0.13726204318488069</c:v>
                </c:pt>
                <c:pt idx="24">
                  <c:v>0.14009529963052136</c:v>
                </c:pt>
                <c:pt idx="25">
                  <c:v>0.14282684108571456</c:v>
                </c:pt>
                <c:pt idx="26">
                  <c:v>0.14544904144438875</c:v>
                </c:pt>
                <c:pt idx="27">
                  <c:v>0.1479553924960641</c:v>
                </c:pt>
                <c:pt idx="28">
                  <c:v>0.15034046127071451</c:v>
                </c:pt>
                <c:pt idx="29">
                  <c:v>0.15259984456419401</c:v>
                </c:pt>
                <c:pt idx="30">
                  <c:v>0.15473012108434675</c:v>
                </c:pt>
                <c:pt idx="31">
                  <c:v>0.1567288016402977</c:v>
                </c:pt>
                <c:pt idx="32">
                  <c:v>0.15859427777867699</c:v>
                </c:pt>
                <c:pt idx="33">
                  <c:v>0.16032576925088313</c:v>
                </c:pt>
                <c:pt idx="34">
                  <c:v>0.16192327067511897</c:v>
                </c:pt>
                <c:pt idx="35">
                  <c:v>0.16338749773601133</c:v>
                </c:pt>
                <c:pt idx="36">
                  <c:v>0.16471983324330444</c:v>
                </c:pt>
                <c:pt idx="37">
                  <c:v>0.16592227334954684</c:v>
                </c:pt>
                <c:pt idx="38">
                  <c:v>0.16699737420500257</c:v>
                </c:pt>
                <c:pt idx="39">
                  <c:v>0.16794819930633906</c:v>
                </c:pt>
                <c:pt idx="40">
                  <c:v>0.16877826777409033</c:v>
                </c:pt>
                <c:pt idx="41">
                  <c:v>0.16949150377257421</c:v>
                </c:pt>
                <c:pt idx="42">
                  <c:v>0.17009218726495309</c:v>
                </c:pt>
                <c:pt idx="43">
                  <c:v>0.17058490627556072</c:v>
                </c:pt>
                <c:pt idx="44">
                  <c:v>0.17097451081155324</c:v>
                </c:pt>
                <c:pt idx="45">
                  <c:v>0.17126606857645466</c:v>
                </c:pt>
                <c:pt idx="46">
                  <c:v>0.17146482258931839</c:v>
                </c:pt>
                <c:pt idx="47">
                  <c:v>0.17157615080507799</c:v>
                </c:pt>
                <c:pt idx="48">
                  <c:v>0.17160552781425614</c:v>
                </c:pt>
                <c:pt idx="49">
                  <c:v>0.17155848868358625</c:v>
                </c:pt>
                <c:pt idx="50">
                  <c:v>0.17144059498331041</c:v>
                </c:pt>
                <c:pt idx="51">
                  <c:v>0.17125740303197606</c:v>
                </c:pt>
                <c:pt idx="52">
                  <c:v>0.17101443437548525</c:v>
                </c:pt>
                <c:pt idx="53">
                  <c:v>0.17071714850396985</c:v>
                </c:pt>
                <c:pt idx="54">
                  <c:v>0.17037091779778041</c:v>
                </c:pt>
                <c:pt idx="55">
                  <c:v>0.16998100468249216</c:v>
                </c:pt>
                <c:pt idx="56">
                  <c:v>0.16955254096234645</c:v>
                </c:pt>
                <c:pt idx="57">
                  <c:v>0.16909050929195249</c:v>
                </c:pt>
                <c:pt idx="58">
                  <c:v>0.16859972673736501</c:v>
                </c:pt>
                <c:pt idx="59">
                  <c:v>0.16808483036981034</c:v>
                </c:pt>
                <c:pt idx="60">
                  <c:v>0.16755026482834229</c:v>
                </c:pt>
                <c:pt idx="61">
                  <c:v>0.16700027178154403</c:v>
                </c:pt>
                <c:pt idx="62">
                  <c:v>0.1664388812130343</c:v>
                </c:pt>
                <c:pt idx="63">
                  <c:v>0.16586990445095151</c:v>
                </c:pt>
                <c:pt idx="64">
                  <c:v>0.16529692885775635</c:v>
                </c:pt>
                <c:pt idx="65">
                  <c:v>0.16472331409357333</c:v>
                </c:pt>
                <c:pt idx="66">
                  <c:v>0.16415218986385799</c:v>
                </c:pt>
                <c:pt idx="67">
                  <c:v>0.16358645506038913</c:v>
                </c:pt>
                <c:pt idx="68">
                  <c:v>0.16302877820341324</c:v>
                </c:pt>
                <c:pt idx="69">
                  <c:v>0.16248159909217377</c:v>
                </c:pt>
                <c:pt idx="70">
                  <c:v>0.16194713157100138</c:v>
                </c:pt>
                <c:pt idx="71">
                  <c:v>0.1614273673185907</c:v>
                </c:pt>
                <c:pt idx="72">
                  <c:v>0.16092408056900209</c:v>
                </c:pt>
                <c:pt idx="73">
                  <c:v>0.16043883367426937</c:v>
                </c:pt>
                <c:pt idx="74">
                  <c:v>0.15997298342022867</c:v>
                </c:pt>
                <c:pt idx="75">
                  <c:v>0.15952768800927142</c:v>
                </c:pt>
                <c:pt idx="76">
                  <c:v>0.15910391462613308</c:v>
                </c:pt>
                <c:pt idx="77">
                  <c:v>0.15870244750551996</c:v>
                </c:pt>
                <c:pt idx="78">
                  <c:v>0.15832389642331945</c:v>
                </c:pt>
                <c:pt idx="79">
                  <c:v>0.15796870553629497</c:v>
                </c:pt>
                <c:pt idx="80">
                  <c:v>0.1576371624985114</c:v>
                </c:pt>
                <c:pt idx="81">
                  <c:v>0.15732940778623183</c:v>
                </c:pt>
                <c:pt idx="82">
                  <c:v>0.15704544416664781</c:v>
                </c:pt>
                <c:pt idx="83">
                  <c:v>0.15678514624952106</c:v>
                </c:pt>
                <c:pt idx="84">
                  <c:v>0.15654827006460226</c:v>
                </c:pt>
                <c:pt idx="85">
                  <c:v>0.15633446261152129</c:v>
                </c:pt>
                <c:pt idx="86">
                  <c:v>0.15614327133269576</c:v>
                </c:pt>
                <c:pt idx="87">
                  <c:v>0.15597415346365393</c:v>
                </c:pt>
                <c:pt idx="88">
                  <c:v>0.15582648521899456</c:v>
                </c:pt>
                <c:pt idx="89">
                  <c:v>0.15569957077599411</c:v>
                </c:pt>
                <c:pt idx="90">
                  <c:v>0.155592651021598</c:v>
                </c:pt>
                <c:pt idx="91">
                  <c:v>0.15550491203218603</c:v>
                </c:pt>
                <c:pt idx="92">
                  <c:v>0.1554354932590658</c:v>
                </c:pt>
                <c:pt idx="93">
                  <c:v>0.15538349539610957</c:v>
                </c:pt>
                <c:pt idx="94">
                  <c:v>0.15534798790929813</c:v>
                </c:pt>
                <c:pt idx="95">
                  <c:v>0.1553280162111596</c:v>
                </c:pt>
                <c:pt idx="96">
                  <c:v>0.15532260846618268</c:v>
                </c:pt>
                <c:pt idx="97">
                  <c:v>0.15533078201623593</c:v>
                </c:pt>
                <c:pt idx="98">
                  <c:v>0.15535154941783069</c:v>
                </c:pt>
                <c:pt idx="99">
                  <c:v>0.1553839240857198</c:v>
                </c:pt>
                <c:pt idx="100">
                  <c:v>0.1554269255398241</c:v>
                </c:pt>
                <c:pt idx="101">
                  <c:v>0.15547958425482214</c:v>
                </c:pt>
                <c:pt idx="102">
                  <c:v>0.1555409461139205</c:v>
                </c:pt>
                <c:pt idx="103">
                  <c:v>0.15561007647034708</c:v>
                </c:pt>
                <c:pt idx="104">
                  <c:v>0.15568606382197236</c:v>
                </c:pt>
                <c:pt idx="105">
                  <c:v>0.15576802310617027</c:v>
                </c:pt>
                <c:pt idx="106">
                  <c:v>0.15585509862357738</c:v>
                </c:pt>
                <c:pt idx="107">
                  <c:v>0.15594646660080524</c:v>
                </c:pt>
                <c:pt idx="108">
                  <c:v>0.15604133740340306</c:v>
                </c:pt>
                <c:pt idx="109">
                  <c:v>0.15613895741146444</c:v>
                </c:pt>
                <c:pt idx="110">
                  <c:v>0.15623861057122615</c:v>
                </c:pt>
                <c:pt idx="111">
                  <c:v>0.15633961963682155</c:v>
                </c:pt>
                <c:pt idx="112">
                  <c:v>0.15644134711703442</c:v>
                </c:pt>
                <c:pt idx="113">
                  <c:v>0.15654319594245414</c:v>
                </c:pt>
                <c:pt idx="114">
                  <c:v>0.1566446098688675</c:v>
                </c:pt>
                <c:pt idx="115">
                  <c:v>0.15674507363304066</c:v>
                </c:pt>
                <c:pt idx="116">
                  <c:v>0.15684411287725444</c:v>
                </c:pt>
                <c:pt idx="117">
                  <c:v>0.15694129385906369</c:v>
                </c:pt>
                <c:pt idx="118">
                  <c:v>0.1570362229627619</c:v>
                </c:pt>
                <c:pt idx="119">
                  <c:v>0.15712854602895415</c:v>
                </c:pt>
                <c:pt idx="120">
                  <c:v>0.15721794751848037</c:v>
                </c:pt>
                <c:pt idx="121">
                  <c:v>0.15730414952669308</c:v>
                </c:pt>
                <c:pt idx="122">
                  <c:v>0.15738691066378799</c:v>
                </c:pt>
                <c:pt idx="123">
                  <c:v>0.15746602481651434</c:v>
                </c:pt>
                <c:pt idx="124">
                  <c:v>0.15754131980616592</c:v>
                </c:pt>
                <c:pt idx="125">
                  <c:v>0.15761265595727669</c:v>
                </c:pt>
                <c:pt idx="126">
                  <c:v>0.1576799245909225</c:v>
                </c:pt>
                <c:pt idx="127">
                  <c:v>0.15774304645597059</c:v>
                </c:pt>
                <c:pt idx="128">
                  <c:v>0.15780197011102551</c:v>
                </c:pt>
                <c:pt idx="129">
                  <c:v>0.15785667026919953</c:v>
                </c:pt>
                <c:pt idx="130">
                  <c:v>0.15790714611719303</c:v>
                </c:pt>
                <c:pt idx="131">
                  <c:v>0.15795341961951079</c:v>
                </c:pt>
                <c:pt idx="132">
                  <c:v>0.15799553381796774</c:v>
                </c:pt>
                <c:pt idx="133">
                  <c:v>0.15803355113595802</c:v>
                </c:pt>
                <c:pt idx="134">
                  <c:v>0.15806755169627734</c:v>
                </c:pt>
                <c:pt idx="135">
                  <c:v>0.15809763166060453</c:v>
                </c:pt>
                <c:pt idx="136">
                  <c:v>0.15812390159806994</c:v>
                </c:pt>
                <c:pt idx="137">
                  <c:v>0.1581464848896641</c:v>
                </c:pt>
                <c:pt idx="138">
                  <c:v>0.15816551617457986</c:v>
                </c:pt>
                <c:pt idx="139">
                  <c:v>0.15818113984393101</c:v>
                </c:pt>
                <c:pt idx="140">
                  <c:v>0.1581935085866582</c:v>
                </c:pt>
                <c:pt idx="141">
                  <c:v>0.15820278199181836</c:v>
                </c:pt>
                <c:pt idx="142">
                  <c:v>0.15820912521085745</c:v>
                </c:pt>
                <c:pt idx="143">
                  <c:v>0.15821270768289611</c:v>
                </c:pt>
                <c:pt idx="144">
                  <c:v>0.15821370192550624</c:v>
                </c:pt>
                <c:pt idx="145">
                  <c:v>0.15821228239293308</c:v>
                </c:pt>
                <c:pt idx="146">
                  <c:v>0.15820862440321881</c:v>
                </c:pt>
                <c:pt idx="147">
                  <c:v>0.15820290313521207</c:v>
                </c:pt>
                <c:pt idx="148">
                  <c:v>0.15819529269600258</c:v>
                </c:pt>
                <c:pt idx="149">
                  <c:v>0.15818596525890521</c:v>
                </c:pt>
                <c:pt idx="150">
                  <c:v>0.15817509027172882</c:v>
                </c:pt>
                <c:pt idx="151">
                  <c:v>0.15816283373470513</c:v>
                </c:pt>
                <c:pt idx="152">
                  <c:v>0.15814935754712342</c:v>
                </c:pt>
                <c:pt idx="153">
                  <c:v>0.15813481892141101</c:v>
                </c:pt>
                <c:pt idx="154">
                  <c:v>0.15811936986312686</c:v>
                </c:pt>
                <c:pt idx="155">
                  <c:v>0.15810315671508518</c:v>
                </c:pt>
                <c:pt idx="156">
                  <c:v>0.15808631976360704</c:v>
                </c:pt>
                <c:pt idx="157">
                  <c:v>0.15806899290470128</c:v>
                </c:pt>
                <c:pt idx="158">
                  <c:v>0.15805130336780679</c:v>
                </c:pt>
                <c:pt idx="159">
                  <c:v>0.15803337149458421</c:v>
                </c:pt>
                <c:pt idx="160">
                  <c:v>0.15801531057012169</c:v>
                </c:pt>
                <c:pt idx="161">
                  <c:v>0.15799722670382188</c:v>
                </c:pt>
                <c:pt idx="162">
                  <c:v>0.15797921875715965</c:v>
                </c:pt>
                <c:pt idx="163">
                  <c:v>0.1579613783154426</c:v>
                </c:pt>
                <c:pt idx="164">
                  <c:v>0.15794378970066994</c:v>
                </c:pt>
                <c:pt idx="165">
                  <c:v>0.15792653002256507</c:v>
                </c:pt>
                <c:pt idx="166">
                  <c:v>0.1579096692648557</c:v>
                </c:pt>
                <c:pt idx="167">
                  <c:v>0.15789327040388873</c:v>
                </c:pt>
                <c:pt idx="168">
                  <c:v>0.15787738955669584</c:v>
                </c:pt>
                <c:pt idx="169">
                  <c:v>0.15786207615566705</c:v>
                </c:pt>
                <c:pt idx="170">
                  <c:v>0.15784737314704489</c:v>
                </c:pt>
                <c:pt idx="171">
                  <c:v>0.15783331721051597</c:v>
                </c:pt>
                <c:pt idx="172">
                  <c:v>0.15781993899725405</c:v>
                </c:pt>
                <c:pt idx="173">
                  <c:v>0.15780726338385198</c:v>
                </c:pt>
                <c:pt idx="174">
                  <c:v>0.15779530973967271</c:v>
                </c:pt>
                <c:pt idx="175">
                  <c:v>0.15778409220524964</c:v>
                </c:pt>
                <c:pt idx="176">
                  <c:v>0.15777361997947115</c:v>
                </c:pt>
                <c:pt idx="177">
                  <c:v>0.15776389761339404</c:v>
                </c:pt>
                <c:pt idx="178">
                  <c:v>0.15775492530864532</c:v>
                </c:pt>
                <c:pt idx="179">
                  <c:v>0.15774669921848911</c:v>
                </c:pt>
                <c:pt idx="180">
                  <c:v>0.15773921174975275</c:v>
                </c:pt>
                <c:pt idx="181">
                  <c:v>0.1577324518639302</c:v>
                </c:pt>
                <c:pt idx="182">
                  <c:v>0.15772640537589894</c:v>
                </c:pt>
                <c:pt idx="183">
                  <c:v>0.15772105524881005</c:v>
                </c:pt>
                <c:pt idx="184">
                  <c:v>0.15771638188383141</c:v>
                </c:pt>
                <c:pt idx="185">
                  <c:v>0.15771236340354258</c:v>
                </c:pt>
                <c:pt idx="186">
                  <c:v>0.15770897592789834</c:v>
                </c:pt>
                <c:pt idx="187">
                  <c:v>0.15770619384179291</c:v>
                </c:pt>
                <c:pt idx="188">
                  <c:v>0.15770399005336921</c:v>
                </c:pt>
                <c:pt idx="189">
                  <c:v>0.15770233624232632</c:v>
                </c:pt>
                <c:pt idx="190">
                  <c:v>0.15770120309758481</c:v>
                </c:pt>
                <c:pt idx="191">
                  <c:v>0.15770056054377096</c:v>
                </c:pt>
                <c:pt idx="192">
                  <c:v>0.15770037795607789</c:v>
                </c:pt>
                <c:pt idx="193">
                  <c:v>0.15770062436315596</c:v>
                </c:pt>
                <c:pt idx="194">
                  <c:v>0.15770126863777262</c:v>
                </c:pt>
                <c:pt idx="195">
                  <c:v>0.15770227967506517</c:v>
                </c:pt>
                <c:pt idx="196">
                  <c:v>0.1577036265582909</c:v>
                </c:pt>
                <c:pt idx="197">
                  <c:v>0.15770527871205031</c:v>
                </c:pt>
                <c:pt idx="198">
                  <c:v>0.1577072060430304</c:v>
                </c:pt>
                <c:pt idx="199">
                  <c:v>0.15770937906837729</c:v>
                </c:pt>
                <c:pt idx="200">
                  <c:v>0.15771176903186784</c:v>
                </c:pt>
                <c:pt idx="201">
                  <c:v>0.15771434800810247</c:v>
                </c:pt>
                <c:pt idx="202">
                  <c:v>0.15771708899499076</c:v>
                </c:pt>
                <c:pt idx="203">
                  <c:v>0.15771996599484633</c:v>
                </c:pt>
                <c:pt idx="204">
                  <c:v>0.15772295408444564</c:v>
                </c:pt>
                <c:pt idx="205">
                  <c:v>0.15772602947444053</c:v>
                </c:pt>
                <c:pt idx="206">
                  <c:v>0.15772916955854471</c:v>
                </c:pt>
                <c:pt idx="207">
                  <c:v>0.15773235295294005</c:v>
                </c:pt>
                <c:pt idx="208">
                  <c:v>0.15773555952636992</c:v>
                </c:pt>
                <c:pt idx="209">
                  <c:v>0.15773877042140499</c:v>
                </c:pt>
                <c:pt idx="210">
                  <c:v>0.15774196806738003</c:v>
                </c:pt>
                <c:pt idx="211">
                  <c:v>0.15774513618551086</c:v>
                </c:pt>
                <c:pt idx="212">
                  <c:v>0.1577482597867074</c:v>
                </c:pt>
                <c:pt idx="213">
                  <c:v>0.15775132516260149</c:v>
                </c:pt>
                <c:pt idx="214">
                  <c:v>0.15775431987030961</c:v>
                </c:pt>
                <c:pt idx="215">
                  <c:v>0.15775723271144731</c:v>
                </c:pt>
                <c:pt idx="216">
                  <c:v>0.15776005370590779</c:v>
                </c:pt>
                <c:pt idx="217">
                  <c:v>0.15776277406090911</c:v>
                </c:pt>
                <c:pt idx="218">
                  <c:v>0.15776538613580579</c:v>
                </c:pt>
                <c:pt idx="219">
                  <c:v>0.15776788340314749</c:v>
                </c:pt>
                <c:pt idx="220">
                  <c:v>0.15777026040645561</c:v>
                </c:pt>
                <c:pt idx="221">
                  <c:v>0.15777251271517267</c:v>
                </c:pt>
                <c:pt idx="222">
                  <c:v>0.15777463687722301</c:v>
                </c:pt>
                <c:pt idx="223">
                  <c:v>0.15777663036960632</c:v>
                </c:pt>
                <c:pt idx="224">
                  <c:v>0.15777849154742607</c:v>
                </c:pt>
                <c:pt idx="225">
                  <c:v>0.15778021959173577</c:v>
                </c:pt>
                <c:pt idx="226">
                  <c:v>0.15778181445656592</c:v>
                </c:pt>
                <c:pt idx="227">
                  <c:v>0.15778327681547316</c:v>
                </c:pt>
                <c:pt idx="228">
                  <c:v>0.15778460800793265</c:v>
                </c:pt>
                <c:pt idx="229">
                  <c:v>0.1577858099858726</c:v>
                </c:pt>
                <c:pt idx="230">
                  <c:v>0.15778688526062887</c:v>
                </c:pt>
                <c:pt idx="231">
                  <c:v>0.15778783685057579</c:v>
                </c:pt>
                <c:pt idx="232">
                  <c:v>0.15778866822966764</c:v>
                </c:pt>
                <c:pt idx="233">
                  <c:v>0.15778938327710451</c:v>
                </c:pt>
                <c:pt idx="234">
                  <c:v>0.15778998622831525</c:v>
                </c:pt>
                <c:pt idx="235">
                  <c:v>0.15779048162742942</c:v>
                </c:pt>
                <c:pt idx="236">
                  <c:v>0.15779087428139077</c:v>
                </c:pt>
                <c:pt idx="237">
                  <c:v>0.1577911692158443</c:v>
                </c:pt>
                <c:pt idx="238">
                  <c:v>0.15779137163291229</c:v>
                </c:pt>
                <c:pt idx="239">
                  <c:v>0.15779148687095346</c:v>
                </c:pt>
                <c:pt idx="240">
                  <c:v>0.15779152036638569</c:v>
                </c:pt>
                <c:pt idx="241">
                  <c:v>0.15779147761763287</c:v>
                </c:pt>
                <c:pt idx="242">
                  <c:v>0.15779136415124301</c:v>
                </c:pt>
                <c:pt idx="243">
                  <c:v>0.15779118549020887</c:v>
                </c:pt>
                <c:pt idx="244">
                  <c:v>0.15779094712450847</c:v>
                </c:pt>
                <c:pt idx="245">
                  <c:v>0.15779065448386953</c:v>
                </c:pt>
                <c:pt idx="246">
                  <c:v>0.15779031291275017</c:v>
                </c:pt>
                <c:pt idx="247">
                  <c:v>0.1577899276475162</c:v>
                </c:pt>
                <c:pt idx="248">
                  <c:v>0.15778950379578555</c:v>
                </c:pt>
                <c:pt idx="249">
                  <c:v>0.15778904631789964</c:v>
                </c:pt>
                <c:pt idx="250">
                  <c:v>0.15778856001047453</c:v>
                </c:pt>
                <c:pt idx="251">
                  <c:v>0.15778804949197517</c:v>
                </c:pt>
                <c:pt idx="252">
                  <c:v>0.15778751919024997</c:v>
                </c:pt>
                <c:pt idx="253">
                  <c:v>0.15778697333195688</c:v>
                </c:pt>
                <c:pt idx="254">
                  <c:v>0.15778641593380571</c:v>
                </c:pt>
                <c:pt idx="255">
                  <c:v>0.15778585079553858</c:v>
                </c:pt>
                <c:pt idx="256">
                  <c:v>0.15778528149456464</c:v>
                </c:pt>
                <c:pt idx="257">
                  <c:v>0.15778471138216368</c:v>
                </c:pt>
                <c:pt idx="258">
                  <c:v>0.15778414358116946</c:v>
                </c:pt>
                <c:pt idx="259">
                  <c:v>0.15778358098504291</c:v>
                </c:pt>
                <c:pt idx="260">
                  <c:v>0.15778302625824336</c:v>
                </c:pt>
                <c:pt idx="261">
                  <c:v>0.1577824818378058</c:v>
                </c:pt>
                <c:pt idx="262">
                  <c:v>0.15778194993603176</c:v>
                </c:pt>
                <c:pt idx="263">
                  <c:v>0.15778143254420196</c:v>
                </c:pt>
                <c:pt idx="264">
                  <c:v>0.15778093143722</c:v>
                </c:pt>
                <c:pt idx="265">
                  <c:v>0.15778044817909714</c:v>
                </c:pt>
                <c:pt idx="266">
                  <c:v>0.15777998412919056</c:v>
                </c:pt>
                <c:pt idx="267">
                  <c:v>0.15777954044910875</c:v>
                </c:pt>
                <c:pt idx="268">
                  <c:v>0.15777911811020115</c:v>
                </c:pt>
                <c:pt idx="269">
                  <c:v>0.15777871790155057</c:v>
                </c:pt>
                <c:pt idx="270">
                  <c:v>0.1577783404383909</c:v>
                </c:pt>
                <c:pt idx="271">
                  <c:v>0.15777798617087513</c:v>
                </c:pt>
                <c:pt idx="272">
                  <c:v>0.15777765539312194</c:v>
                </c:pt>
                <c:pt idx="273">
                  <c:v>0.15777734825247353</c:v>
                </c:pt>
                <c:pt idx="274">
                  <c:v>0.15777706475889941</c:v>
                </c:pt>
                <c:pt idx="275">
                  <c:v>0.15777680479448591</c:v>
                </c:pt>
                <c:pt idx="276">
                  <c:v>0.15777656812295443</c:v>
                </c:pt>
                <c:pt idx="277">
                  <c:v>0.15777635439915488</c:v>
                </c:pt>
                <c:pt idx="278">
                  <c:v>0.15777616317848556</c:v>
                </c:pt>
                <c:pt idx="279">
                  <c:v>0.15777599392619313</c:v>
                </c:pt>
                <c:pt idx="280">
                  <c:v>0.15777584602651171</c:v>
                </c:pt>
                <c:pt idx="281">
                  <c:v>0.15777571879160285</c:v>
                </c:pt>
                <c:pt idx="282">
                  <c:v>0.15777561147026198</c:v>
                </c:pt>
                <c:pt idx="283">
                  <c:v>0.15777552325636091</c:v>
                </c:pt>
                <c:pt idx="284">
                  <c:v>0.1577754532969991</c:v>
                </c:pt>
                <c:pt idx="285">
                  <c:v>0.15777540070034068</c:v>
                </c:pt>
                <c:pt idx="286">
                  <c:v>0.15777536454311591</c:v>
                </c:pt>
                <c:pt idx="287">
                  <c:v>0.15777534387777098</c:v>
                </c:pt>
                <c:pt idx="288">
                  <c:v>0.15777533773925168</c:v>
                </c:pt>
                <c:pt idx="289">
                  <c:v>0.15777534515140962</c:v>
                </c:pt>
                <c:pt idx="290">
                  <c:v>0.15777536513302365</c:v>
                </c:pt>
                <c:pt idx="291">
                  <c:v>0.15777539670342977</c:v>
                </c:pt>
                <c:pt idx="292">
                  <c:v>0.15777543888775719</c:v>
                </c:pt>
                <c:pt idx="293">
                  <c:v>0.15777549072176933</c:v>
                </c:pt>
                <c:pt idx="294">
                  <c:v>0.1577755512563116</c:v>
                </c:pt>
                <c:pt idx="295">
                  <c:v>0.15777561956136868</c:v>
                </c:pt>
                <c:pt idx="296">
                  <c:v>0.15777569472973729</c:v>
                </c:pt>
                <c:pt idx="297">
                  <c:v>0.15777577588032116</c:v>
                </c:pt>
                <c:pt idx="298">
                  <c:v>0.15777586216105627</c:v>
                </c:pt>
                <c:pt idx="299">
                  <c:v>0.15777595275147729</c:v>
                </c:pt>
                <c:pt idx="300">
                  <c:v>0.15777604686493535</c:v>
                </c:pt>
                <c:pt idx="301">
                  <c:v>0.15777614375047999</c:v>
                </c:pt>
                <c:pt idx="302">
                  <c:v>0.15777624269441834</c:v>
                </c:pt>
                <c:pt idx="303">
                  <c:v>0.15777634302156571</c:v>
                </c:pt>
                <c:pt idx="304">
                  <c:v>0.15777644409620198</c:v>
                </c:pt>
                <c:pt idx="305">
                  <c:v>0.15777654532274943</c:v>
                </c:pt>
                <c:pt idx="306">
                  <c:v>0.15777664614618753</c:v>
                </c:pt>
                <c:pt idx="307">
                  <c:v>0.15777674605222064</c:v>
                </c:pt>
                <c:pt idx="308">
                  <c:v>0.15777684456721539</c:v>
                </c:pt>
                <c:pt idx="309">
                  <c:v>0.15777694125792308</c:v>
                </c:pt>
                <c:pt idx="310">
                  <c:v>0.15777703573100488</c:v>
                </c:pt>
                <c:pt idx="311">
                  <c:v>0.1577771276323747</c:v>
                </c:pt>
                <c:pt idx="312">
                  <c:v>0.15777721664637698</c:v>
                </c:pt>
                <c:pt idx="313">
                  <c:v>0.15777730249481481</c:v>
                </c:pt>
                <c:pt idx="314">
                  <c:v>0.15777738493584392</c:v>
                </c:pt>
                <c:pt idx="315">
                  <c:v>0.15777746376274826</c:v>
                </c:pt>
                <c:pt idx="316">
                  <c:v>0.15777753880261139</c:v>
                </c:pt>
                <c:pt idx="317">
                  <c:v>0.15777760991489864</c:v>
                </c:pt>
                <c:pt idx="318">
                  <c:v>0.15777767698996339</c:v>
                </c:pt>
                <c:pt idx="319">
                  <c:v>0.15777773994749109</c:v>
                </c:pt>
                <c:pt idx="320">
                  <c:v>0.15777779873489356</c:v>
                </c:pt>
                <c:pt idx="321">
                  <c:v>0.15777785332566577</c:v>
                </c:pt>
                <c:pt idx="322">
                  <c:v>0.15777790371771638</c:v>
                </c:pt>
                <c:pt idx="323">
                  <c:v>0.15777794993168298</c:v>
                </c:pt>
                <c:pt idx="324">
                  <c:v>0.15777799200924217</c:v>
                </c:pt>
                <c:pt idx="325">
                  <c:v>0.15777803001142385</c:v>
                </c:pt>
                <c:pt idx="326">
                  <c:v>0.15777806401693839</c:v>
                </c:pt>
                <c:pt idx="327">
                  <c:v>0.15777809412052524</c:v>
                </c:pt>
                <c:pt idx="328">
                  <c:v>0.15777812043132949</c:v>
                </c:pt>
                <c:pt idx="329">
                  <c:v>0.15777814307131444</c:v>
                </c:pt>
                <c:pt idx="330">
                  <c:v>0.1577781621737149</c:v>
                </c:pt>
                <c:pt idx="331">
                  <c:v>0.15777817788153756</c:v>
                </c:pt>
                <c:pt idx="332">
                  <c:v>0.15777819034611298</c:v>
                </c:pt>
                <c:pt idx="333">
                  <c:v>0.15777819972570342</c:v>
                </c:pt>
                <c:pt idx="334">
                  <c:v>0.15777820618417004</c:v>
                </c:pt>
                <c:pt idx="335">
                  <c:v>0.15777820988970245</c:v>
                </c:pt>
                <c:pt idx="336">
                  <c:v>0.15777821101361364</c:v>
                </c:pt>
                <c:pt idx="337">
                  <c:v>0.15777820972920131</c:v>
                </c:pt>
                <c:pt idx="338">
                  <c:v>0.15777820621067801</c:v>
                </c:pt>
                <c:pt idx="339">
                  <c:v>0.15777820063217052</c:v>
                </c:pt>
                <c:pt idx="340">
                  <c:v>0.15777819316678923</c:v>
                </c:pt>
                <c:pt idx="341">
                  <c:v>0.15777818398576765</c:v>
                </c:pt>
                <c:pt idx="342">
                  <c:v>0.15777817325767168</c:v>
                </c:pt>
                <c:pt idx="343">
                  <c:v>0.15777816114767851</c:v>
                </c:pt>
                <c:pt idx="344">
                  <c:v>0.15777814781692329</c:v>
                </c:pt>
                <c:pt idx="345">
                  <c:v>0.15777813342191344</c:v>
                </c:pt>
                <c:pt idx="346">
                  <c:v>0.15777811811400824</c:v>
                </c:pt>
                <c:pt idx="347">
                  <c:v>0.15777810203896236</c:v>
                </c:pt>
                <c:pt idx="348">
                  <c:v>0.15777808533653132</c:v>
                </c:pt>
                <c:pt idx="349">
                  <c:v>0.15777806814013629</c:v>
                </c:pt>
                <c:pt idx="350">
                  <c:v>0.15777805057658689</c:v>
                </c:pt>
                <c:pt idx="351">
                  <c:v>0.15777803276585806</c:v>
                </c:pt>
                <c:pt idx="352">
                  <c:v>0.15777801482091969</c:v>
                </c:pt>
                <c:pt idx="353">
                  <c:v>0.15777799684761579</c:v>
                </c:pt>
                <c:pt idx="354">
                  <c:v>0.15777797894458978</c:v>
                </c:pt>
                <c:pt idx="355">
                  <c:v>0.15777796120325471</c:v>
                </c:pt>
                <c:pt idx="356">
                  <c:v>0.15777794370780329</c:v>
                </c:pt>
                <c:pt idx="357">
                  <c:v>0.15777792653525707</c:v>
                </c:pt>
                <c:pt idx="358">
                  <c:v>0.15777790975555012</c:v>
                </c:pt>
                <c:pt idx="359">
                  <c:v>0.15777789343164528</c:v>
                </c:pt>
                <c:pt idx="360">
                  <c:v>0.15777787761967982</c:v>
                </c:pt>
                <c:pt idx="361">
                  <c:v>0.1577778623691376</c:v>
                </c:pt>
                <c:pt idx="362">
                  <c:v>0.15777784772304521</c:v>
                </c:pt>
                <c:pt idx="363">
                  <c:v>0.15777783371818893</c:v>
                </c:pt>
                <c:pt idx="364">
                  <c:v>0.15777782038535074</c:v>
                </c:pt>
                <c:pt idx="365">
                  <c:v>0.15777780774955941</c:v>
                </c:pt>
                <c:pt idx="366">
                  <c:v>0.15777779583035589</c:v>
                </c:pt>
                <c:pt idx="367">
                  <c:v>0.15777778464206937</c:v>
                </c:pt>
                <c:pt idx="368">
                  <c:v>0.15777777419410208</c:v>
                </c:pt>
                <c:pt idx="369">
                  <c:v>0.15777776449122127</c:v>
                </c:pt>
                <c:pt idx="370">
                  <c:v>0.15777775553385531</c:v>
                </c:pt>
                <c:pt idx="371">
                  <c:v>0.15777774731839295</c:v>
                </c:pt>
                <c:pt idx="372">
                  <c:v>0.15777773983748336</c:v>
                </c:pt>
                <c:pt idx="373">
                  <c:v>0.15777773308033538</c:v>
                </c:pt>
                <c:pt idx="374">
                  <c:v>0.15777772703301468</c:v>
                </c:pt>
                <c:pt idx="375">
                  <c:v>0.15777772167873683</c:v>
                </c:pt>
                <c:pt idx="376">
                  <c:v>0.15777771699815593</c:v>
                </c:pt>
                <c:pt idx="377">
                  <c:v>0.15777771296964624</c:v>
                </c:pt>
                <c:pt idx="378">
                  <c:v>0.15777770956957715</c:v>
                </c:pt>
                <c:pt idx="379">
                  <c:v>0.15777770677257935</c:v>
                </c:pt>
                <c:pt idx="380">
                  <c:v>0.15777770455180229</c:v>
                </c:pt>
                <c:pt idx="381">
                  <c:v>0.15777770287916132</c:v>
                </c:pt>
                <c:pt idx="382">
                  <c:v>0.15777770172557457</c:v>
                </c:pt>
                <c:pt idx="383">
                  <c:v>0.15777770106118857</c:v>
                </c:pt>
                <c:pt idx="384">
                  <c:v>0.15777770085559253</c:v>
                </c:pt>
                <c:pt idx="385">
                  <c:v>0.15777770107802058</c:v>
                </c:pt>
                <c:pt idx="386">
                  <c:v>0.15777770169754188</c:v>
                </c:pt>
                <c:pt idx="387">
                  <c:v>0.15777770268323849</c:v>
                </c:pt>
                <c:pt idx="388">
                  <c:v>0.1577777040043708</c:v>
                </c:pt>
                <c:pt idx="389">
                  <c:v>0.15777770563053037</c:v>
                </c:pt>
                <c:pt idx="390">
                  <c:v>0.15777770753178064</c:v>
                </c:pt>
                <c:pt idx="391">
                  <c:v>0.15777770967878502</c:v>
                </c:pt>
                <c:pt idx="392">
                  <c:v>0.15777771204292312</c:v>
                </c:pt>
                <c:pt idx="393">
                  <c:v>0.15777771459639486</c:v>
                </c:pt>
                <c:pt idx="394">
                  <c:v>0.15777771731231305</c:v>
                </c:pt>
                <c:pt idx="395">
                  <c:v>0.1577777201647845</c:v>
                </c:pt>
                <c:pt idx="396">
                  <c:v>0.15777772312898045</c:v>
                </c:pt>
                <c:pt idx="397">
                  <c:v>0.15777772618119595</c:v>
                </c:pt>
                <c:pt idx="398">
                  <c:v>0.15777772929889944</c:v>
                </c:pt>
                <c:pt idx="399">
                  <c:v>0.15777773246077226</c:v>
                </c:pt>
                <c:pt idx="400">
                  <c:v>0.15777773564673925</c:v>
                </c:pt>
                <c:pt idx="401">
                  <c:v>0.15777773883799029</c:v>
                </c:pt>
                <c:pt idx="402">
                  <c:v>0.15777774201699352</c:v>
                </c:pt>
                <c:pt idx="403">
                  <c:v>0.15777774516750079</c:v>
                </c:pt>
                <c:pt idx="404">
                  <c:v>0.1577777482745461</c:v>
                </c:pt>
                <c:pt idx="405">
                  <c:v>0.15777775132443689</c:v>
                </c:pt>
                <c:pt idx="406">
                  <c:v>0.15777775430473912</c:v>
                </c:pt>
                <c:pt idx="407">
                  <c:v>0.15777775720425688</c:v>
                </c:pt>
                <c:pt idx="408">
                  <c:v>0.15777776001300658</c:v>
                </c:pt>
                <c:pt idx="409">
                  <c:v>0.15777776272218635</c:v>
                </c:pt>
                <c:pt idx="410">
                  <c:v>0.15777776532414139</c:v>
                </c:pt>
                <c:pt idx="411">
                  <c:v>0.15777776781232533</c:v>
                </c:pt>
                <c:pt idx="412">
                  <c:v>0.15777777018125858</c:v>
                </c:pt>
                <c:pt idx="413">
                  <c:v>0.15777777242648355</c:v>
                </c:pt>
                <c:pt idx="414">
                  <c:v>0.15777777454451777</c:v>
                </c:pt>
                <c:pt idx="415">
                  <c:v>0.15777777653280481</c:v>
                </c:pt>
                <c:pt idx="416">
                  <c:v>0.15777777838966367</c:v>
                </c:pt>
                <c:pt idx="417">
                  <c:v>0.15777778011423702</c:v>
                </c:pt>
                <c:pt idx="418">
                  <c:v>0.15777778170643872</c:v>
                </c:pt>
                <c:pt idx="419">
                  <c:v>0.1577777831669005</c:v>
                </c:pt>
                <c:pt idx="420">
                  <c:v>0.15777778449691879</c:v>
                </c:pt>
                <c:pt idx="421">
                  <c:v>0.15777778569840167</c:v>
                </c:pt>
                <c:pt idx="422">
                  <c:v>0.15777778677381593</c:v>
                </c:pt>
                <c:pt idx="423">
                  <c:v>0.15777778772613513</c:v>
                </c:pt>
                <c:pt idx="424">
                  <c:v>0.1577777885587883</c:v>
                </c:pt>
                <c:pt idx="425">
                  <c:v>0.15777778927560995</c:v>
                </c:pt>
                <c:pt idx="426">
                  <c:v>0.15777778988079127</c:v>
                </c:pt>
                <c:pt idx="427">
                  <c:v>0.15777779037883266</c:v>
                </c:pt>
                <c:pt idx="428">
                  <c:v>0.15777779077449824</c:v>
                </c:pt>
                <c:pt idx="429">
                  <c:v>0.15777779107277179</c:v>
                </c:pt>
                <c:pt idx="430">
                  <c:v>0.15777779127881475</c:v>
                </c:pt>
                <c:pt idx="431">
                  <c:v>0.15777779139792603</c:v>
                </c:pt>
                <c:pt idx="432">
                  <c:v>0.15777779143550408</c:v>
                </c:pt>
                <c:pt idx="433">
                  <c:v>0.15777779139701073</c:v>
                </c:pt>
                <c:pt idx="434">
                  <c:v>0.1577777912879377</c:v>
                </c:pt>
                <c:pt idx="435">
                  <c:v>0.15777779111377477</c:v>
                </c:pt>
                <c:pt idx="436">
                  <c:v>0.1577777908799804</c:v>
                </c:pt>
                <c:pt idx="437">
                  <c:v>0.15777779059195468</c:v>
                </c:pt>
                <c:pt idx="438">
                  <c:v>0.15777779025501421</c:v>
                </c:pt>
                <c:pt idx="439">
                  <c:v>0.15777778987436936</c:v>
                </c:pt>
                <c:pt idx="440">
                  <c:v>0.15777778945510362</c:v>
                </c:pt>
                <c:pt idx="441">
                  <c:v>0.15777778900215503</c:v>
                </c:pt>
                <c:pt idx="442">
                  <c:v>0.15777778852029978</c:v>
                </c:pt>
                <c:pt idx="443">
                  <c:v>0.15777778801413778</c:v>
                </c:pt>
                <c:pt idx="444">
                  <c:v>0.15777778748808008</c:v>
                </c:pt>
                <c:pt idx="445">
                  <c:v>0.15777778694633829</c:v>
                </c:pt>
                <c:pt idx="446">
                  <c:v>0.1577777863929159</c:v>
                </c:pt>
                <c:pt idx="447">
                  <c:v>0.15777778583160096</c:v>
                </c:pt>
                <c:pt idx="448">
                  <c:v>0.15777778526596098</c:v>
                </c:pt>
                <c:pt idx="449">
                  <c:v>0.15777778469933879</c:v>
                </c:pt>
                <c:pt idx="450">
                  <c:v>0.15777778413485033</c:v>
                </c:pt>
                <c:pt idx="451">
                  <c:v>0.15777778357538358</c:v>
                </c:pt>
                <c:pt idx="452">
                  <c:v>0.15777778302359888</c:v>
                </c:pt>
                <c:pt idx="453">
                  <c:v>0.15777778248193047</c:v>
                </c:pt>
                <c:pt idx="454">
                  <c:v>0.15777778195258904</c:v>
                </c:pt>
                <c:pt idx="455">
                  <c:v>0.15777778143756541</c:v>
                </c:pt>
                <c:pt idx="456">
                  <c:v>0.15777778093863512</c:v>
                </c:pt>
                <c:pt idx="457">
                  <c:v>0.15777778045736374</c:v>
                </c:pt>
                <c:pt idx="458">
                  <c:v>0.15777777999511317</c:v>
                </c:pt>
                <c:pt idx="459">
                  <c:v>0.15777777955304836</c:v>
                </c:pt>
                <c:pt idx="460">
                  <c:v>0.15777777913214475</c:v>
                </c:pt>
                <c:pt idx="461">
                  <c:v>0.15777777873319615</c:v>
                </c:pt>
                <c:pt idx="462">
                  <c:v>0.1577777783568233</c:v>
                </c:pt>
                <c:pt idx="463">
                  <c:v>0.15777777800348219</c:v>
                </c:pt>
                <c:pt idx="464">
                  <c:v>0.1577777776734734</c:v>
                </c:pt>
                <c:pt idx="465">
                  <c:v>0.15777777736695103</c:v>
                </c:pt>
                <c:pt idx="466">
                  <c:v>0.1577777770839322</c:v>
                </c:pt>
                <c:pt idx="467">
                  <c:v>0.15777777682430641</c:v>
                </c:pt>
                <c:pt idx="468">
                  <c:v>0.15777777658784506</c:v>
                </c:pt>
                <c:pt idx="469">
                  <c:v>0.15777777637421075</c:v>
                </c:pt>
                <c:pt idx="470">
                  <c:v>0.15777777618296679</c:v>
                </c:pt>
                <c:pt idx="471">
                  <c:v>0.15777777601358639</c:v>
                </c:pt>
                <c:pt idx="472">
                  <c:v>0.15777777586546177</c:v>
                </c:pt>
                <c:pt idx="473">
                  <c:v>0.15777777573791299</c:v>
                </c:pt>
                <c:pt idx="474">
                  <c:v>0.15777777563019674</c:v>
                </c:pt>
                <c:pt idx="475">
                  <c:v>0.15777777554151468</c:v>
                </c:pt>
                <c:pt idx="476">
                  <c:v>0.15777777547102143</c:v>
                </c:pt>
                <c:pt idx="477">
                  <c:v>0.15777777541783261</c:v>
                </c:pt>
                <c:pt idx="478">
                  <c:v>0.15777777538103227</c:v>
                </c:pt>
                <c:pt idx="479">
                  <c:v>0.15777777535967979</c:v>
                </c:pt>
                <c:pt idx="480">
                  <c:v>0.15777777535281684</c:v>
                </c:pt>
                <c:pt idx="481">
                  <c:v>0.15777777535947382</c:v>
                </c:pt>
                <c:pt idx="482">
                  <c:v>0.15777777537867568</c:v>
                </c:pt>
                <c:pt idx="483">
                  <c:v>0.15777777540944765</c:v>
                </c:pt>
                <c:pt idx="484">
                  <c:v>0.15777777545082047</c:v>
                </c:pt>
                <c:pt idx="485">
                  <c:v>0.15777777550183517</c:v>
                </c:pt>
                <c:pt idx="486">
                  <c:v>0.15777777556154754</c:v>
                </c:pt>
                <c:pt idx="487">
                  <c:v>0.15777777562903217</c:v>
                </c:pt>
                <c:pt idx="488">
                  <c:v>0.15777777570338619</c:v>
                </c:pt>
                <c:pt idx="489">
                  <c:v>0.15777777578373242</c:v>
                </c:pt>
                <c:pt idx="490">
                  <c:v>0.15777777586922245</c:v>
                </c:pt>
                <c:pt idx="491">
                  <c:v>0.15777777595903913</c:v>
                </c:pt>
                <c:pt idx="492">
                  <c:v>0.15777777605239873</c:v>
                </c:pt>
                <c:pt idx="493">
                  <c:v>0.15777777614855307</c:v>
                </c:pt>
                <c:pt idx="494">
                  <c:v>0.15777777624679074</c:v>
                </c:pt>
                <c:pt idx="495">
                  <c:v>0.15777777634643869</c:v>
                </c:pt>
                <c:pt idx="496">
                  <c:v>0.15777777644686289</c:v>
                </c:pt>
                <c:pt idx="497">
                  <c:v>0.15777777654746933</c:v>
                </c:pt>
                <c:pt idx="498">
                  <c:v>0.15777777664770415</c:v>
                </c:pt>
                <c:pt idx="499">
                  <c:v>0.15777777674705412</c:v>
                </c:pt>
                <c:pt idx="500">
                  <c:v>0.15777777684504629</c:v>
                </c:pt>
                <c:pt idx="501">
                  <c:v>0.15777777694124789</c:v>
                </c:pt>
                <c:pt idx="502">
                  <c:v>0.15777777703526591</c:v>
                </c:pt>
                <c:pt idx="503">
                  <c:v>0.15777777712674634</c:v>
                </c:pt>
                <c:pt idx="504">
                  <c:v>0.15777777721537339</c:v>
                </c:pt>
                <c:pt idx="505">
                  <c:v>0.15777777730086864</c:v>
                </c:pt>
                <c:pt idx="506">
                  <c:v>0.15777777738298976</c:v>
                </c:pt>
                <c:pt idx="507">
                  <c:v>0.15777777746152943</c:v>
                </c:pt>
                <c:pt idx="508">
                  <c:v>0.157777777536314</c:v>
                </c:pt>
                <c:pt idx="509">
                  <c:v>0.15777777760720216</c:v>
                </c:pt>
                <c:pt idx="510">
                  <c:v>0.15777777767408324</c:v>
                </c:pt>
                <c:pt idx="511">
                  <c:v>0.1577777777368759</c:v>
                </c:pt>
                <c:pt idx="512">
                  <c:v>0.15777777779552637</c:v>
                </c:pt>
                <c:pt idx="513">
                  <c:v>0.15777777785000702</c:v>
                </c:pt>
                <c:pt idx="514">
                  <c:v>0.15777777790031444</c:v>
                </c:pt>
                <c:pt idx="515">
                  <c:v>0.15777777794646797</c:v>
                </c:pt>
                <c:pt idx="516">
                  <c:v>0.15777777798850789</c:v>
                </c:pt>
                <c:pt idx="517">
                  <c:v>0.1577777780264939</c:v>
                </c:pt>
                <c:pt idx="518">
                  <c:v>0.1577777780605033</c:v>
                </c:pt>
                <c:pt idx="519">
                  <c:v>0.15777777809062937</c:v>
                </c:pt>
                <c:pt idx="520">
                  <c:v>0.15777777811697991</c:v>
                </c:pt>
                <c:pt idx="521">
                  <c:v>0.15777777813967542</c:v>
                </c:pt>
                <c:pt idx="522">
                  <c:v>0.15777777815884775</c:v>
                </c:pt>
                <c:pt idx="523">
                  <c:v>0.15777777817463853</c:v>
                </c:pt>
                <c:pt idx="524">
                  <c:v>0.15777777818719774</c:v>
                </c:pt>
                <c:pt idx="525">
                  <c:v>0.15777777819668234</c:v>
                </c:pt>
                <c:pt idx="526">
                  <c:v>0.15777777820325489</c:v>
                </c:pt>
                <c:pt idx="527">
                  <c:v>0.1577777782070823</c:v>
                </c:pt>
                <c:pt idx="528">
                  <c:v>0.15777777820833477</c:v>
                </c:pt>
                <c:pt idx="529">
                  <c:v>0.15777777820718436</c:v>
                </c:pt>
                <c:pt idx="530">
                  <c:v>0.15777777820380423</c:v>
                </c:pt>
                <c:pt idx="531">
                  <c:v>0.15777777819836747</c:v>
                </c:pt>
                <c:pt idx="532">
                  <c:v>0.15777777819104616</c:v>
                </c:pt>
                <c:pt idx="533">
                  <c:v>0.15777777818201058</c:v>
                </c:pt>
                <c:pt idx="534">
                  <c:v>0.15777777817142846</c:v>
                </c:pt>
                <c:pt idx="535">
                  <c:v>0.15777777815946414</c:v>
                </c:pt>
                <c:pt idx="536">
                  <c:v>0.157777778146278</c:v>
                </c:pt>
                <c:pt idx="537">
                  <c:v>0.15777777813202581</c:v>
                </c:pt>
                <c:pt idx="538">
                  <c:v>0.15777777811685834</c:v>
                </c:pt>
                <c:pt idx="539">
                  <c:v>0.15777777810092072</c:v>
                </c:pt>
                <c:pt idx="540">
                  <c:v>0.1577777780843522</c:v>
                </c:pt>
                <c:pt idx="541">
                  <c:v>0.15777777806728568</c:v>
                </c:pt>
                <c:pt idx="542">
                  <c:v>0.15777777804984761</c:v>
                </c:pt>
                <c:pt idx="543">
                  <c:v>0.15777777803215753</c:v>
                </c:pt>
                <c:pt idx="544">
                  <c:v>0.15777777801432813</c:v>
                </c:pt>
                <c:pt idx="545">
                  <c:v>0.15777777799646503</c:v>
                </c:pt>
                <c:pt idx="546">
                  <c:v>0.1577777779786666</c:v>
                </c:pt>
                <c:pt idx="547">
                  <c:v>0.15777777796102405</c:v>
                </c:pt>
                <c:pt idx="548">
                  <c:v>0.15777777794362152</c:v>
                </c:pt>
                <c:pt idx="549">
                  <c:v>0.15777777792653591</c:v>
                </c:pt>
                <c:pt idx="550">
                  <c:v>0.15777777790983707</c:v>
                </c:pt>
                <c:pt idx="551">
                  <c:v>0.15777777789358799</c:v>
                </c:pt>
                <c:pt idx="552">
                  <c:v>0.1577777778778448</c:v>
                </c:pt>
                <c:pt idx="553">
                  <c:v>0.15777777786265706</c:v>
                </c:pt>
                <c:pt idx="554">
                  <c:v>0.15777777784806785</c:v>
                </c:pt>
                <c:pt idx="555">
                  <c:v>0.15777777783411406</c:v>
                </c:pt>
                <c:pt idx="556">
                  <c:v>0.15777777782082664</c:v>
                </c:pt>
                <c:pt idx="557">
                  <c:v>0.15777777780823071</c:v>
                </c:pt>
                <c:pt idx="558">
                  <c:v>0.15777777779634602</c:v>
                </c:pt>
                <c:pt idx="559">
                  <c:v>0.15777777778518709</c:v>
                </c:pt>
                <c:pt idx="560">
                  <c:v>0.15777777777476348</c:v>
                </c:pt>
                <c:pt idx="561">
                  <c:v>0.15777777776508023</c:v>
                </c:pt>
                <c:pt idx="562">
                  <c:v>0.15777777775613794</c:v>
                </c:pt>
                <c:pt idx="563">
                  <c:v>0.15777777774793328</c:v>
                </c:pt>
                <c:pt idx="564">
                  <c:v>0.15777777774045909</c:v>
                </c:pt>
                <c:pt idx="565">
                  <c:v>0.15777777773370485</c:v>
                </c:pt>
                <c:pt idx="566">
                  <c:v>0.15777777772765689</c:v>
                </c:pt>
                <c:pt idx="567">
                  <c:v>0.15777777772229867</c:v>
                </c:pt>
                <c:pt idx="568">
                  <c:v>0.15777777771761109</c:v>
                </c:pt>
                <c:pt idx="569">
                  <c:v>0.15777777771357276</c:v>
                </c:pt>
                <c:pt idx="570">
                  <c:v>0.1577777777101603</c:v>
                </c:pt>
                <c:pt idx="571">
                  <c:v>0.1577777777073486</c:v>
                </c:pt>
                <c:pt idx="572">
                  <c:v>0.15777777770511103</c:v>
                </c:pt>
                <c:pt idx="573">
                  <c:v>0.15777777770341977</c:v>
                </c:pt>
                <c:pt idx="574">
                  <c:v>0.15777777770224596</c:v>
                </c:pt>
                <c:pt idx="575">
                  <c:v>0.15777777770155996</c:v>
                </c:pt>
                <c:pt idx="576">
                  <c:v>0.15777777770133156</c:v>
                </c:pt>
                <c:pt idx="577">
                  <c:v>0.1577777777015302</c:v>
                </c:pt>
                <c:pt idx="578">
                  <c:v>0.15777777770212514</c:v>
                </c:pt>
                <c:pt idx="579">
                  <c:v>0.15777777770308571</c:v>
                </c:pt>
                <c:pt idx="580">
                  <c:v>0.15777777770438123</c:v>
                </c:pt>
                <c:pt idx="581">
                  <c:v>0.15777777770598159</c:v>
                </c:pt>
                <c:pt idx="582">
                  <c:v>0.15777777770785692</c:v>
                </c:pt>
                <c:pt idx="583">
                  <c:v>0.15777777770997806</c:v>
                </c:pt>
                <c:pt idx="584">
                  <c:v>0.15777777771231652</c:v>
                </c:pt>
                <c:pt idx="585">
                  <c:v>0.15777777771484464</c:v>
                </c:pt>
                <c:pt idx="586">
                  <c:v>0.15777777771753559</c:v>
                </c:pt>
                <c:pt idx="587">
                  <c:v>0.15777777772036367</c:v>
                </c:pt>
                <c:pt idx="588">
                  <c:v>0.15777777772330409</c:v>
                </c:pt>
                <c:pt idx="589">
                  <c:v>0.15777777772633322</c:v>
                </c:pt>
                <c:pt idx="590">
                  <c:v>0.15777777772942864</c:v>
                </c:pt>
                <c:pt idx="591">
                  <c:v>0.15777777773256907</c:v>
                </c:pt>
                <c:pt idx="592">
                  <c:v>0.15777777773573451</c:v>
                </c:pt>
                <c:pt idx="593">
                  <c:v>0.15777777773890617</c:v>
                </c:pt>
                <c:pt idx="594">
                  <c:v>0.15777777774206661</c:v>
                </c:pt>
                <c:pt idx="595">
                  <c:v>0.15777777774519955</c:v>
                </c:pt>
                <c:pt idx="596">
                  <c:v>0.1577777777482901</c:v>
                </c:pt>
                <c:pt idx="597">
                  <c:v>0.15777777775132451</c:v>
                </c:pt>
                <c:pt idx="598">
                  <c:v>0.15777777775429047</c:v>
                </c:pt>
                <c:pt idx="599">
                  <c:v>0.15777777775717666</c:v>
                </c:pt>
                <c:pt idx="600">
                  <c:v>0.1577777777599732</c:v>
                </c:pt>
                <c:pt idx="601">
                  <c:v>0.15777777776267121</c:v>
                </c:pt>
                <c:pt idx="602">
                  <c:v>0.15777777776526306</c:v>
                </c:pt>
                <c:pt idx="603">
                  <c:v>0.15777777776774216</c:v>
                </c:pt>
                <c:pt idx="604">
                  <c:v>0.15777777777010302</c:v>
                </c:pt>
                <c:pt idx="605">
                  <c:v>0.15777777777234114</c:v>
                </c:pt>
                <c:pt idx="606">
                  <c:v>0.15777777777445304</c:v>
                </c:pt>
                <c:pt idx="607">
                  <c:v>0.15777777777643609</c:v>
                </c:pt>
                <c:pt idx="608">
                  <c:v>0.15777777777828861</c:v>
                </c:pt>
                <c:pt idx="609">
                  <c:v>0.1577777777800097</c:v>
                </c:pt>
                <c:pt idx="610">
                  <c:v>0.15777777778159924</c:v>
                </c:pt>
                <c:pt idx="611">
                  <c:v>0.15777777778305774</c:v>
                </c:pt>
                <c:pt idx="612">
                  <c:v>0.15777777778438656</c:v>
                </c:pt>
                <c:pt idx="613">
                  <c:v>0.15777777778558755</c:v>
                </c:pt>
                <c:pt idx="614">
                  <c:v>0.15777777778666305</c:v>
                </c:pt>
                <c:pt idx="615">
                  <c:v>0.15777777778761604</c:v>
                </c:pt>
                <c:pt idx="616">
                  <c:v>0.15777777778844995</c:v>
                </c:pt>
                <c:pt idx="617">
                  <c:v>0.15777777778916852</c:v>
                </c:pt>
                <c:pt idx="618">
                  <c:v>0.15777777778977586</c:v>
                </c:pt>
                <c:pt idx="619">
                  <c:v>0.15777777779027652</c:v>
                </c:pt>
                <c:pt idx="620">
                  <c:v>0.15777777779067517</c:v>
                </c:pt>
                <c:pt idx="621">
                  <c:v>0.15777777779097674</c:v>
                </c:pt>
                <c:pt idx="622">
                  <c:v>0.15777777779118637</c:v>
                </c:pt>
                <c:pt idx="623">
                  <c:v>0.1577777777913093</c:v>
                </c:pt>
                <c:pt idx="624">
                  <c:v>0.15777777779135094</c:v>
                </c:pt>
                <c:pt idx="625">
                  <c:v>0.15777777779131669</c:v>
                </c:pt>
                <c:pt idx="626">
                  <c:v>0.15777777779121196</c:v>
                </c:pt>
                <c:pt idx="627">
                  <c:v>0.15777777779104224</c:v>
                </c:pt>
                <c:pt idx="628">
                  <c:v>0.15777777779081301</c:v>
                </c:pt>
                <c:pt idx="629">
                  <c:v>0.15777777779052957</c:v>
                </c:pt>
                <c:pt idx="630">
                  <c:v>0.15777777779019722</c:v>
                </c:pt>
                <c:pt idx="631">
                  <c:v>0.15777777778982116</c:v>
                </c:pt>
                <c:pt idx="632">
                  <c:v>0.15777777778940646</c:v>
                </c:pt>
                <c:pt idx="633">
                  <c:v>0.15777777778895802</c:v>
                </c:pt>
                <c:pt idx="634">
                  <c:v>0.15777777778848059</c:v>
                </c:pt>
                <c:pt idx="635">
                  <c:v>0.15777777778797877</c:v>
                </c:pt>
                <c:pt idx="636">
                  <c:v>0.15777777778745694</c:v>
                </c:pt>
                <c:pt idx="637">
                  <c:v>0.15777777778691929</c:v>
                </c:pt>
                <c:pt idx="638">
                  <c:v>0.15777777778636984</c:v>
                </c:pt>
                <c:pt idx="639">
                  <c:v>0.15777777778581231</c:v>
                </c:pt>
                <c:pt idx="640">
                  <c:v>0.15777777778525032</c:v>
                </c:pt>
                <c:pt idx="641">
                  <c:v>0.15777777778468718</c:v>
                </c:pt>
                <c:pt idx="642">
                  <c:v>0.15777777778412599</c:v>
                </c:pt>
                <c:pt idx="643">
                  <c:v>0.15777777778356966</c:v>
                </c:pt>
                <c:pt idx="644">
                  <c:v>0.15777777778302082</c:v>
                </c:pt>
                <c:pt idx="645">
                  <c:v>0.15777777778248187</c:v>
                </c:pt>
                <c:pt idx="646">
                  <c:v>0.15777777778195509</c:v>
                </c:pt>
                <c:pt idx="647">
                  <c:v>0.15777777778144242</c:v>
                </c:pt>
                <c:pt idx="648">
                  <c:v>0.15777777778094568</c:v>
                </c:pt>
                <c:pt idx="649">
                  <c:v>0.15777777778046639</c:v>
                </c:pt>
                <c:pt idx="650">
                  <c:v>0.15777777778000596</c:v>
                </c:pt>
                <c:pt idx="651">
                  <c:v>0.15777777777956548</c:v>
                </c:pt>
                <c:pt idx="652">
                  <c:v>0.15777777777914603</c:v>
                </c:pt>
                <c:pt idx="653">
                  <c:v>0.15777777777874835</c:v>
                </c:pt>
                <c:pt idx="654">
                  <c:v>0.15777777777837304</c:v>
                </c:pt>
                <c:pt idx="655">
                  <c:v>0.15777777777802066</c:v>
                </c:pt>
                <c:pt idx="656">
                  <c:v>0.15777777777769142</c:v>
                </c:pt>
                <c:pt idx="657">
                  <c:v>0.1577777777773855</c:v>
                </c:pt>
                <c:pt idx="658">
                  <c:v>0.15777777777710295</c:v>
                </c:pt>
                <c:pt idx="659">
                  <c:v>0.15777777777684368</c:v>
                </c:pt>
                <c:pt idx="660">
                  <c:v>0.15777777777660745</c:v>
                </c:pt>
                <c:pt idx="661">
                  <c:v>0.1577777777763939</c:v>
                </c:pt>
                <c:pt idx="662">
                  <c:v>0.15777777777620264</c:v>
                </c:pt>
                <c:pt idx="663">
                  <c:v>0.15777777777603313</c:v>
                </c:pt>
                <c:pt idx="664">
                  <c:v>0.15777777777588478</c:v>
                </c:pt>
                <c:pt idx="665">
                  <c:v>0.15777777777575694</c:v>
                </c:pt>
                <c:pt idx="666">
                  <c:v>0.15777777777564883</c:v>
                </c:pt>
                <c:pt idx="667">
                  <c:v>0.15777777777555968</c:v>
                </c:pt>
                <c:pt idx="668">
                  <c:v>0.15777777777548868</c:v>
                </c:pt>
                <c:pt idx="669">
                  <c:v>0.15777777777543489</c:v>
                </c:pt>
                <c:pt idx="670">
                  <c:v>0.15777777777539748</c:v>
                </c:pt>
                <c:pt idx="671">
                  <c:v>0.15777777777537544</c:v>
                </c:pt>
                <c:pt idx="672">
                  <c:v>0.15777777777536783</c:v>
                </c:pt>
                <c:pt idx="673">
                  <c:v>0.15777777777537375</c:v>
                </c:pt>
                <c:pt idx="674">
                  <c:v>0.1577777777753922</c:v>
                </c:pt>
                <c:pt idx="675">
                  <c:v>0.15777777777542218</c:v>
                </c:pt>
                <c:pt idx="676">
                  <c:v>0.1577777777754627</c:v>
                </c:pt>
                <c:pt idx="677">
                  <c:v>0.15777777777551294</c:v>
                </c:pt>
                <c:pt idx="678">
                  <c:v>0.15777777777557184</c:v>
                </c:pt>
                <c:pt idx="679">
                  <c:v>0.15777777777563851</c:v>
                </c:pt>
                <c:pt idx="680">
                  <c:v>0.15777777777571206</c:v>
                </c:pt>
                <c:pt idx="681">
                  <c:v>0.15777777777579158</c:v>
                </c:pt>
                <c:pt idx="682">
                  <c:v>0.15777777777587629</c:v>
                </c:pt>
                <c:pt idx="683">
                  <c:v>0.15777777777596536</c:v>
                </c:pt>
                <c:pt idx="684">
                  <c:v>0.15777777777605795</c:v>
                </c:pt>
                <c:pt idx="685">
                  <c:v>0.15777777777615337</c:v>
                </c:pt>
                <c:pt idx="686">
                  <c:v>0.1577777777762509</c:v>
                </c:pt>
                <c:pt idx="687">
                  <c:v>0.15777777777634988</c:v>
                </c:pt>
                <c:pt idx="688">
                  <c:v>0.15777777777644963</c:v>
                </c:pt>
                <c:pt idx="689">
                  <c:v>0.15777777777654964</c:v>
                </c:pt>
                <c:pt idx="690">
                  <c:v>0.15777777777664931</c:v>
                </c:pt>
                <c:pt idx="691">
                  <c:v>0.15777777777674806</c:v>
                </c:pt>
                <c:pt idx="692">
                  <c:v>0.15777777777684554</c:v>
                </c:pt>
                <c:pt idx="693">
                  <c:v>0.15777777777694127</c:v>
                </c:pt>
                <c:pt idx="694">
                  <c:v>0.15777777777703483</c:v>
                </c:pt>
                <c:pt idx="695">
                  <c:v>0.15777777777712587</c:v>
                </c:pt>
                <c:pt idx="696">
                  <c:v>0.15777777777721413</c:v>
                </c:pt>
                <c:pt idx="697">
                  <c:v>0.15777777777729929</c:v>
                </c:pt>
                <c:pt idx="698">
                  <c:v>0.15777777777738108</c:v>
                </c:pt>
                <c:pt idx="699">
                  <c:v>0.15777777777745933</c:v>
                </c:pt>
                <c:pt idx="700">
                  <c:v>0.15777777777753388</c:v>
                </c:pt>
                <c:pt idx="701">
                  <c:v>0.15777777777760452</c:v>
                </c:pt>
                <c:pt idx="702">
                  <c:v>0.15777777777767121</c:v>
                </c:pt>
                <c:pt idx="703">
                  <c:v>0.15777777777773383</c:v>
                </c:pt>
                <c:pt idx="704">
                  <c:v>0.15777777777779234</c:v>
                </c:pt>
                <c:pt idx="705">
                  <c:v>0.15777777777784671</c:v>
                </c:pt>
                <c:pt idx="706">
                  <c:v>0.15777777777789692</c:v>
                </c:pt>
                <c:pt idx="707">
                  <c:v>0.15777777777794302</c:v>
                </c:pt>
                <c:pt idx="708">
                  <c:v>0.15777777777798502</c:v>
                </c:pt>
                <c:pt idx="709">
                  <c:v>0.15777777777802299</c:v>
                </c:pt>
                <c:pt idx="710">
                  <c:v>0.15777777777805702</c:v>
                </c:pt>
                <c:pt idx="711">
                  <c:v>0.15777777777808716</c:v>
                </c:pt>
                <c:pt idx="712">
                  <c:v>0.15777777777811355</c:v>
                </c:pt>
                <c:pt idx="713">
                  <c:v>0.15777777777813629</c:v>
                </c:pt>
                <c:pt idx="714">
                  <c:v>0.15777777777815555</c:v>
                </c:pt>
                <c:pt idx="715">
                  <c:v>0.15777777777817142</c:v>
                </c:pt>
                <c:pt idx="716">
                  <c:v>0.15777777777818408</c:v>
                </c:pt>
                <c:pt idx="717">
                  <c:v>0.15777777777819363</c:v>
                </c:pt>
                <c:pt idx="718">
                  <c:v>0.15777777777820035</c:v>
                </c:pt>
                <c:pt idx="719">
                  <c:v>0.15777777777820429</c:v>
                </c:pt>
                <c:pt idx="720">
                  <c:v>0.15777777777820567</c:v>
                </c:pt>
                <c:pt idx="721">
                  <c:v>0.15777777777820465</c:v>
                </c:pt>
                <c:pt idx="722">
                  <c:v>0.1577777777782014</c:v>
                </c:pt>
                <c:pt idx="723">
                  <c:v>0.15777777777819613</c:v>
                </c:pt>
                <c:pt idx="724">
                  <c:v>0.15777777777818894</c:v>
                </c:pt>
                <c:pt idx="725">
                  <c:v>0.15777777777818003</c:v>
                </c:pt>
                <c:pt idx="726">
                  <c:v>0.15777777777816959</c:v>
                </c:pt>
                <c:pt idx="727">
                  <c:v>0.15777777777815777</c:v>
                </c:pt>
                <c:pt idx="728">
                  <c:v>0.15777777777814475</c:v>
                </c:pt>
                <c:pt idx="729">
                  <c:v>0.15777777777813062</c:v>
                </c:pt>
                <c:pt idx="730">
                  <c:v>0.15777777777811561</c:v>
                </c:pt>
                <c:pt idx="731">
                  <c:v>0.15777777777809981</c:v>
                </c:pt>
                <c:pt idx="732">
                  <c:v>0.15777777777808338</c:v>
                </c:pt>
                <c:pt idx="733">
                  <c:v>0.15777777777806645</c:v>
                </c:pt>
                <c:pt idx="734">
                  <c:v>0.15777777777804913</c:v>
                </c:pt>
                <c:pt idx="735">
                  <c:v>0.15777777777803154</c:v>
                </c:pt>
                <c:pt idx="736">
                  <c:v>0.15777777777801383</c:v>
                </c:pt>
                <c:pt idx="737">
                  <c:v>0.15777777777799606</c:v>
                </c:pt>
                <c:pt idx="738">
                  <c:v>0.15777777777797841</c:v>
                </c:pt>
                <c:pt idx="739">
                  <c:v>0.15777777777796084</c:v>
                </c:pt>
                <c:pt idx="740">
                  <c:v>0.15777777777794352</c:v>
                </c:pt>
                <c:pt idx="741">
                  <c:v>0.15777777777792654</c:v>
                </c:pt>
                <c:pt idx="742">
                  <c:v>0.15777777777790991</c:v>
                </c:pt>
                <c:pt idx="743">
                  <c:v>0.15777777777789373</c:v>
                </c:pt>
                <c:pt idx="744">
                  <c:v>0.15777777777787805</c:v>
                </c:pt>
                <c:pt idx="745">
                  <c:v>0.15777777777786295</c:v>
                </c:pt>
                <c:pt idx="746">
                  <c:v>0.1577777777778484</c:v>
                </c:pt>
                <c:pt idx="747">
                  <c:v>0.15777777777783453</c:v>
                </c:pt>
                <c:pt idx="748">
                  <c:v>0.15777777777782126</c:v>
                </c:pt>
                <c:pt idx="749">
                  <c:v>0.15777777777780871</c:v>
                </c:pt>
                <c:pt idx="750">
                  <c:v>0.15777777777779686</c:v>
                </c:pt>
                <c:pt idx="751">
                  <c:v>0.15777777777778573</c:v>
                </c:pt>
                <c:pt idx="752">
                  <c:v>0.15777777777777535</c:v>
                </c:pt>
                <c:pt idx="753">
                  <c:v>0.15777777777776567</c:v>
                </c:pt>
                <c:pt idx="754">
                  <c:v>0.15777777777775676</c:v>
                </c:pt>
                <c:pt idx="755">
                  <c:v>0.15777777777774854</c:v>
                </c:pt>
                <c:pt idx="756">
                  <c:v>0.1577777777777411</c:v>
                </c:pt>
                <c:pt idx="757">
                  <c:v>0.15777777777773433</c:v>
                </c:pt>
                <c:pt idx="758">
                  <c:v>0.15777777777772828</c:v>
                </c:pt>
                <c:pt idx="759">
                  <c:v>0.15777777777772292</c:v>
                </c:pt>
                <c:pt idx="760">
                  <c:v>0.15777777777771823</c:v>
                </c:pt>
                <c:pt idx="761">
                  <c:v>0.15777777777771418</c:v>
                </c:pt>
                <c:pt idx="762">
                  <c:v>0.15777777777771074</c:v>
                </c:pt>
                <c:pt idx="763">
                  <c:v>0.15777777777770791</c:v>
                </c:pt>
                <c:pt idx="764">
                  <c:v>0.15777777777770569</c:v>
                </c:pt>
                <c:pt idx="765">
                  <c:v>0.15777777777770396</c:v>
                </c:pt>
                <c:pt idx="766">
                  <c:v>0.15777777777770277</c:v>
                </c:pt>
                <c:pt idx="767">
                  <c:v>0.15777777777770208</c:v>
                </c:pt>
                <c:pt idx="768">
                  <c:v>0.1577777777777018</c:v>
                </c:pt>
                <c:pt idx="769">
                  <c:v>0.15777777777770199</c:v>
                </c:pt>
                <c:pt idx="770">
                  <c:v>0.15777777777770258</c:v>
                </c:pt>
                <c:pt idx="771">
                  <c:v>0.15777777777770347</c:v>
                </c:pt>
                <c:pt idx="772">
                  <c:v>0.15777777777770474</c:v>
                </c:pt>
                <c:pt idx="773">
                  <c:v>0.15777777777770632</c:v>
                </c:pt>
                <c:pt idx="774">
                  <c:v>0.15777777777770818</c:v>
                </c:pt>
                <c:pt idx="775">
                  <c:v>0.15777777777771029</c:v>
                </c:pt>
                <c:pt idx="776">
                  <c:v>0.1577777777777126</c:v>
                </c:pt>
                <c:pt idx="777">
                  <c:v>0.15777777777771509</c:v>
                </c:pt>
                <c:pt idx="778">
                  <c:v>0.15777777777771779</c:v>
                </c:pt>
                <c:pt idx="779">
                  <c:v>0.15777777777772056</c:v>
                </c:pt>
                <c:pt idx="780">
                  <c:v>0.1577777777777235</c:v>
                </c:pt>
                <c:pt idx="781">
                  <c:v>0.1577777777777265</c:v>
                </c:pt>
                <c:pt idx="782">
                  <c:v>0.15777777777772956</c:v>
                </c:pt>
                <c:pt idx="783">
                  <c:v>0.15777777777773266</c:v>
                </c:pt>
                <c:pt idx="784">
                  <c:v>0.15777777777773583</c:v>
                </c:pt>
                <c:pt idx="785">
                  <c:v>0.15777777777773899</c:v>
                </c:pt>
                <c:pt idx="786">
                  <c:v>0.15777777777774213</c:v>
                </c:pt>
                <c:pt idx="787">
                  <c:v>0.15777777777774524</c:v>
                </c:pt>
                <c:pt idx="788">
                  <c:v>0.15777777777774832</c:v>
                </c:pt>
                <c:pt idx="789">
                  <c:v>0.15777777777775132</c:v>
                </c:pt>
                <c:pt idx="790">
                  <c:v>0.15777777777775426</c:v>
                </c:pt>
                <c:pt idx="791">
                  <c:v>0.15777777777775714</c:v>
                </c:pt>
                <c:pt idx="792">
                  <c:v>0.15777777777775992</c:v>
                </c:pt>
                <c:pt idx="793">
                  <c:v>0.15777777777776264</c:v>
                </c:pt>
                <c:pt idx="794">
                  <c:v>0.15777777777776519</c:v>
                </c:pt>
                <c:pt idx="795">
                  <c:v>0.15777777777776769</c:v>
                </c:pt>
                <c:pt idx="796">
                  <c:v>0.15777777777777002</c:v>
                </c:pt>
                <c:pt idx="797">
                  <c:v>0.15777777777777224</c:v>
                </c:pt>
                <c:pt idx="798">
                  <c:v>0.15777777777777435</c:v>
                </c:pt>
                <c:pt idx="799">
                  <c:v>0.15777777777777635</c:v>
                </c:pt>
                <c:pt idx="800">
                  <c:v>0.15777777777777818</c:v>
                </c:pt>
                <c:pt idx="801">
                  <c:v>0.1577777777777799</c:v>
                </c:pt>
                <c:pt idx="802">
                  <c:v>0.15777777777778149</c:v>
                </c:pt>
                <c:pt idx="803">
                  <c:v>0.15777777777778296</c:v>
                </c:pt>
                <c:pt idx="804">
                  <c:v>0.15777777777778429</c:v>
                </c:pt>
                <c:pt idx="805">
                  <c:v>0.15777777777778546</c:v>
                </c:pt>
                <c:pt idx="806">
                  <c:v>0.15777777777778657</c:v>
                </c:pt>
                <c:pt idx="807">
                  <c:v>0.15777777777778751</c:v>
                </c:pt>
                <c:pt idx="808">
                  <c:v>0.15777777777778834</c:v>
                </c:pt>
                <c:pt idx="809">
                  <c:v>0.15777777777778906</c:v>
                </c:pt>
                <c:pt idx="810">
                  <c:v>0.15777777777778967</c:v>
                </c:pt>
                <c:pt idx="811">
                  <c:v>0.15777777777779017</c:v>
                </c:pt>
                <c:pt idx="812">
                  <c:v>0.15777777777779056</c:v>
                </c:pt>
                <c:pt idx="813">
                  <c:v>0.1577777777777909</c:v>
                </c:pt>
                <c:pt idx="814">
                  <c:v>0.15777777777779112</c:v>
                </c:pt>
                <c:pt idx="815">
                  <c:v>0.15777777777779123</c:v>
                </c:pt>
                <c:pt idx="816">
                  <c:v>0.15777777777779128</c:v>
                </c:pt>
                <c:pt idx="817">
                  <c:v>0.15777777777779123</c:v>
                </c:pt>
                <c:pt idx="818">
                  <c:v>0.15777777777779114</c:v>
                </c:pt>
                <c:pt idx="819">
                  <c:v>0.15777777777779095</c:v>
                </c:pt>
                <c:pt idx="820">
                  <c:v>0.15777777777779073</c:v>
                </c:pt>
                <c:pt idx="821">
                  <c:v>0.15777777777779045</c:v>
                </c:pt>
                <c:pt idx="822">
                  <c:v>0.15777777777779015</c:v>
                </c:pt>
                <c:pt idx="823">
                  <c:v>0.15777777777778978</c:v>
                </c:pt>
                <c:pt idx="824">
                  <c:v>0.15777777777778934</c:v>
                </c:pt>
                <c:pt idx="825">
                  <c:v>0.1577777777777889</c:v>
                </c:pt>
                <c:pt idx="826">
                  <c:v>0.15777777777778845</c:v>
                </c:pt>
                <c:pt idx="827">
                  <c:v>0.15777777777778795</c:v>
                </c:pt>
                <c:pt idx="828">
                  <c:v>0.15777777777778743</c:v>
                </c:pt>
                <c:pt idx="829">
                  <c:v>0.1577777777777869</c:v>
                </c:pt>
                <c:pt idx="830">
                  <c:v>0.15777777777778634</c:v>
                </c:pt>
                <c:pt idx="831">
                  <c:v>0.15777777777778579</c:v>
                </c:pt>
                <c:pt idx="832">
                  <c:v>0.15777777777778523</c:v>
                </c:pt>
                <c:pt idx="833">
                  <c:v>0.15777777777778468</c:v>
                </c:pt>
                <c:pt idx="834">
                  <c:v>0.15777777777778412</c:v>
                </c:pt>
                <c:pt idx="835">
                  <c:v>0.15777777777778357</c:v>
                </c:pt>
                <c:pt idx="836">
                  <c:v>0.15777777777778301</c:v>
                </c:pt>
                <c:pt idx="837">
                  <c:v>0.15777777777778249</c:v>
                </c:pt>
                <c:pt idx="838">
                  <c:v>0.15777777777778196</c:v>
                </c:pt>
                <c:pt idx="839">
                  <c:v>0.15777777777778146</c:v>
                </c:pt>
                <c:pt idx="840">
                  <c:v>0.15777777777778096</c:v>
                </c:pt>
                <c:pt idx="841">
                  <c:v>0.15777777777778046</c:v>
                </c:pt>
                <c:pt idx="842">
                  <c:v>0.15777777777778002</c:v>
                </c:pt>
                <c:pt idx="843">
                  <c:v>0.15777777777777957</c:v>
                </c:pt>
                <c:pt idx="844">
                  <c:v>0.15777777777777918</c:v>
                </c:pt>
                <c:pt idx="845">
                  <c:v>0.15777777777777877</c:v>
                </c:pt>
                <c:pt idx="846">
                  <c:v>0.15777777777777841</c:v>
                </c:pt>
                <c:pt idx="847">
                  <c:v>0.15777777777777804</c:v>
                </c:pt>
                <c:pt idx="848">
                  <c:v>0.15777777777777771</c:v>
                </c:pt>
                <c:pt idx="849">
                  <c:v>0.15777777777777741</c:v>
                </c:pt>
                <c:pt idx="850">
                  <c:v>0.15777777777777713</c:v>
                </c:pt>
                <c:pt idx="851">
                  <c:v>0.15777777777777685</c:v>
                </c:pt>
                <c:pt idx="852">
                  <c:v>0.15777777777777663</c:v>
                </c:pt>
                <c:pt idx="853">
                  <c:v>0.15777777777777641</c:v>
                </c:pt>
                <c:pt idx="854">
                  <c:v>0.15777777777777621</c:v>
                </c:pt>
                <c:pt idx="855">
                  <c:v>0.15777777777777607</c:v>
                </c:pt>
                <c:pt idx="856">
                  <c:v>0.15777777777777591</c:v>
                </c:pt>
                <c:pt idx="857">
                  <c:v>0.1577777777777758</c:v>
                </c:pt>
                <c:pt idx="858">
                  <c:v>0.15777777777777569</c:v>
                </c:pt>
                <c:pt idx="859">
                  <c:v>0.15777777777777557</c:v>
                </c:pt>
                <c:pt idx="860">
                  <c:v>0.15777777777777552</c:v>
                </c:pt>
                <c:pt idx="861">
                  <c:v>0.15777777777777546</c:v>
                </c:pt>
                <c:pt idx="862">
                  <c:v>0.15777777777777541</c:v>
                </c:pt>
                <c:pt idx="863">
                  <c:v>0.15777777777777541</c:v>
                </c:pt>
                <c:pt idx="864">
                  <c:v>0.15777777777777541</c:v>
                </c:pt>
                <c:pt idx="865">
                  <c:v>0.15777777777777541</c:v>
                </c:pt>
                <c:pt idx="866">
                  <c:v>0.15777777777777541</c:v>
                </c:pt>
                <c:pt idx="867">
                  <c:v>0.15777777777777544</c:v>
                </c:pt>
                <c:pt idx="868">
                  <c:v>0.15777777777777546</c:v>
                </c:pt>
                <c:pt idx="869">
                  <c:v>0.15777777777777552</c:v>
                </c:pt>
                <c:pt idx="870">
                  <c:v>0.15777777777777557</c:v>
                </c:pt>
                <c:pt idx="871">
                  <c:v>0.15777777777777566</c:v>
                </c:pt>
                <c:pt idx="872">
                  <c:v>0.15777777777777574</c:v>
                </c:pt>
                <c:pt idx="873">
                  <c:v>0.1577777777777758</c:v>
                </c:pt>
                <c:pt idx="874">
                  <c:v>0.15777777777777588</c:v>
                </c:pt>
                <c:pt idx="875">
                  <c:v>0.15777777777777596</c:v>
                </c:pt>
                <c:pt idx="876">
                  <c:v>0.15777777777777607</c:v>
                </c:pt>
                <c:pt idx="877">
                  <c:v>0.15777777777777618</c:v>
                </c:pt>
                <c:pt idx="878">
                  <c:v>0.15777777777777627</c:v>
                </c:pt>
                <c:pt idx="879">
                  <c:v>0.15777777777777635</c:v>
                </c:pt>
                <c:pt idx="880">
                  <c:v>0.15777777777777646</c:v>
                </c:pt>
                <c:pt idx="881">
                  <c:v>0.15777777777777657</c:v>
                </c:pt>
                <c:pt idx="882">
                  <c:v>0.15777777777777666</c:v>
                </c:pt>
                <c:pt idx="883">
                  <c:v>0.15777777777777674</c:v>
                </c:pt>
                <c:pt idx="884">
                  <c:v>0.15777777777777685</c:v>
                </c:pt>
                <c:pt idx="885">
                  <c:v>0.15777777777777696</c:v>
                </c:pt>
                <c:pt idx="886">
                  <c:v>0.15777777777777702</c:v>
                </c:pt>
                <c:pt idx="887">
                  <c:v>0.15777777777777713</c:v>
                </c:pt>
                <c:pt idx="888">
                  <c:v>0.15777777777777724</c:v>
                </c:pt>
                <c:pt idx="889">
                  <c:v>0.15777777777777729</c:v>
                </c:pt>
                <c:pt idx="890">
                  <c:v>0.15777777777777738</c:v>
                </c:pt>
                <c:pt idx="891">
                  <c:v>0.15777777777777746</c:v>
                </c:pt>
                <c:pt idx="892">
                  <c:v>0.15777777777777752</c:v>
                </c:pt>
                <c:pt idx="893">
                  <c:v>0.15777777777777763</c:v>
                </c:pt>
                <c:pt idx="894">
                  <c:v>0.15777777777777768</c:v>
                </c:pt>
                <c:pt idx="895">
                  <c:v>0.15777777777777774</c:v>
                </c:pt>
                <c:pt idx="896">
                  <c:v>0.15777777777777779</c:v>
                </c:pt>
                <c:pt idx="897">
                  <c:v>0.15777777777777785</c:v>
                </c:pt>
                <c:pt idx="898">
                  <c:v>0.15777777777777791</c:v>
                </c:pt>
                <c:pt idx="899">
                  <c:v>0.15777777777777796</c:v>
                </c:pt>
                <c:pt idx="900">
                  <c:v>0.15777777777777799</c:v>
                </c:pt>
                <c:pt idx="901">
                  <c:v>0.15777777777777802</c:v>
                </c:pt>
                <c:pt idx="902">
                  <c:v>0.15777777777777807</c:v>
                </c:pt>
                <c:pt idx="903">
                  <c:v>0.15777777777777807</c:v>
                </c:pt>
                <c:pt idx="904">
                  <c:v>0.15777777777777813</c:v>
                </c:pt>
                <c:pt idx="905">
                  <c:v>0.15777777777777813</c:v>
                </c:pt>
                <c:pt idx="906">
                  <c:v>0.15777777777777816</c:v>
                </c:pt>
                <c:pt idx="907">
                  <c:v>0.15777777777777818</c:v>
                </c:pt>
                <c:pt idx="908">
                  <c:v>0.15777777777777818</c:v>
                </c:pt>
                <c:pt idx="909">
                  <c:v>0.15777777777777818</c:v>
                </c:pt>
                <c:pt idx="910">
                  <c:v>0.15777777777777818</c:v>
                </c:pt>
                <c:pt idx="911">
                  <c:v>0.15777777777777821</c:v>
                </c:pt>
                <c:pt idx="912">
                  <c:v>0.15777777777777821</c:v>
                </c:pt>
                <c:pt idx="913">
                  <c:v>0.15777777777777821</c:v>
                </c:pt>
                <c:pt idx="914">
                  <c:v>0.15777777777777821</c:v>
                </c:pt>
                <c:pt idx="915">
                  <c:v>0.15777777777777818</c:v>
                </c:pt>
                <c:pt idx="916">
                  <c:v>0.15777777777777818</c:v>
                </c:pt>
                <c:pt idx="917">
                  <c:v>0.15777777777777818</c:v>
                </c:pt>
                <c:pt idx="918">
                  <c:v>0.15777777777777818</c:v>
                </c:pt>
                <c:pt idx="919">
                  <c:v>0.15777777777777818</c:v>
                </c:pt>
                <c:pt idx="920">
                  <c:v>0.15777777777777813</c:v>
                </c:pt>
                <c:pt idx="921">
                  <c:v>0.15777777777777813</c:v>
                </c:pt>
                <c:pt idx="922">
                  <c:v>0.15777777777777813</c:v>
                </c:pt>
                <c:pt idx="923">
                  <c:v>0.1577777777777781</c:v>
                </c:pt>
                <c:pt idx="924">
                  <c:v>0.15777777777777807</c:v>
                </c:pt>
                <c:pt idx="925">
                  <c:v>0.15777777777777807</c:v>
                </c:pt>
                <c:pt idx="926">
                  <c:v>0.15777777777777807</c:v>
                </c:pt>
                <c:pt idx="927">
                  <c:v>0.15777777777777802</c:v>
                </c:pt>
                <c:pt idx="928">
                  <c:v>0.15777777777777802</c:v>
                </c:pt>
                <c:pt idx="929">
                  <c:v>0.15777777777777802</c:v>
                </c:pt>
                <c:pt idx="930">
                  <c:v>0.15777777777777796</c:v>
                </c:pt>
                <c:pt idx="931">
                  <c:v>0.15777777777777796</c:v>
                </c:pt>
                <c:pt idx="932">
                  <c:v>0.15777777777777796</c:v>
                </c:pt>
                <c:pt idx="933">
                  <c:v>0.15777777777777793</c:v>
                </c:pt>
                <c:pt idx="934">
                  <c:v>0.15777777777777791</c:v>
                </c:pt>
                <c:pt idx="935">
                  <c:v>0.15777777777777791</c:v>
                </c:pt>
                <c:pt idx="936">
                  <c:v>0.15777777777777788</c:v>
                </c:pt>
                <c:pt idx="937">
                  <c:v>0.15777777777777785</c:v>
                </c:pt>
                <c:pt idx="938">
                  <c:v>0.15777777777777785</c:v>
                </c:pt>
                <c:pt idx="939">
                  <c:v>0.15777777777777785</c:v>
                </c:pt>
                <c:pt idx="940">
                  <c:v>0.15777777777777782</c:v>
                </c:pt>
                <c:pt idx="941">
                  <c:v>0.15777777777777782</c:v>
                </c:pt>
                <c:pt idx="942">
                  <c:v>0.15777777777777779</c:v>
                </c:pt>
                <c:pt idx="943">
                  <c:v>0.15777777777777779</c:v>
                </c:pt>
                <c:pt idx="944">
                  <c:v>0.15777777777777779</c:v>
                </c:pt>
                <c:pt idx="945">
                  <c:v>0.15777777777777777</c:v>
                </c:pt>
                <c:pt idx="946">
                  <c:v>0.15777777777777777</c:v>
                </c:pt>
                <c:pt idx="947">
                  <c:v>0.15777777777777774</c:v>
                </c:pt>
                <c:pt idx="948">
                  <c:v>0.15777777777777774</c:v>
                </c:pt>
                <c:pt idx="949">
                  <c:v>0.15777777777777774</c:v>
                </c:pt>
                <c:pt idx="950">
                  <c:v>0.15777777777777774</c:v>
                </c:pt>
                <c:pt idx="951">
                  <c:v>0.15777777777777774</c:v>
                </c:pt>
                <c:pt idx="952">
                  <c:v>0.15777777777777774</c:v>
                </c:pt>
                <c:pt idx="953">
                  <c:v>0.15777777777777774</c:v>
                </c:pt>
                <c:pt idx="954">
                  <c:v>0.15777777777777771</c:v>
                </c:pt>
                <c:pt idx="955">
                  <c:v>0.15777777777777771</c:v>
                </c:pt>
                <c:pt idx="956">
                  <c:v>0.15777777777777771</c:v>
                </c:pt>
                <c:pt idx="957">
                  <c:v>0.15777777777777771</c:v>
                </c:pt>
                <c:pt idx="958">
                  <c:v>0.15777777777777768</c:v>
                </c:pt>
                <c:pt idx="959">
                  <c:v>0.15777777777777768</c:v>
                </c:pt>
                <c:pt idx="960">
                  <c:v>0.15777777777777771</c:v>
                </c:pt>
                <c:pt idx="961">
                  <c:v>0.15777777777777771</c:v>
                </c:pt>
                <c:pt idx="962">
                  <c:v>0.15777777777777771</c:v>
                </c:pt>
                <c:pt idx="963">
                  <c:v>0.15777777777777771</c:v>
                </c:pt>
                <c:pt idx="964">
                  <c:v>0.15777777777777768</c:v>
                </c:pt>
                <c:pt idx="965">
                  <c:v>0.15777777777777771</c:v>
                </c:pt>
                <c:pt idx="966">
                  <c:v>0.15777777777777771</c:v>
                </c:pt>
                <c:pt idx="967">
                  <c:v>0.15777777777777771</c:v>
                </c:pt>
                <c:pt idx="968">
                  <c:v>0.15777777777777771</c:v>
                </c:pt>
                <c:pt idx="969">
                  <c:v>0.15777777777777774</c:v>
                </c:pt>
                <c:pt idx="970">
                  <c:v>0.15777777777777774</c:v>
                </c:pt>
                <c:pt idx="971">
                  <c:v>0.15777777777777774</c:v>
                </c:pt>
                <c:pt idx="972">
                  <c:v>0.15777777777777774</c:v>
                </c:pt>
                <c:pt idx="973">
                  <c:v>0.15777777777777774</c:v>
                </c:pt>
                <c:pt idx="974">
                  <c:v>0.15777777777777774</c:v>
                </c:pt>
                <c:pt idx="975">
                  <c:v>0.15777777777777774</c:v>
                </c:pt>
                <c:pt idx="976">
                  <c:v>0.15777777777777774</c:v>
                </c:pt>
                <c:pt idx="977">
                  <c:v>0.15777777777777774</c:v>
                </c:pt>
                <c:pt idx="978">
                  <c:v>0.15777777777777774</c:v>
                </c:pt>
                <c:pt idx="979">
                  <c:v>0.15777777777777774</c:v>
                </c:pt>
                <c:pt idx="980">
                  <c:v>0.15777777777777774</c:v>
                </c:pt>
                <c:pt idx="981">
                  <c:v>0.15777777777777774</c:v>
                </c:pt>
                <c:pt idx="982">
                  <c:v>0.15777777777777777</c:v>
                </c:pt>
                <c:pt idx="983">
                  <c:v>0.15777777777777777</c:v>
                </c:pt>
                <c:pt idx="984">
                  <c:v>0.15777777777777777</c:v>
                </c:pt>
                <c:pt idx="985">
                  <c:v>0.15777777777777777</c:v>
                </c:pt>
                <c:pt idx="986">
                  <c:v>0.15777777777777777</c:v>
                </c:pt>
                <c:pt idx="987">
                  <c:v>0.15777777777777777</c:v>
                </c:pt>
                <c:pt idx="988">
                  <c:v>0.15777777777777777</c:v>
                </c:pt>
                <c:pt idx="989">
                  <c:v>0.15777777777777779</c:v>
                </c:pt>
                <c:pt idx="990">
                  <c:v>0.15777777777777779</c:v>
                </c:pt>
                <c:pt idx="991">
                  <c:v>0.15777777777777779</c:v>
                </c:pt>
                <c:pt idx="992">
                  <c:v>0.15777777777777779</c:v>
                </c:pt>
                <c:pt idx="993">
                  <c:v>0.15777777777777779</c:v>
                </c:pt>
                <c:pt idx="994">
                  <c:v>0.15777777777777779</c:v>
                </c:pt>
                <c:pt idx="995">
                  <c:v>0.15777777777777779</c:v>
                </c:pt>
                <c:pt idx="996">
                  <c:v>0.15777777777777779</c:v>
                </c:pt>
                <c:pt idx="997">
                  <c:v>0.15777777777777779</c:v>
                </c:pt>
                <c:pt idx="998">
                  <c:v>0.15777777777777779</c:v>
                </c:pt>
                <c:pt idx="999">
                  <c:v>0.15777777777777779</c:v>
                </c:pt>
                <c:pt idx="1000">
                  <c:v>0.15777777777777779</c:v>
                </c:pt>
                <c:pt idx="1001">
                  <c:v>0.15777777777777779</c:v>
                </c:pt>
                <c:pt idx="1002">
                  <c:v>0.15777777777777779</c:v>
                </c:pt>
                <c:pt idx="1003">
                  <c:v>0.15777777777777779</c:v>
                </c:pt>
                <c:pt idx="1004">
                  <c:v>0.15777777777777779</c:v>
                </c:pt>
                <c:pt idx="1005">
                  <c:v>0.15777777777777779</c:v>
                </c:pt>
                <c:pt idx="1006">
                  <c:v>0.15777777777777779</c:v>
                </c:pt>
                <c:pt idx="1007">
                  <c:v>0.15777777777777779</c:v>
                </c:pt>
                <c:pt idx="1008">
                  <c:v>0.15777777777777779</c:v>
                </c:pt>
                <c:pt idx="1009">
                  <c:v>0.15777777777777779</c:v>
                </c:pt>
                <c:pt idx="1010">
                  <c:v>0.15777777777777779</c:v>
                </c:pt>
                <c:pt idx="1011">
                  <c:v>0.15777777777777779</c:v>
                </c:pt>
                <c:pt idx="1012">
                  <c:v>0.15777777777777779</c:v>
                </c:pt>
                <c:pt idx="1013">
                  <c:v>0.15777777777777779</c:v>
                </c:pt>
                <c:pt idx="1014">
                  <c:v>0.15777777777777779</c:v>
                </c:pt>
                <c:pt idx="1015">
                  <c:v>0.15777777777777779</c:v>
                </c:pt>
                <c:pt idx="1016">
                  <c:v>0.15777777777777779</c:v>
                </c:pt>
                <c:pt idx="1017">
                  <c:v>0.15777777777777779</c:v>
                </c:pt>
                <c:pt idx="1018">
                  <c:v>0.15777777777777779</c:v>
                </c:pt>
                <c:pt idx="1019">
                  <c:v>0.15777777777777779</c:v>
                </c:pt>
                <c:pt idx="1020">
                  <c:v>0.15777777777777779</c:v>
                </c:pt>
                <c:pt idx="1021">
                  <c:v>0.15777777777777779</c:v>
                </c:pt>
                <c:pt idx="1022">
                  <c:v>0.15777777777777779</c:v>
                </c:pt>
                <c:pt idx="1023">
                  <c:v>0.15777777777777779</c:v>
                </c:pt>
                <c:pt idx="1024">
                  <c:v>0.15777777777777779</c:v>
                </c:pt>
                <c:pt idx="1025">
                  <c:v>0.15777777777777779</c:v>
                </c:pt>
                <c:pt idx="1026">
                  <c:v>0.15777777777777779</c:v>
                </c:pt>
                <c:pt idx="1027">
                  <c:v>0.15777777777777779</c:v>
                </c:pt>
                <c:pt idx="1028">
                  <c:v>0.15777777777777779</c:v>
                </c:pt>
                <c:pt idx="1029">
                  <c:v>0.15777777777777779</c:v>
                </c:pt>
                <c:pt idx="1030">
                  <c:v>0.15777777777777779</c:v>
                </c:pt>
                <c:pt idx="1031">
                  <c:v>0.15777777777777779</c:v>
                </c:pt>
                <c:pt idx="1032">
                  <c:v>0.15777777777777779</c:v>
                </c:pt>
                <c:pt idx="1033">
                  <c:v>0.15777777777777779</c:v>
                </c:pt>
                <c:pt idx="1034">
                  <c:v>0.15777777777777779</c:v>
                </c:pt>
                <c:pt idx="1035">
                  <c:v>0.15777777777777779</c:v>
                </c:pt>
                <c:pt idx="1036">
                  <c:v>0.15777777777777779</c:v>
                </c:pt>
                <c:pt idx="1037">
                  <c:v>0.15777777777777779</c:v>
                </c:pt>
                <c:pt idx="1038">
                  <c:v>0.15777777777777779</c:v>
                </c:pt>
                <c:pt idx="1039">
                  <c:v>0.15777777777777779</c:v>
                </c:pt>
                <c:pt idx="1040">
                  <c:v>0.15777777777777779</c:v>
                </c:pt>
                <c:pt idx="1041">
                  <c:v>0.15777777777777779</c:v>
                </c:pt>
                <c:pt idx="1042">
                  <c:v>0.15777777777777779</c:v>
                </c:pt>
                <c:pt idx="1043">
                  <c:v>0.15777777777777779</c:v>
                </c:pt>
                <c:pt idx="1044">
                  <c:v>0.15777777777777779</c:v>
                </c:pt>
                <c:pt idx="1045">
                  <c:v>0.15777777777777779</c:v>
                </c:pt>
                <c:pt idx="1046">
                  <c:v>0.15777777777777779</c:v>
                </c:pt>
                <c:pt idx="1047">
                  <c:v>0.15777777777777779</c:v>
                </c:pt>
                <c:pt idx="1048">
                  <c:v>0.15777777777777779</c:v>
                </c:pt>
                <c:pt idx="1049">
                  <c:v>0.15777777777777779</c:v>
                </c:pt>
                <c:pt idx="1050">
                  <c:v>0.15777777777777779</c:v>
                </c:pt>
                <c:pt idx="1051">
                  <c:v>0.15777777777777779</c:v>
                </c:pt>
                <c:pt idx="1052">
                  <c:v>0.15777777777777779</c:v>
                </c:pt>
                <c:pt idx="1053">
                  <c:v>0.15777777777777779</c:v>
                </c:pt>
                <c:pt idx="1054">
                  <c:v>0.15777777777777779</c:v>
                </c:pt>
                <c:pt idx="1055">
                  <c:v>0.15777777777777779</c:v>
                </c:pt>
                <c:pt idx="1056">
                  <c:v>0.15777777777777779</c:v>
                </c:pt>
                <c:pt idx="1057">
                  <c:v>0.15777777777777779</c:v>
                </c:pt>
                <c:pt idx="1058">
                  <c:v>0.15777777777777779</c:v>
                </c:pt>
                <c:pt idx="1059">
                  <c:v>0.15777777777777779</c:v>
                </c:pt>
                <c:pt idx="1060">
                  <c:v>0.15777777777777779</c:v>
                </c:pt>
                <c:pt idx="1061">
                  <c:v>0.15777777777777779</c:v>
                </c:pt>
                <c:pt idx="1062">
                  <c:v>0.15777777777777779</c:v>
                </c:pt>
                <c:pt idx="1063">
                  <c:v>0.15777777777777779</c:v>
                </c:pt>
                <c:pt idx="1064">
                  <c:v>0.15777777777777779</c:v>
                </c:pt>
                <c:pt idx="1065">
                  <c:v>0.15777777777777779</c:v>
                </c:pt>
                <c:pt idx="1066">
                  <c:v>0.15777777777777779</c:v>
                </c:pt>
                <c:pt idx="1067">
                  <c:v>0.15777777777777779</c:v>
                </c:pt>
                <c:pt idx="1068">
                  <c:v>0.15777777777777779</c:v>
                </c:pt>
                <c:pt idx="1069">
                  <c:v>0.15777777777777779</c:v>
                </c:pt>
                <c:pt idx="1070">
                  <c:v>0.15777777777777779</c:v>
                </c:pt>
                <c:pt idx="1071">
                  <c:v>0.15777777777777779</c:v>
                </c:pt>
                <c:pt idx="1072">
                  <c:v>0.15777777777777779</c:v>
                </c:pt>
                <c:pt idx="1073">
                  <c:v>0.15777777777777779</c:v>
                </c:pt>
                <c:pt idx="1074">
                  <c:v>0.15777777777777779</c:v>
                </c:pt>
                <c:pt idx="1075">
                  <c:v>0.15777777777777779</c:v>
                </c:pt>
                <c:pt idx="1076">
                  <c:v>0.15777777777777779</c:v>
                </c:pt>
                <c:pt idx="1077">
                  <c:v>0.15777777777777779</c:v>
                </c:pt>
                <c:pt idx="1078">
                  <c:v>0.15777777777777779</c:v>
                </c:pt>
                <c:pt idx="1079">
                  <c:v>0.15777777777777779</c:v>
                </c:pt>
                <c:pt idx="1080">
                  <c:v>0.15777777777777779</c:v>
                </c:pt>
                <c:pt idx="1081">
                  <c:v>0.15777777777777779</c:v>
                </c:pt>
                <c:pt idx="1082">
                  <c:v>0.15777777777777779</c:v>
                </c:pt>
                <c:pt idx="1083">
                  <c:v>0.15777777777777779</c:v>
                </c:pt>
                <c:pt idx="1084">
                  <c:v>0.15777777777777779</c:v>
                </c:pt>
                <c:pt idx="1085">
                  <c:v>0.15777777777777779</c:v>
                </c:pt>
                <c:pt idx="1086">
                  <c:v>0.15777777777777779</c:v>
                </c:pt>
                <c:pt idx="1087">
                  <c:v>0.15777777777777779</c:v>
                </c:pt>
                <c:pt idx="1088">
                  <c:v>0.15777777777777779</c:v>
                </c:pt>
                <c:pt idx="1089">
                  <c:v>0.15777777777777779</c:v>
                </c:pt>
                <c:pt idx="1090">
                  <c:v>0.15777777777777779</c:v>
                </c:pt>
                <c:pt idx="1091">
                  <c:v>0.15777777777777779</c:v>
                </c:pt>
                <c:pt idx="1092">
                  <c:v>0.15777777777777779</c:v>
                </c:pt>
                <c:pt idx="1093">
                  <c:v>0.15777777777777779</c:v>
                </c:pt>
                <c:pt idx="1094">
                  <c:v>0.15777777777777779</c:v>
                </c:pt>
                <c:pt idx="1095">
                  <c:v>0.15777777777777779</c:v>
                </c:pt>
                <c:pt idx="1096">
                  <c:v>0.15777777777777779</c:v>
                </c:pt>
                <c:pt idx="1097">
                  <c:v>0.15777777777777779</c:v>
                </c:pt>
                <c:pt idx="1098">
                  <c:v>0.15777777777777779</c:v>
                </c:pt>
                <c:pt idx="1099">
                  <c:v>0.15777777777777779</c:v>
                </c:pt>
                <c:pt idx="1100">
                  <c:v>0.15777777777777779</c:v>
                </c:pt>
                <c:pt idx="1101">
                  <c:v>0.15777777777777779</c:v>
                </c:pt>
                <c:pt idx="1102">
                  <c:v>0.15777777777777779</c:v>
                </c:pt>
                <c:pt idx="1103">
                  <c:v>0.15777777777777779</c:v>
                </c:pt>
                <c:pt idx="1104">
                  <c:v>0.15777777777777779</c:v>
                </c:pt>
                <c:pt idx="1105">
                  <c:v>0.15777777777777779</c:v>
                </c:pt>
                <c:pt idx="1106">
                  <c:v>0.15777777777777779</c:v>
                </c:pt>
                <c:pt idx="1107">
                  <c:v>0.15777777777777779</c:v>
                </c:pt>
                <c:pt idx="1108">
                  <c:v>0.15777777777777779</c:v>
                </c:pt>
                <c:pt idx="1109">
                  <c:v>0.15777777777777779</c:v>
                </c:pt>
                <c:pt idx="1110">
                  <c:v>0.15777777777777779</c:v>
                </c:pt>
                <c:pt idx="1111">
                  <c:v>0.15777777777777779</c:v>
                </c:pt>
                <c:pt idx="1112">
                  <c:v>0.15777777777777779</c:v>
                </c:pt>
                <c:pt idx="1113">
                  <c:v>0.15777777777777779</c:v>
                </c:pt>
                <c:pt idx="1114">
                  <c:v>0.15777777777777779</c:v>
                </c:pt>
                <c:pt idx="1115">
                  <c:v>0.15777777777777779</c:v>
                </c:pt>
                <c:pt idx="1116">
                  <c:v>0.15777777777777779</c:v>
                </c:pt>
                <c:pt idx="1117">
                  <c:v>0.15777777777777779</c:v>
                </c:pt>
                <c:pt idx="1118">
                  <c:v>0.15777777777777779</c:v>
                </c:pt>
                <c:pt idx="1119">
                  <c:v>0.15777777777777779</c:v>
                </c:pt>
                <c:pt idx="1120">
                  <c:v>0.15777777777777779</c:v>
                </c:pt>
                <c:pt idx="1121">
                  <c:v>0.15777777777777779</c:v>
                </c:pt>
                <c:pt idx="1122">
                  <c:v>0.15777777777777779</c:v>
                </c:pt>
                <c:pt idx="1123">
                  <c:v>0.15777777777777779</c:v>
                </c:pt>
                <c:pt idx="1124">
                  <c:v>0.15777777777777779</c:v>
                </c:pt>
                <c:pt idx="1125">
                  <c:v>0.15777777777777779</c:v>
                </c:pt>
                <c:pt idx="1126">
                  <c:v>0.15777777777777779</c:v>
                </c:pt>
                <c:pt idx="1127">
                  <c:v>0.15777777777777779</c:v>
                </c:pt>
                <c:pt idx="1128">
                  <c:v>0.15777777777777779</c:v>
                </c:pt>
                <c:pt idx="1129">
                  <c:v>0.15777777777777779</c:v>
                </c:pt>
                <c:pt idx="1130">
                  <c:v>0.15777777777777779</c:v>
                </c:pt>
                <c:pt idx="1131">
                  <c:v>0.15777777777777779</c:v>
                </c:pt>
                <c:pt idx="1132">
                  <c:v>0.15777777777777779</c:v>
                </c:pt>
                <c:pt idx="1133">
                  <c:v>0.15777777777777779</c:v>
                </c:pt>
                <c:pt idx="1134">
                  <c:v>0.15777777777777779</c:v>
                </c:pt>
                <c:pt idx="1135">
                  <c:v>0.15777777777777779</c:v>
                </c:pt>
                <c:pt idx="1136">
                  <c:v>0.15777777777777779</c:v>
                </c:pt>
                <c:pt idx="1137">
                  <c:v>0.15777777777777779</c:v>
                </c:pt>
                <c:pt idx="1138">
                  <c:v>0.15777777777777779</c:v>
                </c:pt>
                <c:pt idx="1139">
                  <c:v>0.15777777777777779</c:v>
                </c:pt>
                <c:pt idx="1140">
                  <c:v>0.15777777777777779</c:v>
                </c:pt>
                <c:pt idx="1141">
                  <c:v>0.15777777777777779</c:v>
                </c:pt>
                <c:pt idx="1142">
                  <c:v>0.15777777777777779</c:v>
                </c:pt>
                <c:pt idx="1143">
                  <c:v>0.15777777777777779</c:v>
                </c:pt>
                <c:pt idx="1144">
                  <c:v>0.15777777777777779</c:v>
                </c:pt>
                <c:pt idx="1145">
                  <c:v>0.15777777777777779</c:v>
                </c:pt>
                <c:pt idx="1146">
                  <c:v>0.15777777777777779</c:v>
                </c:pt>
                <c:pt idx="1147">
                  <c:v>0.15777777777777779</c:v>
                </c:pt>
                <c:pt idx="1148">
                  <c:v>0.15777777777777779</c:v>
                </c:pt>
                <c:pt idx="1149">
                  <c:v>0.15777777777777779</c:v>
                </c:pt>
                <c:pt idx="1150">
                  <c:v>0.15777777777777779</c:v>
                </c:pt>
                <c:pt idx="1151">
                  <c:v>0.15777777777777779</c:v>
                </c:pt>
                <c:pt idx="1152">
                  <c:v>0.15777777777777779</c:v>
                </c:pt>
                <c:pt idx="1153">
                  <c:v>0.15777777777777779</c:v>
                </c:pt>
                <c:pt idx="1154">
                  <c:v>0.15777777777777779</c:v>
                </c:pt>
                <c:pt idx="1155">
                  <c:v>0.15777777777777779</c:v>
                </c:pt>
                <c:pt idx="1156">
                  <c:v>0.15777777777777779</c:v>
                </c:pt>
                <c:pt idx="1157">
                  <c:v>0.15777777777777779</c:v>
                </c:pt>
                <c:pt idx="1158">
                  <c:v>0.15777777777777779</c:v>
                </c:pt>
                <c:pt idx="1159">
                  <c:v>0.15777777777777779</c:v>
                </c:pt>
                <c:pt idx="1160">
                  <c:v>0.15777777777777779</c:v>
                </c:pt>
                <c:pt idx="1161">
                  <c:v>0.15777777777777779</c:v>
                </c:pt>
                <c:pt idx="1162">
                  <c:v>0.15777777777777779</c:v>
                </c:pt>
                <c:pt idx="1163">
                  <c:v>0.15777777777777779</c:v>
                </c:pt>
                <c:pt idx="1164">
                  <c:v>0.15777777777777779</c:v>
                </c:pt>
                <c:pt idx="1165">
                  <c:v>0.15777777777777779</c:v>
                </c:pt>
                <c:pt idx="1166">
                  <c:v>0.15777777777777779</c:v>
                </c:pt>
                <c:pt idx="1167">
                  <c:v>0.15777777777777779</c:v>
                </c:pt>
                <c:pt idx="1168">
                  <c:v>0.15777777777777779</c:v>
                </c:pt>
                <c:pt idx="1169">
                  <c:v>0.15777777777777779</c:v>
                </c:pt>
                <c:pt idx="1170">
                  <c:v>0.15777777777777779</c:v>
                </c:pt>
                <c:pt idx="1171">
                  <c:v>0.15777777777777779</c:v>
                </c:pt>
                <c:pt idx="1172">
                  <c:v>0.15777777777777779</c:v>
                </c:pt>
                <c:pt idx="1173">
                  <c:v>0.15777777777777779</c:v>
                </c:pt>
                <c:pt idx="1174">
                  <c:v>0.15777777777777779</c:v>
                </c:pt>
                <c:pt idx="1175">
                  <c:v>0.15777777777777779</c:v>
                </c:pt>
                <c:pt idx="1176">
                  <c:v>0.15777777777777779</c:v>
                </c:pt>
                <c:pt idx="1177">
                  <c:v>0.15777777777777779</c:v>
                </c:pt>
                <c:pt idx="1178">
                  <c:v>0.15777777777777779</c:v>
                </c:pt>
                <c:pt idx="1179">
                  <c:v>0.15777777777777779</c:v>
                </c:pt>
                <c:pt idx="1180">
                  <c:v>0.15777777777777779</c:v>
                </c:pt>
                <c:pt idx="1181">
                  <c:v>0.15777777777777779</c:v>
                </c:pt>
                <c:pt idx="1182">
                  <c:v>0.15777777777777779</c:v>
                </c:pt>
                <c:pt idx="1183">
                  <c:v>0.15777777777777779</c:v>
                </c:pt>
                <c:pt idx="1184">
                  <c:v>0.15777777777777779</c:v>
                </c:pt>
                <c:pt idx="1185">
                  <c:v>0.15777777777777779</c:v>
                </c:pt>
                <c:pt idx="1186">
                  <c:v>0.15777777777777779</c:v>
                </c:pt>
                <c:pt idx="1187">
                  <c:v>0.15777777777777779</c:v>
                </c:pt>
                <c:pt idx="1188">
                  <c:v>0.15777777777777779</c:v>
                </c:pt>
                <c:pt idx="1189">
                  <c:v>0.15777777777777779</c:v>
                </c:pt>
                <c:pt idx="1190">
                  <c:v>0.15777777777777779</c:v>
                </c:pt>
                <c:pt idx="1191">
                  <c:v>0.15777777777777779</c:v>
                </c:pt>
                <c:pt idx="1192">
                  <c:v>0.15777777777777779</c:v>
                </c:pt>
                <c:pt idx="1193">
                  <c:v>0.15777777777777779</c:v>
                </c:pt>
                <c:pt idx="1194">
                  <c:v>0.15777777777777779</c:v>
                </c:pt>
                <c:pt idx="1195">
                  <c:v>0.15777777777777779</c:v>
                </c:pt>
                <c:pt idx="1196">
                  <c:v>0.15777777777777779</c:v>
                </c:pt>
                <c:pt idx="1197">
                  <c:v>0.15777777777777779</c:v>
                </c:pt>
                <c:pt idx="1198">
                  <c:v>0.15777777777777779</c:v>
                </c:pt>
                <c:pt idx="1199">
                  <c:v>0.15777777777777779</c:v>
                </c:pt>
                <c:pt idx="1200">
                  <c:v>0.15777777777777779</c:v>
                </c:pt>
                <c:pt idx="1201">
                  <c:v>0.15777777777777779</c:v>
                </c:pt>
                <c:pt idx="1202">
                  <c:v>0.15777777777777779</c:v>
                </c:pt>
                <c:pt idx="1203">
                  <c:v>0.15777777777777779</c:v>
                </c:pt>
                <c:pt idx="1204">
                  <c:v>0.15777777777777779</c:v>
                </c:pt>
                <c:pt idx="1205">
                  <c:v>0.15777777777777779</c:v>
                </c:pt>
                <c:pt idx="1206">
                  <c:v>0.15777777777777779</c:v>
                </c:pt>
                <c:pt idx="1207">
                  <c:v>0.15777777777777779</c:v>
                </c:pt>
                <c:pt idx="1208">
                  <c:v>0.15777777777777779</c:v>
                </c:pt>
                <c:pt idx="1209">
                  <c:v>0.15777777777777779</c:v>
                </c:pt>
                <c:pt idx="1210">
                  <c:v>0.15777777777777779</c:v>
                </c:pt>
                <c:pt idx="1211">
                  <c:v>0.15777777777777779</c:v>
                </c:pt>
                <c:pt idx="1212">
                  <c:v>0.15777777777777779</c:v>
                </c:pt>
                <c:pt idx="1213">
                  <c:v>0.15777777777777779</c:v>
                </c:pt>
                <c:pt idx="1214">
                  <c:v>0.15777777777777779</c:v>
                </c:pt>
                <c:pt idx="1215">
                  <c:v>0.15777777777777779</c:v>
                </c:pt>
                <c:pt idx="1216">
                  <c:v>0.15777777777777779</c:v>
                </c:pt>
                <c:pt idx="1217">
                  <c:v>0.15777777777777779</c:v>
                </c:pt>
                <c:pt idx="1218">
                  <c:v>0.15777777777777779</c:v>
                </c:pt>
                <c:pt idx="1219">
                  <c:v>0.15777777777777779</c:v>
                </c:pt>
                <c:pt idx="1220">
                  <c:v>0.15777777777777779</c:v>
                </c:pt>
                <c:pt idx="1221">
                  <c:v>0.15777777777777779</c:v>
                </c:pt>
                <c:pt idx="1222">
                  <c:v>0.15777777777777779</c:v>
                </c:pt>
                <c:pt idx="1223">
                  <c:v>0.15777777777777779</c:v>
                </c:pt>
                <c:pt idx="1224">
                  <c:v>0.15777777777777779</c:v>
                </c:pt>
                <c:pt idx="1225">
                  <c:v>0.15777777777777779</c:v>
                </c:pt>
                <c:pt idx="1226">
                  <c:v>0.15777777777777779</c:v>
                </c:pt>
                <c:pt idx="1227">
                  <c:v>0.15777777777777779</c:v>
                </c:pt>
                <c:pt idx="1228">
                  <c:v>0.15777777777777779</c:v>
                </c:pt>
                <c:pt idx="1229">
                  <c:v>0.15777777777777779</c:v>
                </c:pt>
                <c:pt idx="1230">
                  <c:v>0.15777777777777779</c:v>
                </c:pt>
                <c:pt idx="1231">
                  <c:v>0.15777777777777779</c:v>
                </c:pt>
                <c:pt idx="1232">
                  <c:v>0.15777777777777779</c:v>
                </c:pt>
                <c:pt idx="1233">
                  <c:v>0.15777777777777779</c:v>
                </c:pt>
                <c:pt idx="1234">
                  <c:v>0.15777777777777779</c:v>
                </c:pt>
                <c:pt idx="1235">
                  <c:v>0.15777777777777779</c:v>
                </c:pt>
                <c:pt idx="1236">
                  <c:v>0.15777777777777779</c:v>
                </c:pt>
                <c:pt idx="1237">
                  <c:v>0.15777777777777779</c:v>
                </c:pt>
                <c:pt idx="1238">
                  <c:v>0.15777777777777779</c:v>
                </c:pt>
                <c:pt idx="1239">
                  <c:v>0.15777777777777779</c:v>
                </c:pt>
                <c:pt idx="1240">
                  <c:v>0.15777777777777779</c:v>
                </c:pt>
                <c:pt idx="1241">
                  <c:v>0.15777777777777779</c:v>
                </c:pt>
                <c:pt idx="1242">
                  <c:v>0.15777777777777779</c:v>
                </c:pt>
                <c:pt idx="1243">
                  <c:v>0.15777777777777779</c:v>
                </c:pt>
                <c:pt idx="1244">
                  <c:v>0.15777777777777779</c:v>
                </c:pt>
                <c:pt idx="1245">
                  <c:v>0.15777777777777779</c:v>
                </c:pt>
                <c:pt idx="1246">
                  <c:v>0.15777777777777779</c:v>
                </c:pt>
                <c:pt idx="1247">
                  <c:v>0.15777777777777779</c:v>
                </c:pt>
                <c:pt idx="1248">
                  <c:v>0.15777777777777779</c:v>
                </c:pt>
                <c:pt idx="1249">
                  <c:v>0.15777777777777779</c:v>
                </c:pt>
                <c:pt idx="1250">
                  <c:v>0.15777777777777779</c:v>
                </c:pt>
                <c:pt idx="1251">
                  <c:v>0.15777777777777779</c:v>
                </c:pt>
                <c:pt idx="1252">
                  <c:v>0.15777777777777779</c:v>
                </c:pt>
                <c:pt idx="1253">
                  <c:v>0.15777777777777779</c:v>
                </c:pt>
                <c:pt idx="1254">
                  <c:v>0.15777777777777779</c:v>
                </c:pt>
                <c:pt idx="1255">
                  <c:v>0.15777777777777779</c:v>
                </c:pt>
                <c:pt idx="1256">
                  <c:v>0.15777777777777779</c:v>
                </c:pt>
                <c:pt idx="1257">
                  <c:v>0.15777777777777779</c:v>
                </c:pt>
                <c:pt idx="1258">
                  <c:v>0.15777777777777779</c:v>
                </c:pt>
                <c:pt idx="1259">
                  <c:v>0.15777777777777779</c:v>
                </c:pt>
                <c:pt idx="1260">
                  <c:v>0.15777777777777779</c:v>
                </c:pt>
                <c:pt idx="1261">
                  <c:v>0.15777777777777779</c:v>
                </c:pt>
                <c:pt idx="1262">
                  <c:v>0.15777777777777779</c:v>
                </c:pt>
                <c:pt idx="1263">
                  <c:v>0.15777777777777779</c:v>
                </c:pt>
                <c:pt idx="1264">
                  <c:v>0.15777777777777779</c:v>
                </c:pt>
                <c:pt idx="1265">
                  <c:v>0.15777777777777779</c:v>
                </c:pt>
                <c:pt idx="1266">
                  <c:v>0.15777777777777779</c:v>
                </c:pt>
                <c:pt idx="1267">
                  <c:v>0.15777777777777779</c:v>
                </c:pt>
                <c:pt idx="1268">
                  <c:v>0.15777777777777779</c:v>
                </c:pt>
                <c:pt idx="1269">
                  <c:v>0.15777777777777779</c:v>
                </c:pt>
                <c:pt idx="1270">
                  <c:v>0.15777777777777779</c:v>
                </c:pt>
                <c:pt idx="1271">
                  <c:v>0.15777777777777779</c:v>
                </c:pt>
                <c:pt idx="1272">
                  <c:v>0.15777777777777779</c:v>
                </c:pt>
                <c:pt idx="1273">
                  <c:v>0.15777777777777779</c:v>
                </c:pt>
                <c:pt idx="1274">
                  <c:v>0.15777777777777779</c:v>
                </c:pt>
                <c:pt idx="1275">
                  <c:v>0.15777777777777779</c:v>
                </c:pt>
                <c:pt idx="1276">
                  <c:v>0.15777777777777779</c:v>
                </c:pt>
                <c:pt idx="1277">
                  <c:v>0.15777777777777779</c:v>
                </c:pt>
                <c:pt idx="1278">
                  <c:v>0.15777777777777779</c:v>
                </c:pt>
                <c:pt idx="1279">
                  <c:v>0.15777777777777779</c:v>
                </c:pt>
                <c:pt idx="1280">
                  <c:v>0.15777777777777779</c:v>
                </c:pt>
                <c:pt idx="1281">
                  <c:v>0.15777777777777779</c:v>
                </c:pt>
                <c:pt idx="1282">
                  <c:v>0.15777777777777779</c:v>
                </c:pt>
                <c:pt idx="1283">
                  <c:v>0.15777777777777779</c:v>
                </c:pt>
                <c:pt idx="1284">
                  <c:v>0.15777777777777779</c:v>
                </c:pt>
                <c:pt idx="1285">
                  <c:v>0.15777777777777779</c:v>
                </c:pt>
                <c:pt idx="1286">
                  <c:v>0.15777777777777779</c:v>
                </c:pt>
                <c:pt idx="1287">
                  <c:v>0.15777777777777779</c:v>
                </c:pt>
                <c:pt idx="1288">
                  <c:v>0.15777777777777779</c:v>
                </c:pt>
                <c:pt idx="1289">
                  <c:v>0.15777777777777779</c:v>
                </c:pt>
                <c:pt idx="1290">
                  <c:v>0.15777777777777779</c:v>
                </c:pt>
                <c:pt idx="1291">
                  <c:v>0.15777777777777779</c:v>
                </c:pt>
                <c:pt idx="1292">
                  <c:v>0.15777777777777779</c:v>
                </c:pt>
                <c:pt idx="1293">
                  <c:v>0.15777777777777779</c:v>
                </c:pt>
                <c:pt idx="1294">
                  <c:v>0.15777777777777779</c:v>
                </c:pt>
                <c:pt idx="1295">
                  <c:v>0.15777777777777779</c:v>
                </c:pt>
                <c:pt idx="1296">
                  <c:v>0.15777777777777779</c:v>
                </c:pt>
                <c:pt idx="1297">
                  <c:v>0.15777777777777779</c:v>
                </c:pt>
                <c:pt idx="1298">
                  <c:v>0.15777777777777779</c:v>
                </c:pt>
                <c:pt idx="1299">
                  <c:v>0.15777777777777779</c:v>
                </c:pt>
                <c:pt idx="1300">
                  <c:v>0.15777777777777779</c:v>
                </c:pt>
                <c:pt idx="1301">
                  <c:v>0.15777777777777779</c:v>
                </c:pt>
                <c:pt idx="1302">
                  <c:v>0.15777777777777779</c:v>
                </c:pt>
                <c:pt idx="1303">
                  <c:v>0.15777777777777779</c:v>
                </c:pt>
                <c:pt idx="1304">
                  <c:v>0.15777777777777779</c:v>
                </c:pt>
                <c:pt idx="1305">
                  <c:v>0.15777777777777779</c:v>
                </c:pt>
                <c:pt idx="1306">
                  <c:v>0.15777777777777779</c:v>
                </c:pt>
                <c:pt idx="1307">
                  <c:v>0.15777777777777779</c:v>
                </c:pt>
                <c:pt idx="1308">
                  <c:v>0.15777777777777779</c:v>
                </c:pt>
                <c:pt idx="1309">
                  <c:v>0.15777777777777779</c:v>
                </c:pt>
                <c:pt idx="1310">
                  <c:v>0.15777777777777779</c:v>
                </c:pt>
                <c:pt idx="1311">
                  <c:v>0.15777777777777779</c:v>
                </c:pt>
                <c:pt idx="1312">
                  <c:v>0.15777777777777779</c:v>
                </c:pt>
                <c:pt idx="1313">
                  <c:v>0.15777777777777779</c:v>
                </c:pt>
                <c:pt idx="1314">
                  <c:v>0.15777777777777779</c:v>
                </c:pt>
                <c:pt idx="1315">
                  <c:v>0.15777777777777779</c:v>
                </c:pt>
                <c:pt idx="1316">
                  <c:v>0.15777777777777779</c:v>
                </c:pt>
                <c:pt idx="1317">
                  <c:v>0.15777777777777779</c:v>
                </c:pt>
                <c:pt idx="1318">
                  <c:v>0.15777777777777779</c:v>
                </c:pt>
                <c:pt idx="1319">
                  <c:v>0.15777777777777779</c:v>
                </c:pt>
                <c:pt idx="1320">
                  <c:v>0.15777777777777779</c:v>
                </c:pt>
                <c:pt idx="1321">
                  <c:v>0.15777777777777779</c:v>
                </c:pt>
                <c:pt idx="1322">
                  <c:v>0.15777777777777779</c:v>
                </c:pt>
                <c:pt idx="1323">
                  <c:v>0.15777777777777779</c:v>
                </c:pt>
                <c:pt idx="1324">
                  <c:v>0.15777777777777779</c:v>
                </c:pt>
                <c:pt idx="1325">
                  <c:v>0.15777777777777779</c:v>
                </c:pt>
                <c:pt idx="1326">
                  <c:v>0.15777777777777779</c:v>
                </c:pt>
                <c:pt idx="1327">
                  <c:v>0.15777777777777779</c:v>
                </c:pt>
                <c:pt idx="1328">
                  <c:v>0.15777777777777779</c:v>
                </c:pt>
                <c:pt idx="1329">
                  <c:v>0.15777777777777779</c:v>
                </c:pt>
                <c:pt idx="1330">
                  <c:v>0.15777777777777779</c:v>
                </c:pt>
                <c:pt idx="1331">
                  <c:v>0.15777777777777779</c:v>
                </c:pt>
                <c:pt idx="1332">
                  <c:v>0.15777777777777779</c:v>
                </c:pt>
                <c:pt idx="1333">
                  <c:v>0.15777777777777779</c:v>
                </c:pt>
                <c:pt idx="1334">
                  <c:v>0.15777777777777779</c:v>
                </c:pt>
                <c:pt idx="1335">
                  <c:v>0.15777777777777779</c:v>
                </c:pt>
                <c:pt idx="1336">
                  <c:v>0.15777777777777779</c:v>
                </c:pt>
                <c:pt idx="1337">
                  <c:v>0.15777777777777779</c:v>
                </c:pt>
                <c:pt idx="1338">
                  <c:v>0.15777777777777779</c:v>
                </c:pt>
                <c:pt idx="1339">
                  <c:v>0.15777777777777779</c:v>
                </c:pt>
                <c:pt idx="1340">
                  <c:v>0.15777777777777779</c:v>
                </c:pt>
                <c:pt idx="1341">
                  <c:v>0.15777777777777779</c:v>
                </c:pt>
                <c:pt idx="1342">
                  <c:v>0.15777777777777779</c:v>
                </c:pt>
                <c:pt idx="1343">
                  <c:v>0.15777777777777779</c:v>
                </c:pt>
                <c:pt idx="1344">
                  <c:v>0.15777777777777779</c:v>
                </c:pt>
                <c:pt idx="1345">
                  <c:v>0.15777777777777779</c:v>
                </c:pt>
                <c:pt idx="1346">
                  <c:v>0.15777777777777779</c:v>
                </c:pt>
                <c:pt idx="1347">
                  <c:v>0.15777777777777779</c:v>
                </c:pt>
                <c:pt idx="1348">
                  <c:v>0.15777777777777779</c:v>
                </c:pt>
                <c:pt idx="1349">
                  <c:v>0.15777777777777779</c:v>
                </c:pt>
                <c:pt idx="1350">
                  <c:v>0.15777777777777779</c:v>
                </c:pt>
                <c:pt idx="1351">
                  <c:v>0.15777777777777779</c:v>
                </c:pt>
                <c:pt idx="1352">
                  <c:v>0.15777777777777779</c:v>
                </c:pt>
                <c:pt idx="1353">
                  <c:v>0.15777777777777779</c:v>
                </c:pt>
                <c:pt idx="1354">
                  <c:v>0.15777777777777779</c:v>
                </c:pt>
                <c:pt idx="1355">
                  <c:v>0.15777777777777779</c:v>
                </c:pt>
                <c:pt idx="1356">
                  <c:v>0.15777777777777779</c:v>
                </c:pt>
                <c:pt idx="1357">
                  <c:v>0.15777777777777779</c:v>
                </c:pt>
                <c:pt idx="1358">
                  <c:v>0.15777777777777779</c:v>
                </c:pt>
                <c:pt idx="1359">
                  <c:v>0.15777777777777779</c:v>
                </c:pt>
                <c:pt idx="1360">
                  <c:v>0.15777777777777779</c:v>
                </c:pt>
                <c:pt idx="1361">
                  <c:v>0.15777777777777779</c:v>
                </c:pt>
                <c:pt idx="1362">
                  <c:v>0.15777777777777779</c:v>
                </c:pt>
                <c:pt idx="1363">
                  <c:v>0.15777777777777779</c:v>
                </c:pt>
                <c:pt idx="1364">
                  <c:v>0.15777777777777779</c:v>
                </c:pt>
                <c:pt idx="1365">
                  <c:v>0.15777777777777779</c:v>
                </c:pt>
                <c:pt idx="1366">
                  <c:v>0.15777777777777779</c:v>
                </c:pt>
                <c:pt idx="1367">
                  <c:v>0.15777777777777779</c:v>
                </c:pt>
                <c:pt idx="1368">
                  <c:v>0.15777777777777779</c:v>
                </c:pt>
                <c:pt idx="1369">
                  <c:v>0.15777777777777779</c:v>
                </c:pt>
                <c:pt idx="1370">
                  <c:v>0.15777777777777779</c:v>
                </c:pt>
                <c:pt idx="1371">
                  <c:v>0.15777777777777779</c:v>
                </c:pt>
                <c:pt idx="1372">
                  <c:v>0.15777777777777779</c:v>
                </c:pt>
                <c:pt idx="1373">
                  <c:v>0.15777777777777779</c:v>
                </c:pt>
                <c:pt idx="1374">
                  <c:v>0.15777777777777779</c:v>
                </c:pt>
                <c:pt idx="1375">
                  <c:v>0.15777777777777779</c:v>
                </c:pt>
                <c:pt idx="1376">
                  <c:v>0.15777777777777779</c:v>
                </c:pt>
                <c:pt idx="1377">
                  <c:v>0.15777777777777779</c:v>
                </c:pt>
                <c:pt idx="1378">
                  <c:v>0.15777777777777779</c:v>
                </c:pt>
                <c:pt idx="1379">
                  <c:v>0.15777777777777779</c:v>
                </c:pt>
                <c:pt idx="1380">
                  <c:v>0.15777777777777779</c:v>
                </c:pt>
                <c:pt idx="1381">
                  <c:v>0.15777777777777779</c:v>
                </c:pt>
                <c:pt idx="1382">
                  <c:v>0.15777777777777779</c:v>
                </c:pt>
                <c:pt idx="1383">
                  <c:v>0.15777777777777779</c:v>
                </c:pt>
                <c:pt idx="1384">
                  <c:v>0.15777777777777779</c:v>
                </c:pt>
                <c:pt idx="1385">
                  <c:v>0.15777777777777779</c:v>
                </c:pt>
                <c:pt idx="1386">
                  <c:v>0.15777777777777779</c:v>
                </c:pt>
                <c:pt idx="1387">
                  <c:v>0.15777777777777779</c:v>
                </c:pt>
                <c:pt idx="1388">
                  <c:v>0.15777777777777779</c:v>
                </c:pt>
                <c:pt idx="1389">
                  <c:v>0.15777777777777779</c:v>
                </c:pt>
                <c:pt idx="1390">
                  <c:v>0.15777777777777779</c:v>
                </c:pt>
                <c:pt idx="1391">
                  <c:v>0.15777777777777779</c:v>
                </c:pt>
                <c:pt idx="1392">
                  <c:v>0.15777777777777779</c:v>
                </c:pt>
                <c:pt idx="1393">
                  <c:v>0.15777777777777779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533-4F49-87A1-EEF509FB0D0C}"/>
            </c:ext>
          </c:extLst>
        </c:ser>
        <c:ser>
          <c:idx val="14"/>
          <c:order val="4"/>
          <c:tx>
            <c:strRef>
              <c:f>Rocof!$V$6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Rocof!$V$7:$V$270</c:f>
            </c:numRef>
          </c:yVal>
          <c:smooth val="1"/>
          <c:extLst>
            <c:ext xmlns:c16="http://schemas.microsoft.com/office/drawing/2014/chart" uri="{C3380CC4-5D6E-409C-BE32-E72D297353CC}">
              <c16:uniqueId val="{0000000E-2533-4F49-87A1-EEF509FB0D0C}"/>
            </c:ext>
          </c:extLst>
        </c:ser>
        <c:ser>
          <c:idx val="15"/>
          <c:order val="5"/>
          <c:tx>
            <c:strRef>
              <c:f>Rocof!$X$6</c:f>
              <c:strCache>
                <c:ptCount val="1"/>
                <c:pt idx="0">
                  <c:v>Pdown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  <c:extLst xmlns:c15="http://schemas.microsoft.com/office/drawing/2012/chart"/>
            </c:numRef>
          </c:xVal>
          <c:yVal>
            <c:numRef>
              <c:f>Rocof!$X$7:$X$270</c:f>
              <c:numCache>
                <c:formatCode>General</c:formatCode>
                <c:ptCount val="26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0.10031818024027021</c:v>
                </c:pt>
                <c:pt idx="6">
                  <c:v>0.10126495212032821</c:v>
                </c:pt>
                <c:pt idx="7">
                  <c:v>0.10282025138745546</c:v>
                </c:pt>
                <c:pt idx="8">
                  <c:v>0.1049561314799124</c:v>
                </c:pt>
                <c:pt idx="9">
                  <c:v>0.10763962272914501</c:v>
                </c:pt>
                <c:pt idx="10">
                  <c:v>0.11083455499845565</c:v>
                </c:pt>
                <c:pt idx="11">
                  <c:v>0.11450274803632705</c:v>
                </c:pt>
                <c:pt idx="12">
                  <c:v>0.11860481452003192</c:v>
                </c:pt>
                <c:pt idx="13">
                  <c:v>0.12310072417278708</c:v>
                </c:pt>
                <c:pt idx="14">
                  <c:v>0.12795021878051427</c:v>
                </c:pt>
                <c:pt idx="15">
                  <c:v>0.13311313244598366</c:v>
                </c:pt>
                <c:pt idx="16">
                  <c:v>0.1385496499211378</c:v>
                </c:pt>
                <c:pt idx="17">
                  <c:v>0.14422052284677156</c:v>
                </c:pt>
                <c:pt idx="18">
                  <c:v>0.15008725586287419</c:v>
                </c:pt>
                <c:pt idx="19">
                  <c:v>0.15611226980714948</c:v>
                </c:pt>
                <c:pt idx="20">
                  <c:v>0.16225904636483307</c:v>
                </c:pt>
                <c:pt idx="21">
                  <c:v>0.16849225682460517</c:v>
                </c:pt>
                <c:pt idx="22">
                  <c:v>0.17477787658105326</c:v>
                </c:pt>
                <c:pt idx="23">
                  <c:v>0.18108328642949983</c:v>
                </c:pt>
                <c:pt idx="24">
                  <c:v>0.18737736135769117</c:v>
                </c:pt>
                <c:pt idx="25">
                  <c:v>0.19363054734988858</c:v>
                </c:pt>
                <c:pt idx="26">
                  <c:v>0.19981492662106193</c:v>
                </c:pt>
                <c:pt idx="27">
                  <c:v>0.20590427165498359</c:v>
                </c:pt>
                <c:pt idx="28">
                  <c:v>0.21187408840751004</c:v>
                </c:pt>
                <c:pt idx="29">
                  <c:v>0.21770164904152928</c:v>
                </c:pt>
                <c:pt idx="30">
                  <c:v>0.22336601457465893</c:v>
                </c:pt>
                <c:pt idx="31">
                  <c:v>0.22884804783977103</c:v>
                </c:pt>
                <c:pt idx="32">
                  <c:v>0.23413041717877436</c:v>
                </c:pt>
                <c:pt idx="33">
                  <c:v>0.23919759130998297</c:v>
                </c:pt>
                <c:pt idx="34">
                  <c:v>0.24403582582776395</c:v>
                </c:pt>
                <c:pt idx="35">
                  <c:v>0.24863314180937085</c:v>
                </c:pt>
                <c:pt idx="36">
                  <c:v>0.25297929701758859</c:v>
                </c:pt>
                <c:pt idx="37">
                  <c:v>0.25706575019887201</c:v>
                </c:pt>
                <c:pt idx="38">
                  <c:v>0.26088561898499713</c:v>
                </c:pt>
                <c:pt idx="39">
                  <c:v>0.26443363191187108</c:v>
                </c:pt>
                <c:pt idx="40">
                  <c:v>0.26770607507211847</c:v>
                </c:pt>
                <c:pt idx="41">
                  <c:v>0.27070073391846428</c:v>
                </c:pt>
                <c:pt idx="42">
                  <c:v>0.27341683073287243</c:v>
                </c:pt>
                <c:pt idx="43">
                  <c:v>0.27585495827198958</c:v>
                </c:pt>
                <c:pt idx="44">
                  <c:v>0.27801701009282087</c:v>
                </c:pt>
                <c:pt idx="45">
                  <c:v>0.27990610805385718</c:v>
                </c:pt>
                <c:pt idx="46">
                  <c:v>0.28152652747622769</c:v>
                </c:pt>
                <c:pt idx="47">
                  <c:v>0.28288362043700849</c:v>
                </c:pt>
                <c:pt idx="48">
                  <c:v>0.28398373765272517</c:v>
                </c:pt>
                <c:pt idx="49">
                  <c:v>0.28483414939549057</c:v>
                </c:pt>
                <c:pt idx="50">
                  <c:v>0.28544296586726786</c:v>
                </c:pt>
                <c:pt idx="51">
                  <c:v>0.28581905743958991</c:v>
                </c:pt>
                <c:pt idx="52">
                  <c:v>0.28597197514684247</c:v>
                </c:pt>
                <c:pt idx="53">
                  <c:v>0.28591187180107802</c:v>
                </c:pt>
                <c:pt idx="54">
                  <c:v>0.28564942407540744</c:v>
                </c:pt>
                <c:pt idx="55">
                  <c:v>0.28519575588145835</c:v>
                </c:pt>
                <c:pt idx="56">
                  <c:v>0.28456236334432339</c:v>
                </c:pt>
                <c:pt idx="57">
                  <c:v>0.28376104165598121</c:v>
                </c:pt>
                <c:pt idx="58">
                  <c:v>0.28280381406548633</c:v>
                </c:pt>
                <c:pt idx="59">
                  <c:v>0.28170286324140015</c:v>
                </c:pt>
                <c:pt idx="60">
                  <c:v>0.28047046521910851</c:v>
                </c:pt>
                <c:pt idx="61">
                  <c:v>0.27911892612293132</c:v>
                </c:pt>
                <c:pt idx="62">
                  <c:v>0.27766052183039625</c:v>
                </c:pt>
                <c:pt idx="63">
                  <c:v>0.27610744072381099</c:v>
                </c:pt>
                <c:pt idx="64">
                  <c:v>0.27447172965242078</c:v>
                </c:pt>
                <c:pt idx="65">
                  <c:v>0.27276524320706919</c:v>
                </c:pt>
                <c:pt idx="66">
                  <c:v>0.27099959638845972</c:v>
                </c:pt>
                <c:pt idx="67">
                  <c:v>0.2691861207299317</c:v>
                </c:pt>
                <c:pt idx="68">
                  <c:v>0.26733582391616328</c:v>
                </c:pt>
                <c:pt idx="69">
                  <c:v>0.26545935292047484</c:v>
                </c:pt>
                <c:pt idx="70">
                  <c:v>0.26356696066546603</c:v>
                </c:pt>
                <c:pt idx="71">
                  <c:v>0.26166847619463657</c:v>
                </c:pt>
                <c:pt idx="72">
                  <c:v>0.25977327832644592</c:v>
                </c:pt>
                <c:pt idx="73">
                  <c:v>0.25789027274700177</c:v>
                </c:pt>
                <c:pt idx="74">
                  <c:v>0.25602787248325354</c:v>
                </c:pt>
                <c:pt idx="75">
                  <c:v>0.25419398168523233</c:v>
                </c:pt>
                <c:pt idx="76">
                  <c:v>0.25239598263353225</c:v>
                </c:pt>
                <c:pt idx="77">
                  <c:v>0.25064072587688846</c:v>
                </c:pt>
                <c:pt idx="78">
                  <c:v>0.24893452339437411</c:v>
                </c:pt>
                <c:pt idx="79">
                  <c:v>0.24728314466741291</c:v>
                </c:pt>
                <c:pt idx="80">
                  <c:v>0.2456918155384844</c:v>
                </c:pt>
                <c:pt idx="81">
                  <c:v>0.24416521972607252</c:v>
                </c:pt>
                <c:pt idx="82">
                  <c:v>0.24270750285906489</c:v>
                </c:pt>
                <c:pt idx="83">
                  <c:v>0.241322278888427</c:v>
                </c:pt>
                <c:pt idx="84">
                  <c:v>0.24001263872954087</c:v>
                </c:pt>
                <c:pt idx="85">
                  <c:v>0.23878116098507374</c:v>
                </c:pt>
                <c:pt idx="86">
                  <c:v>0.23762992459561455</c:v>
                </c:pt>
                <c:pt idx="87">
                  <c:v>0.23656052326354354</c:v>
                </c:pt>
                <c:pt idx="88">
                  <c:v>0.23557408149465409</c:v>
                </c:pt>
                <c:pt idx="89">
                  <c:v>0.23467127210189082</c:v>
                </c:pt>
                <c:pt idx="90">
                  <c:v>0.23385233501616387</c:v>
                </c:pt>
                <c:pt idx="91">
                  <c:v>0.23311709725050761</c:v>
                </c:pt>
                <c:pt idx="92">
                  <c:v>0.23246499386583347</c:v>
                </c:pt>
                <c:pt idx="93">
                  <c:v>0.23189508978913492</c:v>
                </c:pt>
                <c:pt idx="94">
                  <c:v>0.23140610233819986</c:v>
                </c:pt>
                <c:pt idx="95">
                  <c:v>0.23099642431062273</c:v>
                </c:pt>
                <c:pt idx="96">
                  <c:v>0.23066414749914521</c:v>
                </c:pt>
                <c:pt idx="97">
                  <c:v>0.23040708650004438</c:v>
                </c:pt>
                <c:pt idx="98">
                  <c:v>0.2302228026863844</c:v>
                </c:pt>
                <c:pt idx="99">
                  <c:v>0.23010862822341205</c:v>
                </c:pt>
                <c:pt idx="100">
                  <c:v>0.23006169000915883</c:v>
                </c:pt>
                <c:pt idx="101">
                  <c:v>0.23007893342937424</c:v>
                </c:pt>
                <c:pt idx="102">
                  <c:v>0.22997878933110649</c:v>
                </c:pt>
                <c:pt idx="103">
                  <c:v>0.22987914470361259</c:v>
                </c:pt>
                <c:pt idx="104">
                  <c:v>0.22977999705577162</c:v>
                </c:pt>
                <c:pt idx="105">
                  <c:v>0.22968134390888728</c:v>
                </c:pt>
                <c:pt idx="106">
                  <c:v>0.22958318279662571</c:v>
                </c:pt>
                <c:pt idx="107">
                  <c:v>0.22948551126495403</c:v>
                </c:pt>
                <c:pt idx="108">
                  <c:v>0.22938832687207888</c:v>
                </c:pt>
                <c:pt idx="109">
                  <c:v>0.22929162718838531</c:v>
                </c:pt>
                <c:pt idx="110">
                  <c:v>0.2291954097963762</c:v>
                </c:pt>
                <c:pt idx="111">
                  <c:v>0.22909967229061179</c:v>
                </c:pt>
                <c:pt idx="112">
                  <c:v>0.22900441227764945</c:v>
                </c:pt>
                <c:pt idx="113">
                  <c:v>0.2289096273759838</c:v>
                </c:pt>
                <c:pt idx="114">
                  <c:v>0.22881531521598747</c:v>
                </c:pt>
                <c:pt idx="115">
                  <c:v>0.2287214734398515</c:v>
                </c:pt>
                <c:pt idx="116">
                  <c:v>0.22862809970152659</c:v>
                </c:pt>
                <c:pt idx="117">
                  <c:v>0.22853519166666442</c:v>
                </c:pt>
                <c:pt idx="118">
                  <c:v>0.22844274701255934</c:v>
                </c:pt>
                <c:pt idx="119">
                  <c:v>0.22835076342809008</c:v>
                </c:pt>
                <c:pt idx="120">
                  <c:v>0.22825923861366232</c:v>
                </c:pt>
                <c:pt idx="121">
                  <c:v>0.22816817028115088</c:v>
                </c:pt>
                <c:pt idx="122">
                  <c:v>0.22807755615384279</c:v>
                </c:pt>
                <c:pt idx="123">
                  <c:v>0.22798739396638001</c:v>
                </c:pt>
                <c:pt idx="124">
                  <c:v>0.22789768146470329</c:v>
                </c:pt>
                <c:pt idx="125">
                  <c:v>0.22780841640599531</c:v>
                </c:pt>
                <c:pt idx="126">
                  <c:v>0.22771959655862506</c:v>
                </c:pt>
                <c:pt idx="127">
                  <c:v>0.22763121970209166</c:v>
                </c:pt>
                <c:pt idx="128">
                  <c:v>0.22754328362696907</c:v>
                </c:pt>
                <c:pt idx="129">
                  <c:v>0.2274557861348509</c:v>
                </c:pt>
                <c:pt idx="130">
                  <c:v>0.22736872503829525</c:v>
                </c:pt>
                <c:pt idx="131">
                  <c:v>0.22728209816077016</c:v>
                </c:pt>
                <c:pt idx="132">
                  <c:v>0.22719590333659917</c:v>
                </c:pt>
                <c:pt idx="133">
                  <c:v>0.22711013841090727</c:v>
                </c:pt>
                <c:pt idx="134">
                  <c:v>0.22702480123956681</c:v>
                </c:pt>
                <c:pt idx="135">
                  <c:v>0.22693988968914403</c:v>
                </c:pt>
                <c:pt idx="136">
                  <c:v>0.22685540163684575</c:v>
                </c:pt>
                <c:pt idx="137">
                  <c:v>0.22677133497046625</c:v>
                </c:pt>
                <c:pt idx="138">
                  <c:v>0.22668768758833457</c:v>
                </c:pt>
                <c:pt idx="139">
                  <c:v>0.22660445739926177</c:v>
                </c:pt>
                <c:pt idx="140">
                  <c:v>0.22652164232248873</c:v>
                </c:pt>
                <c:pt idx="141">
                  <c:v>0.22643924028763424</c:v>
                </c:pt>
                <c:pt idx="142">
                  <c:v>0.22635724923464318</c:v>
                </c:pt>
                <c:pt idx="143">
                  <c:v>0.22627566711373492</c:v>
                </c:pt>
                <c:pt idx="144">
                  <c:v>0.22619449188535218</c:v>
                </c:pt>
                <c:pt idx="145">
                  <c:v>0.22611372152011006</c:v>
                </c:pt>
                <c:pt idx="146">
                  <c:v>0.22603335399874519</c:v>
                </c:pt>
                <c:pt idx="147">
                  <c:v>0.22595338731206532</c:v>
                </c:pt>
                <c:pt idx="148">
                  <c:v>0.22587381946089924</c:v>
                </c:pt>
                <c:pt idx="149">
                  <c:v>0.22579464845604635</c:v>
                </c:pt>
                <c:pt idx="150">
                  <c:v>0.2257158723182276</c:v>
                </c:pt>
                <c:pt idx="151">
                  <c:v>0.22563748907803527</c:v>
                </c:pt>
                <c:pt idx="152">
                  <c:v>0.22555949677588438</c:v>
                </c:pt>
                <c:pt idx="153">
                  <c:v>0.22548189346196323</c:v>
                </c:pt>
                <c:pt idx="154">
                  <c:v>0.22540467719618501</c:v>
                </c:pt>
                <c:pt idx="155">
                  <c:v>0.22532784604813905</c:v>
                </c:pt>
                <c:pt idx="156">
                  <c:v>0.22525139809704259</c:v>
                </c:pt>
                <c:pt idx="157">
                  <c:v>0.22517533143169288</c:v>
                </c:pt>
                <c:pt idx="158">
                  <c:v>0.22509964415041939</c:v>
                </c:pt>
                <c:pt idx="159">
                  <c:v>0.22502433436103608</c:v>
                </c:pt>
                <c:pt idx="160">
                  <c:v>0.22494940018079429</c:v>
                </c:pt>
                <c:pt idx="161">
                  <c:v>0.22487483973633571</c:v>
                </c:pt>
                <c:pt idx="162">
                  <c:v>0.22480065116364517</c:v>
                </c:pt>
                <c:pt idx="163">
                  <c:v>0.22472683260800469</c:v>
                </c:pt>
                <c:pt idx="164">
                  <c:v>0.22465338222394637</c:v>
                </c:pt>
                <c:pt idx="165">
                  <c:v>0.22458029817520686</c:v>
                </c:pt>
                <c:pt idx="166">
                  <c:v>0.22450757863468113</c:v>
                </c:pt>
                <c:pt idx="167">
                  <c:v>0.22443522178437686</c:v>
                </c:pt>
                <c:pt idx="168">
                  <c:v>0.22436322581536899</c:v>
                </c:pt>
                <c:pt idx="169">
                  <c:v>0.22429158892775464</c:v>
                </c:pt>
                <c:pt idx="170">
                  <c:v>0.22422030933060783</c:v>
                </c:pt>
                <c:pt idx="171">
                  <c:v>0.22414938524193495</c:v>
                </c:pt>
                <c:pt idx="172">
                  <c:v>0.22407881488863002</c:v>
                </c:pt>
                <c:pt idx="173">
                  <c:v>0.22400859650643062</c:v>
                </c:pt>
                <c:pt idx="174">
                  <c:v>0.22393872833987349</c:v>
                </c:pt>
                <c:pt idx="175">
                  <c:v>0.22386920864225079</c:v>
                </c:pt>
                <c:pt idx="176">
                  <c:v>0.22380003567556656</c:v>
                </c:pt>
                <c:pt idx="177">
                  <c:v>0.22373120771049293</c:v>
                </c:pt>
                <c:pt idx="178">
                  <c:v>0.22366272302632723</c:v>
                </c:pt>
                <c:pt idx="179">
                  <c:v>0.22359457991094883</c:v>
                </c:pt>
                <c:pt idx="180">
                  <c:v>0.22352677666077625</c:v>
                </c:pt>
                <c:pt idx="181">
                  <c:v>0.22345931158072468</c:v>
                </c:pt>
                <c:pt idx="182">
                  <c:v>0.22339218298416363</c:v>
                </c:pt>
                <c:pt idx="183">
                  <c:v>0.2233253891928747</c:v>
                </c:pt>
                <c:pt idx="184">
                  <c:v>0.22325892853700963</c:v>
                </c:pt>
                <c:pt idx="185">
                  <c:v>0.22319279935504854</c:v>
                </c:pt>
                <c:pt idx="186">
                  <c:v>0.22312699999375851</c:v>
                </c:pt>
                <c:pt idx="187">
                  <c:v>0.22306152880815194</c:v>
                </c:pt>
                <c:pt idx="188">
                  <c:v>0.2229963841614459</c:v>
                </c:pt>
                <c:pt idx="189">
                  <c:v>0.22293156442502082</c:v>
                </c:pt>
                <c:pt idx="190">
                  <c:v>0.22286706797837985</c:v>
                </c:pt>
                <c:pt idx="191">
                  <c:v>0.22280289320910851</c:v>
                </c:pt>
                <c:pt idx="192">
                  <c:v>0.22273903851283422</c:v>
                </c:pt>
                <c:pt idx="193">
                  <c:v>0.22267550229318622</c:v>
                </c:pt>
                <c:pt idx="194">
                  <c:v>0.22261228296175578</c:v>
                </c:pt>
                <c:pt idx="195">
                  <c:v>0.22254937893805621</c:v>
                </c:pt>
                <c:pt idx="196">
                  <c:v>0.22248678864948379</c:v>
                </c:pt>
                <c:pt idx="197">
                  <c:v>0.22242451053127787</c:v>
                </c:pt>
                <c:pt idx="198">
                  <c:v>0.2223625430264824</c:v>
                </c:pt>
                <c:pt idx="199">
                  <c:v>0.22230088458590647</c:v>
                </c:pt>
                <c:pt idx="200">
                  <c:v>0.22223953366808585</c:v>
                </c:pt>
                <c:pt idx="201">
                  <c:v>0.2221784887392444</c:v>
                </c:pt>
                <c:pt idx="202">
                  <c:v>0.22211774827325576</c:v>
                </c:pt>
                <c:pt idx="203">
                  <c:v>0.22205731075160501</c:v>
                </c:pt>
                <c:pt idx="204">
                  <c:v>0.22199717466335112</c:v>
                </c:pt>
                <c:pt idx="205">
                  <c:v>0.22193733850508862</c:v>
                </c:pt>
                <c:pt idx="206">
                  <c:v>0.22187780078091052</c:v>
                </c:pt>
                <c:pt idx="207">
                  <c:v>0.22181856000237055</c:v>
                </c:pt>
                <c:pt idx="208">
                  <c:v>0.22175961468844618</c:v>
                </c:pt>
                <c:pt idx="209">
                  <c:v>0.22170096336550149</c:v>
                </c:pt>
                <c:pt idx="210">
                  <c:v>0.22164260456725043</c:v>
                </c:pt>
                <c:pt idx="211">
                  <c:v>0.2215845368347199</c:v>
                </c:pt>
                <c:pt idx="212">
                  <c:v>0.22152675871621358</c:v>
                </c:pt>
                <c:pt idx="213">
                  <c:v>0.22146926876727552</c:v>
                </c:pt>
                <c:pt idx="214">
                  <c:v>0.22141206555065401</c:v>
                </c:pt>
                <c:pt idx="215">
                  <c:v>0.22135514763626568</c:v>
                </c:pt>
                <c:pt idx="216">
                  <c:v>0.22129851360115965</c:v>
                </c:pt>
                <c:pt idx="217">
                  <c:v>0.2212421620294821</c:v>
                </c:pt>
                <c:pt idx="218">
                  <c:v>0.22118609151244079</c:v>
                </c:pt>
                <c:pt idx="219">
                  <c:v>0.22113030064826994</c:v>
                </c:pt>
                <c:pt idx="220">
                  <c:v>0.22107478804219499</c:v>
                </c:pt>
                <c:pt idx="221">
                  <c:v>0.22101955230639792</c:v>
                </c:pt>
                <c:pt idx="222">
                  <c:v>0.22096459205998242</c:v>
                </c:pt>
                <c:pt idx="223">
                  <c:v>0.2209099059289395</c:v>
                </c:pt>
                <c:pt idx="224">
                  <c:v>0.22085549254611303</c:v>
                </c:pt>
                <c:pt idx="225">
                  <c:v>0.22080135055116562</c:v>
                </c:pt>
                <c:pt idx="226">
                  <c:v>0.22074747859054455</c:v>
                </c:pt>
                <c:pt idx="227">
                  <c:v>0.220693875317448</c:v>
                </c:pt>
                <c:pt idx="228">
                  <c:v>0.2206405393917914</c:v>
                </c:pt>
                <c:pt idx="229">
                  <c:v>0.22058746948017377</c:v>
                </c:pt>
                <c:pt idx="230">
                  <c:v>0.22053466425584456</c:v>
                </c:pt>
                <c:pt idx="231">
                  <c:v>0.22048212239867043</c:v>
                </c:pt>
                <c:pt idx="232">
                  <c:v>0.22042984259510218</c:v>
                </c:pt>
                <c:pt idx="233">
                  <c:v>0.22037782353814206</c:v>
                </c:pt>
                <c:pt idx="234">
                  <c:v>0.22032606392731091</c:v>
                </c:pt>
                <c:pt idx="235">
                  <c:v>0.22027456246861576</c:v>
                </c:pt>
                <c:pt idx="236">
                  <c:v>0.22022331787451743</c:v>
                </c:pt>
                <c:pt idx="237">
                  <c:v>0.22017232886389848</c:v>
                </c:pt>
                <c:pt idx="238">
                  <c:v>0.22012159416203092</c:v>
                </c:pt>
                <c:pt idx="239">
                  <c:v>0.22007111250054456</c:v>
                </c:pt>
                <c:pt idx="240">
                  <c:v>0.22002088261739522</c:v>
                </c:pt>
                <c:pt idx="241">
                  <c:v>0.21997090325683327</c:v>
                </c:pt>
                <c:pt idx="242">
                  <c:v>0.2199211731693721</c:v>
                </c:pt>
                <c:pt idx="243">
                  <c:v>0.21987169111175686</c:v>
                </c:pt>
                <c:pt idx="244">
                  <c:v>0.21982245584693355</c:v>
                </c:pt>
                <c:pt idx="245">
                  <c:v>0.21977346614401799</c:v>
                </c:pt>
                <c:pt idx="246">
                  <c:v>0.2197247207782651</c:v>
                </c:pt>
                <c:pt idx="247">
                  <c:v>0.21967621853103814</c:v>
                </c:pt>
                <c:pt idx="248">
                  <c:v>0.21962795818977843</c:v>
                </c:pt>
                <c:pt idx="249">
                  <c:v>0.21957993854797492</c:v>
                </c:pt>
                <c:pt idx="250">
                  <c:v>0.21953215840513407</c:v>
                </c:pt>
                <c:pt idx="251">
                  <c:v>0.21948461656674983</c:v>
                </c:pt>
                <c:pt idx="252">
                  <c:v>0.21943731184427373</c:v>
                </c:pt>
                <c:pt idx="253">
                  <c:v>0.21939024305508525</c:v>
                </c:pt>
                <c:pt idx="254">
                  <c:v>0.21934340902246224</c:v>
                </c:pt>
                <c:pt idx="255">
                  <c:v>0.21929680857555145</c:v>
                </c:pt>
                <c:pt idx="256">
                  <c:v>0.21925044054933923</c:v>
                </c:pt>
                <c:pt idx="257">
                  <c:v>0.21920430378462258</c:v>
                </c:pt>
                <c:pt idx="258">
                  <c:v>0.21915839712797991</c:v>
                </c:pt>
                <c:pt idx="259">
                  <c:v>0.21911271943174243</c:v>
                </c:pt>
                <c:pt idx="260">
                  <c:v>0.21906726955396533</c:v>
                </c:pt>
                <c:pt idx="261">
                  <c:v>0.21902204635839939</c:v>
                </c:pt>
                <c:pt idx="262">
                  <c:v>0.21897704871446227</c:v>
                </c:pt>
                <c:pt idx="263">
                  <c:v>0.21893227549721062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533-4F49-87A1-EEF509FB0D0C}"/>
            </c:ext>
          </c:extLst>
        </c:ser>
        <c:ser>
          <c:idx val="1"/>
          <c:order val="6"/>
          <c:tx>
            <c:strRef>
              <c:f>Rocof!$T$6</c:f>
              <c:strCache>
                <c:ptCount val="1"/>
                <c:pt idx="0">
                  <c:v>Expected second order response with margin +tunnel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  <c:extLst xmlns:c15="http://schemas.microsoft.com/office/drawing/2012/chart"/>
            </c:numRef>
          </c:xVal>
          <c:yVal>
            <c:numRef>
              <c:f>Rocof!$T$7:$T$270</c:f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B2-4E51-AC4E-35720FBB54C3}"/>
            </c:ext>
          </c:extLst>
        </c:ser>
        <c:ser>
          <c:idx val="3"/>
          <c:order val="7"/>
          <c:tx>
            <c:strRef>
              <c:f>Rocof!$B$6</c:f>
              <c:strCache>
                <c:ptCount val="1"/>
                <c:pt idx="0">
                  <c:v>Enveloppe min avec marge et tunnel et +10ms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Rocof!$A$7:$A$1495</c:f>
              <c:numCache>
                <c:formatCode>General</c:formatCode>
                <c:ptCount val="1489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  <c:pt idx="1488">
                  <c:v>7.4399999999998698</c:v>
                </c:pt>
              </c:numCache>
            </c:numRef>
          </c:xVal>
          <c:yVal>
            <c:numRef>
              <c:f>Rocof!$B$7:$B$1495</c:f>
              <c:numCache>
                <c:formatCode>General</c:formatCode>
                <c:ptCount val="1489"/>
                <c:pt idx="0">
                  <c:v>0.02</c:v>
                </c:pt>
                <c:pt idx="1">
                  <c:v>2.0318180240270208E-2</c:v>
                </c:pt>
                <c:pt idx="2">
                  <c:v>2.1264952120328216E-2</c:v>
                </c:pt>
                <c:pt idx="3">
                  <c:v>2.2820251387455463E-2</c:v>
                </c:pt>
                <c:pt idx="4">
                  <c:v>2.4956131479912387E-2</c:v>
                </c:pt>
                <c:pt idx="5">
                  <c:v>2.7639622729145014E-2</c:v>
                </c:pt>
                <c:pt idx="6">
                  <c:v>3.0834554998455659E-2</c:v>
                </c:pt>
                <c:pt idx="7">
                  <c:v>3.4502748036327052E-2</c:v>
                </c:pt>
                <c:pt idx="8">
                  <c:v>3.8604814520031921E-2</c:v>
                </c:pt>
                <c:pt idx="9">
                  <c:v>4.3100724172787083E-2</c:v>
                </c:pt>
                <c:pt idx="10">
                  <c:v>4.7950218780514253E-2</c:v>
                </c:pt>
                <c:pt idx="11">
                  <c:v>5.3113132445983674E-2</c:v>
                </c:pt>
                <c:pt idx="12">
                  <c:v>5.85496499211378E-2</c:v>
                </c:pt>
                <c:pt idx="13">
                  <c:v>6.4220522846771558E-2</c:v>
                </c:pt>
                <c:pt idx="14">
                  <c:v>7.0087255862874176E-2</c:v>
                </c:pt>
                <c:pt idx="15">
                  <c:v>7.6112269807149482E-2</c:v>
                </c:pt>
                <c:pt idx="16">
                  <c:v>8.2259046364833083E-2</c:v>
                </c:pt>
                <c:pt idx="17">
                  <c:v>8.8492256824605181E-2</c:v>
                </c:pt>
                <c:pt idx="18">
                  <c:v>9.4777876581053244E-2</c:v>
                </c:pt>
                <c:pt idx="19">
                  <c:v>0.10108328642949982</c:v>
                </c:pt>
                <c:pt idx="20">
                  <c:v>0.10737736135769116</c:v>
                </c:pt>
                <c:pt idx="21">
                  <c:v>0.11363054734988857</c:v>
                </c:pt>
                <c:pt idx="22">
                  <c:v>0.11981492662106193</c:v>
                </c:pt>
                <c:pt idx="23">
                  <c:v>0.12590427165498361</c:v>
                </c:pt>
                <c:pt idx="24">
                  <c:v>0.13187408840751003</c:v>
                </c:pt>
                <c:pt idx="25">
                  <c:v>0.13770164904152926</c:v>
                </c:pt>
                <c:pt idx="26">
                  <c:v>0.14336601457465895</c:v>
                </c:pt>
                <c:pt idx="27">
                  <c:v>0.14884804783977101</c:v>
                </c:pt>
                <c:pt idx="28">
                  <c:v>0.15413041717877435</c:v>
                </c:pt>
                <c:pt idx="29">
                  <c:v>0.15919759130998296</c:v>
                </c:pt>
                <c:pt idx="30">
                  <c:v>0.16403582582776396</c:v>
                </c:pt>
                <c:pt idx="31">
                  <c:v>0.16863314180937086</c:v>
                </c:pt>
                <c:pt idx="32">
                  <c:v>0.1729792970175886</c:v>
                </c:pt>
                <c:pt idx="33">
                  <c:v>0.177065750198872</c:v>
                </c:pt>
                <c:pt idx="34">
                  <c:v>0.18088561898499711</c:v>
                </c:pt>
                <c:pt idx="35">
                  <c:v>0.18443363191187109</c:v>
                </c:pt>
                <c:pt idx="36">
                  <c:v>0.18770607507211848</c:v>
                </c:pt>
                <c:pt idx="37">
                  <c:v>0.19070073391846426</c:v>
                </c:pt>
                <c:pt idx="38">
                  <c:v>0.19341683073287241</c:v>
                </c:pt>
                <c:pt idx="39">
                  <c:v>0.19585495827198957</c:v>
                </c:pt>
                <c:pt idx="40">
                  <c:v>0.19801701009282088</c:v>
                </c:pt>
                <c:pt idx="41">
                  <c:v>0.19990610805385717</c:v>
                </c:pt>
                <c:pt idx="42">
                  <c:v>0.20152652747622768</c:v>
                </c:pt>
                <c:pt idx="43">
                  <c:v>0.20288362043700847</c:v>
                </c:pt>
                <c:pt idx="44">
                  <c:v>0.20398373765272515</c:v>
                </c:pt>
                <c:pt idx="45">
                  <c:v>0.20483414939549055</c:v>
                </c:pt>
                <c:pt idx="46">
                  <c:v>0.20544296586726785</c:v>
                </c:pt>
                <c:pt idx="47">
                  <c:v>0.20581905743958989</c:v>
                </c:pt>
                <c:pt idx="48">
                  <c:v>0.20597197514684248</c:v>
                </c:pt>
                <c:pt idx="49">
                  <c:v>0.20591187180107801</c:v>
                </c:pt>
                <c:pt idx="50">
                  <c:v>0.20564942407540743</c:v>
                </c:pt>
                <c:pt idx="51">
                  <c:v>0.20519575588145836</c:v>
                </c:pt>
                <c:pt idx="52">
                  <c:v>0.20456236334432337</c:v>
                </c:pt>
                <c:pt idx="53">
                  <c:v>0.20376104165598122</c:v>
                </c:pt>
                <c:pt idx="54">
                  <c:v>0.20280381406548634</c:v>
                </c:pt>
                <c:pt idx="55">
                  <c:v>0.20170286324140016</c:v>
                </c:pt>
                <c:pt idx="56">
                  <c:v>0.2004704652191085</c:v>
                </c:pt>
                <c:pt idx="57">
                  <c:v>0.19911892612293131</c:v>
                </c:pt>
                <c:pt idx="58">
                  <c:v>0.19766052183039626</c:v>
                </c:pt>
                <c:pt idx="59">
                  <c:v>0.19610744072381098</c:v>
                </c:pt>
                <c:pt idx="60">
                  <c:v>0.19447172965242079</c:v>
                </c:pt>
                <c:pt idx="61">
                  <c:v>0.1927652432070692</c:v>
                </c:pt>
                <c:pt idx="62">
                  <c:v>0.19099959638845973</c:v>
                </c:pt>
                <c:pt idx="63">
                  <c:v>0.18918612072993168</c:v>
                </c:pt>
                <c:pt idx="64">
                  <c:v>0.1873358239161633</c:v>
                </c:pt>
                <c:pt idx="65">
                  <c:v>0.18545935292047483</c:v>
                </c:pt>
                <c:pt idx="66">
                  <c:v>0.18356696066546602</c:v>
                </c:pt>
                <c:pt idx="67">
                  <c:v>0.18166847619463655</c:v>
                </c:pt>
                <c:pt idx="68">
                  <c:v>0.17977327832644593</c:v>
                </c:pt>
                <c:pt idx="69">
                  <c:v>0.17789027274700175</c:v>
                </c:pt>
                <c:pt idx="70">
                  <c:v>0.17602787248325352</c:v>
                </c:pt>
                <c:pt idx="71">
                  <c:v>0.17419398168523234</c:v>
                </c:pt>
                <c:pt idx="72">
                  <c:v>0.17239598263353223</c:v>
                </c:pt>
                <c:pt idx="73">
                  <c:v>0.17064072587688844</c:v>
                </c:pt>
                <c:pt idx="74">
                  <c:v>0.16893452339437409</c:v>
                </c:pt>
                <c:pt idx="75">
                  <c:v>0.16728314466741293</c:v>
                </c:pt>
                <c:pt idx="76">
                  <c:v>0.16569181553848439</c:v>
                </c:pt>
                <c:pt idx="77">
                  <c:v>0.16416521972607254</c:v>
                </c:pt>
                <c:pt idx="78">
                  <c:v>0.16270750285906488</c:v>
                </c:pt>
                <c:pt idx="79">
                  <c:v>0.16132227888842701</c:v>
                </c:pt>
                <c:pt idx="80">
                  <c:v>0.16001263872954088</c:v>
                </c:pt>
                <c:pt idx="81">
                  <c:v>0.15878116098507372</c:v>
                </c:pt>
                <c:pt idx="82">
                  <c:v>0.15762992459561453</c:v>
                </c:pt>
                <c:pt idx="83">
                  <c:v>0.15656052326354353</c:v>
                </c:pt>
                <c:pt idx="84">
                  <c:v>0.15557408149465407</c:v>
                </c:pt>
                <c:pt idx="85">
                  <c:v>0.15467127210189083</c:v>
                </c:pt>
                <c:pt idx="86">
                  <c:v>0.15385233501616385</c:v>
                </c:pt>
                <c:pt idx="87">
                  <c:v>0.15311709725050762</c:v>
                </c:pt>
                <c:pt idx="88">
                  <c:v>0.15246499386583348</c:v>
                </c:pt>
                <c:pt idx="89">
                  <c:v>0.15189508978913491</c:v>
                </c:pt>
                <c:pt idx="90">
                  <c:v>0.15140610233819987</c:v>
                </c:pt>
                <c:pt idx="91">
                  <c:v>0.15099642431062271</c:v>
                </c:pt>
                <c:pt idx="92">
                  <c:v>0.1506641474991452</c:v>
                </c:pt>
                <c:pt idx="93">
                  <c:v>0.15040708650004436</c:v>
                </c:pt>
                <c:pt idx="94">
                  <c:v>0.15022280268638441</c:v>
                </c:pt>
                <c:pt idx="95">
                  <c:v>0.15010862822341203</c:v>
                </c:pt>
                <c:pt idx="96">
                  <c:v>0.15006169000915881</c:v>
                </c:pt>
                <c:pt idx="97">
                  <c:v>0.15007893342937423</c:v>
                </c:pt>
                <c:pt idx="98">
                  <c:v>0.15015714582220949</c:v>
                </c:pt>
                <c:pt idx="99">
                  <c:v>0.15029297955456056</c:v>
                </c:pt>
                <c:pt idx="100">
                  <c:v>0.15048297461862092</c:v>
                </c:pt>
                <c:pt idx="101">
                  <c:v>0.15072358066394931</c:v>
                </c:pt>
                <c:pt idx="102">
                  <c:v>0.15101117838718886</c:v>
                </c:pt>
                <c:pt idx="103">
                  <c:v>0.15134210020844469</c:v>
                </c:pt>
                <c:pt idx="104">
                  <c:v>0.15171265017020077</c:v>
                </c:pt>
                <c:pt idx="105">
                  <c:v>0.15211912300150413</c:v>
                </c:pt>
                <c:pt idx="106">
                  <c:v>0.15255782229692991</c:v>
                </c:pt>
                <c:pt idx="107">
                  <c:v>0.1530250777665384</c:v>
                </c:pt>
                <c:pt idx="108">
                  <c:v>0.1535172615196142</c:v>
                </c:pt>
                <c:pt idx="109">
                  <c:v>0.15403080335141447</c:v>
                </c:pt>
                <c:pt idx="110">
                  <c:v>0.15456220500842419</c:v>
                </c:pt>
                <c:pt idx="111">
                  <c:v>0.15510805341369646</c:v>
                </c:pt>
                <c:pt idx="112">
                  <c:v>0.15566503283972996</c:v>
                </c:pt>
                <c:pt idx="113">
                  <c:v>0.15622993602198201</c:v>
                </c:pt>
                <c:pt idx="114">
                  <c:v>0.15679967421151944</c:v>
                </c:pt>
                <c:pt idx="115">
                  <c:v>0.15737128617045815</c:v>
                </c:pt>
                <c:pt idx="116">
                  <c:v>0.15794194611872045</c:v>
                </c:pt>
                <c:pt idx="117">
                  <c:v>0.15850897064524161</c:v>
                </c:pt>
                <c:pt idx="118">
                  <c:v>0.15906982460106747</c:v>
                </c:pt>
                <c:pt idx="119">
                  <c:v>0.15962212599580805</c:v>
                </c:pt>
                <c:pt idx="120">
                  <c:v>0.1601636499226301</c:v>
                </c:pt>
                <c:pt idx="121">
                  <c:v>0.16069233154039139</c:v>
                </c:pt>
                <c:pt idx="122">
                  <c:v>0.16120626814463593</c:v>
                </c:pt>
                <c:pt idx="123">
                  <c:v>0.16170372036197875</c:v>
                </c:pt>
                <c:pt idx="124">
                  <c:v>0.16218311250492062</c:v>
                </c:pt>
                <c:pt idx="125">
                  <c:v>0.16264303212634076</c:v>
                </c:pt>
                <c:pt idx="126">
                  <c:v>0.16308222881483159</c:v>
                </c:pt>
                <c:pt idx="127">
                  <c:v>0.16349961227366244</c:v>
                </c:pt>
                <c:pt idx="128">
                  <c:v>0.16389424972749952</c:v>
                </c:pt>
                <c:pt idx="129">
                  <c:v>0.16426536270207365</c:v>
                </c:pt>
                <c:pt idx="130">
                  <c:v>0.16461232322278208</c:v>
                </c:pt>
                <c:pt idx="131">
                  <c:v>0.16493464947874781</c:v>
                </c:pt>
                <c:pt idx="132">
                  <c:v>0.16523200099914837</c:v>
                </c:pt>
                <c:pt idx="133">
                  <c:v>0.16550417338867546</c:v>
                </c:pt>
                <c:pt idx="134">
                  <c:v>0.16575109266881086</c:v>
                </c:pt>
                <c:pt idx="135">
                  <c:v>0.16597280927121219</c:v>
                </c:pt>
                <c:pt idx="136">
                  <c:v>0.16616949172890941</c:v>
                </c:pt>
                <c:pt idx="137">
                  <c:v>0.16634142011022879</c:v>
                </c:pt>
                <c:pt idx="138">
                  <c:v>0.16648897923940154</c:v>
                </c:pt>
                <c:pt idx="139">
                  <c:v>0.16661265174669126</c:v>
                </c:pt>
                <c:pt idx="140">
                  <c:v>0.16671301098960004</c:v>
                </c:pt>
                <c:pt idx="141">
                  <c:v>0.16679071388530331</c:v>
                </c:pt>
                <c:pt idx="142">
                  <c:v>0.16684649369293056</c:v>
                </c:pt>
                <c:pt idx="143">
                  <c:v>0.16688115278266438</c:v>
                </c:pt>
                <c:pt idx="144">
                  <c:v>0.16689555542689138</c:v>
                </c:pt>
                <c:pt idx="145">
                  <c:v>0.16689062064681368</c:v>
                </c:pt>
                <c:pt idx="146">
                  <c:v>0.1668673151460362</c:v>
                </c:pt>
                <c:pt idx="147">
                  <c:v>0.16682664636069011</c:v>
                </c:pt>
                <c:pt idx="148">
                  <c:v>0.16676965565365601</c:v>
                </c:pt>
                <c:pt idx="149">
                  <c:v>0.16669741167841423</c:v>
                </c:pt>
                <c:pt idx="150">
                  <c:v>0.16661100393599562</c:v>
                </c:pt>
                <c:pt idx="151">
                  <c:v>0.16651153654643569</c:v>
                </c:pt>
                <c:pt idx="152">
                  <c:v>0.16640012225406642</c:v>
                </c:pt>
                <c:pt idx="153">
                  <c:v>0.16627787668391766</c:v>
                </c:pt>
                <c:pt idx="154">
                  <c:v>0.16614591286445687</c:v>
                </c:pt>
                <c:pt idx="155">
                  <c:v>0.16600533602987921</c:v>
                </c:pt>
                <c:pt idx="156">
                  <c:v>0.16585723871317787</c:v>
                </c:pt>
                <c:pt idx="157">
                  <c:v>0.16570269613928637</c:v>
                </c:pt>
                <c:pt idx="158">
                  <c:v>0.16554276192569597</c:v>
                </c:pt>
                <c:pt idx="159">
                  <c:v>0.16537846409611884</c:v>
                </c:pt>
                <c:pt idx="160">
                  <c:v>0.16521080141099903</c:v>
                </c:pt>
                <c:pt idx="161">
                  <c:v>0.16504074001697208</c:v>
                </c:pt>
                <c:pt idx="162">
                  <c:v>0.16486921041574562</c:v>
                </c:pt>
                <c:pt idx="163">
                  <c:v>0.16469710475132232</c:v>
                </c:pt>
                <c:pt idx="164">
                  <c:v>0.16452527441301693</c:v>
                </c:pt>
                <c:pt idx="165">
                  <c:v>0.16435452795033176</c:v>
                </c:pt>
                <c:pt idx="166">
                  <c:v>0.16418562929445593</c:v>
                </c:pt>
                <c:pt idx="167">
                  <c:v>0.16401929627994169</c:v>
                </c:pt>
                <c:pt idx="168">
                  <c:v>0.16385619945899013</c:v>
                </c:pt>
                <c:pt idx="169">
                  <c:v>0.16369696119974725</c:v>
                </c:pt>
                <c:pt idx="170">
                  <c:v>0.16354215505907252</c:v>
                </c:pt>
                <c:pt idx="171">
                  <c:v>0.16339230541939445</c:v>
                </c:pt>
                <c:pt idx="172">
                  <c:v>0.16324788737851056</c:v>
                </c:pt>
                <c:pt idx="173">
                  <c:v>0.16310932688052246</c:v>
                </c:pt>
                <c:pt idx="174">
                  <c:v>0.16297700107551952</c:v>
                </c:pt>
                <c:pt idx="175">
                  <c:v>0.16285123889513467</c:v>
                </c:pt>
                <c:pt idx="176">
                  <c:v>0.1627323218306902</c:v>
                </c:pt>
                <c:pt idx="177">
                  <c:v>0.1626204849003311</c:v>
                </c:pt>
                <c:pt idx="178">
                  <c:v>0.16251591779130284</c:v>
                </c:pt>
                <c:pt idx="179">
                  <c:v>0.16241876616336659</c:v>
                </c:pt>
                <c:pt idx="180">
                  <c:v>0.16232913309925881</c:v>
                </c:pt>
                <c:pt idx="181">
                  <c:v>0.1622470806880848</c:v>
                </c:pt>
                <c:pt idx="182">
                  <c:v>0.16217263172758875</c:v>
                </c:pt>
                <c:pt idx="183">
                  <c:v>0.16210577153135947</c:v>
                </c:pt>
                <c:pt idx="184">
                  <c:v>0.16204644982720892</c:v>
                </c:pt>
                <c:pt idx="185">
                  <c:v>0.16199458273319592</c:v>
                </c:pt>
                <c:pt idx="186">
                  <c:v>0.16195005479805566</c:v>
                </c:pt>
                <c:pt idx="187">
                  <c:v>0.16191272109313276</c:v>
                </c:pt>
                <c:pt idx="188">
                  <c:v>0.16188240934329967</c:v>
                </c:pt>
                <c:pt idx="189">
                  <c:v>0.16185892208476474</c:v>
                </c:pt>
                <c:pt idx="190">
                  <c:v>0.161842038838137</c:v>
                </c:pt>
                <c:pt idx="191">
                  <c:v>0.1618315182856076</c:v>
                </c:pt>
                <c:pt idx="192">
                  <c:v>0.16182710044163323</c:v>
                </c:pt>
                <c:pt idx="193">
                  <c:v>0.16182850880705363</c:v>
                </c:pt>
                <c:pt idx="194">
                  <c:v>0.1618354524971472</c:v>
                </c:pt>
                <c:pt idx="195">
                  <c:v>0.1618476283347158</c:v>
                </c:pt>
                <c:pt idx="196">
                  <c:v>0.1618647228998914</c:v>
                </c:pt>
                <c:pt idx="197">
                  <c:v>0.16188641452896993</c:v>
                </c:pt>
                <c:pt idx="198">
                  <c:v>0.16191237525519675</c:v>
                </c:pt>
                <c:pt idx="199">
                  <c:v>0.16194227268505021</c:v>
                </c:pt>
                <c:pt idx="200">
                  <c:v>0.16197577180419401</c:v>
                </c:pt>
                <c:pt idx="201">
                  <c:v>0.16201253670788954</c:v>
                </c:pt>
                <c:pt idx="202">
                  <c:v>0.16205223225127408</c:v>
                </c:pt>
                <c:pt idx="203">
                  <c:v>0.16209452561551904</c:v>
                </c:pt>
                <c:pt idx="204">
                  <c:v>0.16213908778647906</c:v>
                </c:pt>
                <c:pt idx="205">
                  <c:v>0.16218559494302603</c:v>
                </c:pt>
                <c:pt idx="206">
                  <c:v>0.16223372975283154</c:v>
                </c:pt>
                <c:pt idx="207">
                  <c:v>0.16228318257391344</c:v>
                </c:pt>
                <c:pt idx="208">
                  <c:v>0.16233365256079407</c:v>
                </c:pt>
                <c:pt idx="209">
                  <c:v>0.16238484867463099</c:v>
                </c:pt>
                <c:pt idx="210">
                  <c:v>0.16243649059717166</c:v>
                </c:pt>
                <c:pt idx="211">
                  <c:v>0.16248830954885043</c:v>
                </c:pt>
                <c:pt idx="212">
                  <c:v>0.16254004901178903</c:v>
                </c:pt>
                <c:pt idx="213">
                  <c:v>0.16259146535888067</c:v>
                </c:pt>
                <c:pt idx="214">
                  <c:v>0.16264232839052792</c:v>
                </c:pt>
                <c:pt idx="215">
                  <c:v>0.16269242178097126</c:v>
                </c:pt>
                <c:pt idx="216">
                  <c:v>0.16274154343648217</c:v>
                </c:pt>
                <c:pt idx="217">
                  <c:v>0.16278950576800549</c:v>
                </c:pt>
                <c:pt idx="218">
                  <c:v>0.16283613588112025</c:v>
                </c:pt>
                <c:pt idx="219">
                  <c:v>0.16288127568644092</c:v>
                </c:pt>
                <c:pt idx="220">
                  <c:v>0.16292478193381305</c:v>
                </c:pt>
                <c:pt idx="221">
                  <c:v>0.16296652617385454</c:v>
                </c:pt>
                <c:pt idx="222">
                  <c:v>0.16300639465057165</c:v>
                </c:pt>
                <c:pt idx="223">
                  <c:v>0.16304428812892316</c:v>
                </c:pt>
                <c:pt idx="224">
                  <c:v>0.16308012166133182</c:v>
                </c:pt>
                <c:pt idx="225">
                  <c:v>0.16311382429723631</c:v>
                </c:pt>
                <c:pt idx="226">
                  <c:v>0.16314533873985207</c:v>
                </c:pt>
                <c:pt idx="227">
                  <c:v>0.16317462095435661</c:v>
                </c:pt>
                <c:pt idx="228">
                  <c:v>0.16320163973174376</c:v>
                </c:pt>
                <c:pt idx="229">
                  <c:v>0.16322637621259409</c:v>
                </c:pt>
                <c:pt idx="230">
                  <c:v>0.16324882337499563</c:v>
                </c:pt>
                <c:pt idx="231">
                  <c:v>0.16326898549081226</c:v>
                </c:pt>
                <c:pt idx="232">
                  <c:v>0.16328687755444443</c:v>
                </c:pt>
                <c:pt idx="233">
                  <c:v>0.16330252468815706</c:v>
                </c:pt>
                <c:pt idx="234">
                  <c:v>0.1633159615279613</c:v>
                </c:pt>
                <c:pt idx="235">
                  <c:v>0.16332723159393692</c:v>
                </c:pt>
                <c:pt idx="236">
                  <c:v>0.16333638664876615</c:v>
                </c:pt>
                <c:pt idx="237">
                  <c:v>0.16334348604812218</c:v>
                </c:pt>
                <c:pt idx="238">
                  <c:v>0.16334859608641758</c:v>
                </c:pt>
                <c:pt idx="239">
                  <c:v>0.16335178934126821</c:v>
                </c:pt>
                <c:pt idx="240">
                  <c:v>0.16335314401987144</c:v>
                </c:pt>
                <c:pt idx="241">
                  <c:v>0.16335274331033184</c:v>
                </c:pt>
                <c:pt idx="242">
                  <c:v>0.16335067474079618</c:v>
                </c:pt>
                <c:pt idx="243">
                  <c:v>0.1633470295490824</c:v>
                </c:pt>
                <c:pt idx="244">
                  <c:v>0.16334190206530655</c:v>
                </c:pt>
                <c:pt idx="245">
                  <c:v>0.16333538910982665</c:v>
                </c:pt>
                <c:pt idx="246">
                  <c:v>0.16332758940863693</c:v>
                </c:pt>
                <c:pt idx="247">
                  <c:v>0.16331860302815743</c:v>
                </c:pt>
                <c:pt idx="248">
                  <c:v>0.16330853083117758</c:v>
                </c:pt>
                <c:pt idx="249">
                  <c:v>0.16329747395552352</c:v>
                </c:pt>
                <c:pt idx="250">
                  <c:v>0.16328553331683601</c:v>
                </c:pt>
                <c:pt idx="251">
                  <c:v>0.16327280913666076</c:v>
                </c:pt>
                <c:pt idx="252">
                  <c:v>0.16325940049687435</c:v>
                </c:pt>
                <c:pt idx="253">
                  <c:v>0.16324540492129277</c:v>
                </c:pt>
                <c:pt idx="254">
                  <c:v>0.16323091798513872</c:v>
                </c:pt>
                <c:pt idx="255">
                  <c:v>0.16321603295287651</c:v>
                </c:pt>
                <c:pt idx="256">
                  <c:v>0.16320084044476382</c:v>
                </c:pt>
                <c:pt idx="257">
                  <c:v>0.16318542813231504</c:v>
                </c:pt>
                <c:pt idx="258">
                  <c:v>0.16316988046272288</c:v>
                </c:pt>
                <c:pt idx="259">
                  <c:v>0.16315427841214392</c:v>
                </c:pt>
                <c:pt idx="260">
                  <c:v>0.16313869926762087</c:v>
                </c:pt>
                <c:pt idx="261">
                  <c:v>0.16312321643728825</c:v>
                </c:pt>
                <c:pt idx="262">
                  <c:v>0.16310789928838962</c:v>
                </c:pt>
                <c:pt idx="263">
                  <c:v>0.16309281301252501</c:v>
                </c:pt>
                <c:pt idx="264">
                  <c:v>0.16307801851744538</c:v>
                </c:pt>
                <c:pt idx="265">
                  <c:v>0.16306357234461655</c:v>
                </c:pt>
                <c:pt idx="266">
                  <c:v>0.1630495266116905</c:v>
                </c:pt>
                <c:pt idx="267">
                  <c:v>0.16303592897894439</c:v>
                </c:pt>
                <c:pt idx="268">
                  <c:v>0.16302282263867893</c:v>
                </c:pt>
                <c:pt idx="269">
                  <c:v>0.1630102463265069</c:v>
                </c:pt>
                <c:pt idx="270">
                  <c:v>0.16299823435341074</c:v>
                </c:pt>
                <c:pt idx="271">
                  <c:v>0.16298681665740214</c:v>
                </c:pt>
                <c:pt idx="272">
                  <c:v>0.16297601887358137</c:v>
                </c:pt>
                <c:pt idx="273">
                  <c:v>0.16296586242136299</c:v>
                </c:pt>
                <c:pt idx="274">
                  <c:v>0.16295636460761445</c:v>
                </c:pt>
                <c:pt idx="275">
                  <c:v>0.16294753874443701</c:v>
                </c:pt>
                <c:pt idx="276">
                  <c:v>0.16293939428031246</c:v>
                </c:pt>
                <c:pt idx="277">
                  <c:v>0.16293193694333555</c:v>
                </c:pt>
                <c:pt idx="278">
                  <c:v>0.16292516889525849</c:v>
                </c:pt>
                <c:pt idx="279">
                  <c:v>0.16291908889508205</c:v>
                </c:pt>
                <c:pt idx="280">
                  <c:v>0.16291369247094664</c:v>
                </c:pt>
                <c:pt idx="281">
                  <c:v>0.16290897209909466</c:v>
                </c:pt>
                <c:pt idx="282">
                  <c:v>0.16290491738870475</c:v>
                </c:pt>
                <c:pt idx="283">
                  <c:v>0.16290151527142605</c:v>
                </c:pt>
                <c:pt idx="284">
                  <c:v>0.16289875019447739</c:v>
                </c:pt>
                <c:pt idx="285">
                  <c:v>0.16289660431621358</c:v>
                </c:pt>
                <c:pt idx="286">
                  <c:v>0.162895057703103</c:v>
                </c:pt>
                <c:pt idx="287">
                  <c:v>0.16289408852710499</c:v>
                </c:pt>
                <c:pt idx="288">
                  <c:v>0.16289367326248444</c:v>
                </c:pt>
                <c:pt idx="289">
                  <c:v>0.16289378688114795</c:v>
                </c:pt>
                <c:pt idx="290">
                  <c:v>0.16289440304564071</c:v>
                </c:pt>
                <c:pt idx="291">
                  <c:v>0.16289549429899414</c:v>
                </c:pt>
                <c:pt idx="292">
                  <c:v>0.1628970322506699</c:v>
                </c:pt>
                <c:pt idx="293">
                  <c:v>0.16289898775790121</c:v>
                </c:pt>
                <c:pt idx="294">
                  <c:v>0.16290133110178839</c:v>
                </c:pt>
                <c:pt idx="295">
                  <c:v>0.16290403215756236</c:v>
                </c:pt>
                <c:pt idx="296">
                  <c:v>0.16290706055848547</c:v>
                </c:pt>
                <c:pt idx="297">
                  <c:v>0.16291038585291667</c:v>
                </c:pt>
                <c:pt idx="298">
                  <c:v>0.16291397765412233</c:v>
                </c:pt>
                <c:pt idx="299">
                  <c:v>0.16291780578247056</c:v>
                </c:pt>
                <c:pt idx="300">
                  <c:v>0.16292184039969945</c:v>
                </c:pt>
                <c:pt idx="301">
                  <c:v>0.16292605213500455</c:v>
                </c:pt>
                <c:pt idx="302">
                  <c:v>0.16293041220274038</c:v>
                </c:pt>
                <c:pt idx="303">
                  <c:v>0.1629348925115825</c:v>
                </c:pt>
                <c:pt idx="304">
                  <c:v>0.16293946576504445</c:v>
                </c:pt>
                <c:pt idx="305">
                  <c:v>0.16294410555328998</c:v>
                </c:pt>
                <c:pt idx="306">
                  <c:v>0.1629487864362261</c:v>
                </c:pt>
                <c:pt idx="307">
                  <c:v>0.1629534840179051</c:v>
                </c:pt>
                <c:pt idx="308">
                  <c:v>0.16295817501230245</c:v>
                </c:pt>
                <c:pt idx="309">
                  <c:v>0.16296283730057784</c:v>
                </c:pt>
                <c:pt idx="310">
                  <c:v>0.16296744997995971</c:v>
                </c:pt>
                <c:pt idx="311">
                  <c:v>0.16297199340442867</c:v>
                </c:pt>
                <c:pt idx="312">
                  <c:v>0.16297644921740459</c:v>
                </c:pt>
                <c:pt idx="313">
                  <c:v>0.1629808003766717</c:v>
                </c:pt>
                <c:pt idx="314">
                  <c:v>0.16298503117180027</c:v>
                </c:pt>
                <c:pt idx="315">
                  <c:v>0.162989127234348</c:v>
                </c:pt>
                <c:pt idx="316">
                  <c:v>0.16299307554114414</c:v>
                </c:pt>
                <c:pt idx="317">
                  <c:v>0.16299686441097821</c:v>
                </c:pt>
                <c:pt idx="318">
                  <c:v>0.16300048349503082</c:v>
                </c:pt>
                <c:pt idx="319">
                  <c:v>0.16300392376139725</c:v>
                </c:pt>
                <c:pt idx="320">
                  <c:v>0.1630071774740664</c:v>
                </c:pt>
                <c:pt idx="321">
                  <c:v>0.16301023816672564</c:v>
                </c:pt>
                <c:pt idx="322">
                  <c:v>0.16301310061176963</c:v>
                </c:pt>
                <c:pt idx="323">
                  <c:v>0.16301576078489477</c:v>
                </c:pt>
                <c:pt idx="324">
                  <c:v>0.16301821582566448</c:v>
                </c:pt>
                <c:pt idx="325">
                  <c:v>0.16302046399443007</c:v>
                </c:pt>
                <c:pt idx="326">
                  <c:v>0.16302250462599108</c:v>
                </c:pt>
                <c:pt idx="327">
                  <c:v>0.16302433808037595</c:v>
                </c:pt>
                <c:pt idx="328">
                  <c:v>0.16302596569111882</c:v>
                </c:pt>
                <c:pt idx="329">
                  <c:v>0.16302738971140185</c:v>
                </c:pt>
                <c:pt idx="330">
                  <c:v>0.16302861325842508</c:v>
                </c:pt>
                <c:pt idx="331">
                  <c:v>0.16302964025635602</c:v>
                </c:pt>
                <c:pt idx="332">
                  <c:v>0.16303047537820173</c:v>
                </c:pt>
                <c:pt idx="333">
                  <c:v>0.16303112398693323</c:v>
                </c:pt>
                <c:pt idx="334">
                  <c:v>0.16303159207618109</c:v>
                </c:pt>
                <c:pt idx="335">
                  <c:v>0.16303188621080625</c:v>
                </c:pt>
                <c:pt idx="336">
                  <c:v>0.16303201346763671</c:v>
                </c:pt>
                <c:pt idx="337">
                  <c:v>0.1630319813766456</c:v>
                </c:pt>
                <c:pt idx="338">
                  <c:v>0.1630317978628302</c:v>
                </c:pt>
                <c:pt idx="339">
                  <c:v>0.16303147118903583</c:v>
                </c:pt>
                <c:pt idx="340">
                  <c:v>0.16303100989995228</c:v>
                </c:pt>
                <c:pt idx="341">
                  <c:v>0.16303042276749316</c:v>
                </c:pt>
                <c:pt idx="342">
                  <c:v>0.16302971873775238</c:v>
                </c:pt>
                <c:pt idx="343">
                  <c:v>0.16302890687971405</c:v>
                </c:pt>
                <c:pt idx="344">
                  <c:v>0.16302799633587634</c:v>
                </c:pt>
                <c:pt idx="345">
                  <c:v>0.16302699627493136</c:v>
                </c:pt>
                <c:pt idx="346">
                  <c:v>0.16302591584662804</c:v>
                </c:pt>
                <c:pt idx="347">
                  <c:v>0.16302476413892653</c:v>
                </c:pt>
                <c:pt idx="348">
                  <c:v>0.16302355013753822</c:v>
                </c:pt>
                <c:pt idx="349">
                  <c:v>0.16302228268792762</c:v>
                </c:pt>
                <c:pt idx="350">
                  <c:v>0.1630209704598389</c:v>
                </c:pt>
                <c:pt idx="351">
                  <c:v>0.16301962191439268</c:v>
                </c:pt>
                <c:pt idx="352">
                  <c:v>0.1630182452737855</c:v>
                </c:pt>
                <c:pt idx="353">
                  <c:v>0.16301684849361039</c:v>
                </c:pt>
                <c:pt idx="354">
                  <c:v>0.16301543923780221</c:v>
                </c:pt>
                <c:pt idx="355">
                  <c:v>0.16301402485620045</c:v>
                </c:pt>
                <c:pt idx="356">
                  <c:v>0.16301261236470882</c:v>
                </c:pt>
                <c:pt idx="357">
                  <c:v>0.16301120842801967</c:v>
                </c:pt>
                <c:pt idx="358">
                  <c:v>0.16300981934486117</c:v>
                </c:pt>
                <c:pt idx="359">
                  <c:v>0.16300845103571482</c:v>
                </c:pt>
                <c:pt idx="360">
                  <c:v>0.16300710903294102</c:v>
                </c:pt>
                <c:pt idx="361">
                  <c:v>0.16300579847324317</c:v>
                </c:pt>
                <c:pt idx="362">
                  <c:v>0.16300452409239177</c:v>
                </c:pt>
                <c:pt idx="363">
                  <c:v>0.16300329022212387</c:v>
                </c:pt>
                <c:pt idx="364">
                  <c:v>0.16300210078912661</c:v>
                </c:pt>
                <c:pt idx="365">
                  <c:v>0.16300095931600753</c:v>
                </c:pt>
                <c:pt idx="366">
                  <c:v>0.16299986892415114</c:v>
                </c:pt>
                <c:pt idx="367">
                  <c:v>0.16299883233835497</c:v>
                </c:pt>
                <c:pt idx="368">
                  <c:v>0.16299785189313681</c:v>
                </c:pt>
                <c:pt idx="369">
                  <c:v>0.16299692954060158</c:v>
                </c:pt>
                <c:pt idx="370">
                  <c:v>0.16299606685975337</c:v>
                </c:pt>
                <c:pt idx="371">
                  <c:v>0.16299526506713852</c:v>
                </c:pt>
                <c:pt idx="372">
                  <c:v>0.16299452502870332</c:v>
                </c:pt>
                <c:pt idx="373">
                  <c:v>0.16299384727275054</c:v>
                </c:pt>
                <c:pt idx="374">
                  <c:v>0.16299323200387936</c:v>
                </c:pt>
                <c:pt idx="375">
                  <c:v>0.1629926791177938</c:v>
                </c:pt>
                <c:pt idx="376">
                  <c:v>0.16299218821686659</c:v>
                </c:pt>
                <c:pt idx="377">
                  <c:v>0.16299175862634732</c:v>
                </c:pt>
                <c:pt idx="378">
                  <c:v>0.16299138941110558</c:v>
                </c:pt>
                <c:pt idx="379">
                  <c:v>0.16299107939280322</c:v>
                </c:pt>
                <c:pt idx="380">
                  <c:v>0.16299082716739252</c:v>
                </c:pt>
                <c:pt idx="381">
                  <c:v>0.16299063112284065</c:v>
                </c:pt>
                <c:pt idx="382">
                  <c:v>0.16299048945698455</c:v>
                </c:pt>
                <c:pt idx="383">
                  <c:v>0.16299040019542474</c:v>
                </c:pt>
                <c:pt idx="384">
                  <c:v>0.16299036120937016</c:v>
                </c:pt>
                <c:pt idx="385">
                  <c:v>0.16299037023335142</c:v>
                </c:pt>
                <c:pt idx="386">
                  <c:v>0.16299042488272375</c:v>
                </c:pt>
                <c:pt idx="387">
                  <c:v>0.16299052267088679</c:v>
                </c:pt>
                <c:pt idx="388">
                  <c:v>0.16299066102615192</c:v>
                </c:pt>
                <c:pt idx="389">
                  <c:v>0.16299083730819414</c:v>
                </c:pt>
                <c:pt idx="390">
                  <c:v>0.16299104882402995</c:v>
                </c:pt>
                <c:pt idx="391">
                  <c:v>0.16299129284346789</c:v>
                </c:pt>
                <c:pt idx="392">
                  <c:v>0.16299156661398337</c:v>
                </c:pt>
                <c:pt idx="393">
                  <c:v>0.16299186737497517</c:v>
                </c:pt>
                <c:pt idx="394">
                  <c:v>0.16299219237136486</c:v>
                </c:pt>
                <c:pt idx="395">
                  <c:v>0.16299253886650714</c:v>
                </c:pt>
                <c:pt idx="396">
                  <c:v>0.16299290415438167</c:v>
                </c:pt>
                <c:pt idx="397">
                  <c:v>0.16299328557104437</c:v>
                </c:pt>
                <c:pt idx="398">
                  <c:v>0.16299368050531868</c:v>
                </c:pt>
                <c:pt idx="399">
                  <c:v>0.16299408640871302</c:v>
                </c:pt>
                <c:pt idx="400">
                  <c:v>0.1629945008045546</c:v>
                </c:pt>
                <c:pt idx="401">
                  <c:v>0.16299492129633458</c:v>
                </c:pt>
                <c:pt idx="402">
                  <c:v>0.1629953455752623</c:v>
                </c:pt>
                <c:pt idx="403">
                  <c:v>0.1629957714270317</c:v>
                </c:pt>
                <c:pt idx="404">
                  <c:v>0.16299619673780583</c:v>
                </c:pt>
                <c:pt idx="405">
                  <c:v>0.16299661949942862</c:v>
                </c:pt>
                <c:pt idx="406">
                  <c:v>0.16299703781387737</c:v>
                </c:pt>
                <c:pt idx="407">
                  <c:v>0.16299744989697063</c:v>
                </c:pt>
                <c:pt idx="408">
                  <c:v>0.1629978540813512</c:v>
                </c:pt>
                <c:pt idx="409">
                  <c:v>0.16299824881876462</c:v>
                </c:pt>
                <c:pt idx="410">
                  <c:v>0.16299863268165674</c:v>
                </c:pt>
                <c:pt idx="411">
                  <c:v>0.16299900436411596</c:v>
                </c:pt>
                <c:pt idx="412">
                  <c:v>0.16299936268218784</c:v>
                </c:pt>
                <c:pt idx="413">
                  <c:v>0.16299970657359061</c:v>
                </c:pt>
                <c:pt idx="414">
                  <c:v>0.16300003509686295</c:v>
                </c:pt>
                <c:pt idx="415">
                  <c:v>0.16300034742997488</c:v>
                </c:pt>
                <c:pt idx="416">
                  <c:v>0.16300064286843552</c:v>
                </c:pt>
                <c:pt idx="417">
                  <c:v>0.16300092082293066</c:v>
                </c:pt>
                <c:pt idx="418">
                  <c:v>0.16300118081652448</c:v>
                </c:pt>
                <c:pt idx="419">
                  <c:v>0.16300142248146049</c:v>
                </c:pt>
                <c:pt idx="420">
                  <c:v>0.16300164555559576</c:v>
                </c:pt>
                <c:pt idx="421">
                  <c:v>0.16300184987850438</c:v>
                </c:pt>
                <c:pt idx="422">
                  <c:v>0.16300203538728381</c:v>
                </c:pt>
                <c:pt idx="423">
                  <c:v>0.16300220211209968</c:v>
                </c:pt>
                <c:pt idx="424">
                  <c:v>0.16300235017150244</c:v>
                </c:pt>
                <c:pt idx="425">
                  <c:v>0.16300247976754975</c:v>
                </c:pt>
                <c:pt idx="426">
                  <c:v>0.1630025911807671</c:v>
                </c:pt>
                <c:pt idx="427">
                  <c:v>0.16300268476497898</c:v>
                </c:pt>
                <c:pt idx="428">
                  <c:v>0.1630027609420415</c:v>
                </c:pt>
                <c:pt idx="429">
                  <c:v>0.1630028201965065</c:v>
                </c:pt>
                <c:pt idx="430">
                  <c:v>0.16300286307024581</c:v>
                </c:pt>
                <c:pt idx="431">
                  <c:v>0.16300289015706354</c:v>
                </c:pt>
                <c:pt idx="432">
                  <c:v>0.16300290209732296</c:v>
                </c:pt>
                <c:pt idx="433">
                  <c:v>0.16300289957261233</c:v>
                </c:pt>
                <c:pt idx="434">
                  <c:v>0.16300288330047388</c:v>
                </c:pt>
                <c:pt idx="435">
                  <c:v>0.16300285402921794</c:v>
                </c:pt>
                <c:pt idx="436">
                  <c:v>0.16300281253284252</c:v>
                </c:pt>
                <c:pt idx="437">
                  <c:v>0.16300275960607824</c:v>
                </c:pt>
                <c:pt idx="438">
                  <c:v>0.16300269605957513</c:v>
                </c:pt>
                <c:pt idx="439">
                  <c:v>0.16300262271524862</c:v>
                </c:pt>
                <c:pt idx="440">
                  <c:v>0.16300254040179826</c:v>
                </c:pt>
                <c:pt idx="441">
                  <c:v>0.16300244995041266</c:v>
                </c:pt>
                <c:pt idx="442">
                  <c:v>0.16300235219067197</c:v>
                </c:pt>
                <c:pt idx="443">
                  <c:v>0.16300224794665788</c:v>
                </c:pt>
                <c:pt idx="444">
                  <c:v>0.1630021380332797</c:v>
                </c:pt>
                <c:pt idx="445">
                  <c:v>0.1630020232528234</c:v>
                </c:pt>
                <c:pt idx="446">
                  <c:v>0.16300190439172954</c:v>
                </c:pt>
                <c:pt idx="447">
                  <c:v>0.1630017822176037</c:v>
                </c:pt>
                <c:pt idx="448">
                  <c:v>0.16300165747646347</c:v>
                </c:pt>
                <c:pt idx="449">
                  <c:v>0.16300153089022237</c:v>
                </c:pt>
                <c:pt idx="450">
                  <c:v>0.16300140315441211</c:v>
                </c:pt>
                <c:pt idx="451">
                  <c:v>0.16300127493614214</c:v>
                </c:pt>
                <c:pt idx="452">
                  <c:v>0.16300114687229436</c:v>
                </c:pt>
                <c:pt idx="453">
                  <c:v>0.16300101956795104</c:v>
                </c:pt>
                <c:pt idx="454">
                  <c:v>0.16300089359505099</c:v>
                </c:pt>
                <c:pt idx="455">
                  <c:v>0.16300076949126996</c:v>
                </c:pt>
                <c:pt idx="456">
                  <c:v>0.16300064775911985</c:v>
                </c:pt>
                <c:pt idx="457">
                  <c:v>0.16300052886525962</c:v>
                </c:pt>
                <c:pt idx="458">
                  <c:v>0.16300041324001166</c:v>
                </c:pt>
                <c:pt idx="459">
                  <c:v>0.16300030127707527</c:v>
                </c:pt>
                <c:pt idx="460">
                  <c:v>0.16300019333342972</c:v>
                </c:pt>
                <c:pt idx="461">
                  <c:v>0.16300008972941715</c:v>
                </c:pt>
                <c:pt idx="462">
                  <c:v>0.16299999074899721</c:v>
                </c:pt>
                <c:pt idx="463">
                  <c:v>0.1629998966401629</c:v>
                </c:pt>
                <c:pt idx="464">
                  <c:v>0.16299980761550856</c:v>
                </c:pt>
                <c:pt idx="465">
                  <c:v>0.16299972385293918</c:v>
                </c:pt>
                <c:pt idx="466">
                  <c:v>0.16299964549651119</c:v>
                </c:pt>
                <c:pt idx="467">
                  <c:v>0.16299957265739423</c:v>
                </c:pt>
                <c:pt idx="468">
                  <c:v>0.16299950541494315</c:v>
                </c:pt>
                <c:pt idx="469">
                  <c:v>0.1629994438178701</c:v>
                </c:pt>
                <c:pt idx="470">
                  <c:v>0.16299938788550605</c:v>
                </c:pt>
                <c:pt idx="471">
                  <c:v>0.16299933760914107</c:v>
                </c:pt>
                <c:pt idx="472">
                  <c:v>0.16299929295343366</c:v>
                </c:pt>
                <c:pt idx="473">
                  <c:v>0.1629992538578787</c:v>
                </c:pt>
                <c:pt idx="474">
                  <c:v>0.16299922023832408</c:v>
                </c:pt>
                <c:pt idx="475">
                  <c:v>0.16299919198852653</c:v>
                </c:pt>
                <c:pt idx="476">
                  <c:v>0.16299916898173716</c:v>
                </c:pt>
                <c:pt idx="477">
                  <c:v>0.16299915107230808</c:v>
                </c:pt>
                <c:pt idx="478">
                  <c:v>0.16299913809731062</c:v>
                </c:pt>
                <c:pt idx="479">
                  <c:v>0.16299912987815771</c:v>
                </c:pt>
                <c:pt idx="480">
                  <c:v>0.1629991262222216</c:v>
                </c:pt>
                <c:pt idx="481">
                  <c:v>0.16299912692444035</c:v>
                </c:pt>
                <c:pt idx="482">
                  <c:v>0.16299913176890507</c:v>
                </c:pt>
                <c:pt idx="483">
                  <c:v>0.16299914053042178</c:v>
                </c:pt>
                <c:pt idx="484">
                  <c:v>0.16299915297604153</c:v>
                </c:pt>
                <c:pt idx="485">
                  <c:v>0.16299916886655288</c:v>
                </c:pt>
                <c:pt idx="486">
                  <c:v>0.16299918795793178</c:v>
                </c:pt>
                <c:pt idx="487">
                  <c:v>0.16299921000274348</c:v>
                </c:pt>
                <c:pt idx="488">
                  <c:v>0.16299923475149253</c:v>
                </c:pt>
                <c:pt idx="489">
                  <c:v>0.16299926195391684</c:v>
                </c:pt>
                <c:pt idx="490">
                  <c:v>0.1629992913602222</c:v>
                </c:pt>
                <c:pt idx="491">
                  <c:v>0.16299932272225442</c:v>
                </c:pt>
                <c:pt idx="492">
                  <c:v>0.16299935579460639</c:v>
                </c:pt>
                <c:pt idx="493">
                  <c:v>0.16299939033565802</c:v>
                </c:pt>
                <c:pt idx="494">
                  <c:v>0.16299942610854751</c:v>
                </c:pt>
                <c:pt idx="495">
                  <c:v>0.16299946288207215</c:v>
                </c:pt>
                <c:pt idx="496">
                  <c:v>0.16299950043151848</c:v>
                </c:pt>
                <c:pt idx="497">
                  <c:v>0.16299953853942076</c:v>
                </c:pt>
                <c:pt idx="498">
                  <c:v>0.16299957699624759</c:v>
                </c:pt>
                <c:pt idx="499">
                  <c:v>0.1629996156010175</c:v>
                </c:pt>
                <c:pt idx="500">
                  <c:v>0.16299965416184323</c:v>
                </c:pt>
                <c:pt idx="501">
                  <c:v>0.16299969249640628</c:v>
                </c:pt>
                <c:pt idx="502">
                  <c:v>0.16299973043236218</c:v>
                </c:pt>
                <c:pt idx="503">
                  <c:v>0.16299976780767869</c:v>
                </c:pt>
                <c:pt idx="504">
                  <c:v>0.16299980447090778</c:v>
                </c:pt>
                <c:pt idx="505">
                  <c:v>0.16299984028139411</c:v>
                </c:pt>
                <c:pt idx="506">
                  <c:v>0.16299987510942138</c:v>
                </c:pt>
                <c:pt idx="507">
                  <c:v>0.16299990883629933</c:v>
                </c:pt>
                <c:pt idx="508">
                  <c:v>0.16299994135439386</c:v>
                </c:pt>
                <c:pt idx="509">
                  <c:v>0.16299997256710264</c:v>
                </c:pt>
                <c:pt idx="510">
                  <c:v>0.16300000238877921</c:v>
                </c:pt>
                <c:pt idx="511">
                  <c:v>0.16300003074460834</c:v>
                </c:pt>
                <c:pt idx="512">
                  <c:v>0.16300005757043576</c:v>
                </c:pt>
                <c:pt idx="513">
                  <c:v>0.1630000828125549</c:v>
                </c:pt>
                <c:pt idx="514">
                  <c:v>0.16300010642745458</c:v>
                </c:pt>
                <c:pt idx="515">
                  <c:v>0.16300012838152961</c:v>
                </c:pt>
                <c:pt idx="516">
                  <c:v>0.16300014865075863</c:v>
                </c:pt>
                <c:pt idx="517">
                  <c:v>0.16300016722035152</c:v>
                </c:pt>
                <c:pt idx="518">
                  <c:v>0.16300018408436995</c:v>
                </c:pt>
                <c:pt idx="519">
                  <c:v>0.16300019924532408</c:v>
                </c:pt>
                <c:pt idx="520">
                  <c:v>0.16300021271374862</c:v>
                </c:pt>
                <c:pt idx="521">
                  <c:v>0.1630002245077608</c:v>
                </c:pt>
                <c:pt idx="522">
                  <c:v>0.16300023465260419</c:v>
                </c:pt>
                <c:pt idx="523">
                  <c:v>0.1630002431801803</c:v>
                </c:pt>
                <c:pt idx="524">
                  <c:v>0.16300025012857117</c:v>
                </c:pt>
                <c:pt idx="525">
                  <c:v>0.16300025554155584</c:v>
                </c:pt>
                <c:pt idx="526">
                  <c:v>0.1630002594681231</c:v>
                </c:pt>
                <c:pt idx="527">
                  <c:v>0.16300026196198306</c:v>
                </c:pt>
                <c:pt idx="528">
                  <c:v>0.16300026308107984</c:v>
                </c:pt>
                <c:pt idx="529">
                  <c:v>0.16300026288710817</c:v>
                </c:pt>
                <c:pt idx="530">
                  <c:v>0.16300026144503496</c:v>
                </c:pt>
                <c:pt idx="531">
                  <c:v>0.16300025882262925</c:v>
                </c:pt>
                <c:pt idx="532">
                  <c:v>0.16300025509000124</c:v>
                </c:pt>
                <c:pt idx="533">
                  <c:v>0.16300025031915266</c:v>
                </c:pt>
                <c:pt idx="534">
                  <c:v>0.16300024458354029</c:v>
                </c:pt>
                <c:pt idx="535">
                  <c:v>0.16300023795765339</c:v>
                </c:pt>
                <c:pt idx="536">
                  <c:v>0.16300023051660714</c:v>
                </c:pt>
                <c:pt idx="537">
                  <c:v>0.1630002223357527</c:v>
                </c:pt>
                <c:pt idx="538">
                  <c:v>0.16300021349030541</c:v>
                </c:pt>
                <c:pt idx="539">
                  <c:v>0.16300020405499138</c:v>
                </c:pt>
                <c:pt idx="540">
                  <c:v>0.16300019410371405</c:v>
                </c:pt>
                <c:pt idx="541">
                  <c:v>0.16300018370924074</c:v>
                </c:pt>
                <c:pt idx="542">
                  <c:v>0.16300017294290997</c:v>
                </c:pt>
                <c:pt idx="543">
                  <c:v>0.16300016187435989</c:v>
                </c:pt>
                <c:pt idx="544">
                  <c:v>0.16300015057127804</c:v>
                </c:pt>
                <c:pt idx="545">
                  <c:v>0.16300013909917271</c:v>
                </c:pt>
                <c:pt idx="546">
                  <c:v>0.16300012752116588</c:v>
                </c:pt>
                <c:pt idx="547">
                  <c:v>0.16300011589780766</c:v>
                </c:pt>
                <c:pt idx="548">
                  <c:v>0.16300010428691203</c:v>
                </c:pt>
                <c:pt idx="549">
                  <c:v>0.16300009274341368</c:v>
                </c:pt>
                <c:pt idx="550">
                  <c:v>0.16300008131924573</c:v>
                </c:pt>
                <c:pt idx="551">
                  <c:v>0.16300007006323772</c:v>
                </c:pt>
                <c:pt idx="552">
                  <c:v>0.16300005902103323</c:v>
                </c:pt>
                <c:pt idx="553">
                  <c:v>0.16300004823502706</c:v>
                </c:pt>
                <c:pt idx="554">
                  <c:v>0.16300003774432079</c:v>
                </c:pt>
                <c:pt idx="555">
                  <c:v>0.16300002758469645</c:v>
                </c:pt>
                <c:pt idx="556">
                  <c:v>0.16300001778860712</c:v>
                </c:pt>
                <c:pt idx="557">
                  <c:v>0.16300000838518414</c:v>
                </c:pt>
                <c:pt idx="558">
                  <c:v>0.16299999940025967</c:v>
                </c:pt>
                <c:pt idx="559">
                  <c:v>0.16299999085640407</c:v>
                </c:pt>
                <c:pt idx="560">
                  <c:v>0.16299998277297706</c:v>
                </c:pt>
                <c:pt idx="561">
                  <c:v>0.16299997516619158</c:v>
                </c:pt>
                <c:pt idx="562">
                  <c:v>0.16299996804918984</c:v>
                </c:pt>
                <c:pt idx="563">
                  <c:v>0.16299996143213005</c:v>
                </c:pt>
                <c:pt idx="564">
                  <c:v>0.16299995532228351</c:v>
                </c:pt>
                <c:pt idx="565">
                  <c:v>0.16299994972414059</c:v>
                </c:pt>
                <c:pt idx="566">
                  <c:v>0.16299994463952472</c:v>
                </c:pt>
                <c:pt idx="567">
                  <c:v>0.16299994006771401</c:v>
                </c:pt>
                <c:pt idx="568">
                  <c:v>0.16299993600556861</c:v>
                </c:pt>
                <c:pt idx="569">
                  <c:v>0.16299993244766375</c:v>
                </c:pt>
                <c:pt idx="570">
                  <c:v>0.16299992938642716</c:v>
                </c:pt>
                <c:pt idx="571">
                  <c:v>0.16299992681227987</c:v>
                </c:pt>
                <c:pt idx="572">
                  <c:v>0.16299992471378016</c:v>
                </c:pt>
                <c:pt idx="573">
                  <c:v>0.16299992307776892</c:v>
                </c:pt>
                <c:pt idx="574">
                  <c:v>0.1629999218895164</c:v>
                </c:pt>
                <c:pt idx="575">
                  <c:v>0.16299992113286935</c:v>
                </c:pt>
                <c:pt idx="576">
                  <c:v>0.16299992079039771</c:v>
                </c:pt>
                <c:pt idx="577">
                  <c:v>0.16299992084354012</c:v>
                </c:pt>
                <c:pt idx="578">
                  <c:v>0.16299992127274804</c:v>
                </c:pt>
                <c:pt idx="579">
                  <c:v>0.16299992205762742</c:v>
                </c:pt>
                <c:pt idx="580">
                  <c:v>0.16299992317707726</c:v>
                </c:pt>
                <c:pt idx="581">
                  <c:v>0.16299992460942539</c:v>
                </c:pt>
                <c:pt idx="582">
                  <c:v>0.16299992633255969</c:v>
                </c:pt>
                <c:pt idx="583">
                  <c:v>0.16299992832405549</c:v>
                </c:pt>
                <c:pt idx="584">
                  <c:v>0.16299993056129797</c:v>
                </c:pt>
                <c:pt idx="585">
                  <c:v>0.16299993302159974</c:v>
                </c:pt>
                <c:pt idx="586">
                  <c:v>0.16299993568231283</c:v>
                </c:pt>
                <c:pt idx="587">
                  <c:v>0.16299993852093517</c:v>
                </c:pt>
                <c:pt idx="588">
                  <c:v>0.16299994151521094</c:v>
                </c:pt>
                <c:pt idx="589">
                  <c:v>0.16299994464322537</c:v>
                </c:pt>
                <c:pt idx="590">
                  <c:v>0.16299994788349245</c:v>
                </c:pt>
                <c:pt idx="591">
                  <c:v>0.16299995121503738</c:v>
                </c:pt>
                <c:pt idx="592">
                  <c:v>0.16299995461747144</c:v>
                </c:pt>
                <c:pt idx="593">
                  <c:v>0.16299995807106121</c:v>
                </c:pt>
                <c:pt idx="594">
                  <c:v>0.16299996155679108</c:v>
                </c:pt>
                <c:pt idx="595">
                  <c:v>0.16299996505641903</c:v>
                </c:pt>
                <c:pt idx="596">
                  <c:v>0.16299996855252619</c:v>
                </c:pt>
                <c:pt idx="597">
                  <c:v>0.16299997202856009</c:v>
                </c:pt>
                <c:pt idx="598">
                  <c:v>0.1629999754688716</c:v>
                </c:pt>
                <c:pt idx="599">
                  <c:v>0.16299997885874562</c:v>
                </c:pt>
                <c:pt idx="600">
                  <c:v>0.16299998218442602</c:v>
                </c:pt>
                <c:pt idx="601">
                  <c:v>0.16299998543313465</c:v>
                </c:pt>
                <c:pt idx="602">
                  <c:v>0.16299998859308482</c:v>
                </c:pt>
                <c:pt idx="603">
                  <c:v>0.16299999165348911</c:v>
                </c:pt>
                <c:pt idx="604">
                  <c:v>0.1629999946045626</c:v>
                </c:pt>
                <c:pt idx="605">
                  <c:v>0.16299999743752042</c:v>
                </c:pt>
                <c:pt idx="606">
                  <c:v>0.16300000014457131</c:v>
                </c:pt>
                <c:pt idx="607">
                  <c:v>0.16300000271890619</c:v>
                </c:pt>
                <c:pt idx="608">
                  <c:v>0.16300000515468296</c:v>
                </c:pt>
                <c:pt idx="609">
                  <c:v>0.16300000744700724</c:v>
                </c:pt>
                <c:pt idx="610">
                  <c:v>0.16300000959190966</c:v>
                </c:pt>
                <c:pt idx="611">
                  <c:v>0.16300001158631952</c:v>
                </c:pt>
                <c:pt idx="612">
                  <c:v>0.16300001342803591</c:v>
                </c:pt>
                <c:pt idx="613">
                  <c:v>0.16300001511569562</c:v>
                </c:pt>
                <c:pt idx="614">
                  <c:v>0.16300001664873889</c:v>
                </c:pt>
                <c:pt idx="615">
                  <c:v>0.16300001802737291</c:v>
                </c:pt>
                <c:pt idx="616">
                  <c:v>0.16300001925253338</c:v>
                </c:pt>
                <c:pt idx="617">
                  <c:v>0.1630000203258446</c:v>
                </c:pt>
                <c:pt idx="618">
                  <c:v>0.16300002124957794</c:v>
                </c:pt>
                <c:pt idx="619">
                  <c:v>0.1630000220266096</c:v>
                </c:pt>
                <c:pt idx="620">
                  <c:v>0.16300002266037722</c:v>
                </c:pt>
                <c:pt idx="621">
                  <c:v>0.16300002315483617</c:v>
                </c:pt>
                <c:pt idx="622">
                  <c:v>0.16300002351441528</c:v>
                </c:pt>
                <c:pt idx="623">
                  <c:v>0.16300002374397266</c:v>
                </c:pt>
                <c:pt idx="624">
                  <c:v>0.16300002384875137</c:v>
                </c:pt>
                <c:pt idx="625">
                  <c:v>0.16300002383433571</c:v>
                </c:pt>
                <c:pt idx="626">
                  <c:v>0.16300002370660788</c:v>
                </c:pt>
                <c:pt idx="627">
                  <c:v>0.16300002347170509</c:v>
                </c:pt>
                <c:pt idx="628">
                  <c:v>0.16300002313597811</c:v>
                </c:pt>
                <c:pt idx="629">
                  <c:v>0.16300002270595013</c:v>
                </c:pt>
                <c:pt idx="630">
                  <c:v>0.16300002218827742</c:v>
                </c:pt>
                <c:pt idx="631">
                  <c:v>0.16300002158971075</c:v>
                </c:pt>
                <c:pt idx="632">
                  <c:v>0.16300002091705881</c:v>
                </c:pt>
                <c:pt idx="633">
                  <c:v>0.16300002017715248</c:v>
                </c:pt>
                <c:pt idx="634">
                  <c:v>0.16300001937681119</c:v>
                </c:pt>
                <c:pt idx="635">
                  <c:v>0.16300001852281104</c:v>
                </c:pt>
                <c:pt idx="636">
                  <c:v>0.1630000176218542</c:v>
                </c:pt>
                <c:pt idx="637">
                  <c:v>0.16300001668054062</c:v>
                </c:pt>
                <c:pt idx="638">
                  <c:v>0.16300001570534151</c:v>
                </c:pt>
                <c:pt idx="639">
                  <c:v>0.16300001470257441</c:v>
                </c:pt>
                <c:pt idx="640">
                  <c:v>0.16300001367838082</c:v>
                </c:pt>
                <c:pt idx="641">
                  <c:v>0.16300001263870503</c:v>
                </c:pt>
                <c:pt idx="642">
                  <c:v>0.16300001158927563</c:v>
                </c:pt>
                <c:pt idx="643">
                  <c:v>0.16300001053558835</c:v>
                </c:pt>
                <c:pt idx="644">
                  <c:v>0.16300000948289142</c:v>
                </c:pt>
                <c:pt idx="645">
                  <c:v>0.16300000843617224</c:v>
                </c:pt>
                <c:pt idx="646">
                  <c:v>0.16300000740014634</c:v>
                </c:pt>
                <c:pt idx="647">
                  <c:v>0.1630000063792483</c:v>
                </c:pt>
                <c:pt idx="648">
                  <c:v>0.16300000537762391</c:v>
                </c:pt>
                <c:pt idx="649">
                  <c:v>0.16300000439912463</c:v>
                </c:pt>
                <c:pt idx="650">
                  <c:v>0.16300000344730339</c:v>
                </c:pt>
                <c:pt idx="651">
                  <c:v>0.16300000252541233</c:v>
                </c:pt>
                <c:pt idx="652">
                  <c:v>0.16300000163640171</c:v>
                </c:pt>
                <c:pt idx="653">
                  <c:v>0.16300000078292068</c:v>
                </c:pt>
                <c:pt idx="654">
                  <c:v>0.16299999996731915</c:v>
                </c:pt>
                <c:pt idx="655">
                  <c:v>0.16299999919165134</c:v>
                </c:pt>
                <c:pt idx="656">
                  <c:v>0.16299999845768015</c:v>
                </c:pt>
                <c:pt idx="657">
                  <c:v>0.16299999776688309</c:v>
                </c:pt>
                <c:pt idx="658">
                  <c:v>0.16299999712045907</c:v>
                </c:pt>
                <c:pt idx="659">
                  <c:v>0.16299999651933622</c:v>
                </c:pt>
                <c:pt idx="660">
                  <c:v>0.1629999959641808</c:v>
                </c:pt>
                <c:pt idx="661">
                  <c:v>0.16299999545540661</c:v>
                </c:pt>
                <c:pt idx="662">
                  <c:v>0.1629999949931854</c:v>
                </c:pt>
                <c:pt idx="663">
                  <c:v>0.16299999457745787</c:v>
                </c:pt>
                <c:pt idx="664">
                  <c:v>0.1629999942079452</c:v>
                </c:pt>
                <c:pt idx="665">
                  <c:v>0.16299999388416106</c:v>
                </c:pt>
                <c:pt idx="666">
                  <c:v>0.16299999360542414</c:v>
                </c:pt>
                <c:pt idx="667">
                  <c:v>0.16299999337087084</c:v>
                </c:pt>
                <c:pt idx="668">
                  <c:v>0.16299999317946828</c:v>
                </c:pt>
                <c:pt idx="669">
                  <c:v>0.16299999303002766</c:v>
                </c:pt>
                <c:pt idx="670">
                  <c:v>0.16299999292121725</c:v>
                </c:pt>
                <c:pt idx="671">
                  <c:v>0.1629999928515761</c:v>
                </c:pt>
                <c:pt idx="672">
                  <c:v>0.16299999281952698</c:v>
                </c:pt>
                <c:pt idx="673">
                  <c:v>0.16299999282338981</c:v>
                </c:pt>
                <c:pt idx="674">
                  <c:v>0.16299999286139469</c:v>
                </c:pt>
                <c:pt idx="675">
                  <c:v>0.16299999293169468</c:v>
                </c:pt>
                <c:pt idx="676">
                  <c:v>0.16299999303237847</c:v>
                </c:pt>
                <c:pt idx="677">
                  <c:v>0.16299999316148256</c:v>
                </c:pt>
                <c:pt idx="678">
                  <c:v>0.16299999331700327</c:v>
                </c:pt>
                <c:pt idx="679">
                  <c:v>0.1629999934969083</c:v>
                </c:pt>
                <c:pt idx="680">
                  <c:v>0.16299999369914783</c:v>
                </c:pt>
                <c:pt idx="681">
                  <c:v>0.16299999392166514</c:v>
                </c:pt>
                <c:pt idx="682">
                  <c:v>0.16299999416240682</c:v>
                </c:pt>
                <c:pt idx="683">
                  <c:v>0.16299999441933241</c:v>
                </c:pt>
                <c:pt idx="684">
                  <c:v>0.16299999469042362</c:v>
                </c:pt>
                <c:pt idx="685">
                  <c:v>0.16299999497369272</c:v>
                </c:pt>
                <c:pt idx="686">
                  <c:v>0.16299999526719072</c:v>
                </c:pt>
                <c:pt idx="687">
                  <c:v>0.16299999556901487</c:v>
                </c:pt>
                <c:pt idx="688">
                  <c:v>0.16299999587731515</c:v>
                </c:pt>
                <c:pt idx="689">
                  <c:v>0.16299999619030092</c:v>
                </c:pt>
                <c:pt idx="690">
                  <c:v>0.16299999650624653</c:v>
                </c:pt>
                <c:pt idx="691">
                  <c:v>0.16299999682349617</c:v>
                </c:pt>
                <c:pt idx="692">
                  <c:v>0.1629999971404687</c:v>
                </c:pt>
                <c:pt idx="693">
                  <c:v>0.16299999745566129</c:v>
                </c:pt>
                <c:pt idx="694">
                  <c:v>0.16299999776765303</c:v>
                </c:pt>
                <c:pt idx="695">
                  <c:v>0.16299999807510751</c:v>
                </c:pt>
                <c:pt idx="696">
                  <c:v>0.16299999837677528</c:v>
                </c:pt>
                <c:pt idx="697">
                  <c:v>0.16299999867149553</c:v>
                </c:pt>
                <c:pt idx="698">
                  <c:v>0.16299999895819717</c:v>
                </c:pt>
                <c:pt idx="699">
                  <c:v>0.16299999923589983</c:v>
                </c:pt>
                <c:pt idx="700">
                  <c:v>0.16299999950371399</c:v>
                </c:pt>
                <c:pt idx="701">
                  <c:v>0.16299999976084073</c:v>
                </c:pt>
                <c:pt idx="702">
                  <c:v>0.16300000000657133</c:v>
                </c:pt>
                <c:pt idx="703">
                  <c:v>0.16300000024028607</c:v>
                </c:pt>
                <c:pt idx="704">
                  <c:v>0.16300000046145294</c:v>
                </c:pt>
                <c:pt idx="705">
                  <c:v>0.16300000066962597</c:v>
                </c:pt>
                <c:pt idx="706">
                  <c:v>0.16300000086444302</c:v>
                </c:pt>
                <c:pt idx="707">
                  <c:v>0.16300000104562351</c:v>
                </c:pt>
                <c:pt idx="708">
                  <c:v>0.16300000121296587</c:v>
                </c:pt>
                <c:pt idx="709">
                  <c:v>0.16300000136634438</c:v>
                </c:pt>
                <c:pt idx="710">
                  <c:v>0.16300000150570643</c:v>
                </c:pt>
                <c:pt idx="711">
                  <c:v>0.16300000163106892</c:v>
                </c:pt>
                <c:pt idx="712">
                  <c:v>0.16300000174251494</c:v>
                </c:pt>
                <c:pt idx="713">
                  <c:v>0.16300000184019009</c:v>
                </c:pt>
                <c:pt idx="714">
                  <c:v>0.16300000192429873</c:v>
                </c:pt>
                <c:pt idx="715">
                  <c:v>0.16300000199510015</c:v>
                </c:pt>
                <c:pt idx="716">
                  <c:v>0.16300000205290469</c:v>
                </c:pt>
                <c:pt idx="717">
                  <c:v>0.16300000209806964</c:v>
                </c:pt>
                <c:pt idx="718">
                  <c:v>0.16300000213099544</c:v>
                </c:pt>
                <c:pt idx="719">
                  <c:v>0.16300000215212149</c:v>
                </c:pt>
                <c:pt idx="720">
                  <c:v>0.1630000021619222</c:v>
                </c:pt>
                <c:pt idx="721">
                  <c:v>0.16300000216090302</c:v>
                </c:pt>
                <c:pt idx="722">
                  <c:v>0.16300000214959653</c:v>
                </c:pt>
                <c:pt idx="723">
                  <c:v>0.16300000212855853</c:v>
                </c:pt>
                <c:pt idx="724">
                  <c:v>0.16300000209836429</c:v>
                </c:pt>
                <c:pt idx="725">
                  <c:v>0.1630000020596048</c:v>
                </c:pt>
                <c:pt idx="726">
                  <c:v>0.16300000201288314</c:v>
                </c:pt>
                <c:pt idx="727">
                  <c:v>0.1630000019588112</c:v>
                </c:pt>
                <c:pt idx="728">
                  <c:v>0.16300000189800612</c:v>
                </c:pt>
                <c:pt idx="729">
                  <c:v>0.16300000183108712</c:v>
                </c:pt>
                <c:pt idx="730">
                  <c:v>0.16300000175867249</c:v>
                </c:pt>
                <c:pt idx="731">
                  <c:v>0.16300000168137668</c:v>
                </c:pt>
                <c:pt idx="732">
                  <c:v>0.16300000159980754</c:v>
                </c:pt>
                <c:pt idx="733">
                  <c:v>0.16300000151456362</c:v>
                </c:pt>
                <c:pt idx="734">
                  <c:v>0.16300000142623192</c:v>
                </c:pt>
                <c:pt idx="735">
                  <c:v>0.16300000133538564</c:v>
                </c:pt>
                <c:pt idx="736">
                  <c:v>0.16300000124258193</c:v>
                </c:pt>
                <c:pt idx="737">
                  <c:v>0.16300000114836025</c:v>
                </c:pt>
                <c:pt idx="738">
                  <c:v>0.16300000105324045</c:v>
                </c:pt>
                <c:pt idx="739">
                  <c:v>0.16300000095772135</c:v>
                </c:pt>
                <c:pt idx="740">
                  <c:v>0.16300000086227937</c:v>
                </c:pt>
                <c:pt idx="741">
                  <c:v>0.16300000076736726</c:v>
                </c:pt>
                <c:pt idx="742">
                  <c:v>0.1630000006734133</c:v>
                </c:pt>
                <c:pt idx="743">
                  <c:v>0.16300000058082012</c:v>
                </c:pt>
                <c:pt idx="744">
                  <c:v>0.16300000048996435</c:v>
                </c:pt>
                <c:pt idx="745">
                  <c:v>0.1630000004011958</c:v>
                </c:pt>
                <c:pt idx="746">
                  <c:v>0.16300000031483741</c:v>
                </c:pt>
                <c:pt idx="747">
                  <c:v>0.16300000023118469</c:v>
                </c:pt>
                <c:pt idx="748">
                  <c:v>0.16300000015050581</c:v>
                </c:pt>
                <c:pt idx="749">
                  <c:v>0.16300000007304175</c:v>
                </c:pt>
                <c:pt idx="750">
                  <c:v>0.16299999999900625</c:v>
                </c:pt>
                <c:pt idx="751">
                  <c:v>0.16299999992858621</c:v>
                </c:pt>
                <c:pt idx="752">
                  <c:v>0.16299999986194227</c:v>
                </c:pt>
                <c:pt idx="753">
                  <c:v>0.16299999979920901</c:v>
                </c:pt>
                <c:pt idx="754">
                  <c:v>0.16299999974049581</c:v>
                </c:pt>
                <c:pt idx="755">
                  <c:v>0.16299999968588744</c:v>
                </c:pt>
                <c:pt idx="756">
                  <c:v>0.16299999963544495</c:v>
                </c:pt>
                <c:pt idx="757">
                  <c:v>0.1629999995892065</c:v>
                </c:pt>
                <c:pt idx="758">
                  <c:v>0.16299999954718819</c:v>
                </c:pt>
                <c:pt idx="759">
                  <c:v>0.16299999950938526</c:v>
                </c:pt>
                <c:pt idx="760">
                  <c:v>0.16299999947577293</c:v>
                </c:pt>
                <c:pt idx="761">
                  <c:v>0.16299999944630764</c:v>
                </c:pt>
                <c:pt idx="762">
                  <c:v>0.16299999942092802</c:v>
                </c:pt>
                <c:pt idx="763">
                  <c:v>0.16299999939955628</c:v>
                </c:pt>
                <c:pt idx="764">
                  <c:v>0.16299999938209916</c:v>
                </c:pt>
                <c:pt idx="765">
                  <c:v>0.16299999936844925</c:v>
                </c:pt>
                <c:pt idx="766">
                  <c:v>0.16299999935848619</c:v>
                </c:pt>
                <c:pt idx="767">
                  <c:v>0.16299999935207782</c:v>
                </c:pt>
                <c:pt idx="768">
                  <c:v>0.16299999934908144</c:v>
                </c:pt>
                <c:pt idx="769">
                  <c:v>0.16299999934934495</c:v>
                </c:pt>
                <c:pt idx="770">
                  <c:v>0.16299999935270812</c:v>
                </c:pt>
                <c:pt idx="771">
                  <c:v>0.16299999935900367</c:v>
                </c:pt>
                <c:pt idx="772">
                  <c:v>0.16299999936805851</c:v>
                </c:pt>
                <c:pt idx="773">
                  <c:v>0.1629999993796947</c:v>
                </c:pt>
                <c:pt idx="774">
                  <c:v>0.16299999939373075</c:v>
                </c:pt>
                <c:pt idx="775">
                  <c:v>0.16299999940998244</c:v>
                </c:pt>
                <c:pt idx="776">
                  <c:v>0.16299999942826393</c:v>
                </c:pt>
                <c:pt idx="777">
                  <c:v>0.16299999944838886</c:v>
                </c:pt>
                <c:pt idx="778">
                  <c:v>0.16299999947017096</c:v>
                </c:pt>
                <c:pt idx="779">
                  <c:v>0.16299999949342528</c:v>
                </c:pt>
                <c:pt idx="780">
                  <c:v>0.16299999951796873</c:v>
                </c:pt>
                <c:pt idx="781">
                  <c:v>0.16299999954362107</c:v>
                </c:pt>
                <c:pt idx="782">
                  <c:v>0.1629999995702055</c:v>
                </c:pt>
                <c:pt idx="783">
                  <c:v>0.16299999959754938</c:v>
                </c:pt>
                <c:pt idx="784">
                  <c:v>0.16299999962548486</c:v>
                </c:pt>
                <c:pt idx="785">
                  <c:v>0.16299999965384943</c:v>
                </c:pt>
                <c:pt idx="786">
                  <c:v>0.16299999968248657</c:v>
                </c:pt>
                <c:pt idx="787">
                  <c:v>0.16299999971124587</c:v>
                </c:pt>
                <c:pt idx="788">
                  <c:v>0.16299999973998394</c:v>
                </c:pt>
                <c:pt idx="789">
                  <c:v>0.16299999976856422</c:v>
                </c:pt>
                <c:pt idx="790">
                  <c:v>0.16299999979685773</c:v>
                </c:pt>
                <c:pt idx="791">
                  <c:v>0.16299999982474311</c:v>
                </c:pt>
                <c:pt idx="792">
                  <c:v>0.16299999985210689</c:v>
                </c:pt>
                <c:pt idx="793">
                  <c:v>0.16299999987884359</c:v>
                </c:pt>
                <c:pt idx="794">
                  <c:v>0.16299999990485586</c:v>
                </c:pt>
                <c:pt idx="795">
                  <c:v>0.16299999993005468</c:v>
                </c:pt>
                <c:pt idx="796">
                  <c:v>0.16299999995435913</c:v>
                </c:pt>
                <c:pt idx="797">
                  <c:v>0.16299999997769654</c:v>
                </c:pt>
                <c:pt idx="798">
                  <c:v>0.16300000000000248</c:v>
                </c:pt>
                <c:pt idx="799">
                  <c:v>0.16300000002122053</c:v>
                </c:pt>
                <c:pt idx="800">
                  <c:v>0.16300000004130227</c:v>
                </c:pt>
                <c:pt idx="801">
                  <c:v>0.16300000006020701</c:v>
                </c:pt>
                <c:pt idx="802">
                  <c:v>0.16300000007790175</c:v>
                </c:pt>
                <c:pt idx="803">
                  <c:v>0.16300000009436086</c:v>
                </c:pt>
                <c:pt idx="804">
                  <c:v>0.16300000010956586</c:v>
                </c:pt>
                <c:pt idx="805">
                  <c:v>0.16300000012350516</c:v>
                </c:pt>
                <c:pt idx="806">
                  <c:v>0.16300000013617386</c:v>
                </c:pt>
                <c:pt idx="807">
                  <c:v>0.16300000014757327</c:v>
                </c:pt>
                <c:pt idx="808">
                  <c:v>0.16300000015771077</c:v>
                </c:pt>
                <c:pt idx="809">
                  <c:v>0.16300000016659946</c:v>
                </c:pt>
                <c:pt idx="810">
                  <c:v>0.16300000017425767</c:v>
                </c:pt>
                <c:pt idx="811">
                  <c:v>0.16300000018070882</c:v>
                </c:pt>
                <c:pt idx="812">
                  <c:v>0.16300000018598085</c:v>
                </c:pt>
                <c:pt idx="813">
                  <c:v>0.1630000001901061</c:v>
                </c:pt>
                <c:pt idx="814">
                  <c:v>0.16300000019312078</c:v>
                </c:pt>
                <c:pt idx="815">
                  <c:v>0.16300000019506461</c:v>
                </c:pt>
                <c:pt idx="816">
                  <c:v>0.16300000019598049</c:v>
                </c:pt>
                <c:pt idx="817">
                  <c:v>0.16300000019591424</c:v>
                </c:pt>
                <c:pt idx="818">
                  <c:v>0.16300000019491398</c:v>
                </c:pt>
                <c:pt idx="819">
                  <c:v>0.16300000019303013</c:v>
                </c:pt>
                <c:pt idx="820">
                  <c:v>0.16300000019031477</c:v>
                </c:pt>
                <c:pt idx="821">
                  <c:v>0.16300000018682143</c:v>
                </c:pt>
                <c:pt idx="822">
                  <c:v>0.1630000001826048</c:v>
                </c:pt>
                <c:pt idx="823">
                  <c:v>0.16300000017772026</c:v>
                </c:pt>
                <c:pt idx="824">
                  <c:v>0.1630000001722238</c:v>
                </c:pt>
                <c:pt idx="825">
                  <c:v>0.16300000016617155</c:v>
                </c:pt>
                <c:pt idx="826">
                  <c:v>0.16300000015961957</c:v>
                </c:pt>
                <c:pt idx="827">
                  <c:v>0.16300000015262356</c:v>
                </c:pt>
                <c:pt idx="828">
                  <c:v>0.16300000014523866</c:v>
                </c:pt>
                <c:pt idx="829">
                  <c:v>0.16300000013751914</c:v>
                </c:pt>
                <c:pt idx="830">
                  <c:v>0.16300000012951829</c:v>
                </c:pt>
                <c:pt idx="831">
                  <c:v>0.16300000012128804</c:v>
                </c:pt>
                <c:pt idx="832">
                  <c:v>0.16300000011287899</c:v>
                </c:pt>
                <c:pt idx="833">
                  <c:v>0.1630000001043401</c:v>
                </c:pt>
                <c:pt idx="834">
                  <c:v>0.16300000009571852</c:v>
                </c:pt>
                <c:pt idx="835">
                  <c:v>0.16300000008705953</c:v>
                </c:pt>
                <c:pt idx="836">
                  <c:v>0.16300000007840637</c:v>
                </c:pt>
                <c:pt idx="837">
                  <c:v>0.16300000006980017</c:v>
                </c:pt>
                <c:pt idx="838">
                  <c:v>0.16300000006127982</c:v>
                </c:pt>
                <c:pt idx="839">
                  <c:v>0.16300000005288187</c:v>
                </c:pt>
                <c:pt idx="840">
                  <c:v>0.16300000004464049</c:v>
                </c:pt>
                <c:pt idx="841">
                  <c:v>0.16300000003658754</c:v>
                </c:pt>
                <c:pt idx="842">
                  <c:v>0.16300000002875228</c:v>
                </c:pt>
                <c:pt idx="843">
                  <c:v>0.16300000002116163</c:v>
                </c:pt>
                <c:pt idx="844">
                  <c:v>0.16300000001383994</c:v>
                </c:pt>
                <c:pt idx="845">
                  <c:v>0.16300000000680914</c:v>
                </c:pt>
                <c:pt idx="846">
                  <c:v>0.16300000000008866</c:v>
                </c:pt>
                <c:pt idx="847">
                  <c:v>0.16299999999369549</c:v>
                </c:pt>
                <c:pt idx="848">
                  <c:v>0.16299999998764431</c:v>
                </c:pt>
                <c:pt idx="849">
                  <c:v>0.16299999998194734</c:v>
                </c:pt>
                <c:pt idx="850">
                  <c:v>0.16299999997661457</c:v>
                </c:pt>
                <c:pt idx="851">
                  <c:v>0.16299999997165379</c:v>
                </c:pt>
                <c:pt idx="852">
                  <c:v>0.16299999996707049</c:v>
                </c:pt>
                <c:pt idx="853">
                  <c:v>0.16299999996286826</c:v>
                </c:pt>
                <c:pt idx="854">
                  <c:v>0.16299999995904862</c:v>
                </c:pt>
                <c:pt idx="855">
                  <c:v>0.16299999995561115</c:v>
                </c:pt>
                <c:pt idx="856">
                  <c:v>0.16299999995255368</c:v>
                </c:pt>
                <c:pt idx="857">
                  <c:v>0.1629999999498723</c:v>
                </c:pt>
                <c:pt idx="858">
                  <c:v>0.16299999994756145</c:v>
                </c:pt>
                <c:pt idx="859">
                  <c:v>0.16299999994561418</c:v>
                </c:pt>
                <c:pt idx="860">
                  <c:v>0.16299999994402203</c:v>
                </c:pt>
                <c:pt idx="861">
                  <c:v>0.16299999994277531</c:v>
                </c:pt>
                <c:pt idx="862">
                  <c:v>0.16299999994186312</c:v>
                </c:pt>
                <c:pt idx="863">
                  <c:v>0.16299999994127357</c:v>
                </c:pt>
                <c:pt idx="864">
                  <c:v>0.16299999994099365</c:v>
                </c:pt>
                <c:pt idx="865">
                  <c:v>0.16299999994100967</c:v>
                </c:pt>
                <c:pt idx="866">
                  <c:v>0.16299999994130712</c:v>
                </c:pt>
                <c:pt idx="867">
                  <c:v>0.16299999994187081</c:v>
                </c:pt>
                <c:pt idx="868">
                  <c:v>0.16299999994268508</c:v>
                </c:pt>
                <c:pt idx="869">
                  <c:v>0.16299999994373379</c:v>
                </c:pt>
                <c:pt idx="870">
                  <c:v>0.16299999994500053</c:v>
                </c:pt>
                <c:pt idx="871">
                  <c:v>0.16299999994646858</c:v>
                </c:pt>
                <c:pt idx="872">
                  <c:v>0.16299999994812112</c:v>
                </c:pt>
                <c:pt idx="873">
                  <c:v>0.16299999994994124</c:v>
                </c:pt>
                <c:pt idx="874">
                  <c:v>0.16299999995191206</c:v>
                </c:pt>
                <c:pt idx="875">
                  <c:v>0.16299999995401679</c:v>
                </c:pt>
                <c:pt idx="876">
                  <c:v>0.16299999995623884</c:v>
                </c:pt>
                <c:pt idx="877">
                  <c:v>0.16299999995856185</c:v>
                </c:pt>
                <c:pt idx="878">
                  <c:v>0.16299999996096978</c:v>
                </c:pt>
                <c:pt idx="879">
                  <c:v>0.162999999963447</c:v>
                </c:pt>
                <c:pt idx="880">
                  <c:v>0.16299999996597825</c:v>
                </c:pt>
                <c:pt idx="881">
                  <c:v>0.1629999999685488</c:v>
                </c:pt>
                <c:pt idx="882">
                  <c:v>0.16299999997114445</c:v>
                </c:pt>
                <c:pt idx="883">
                  <c:v>0.16299999997375153</c:v>
                </c:pt>
                <c:pt idx="884">
                  <c:v>0.16299999997635703</c:v>
                </c:pt>
                <c:pt idx="885">
                  <c:v>0.16299999997894854</c:v>
                </c:pt>
                <c:pt idx="886">
                  <c:v>0.1629999999815144</c:v>
                </c:pt>
                <c:pt idx="887">
                  <c:v>0.16299999998404352</c:v>
                </c:pt>
                <c:pt idx="888">
                  <c:v>0.16299999998652565</c:v>
                </c:pt>
                <c:pt idx="889">
                  <c:v>0.16299999998895115</c:v>
                </c:pt>
                <c:pt idx="890">
                  <c:v>0.16299999999131123</c:v>
                </c:pt>
                <c:pt idx="891">
                  <c:v>0.16299999999359777</c:v>
                </c:pt>
                <c:pt idx="892">
                  <c:v>0.16299999999580342</c:v>
                </c:pt>
                <c:pt idx="893">
                  <c:v>0.16299999999792159</c:v>
                </c:pt>
                <c:pt idx="894">
                  <c:v>0.16299999999994635</c:v>
                </c:pt>
                <c:pt idx="895">
                  <c:v>0.16300000000187267</c:v>
                </c:pt>
                <c:pt idx="896">
                  <c:v>0.16300000000369605</c:v>
                </c:pt>
                <c:pt idx="897">
                  <c:v>0.16300000000541284</c:v>
                </c:pt>
                <c:pt idx="898">
                  <c:v>0.16300000000702</c:v>
                </c:pt>
                <c:pt idx="899">
                  <c:v>0.16300000000851519</c:v>
                </c:pt>
                <c:pt idx="900">
                  <c:v>0.16300000000989676</c:v>
                </c:pt>
                <c:pt idx="901">
                  <c:v>0.16300000001116358</c:v>
                </c:pt>
                <c:pt idx="902">
                  <c:v>0.16300000001231518</c:v>
                </c:pt>
                <c:pt idx="903">
                  <c:v>0.16300000001335177</c:v>
                </c:pt>
                <c:pt idx="904">
                  <c:v>0.16300000001427389</c:v>
                </c:pt>
                <c:pt idx="905">
                  <c:v>0.1630000000150828</c:v>
                </c:pt>
                <c:pt idx="906">
                  <c:v>0.16300000001578005</c:v>
                </c:pt>
                <c:pt idx="907">
                  <c:v>0.16300000001636783</c:v>
                </c:pt>
                <c:pt idx="908">
                  <c:v>0.16300000001684867</c:v>
                </c:pt>
                <c:pt idx="909">
                  <c:v>0.16300000001722545</c:v>
                </c:pt>
                <c:pt idx="910">
                  <c:v>0.16300000001750145</c:v>
                </c:pt>
                <c:pt idx="911">
                  <c:v>0.16300000001768025</c:v>
                </c:pt>
                <c:pt idx="912">
                  <c:v>0.16300000001776577</c:v>
                </c:pt>
                <c:pt idx="913">
                  <c:v>0.16300000001776213</c:v>
                </c:pt>
                <c:pt idx="914">
                  <c:v>0.1630000000176737</c:v>
                </c:pt>
                <c:pt idx="915">
                  <c:v>0.16300000001750503</c:v>
                </c:pt>
                <c:pt idx="916">
                  <c:v>0.16300000001726087</c:v>
                </c:pt>
                <c:pt idx="917">
                  <c:v>0.16300000001694603</c:v>
                </c:pt>
                <c:pt idx="918">
                  <c:v>0.1630000000165655</c:v>
                </c:pt>
                <c:pt idx="919">
                  <c:v>0.16300000001612425</c:v>
                </c:pt>
                <c:pt idx="920">
                  <c:v>0.16300000001562742</c:v>
                </c:pt>
                <c:pt idx="921">
                  <c:v>0.16300000001508005</c:v>
                </c:pt>
                <c:pt idx="922">
                  <c:v>0.16300000001448725</c:v>
                </c:pt>
                <c:pt idx="923">
                  <c:v>0.16300000001385404</c:v>
                </c:pt>
                <c:pt idx="924">
                  <c:v>0.16300000001318543</c:v>
                </c:pt>
                <c:pt idx="925">
                  <c:v>0.16300000001248641</c:v>
                </c:pt>
                <c:pt idx="926">
                  <c:v>0.16300000001176168</c:v>
                </c:pt>
                <c:pt idx="927">
                  <c:v>0.16300000001101608</c:v>
                </c:pt>
                <c:pt idx="928">
                  <c:v>0.16300000001025414</c:v>
                </c:pt>
                <c:pt idx="929">
                  <c:v>0.16300000000948031</c:v>
                </c:pt>
                <c:pt idx="930">
                  <c:v>0.16300000000869883</c:v>
                </c:pt>
                <c:pt idx="931">
                  <c:v>0.16300000000791387</c:v>
                </c:pt>
                <c:pt idx="932">
                  <c:v>0.16300000000712939</c:v>
                </c:pt>
                <c:pt idx="933">
                  <c:v>0.16300000000634898</c:v>
                </c:pt>
                <c:pt idx="934">
                  <c:v>0.16300000000557632</c:v>
                </c:pt>
                <c:pt idx="935">
                  <c:v>0.16300000000481465</c:v>
                </c:pt>
                <c:pt idx="936">
                  <c:v>0.16300000000406709</c:v>
                </c:pt>
                <c:pt idx="937">
                  <c:v>0.16300000000333653</c:v>
                </c:pt>
                <c:pt idx="938">
                  <c:v>0.16300000000262566</c:v>
                </c:pt>
                <c:pt idx="939">
                  <c:v>0.1630000000019369</c:v>
                </c:pt>
                <c:pt idx="940">
                  <c:v>0.1630000000012724</c:v>
                </c:pt>
                <c:pt idx="941">
                  <c:v>0.1630000000006343</c:v>
                </c:pt>
                <c:pt idx="942">
                  <c:v>0.16300000000002424</c:v>
                </c:pt>
                <c:pt idx="943">
                  <c:v>0.16299999999944387</c:v>
                </c:pt>
                <c:pt idx="944">
                  <c:v>0.16299999999889442</c:v>
                </c:pt>
                <c:pt idx="945">
                  <c:v>0.16299999999837705</c:v>
                </c:pt>
                <c:pt idx="946">
                  <c:v>0.16299999999789269</c:v>
                </c:pt>
                <c:pt idx="947">
                  <c:v>0.16299999999744205</c:v>
                </c:pt>
                <c:pt idx="948">
                  <c:v>0.16299999999702561</c:v>
                </c:pt>
                <c:pt idx="949">
                  <c:v>0.16299999999664369</c:v>
                </c:pt>
                <c:pt idx="950">
                  <c:v>0.16299999999629647</c:v>
                </c:pt>
                <c:pt idx="951">
                  <c:v>0.16299999999598391</c:v>
                </c:pt>
                <c:pt idx="952">
                  <c:v>0.1629999999957058</c:v>
                </c:pt>
                <c:pt idx="953">
                  <c:v>0.16299999999546178</c:v>
                </c:pt>
                <c:pt idx="954">
                  <c:v>0.16299999999525139</c:v>
                </c:pt>
                <c:pt idx="955">
                  <c:v>0.16299999999507397</c:v>
                </c:pt>
                <c:pt idx="956">
                  <c:v>0.16299999999492876</c:v>
                </c:pt>
                <c:pt idx="957">
                  <c:v>0.1629999999948149</c:v>
                </c:pt>
                <c:pt idx="958">
                  <c:v>0.16299999999473141</c:v>
                </c:pt>
                <c:pt idx="959">
                  <c:v>0.16299999999467715</c:v>
                </c:pt>
                <c:pt idx="960">
                  <c:v>0.16299999999465103</c:v>
                </c:pt>
                <c:pt idx="961">
                  <c:v>0.16299999999465178</c:v>
                </c:pt>
                <c:pt idx="962">
                  <c:v>0.16299999999467807</c:v>
                </c:pt>
                <c:pt idx="963">
                  <c:v>0.16299999999472853</c:v>
                </c:pt>
                <c:pt idx="964">
                  <c:v>0.16299999999480175</c:v>
                </c:pt>
                <c:pt idx="965">
                  <c:v>0.16299999999489628</c:v>
                </c:pt>
                <c:pt idx="966">
                  <c:v>0.16299999999501058</c:v>
                </c:pt>
                <c:pt idx="967">
                  <c:v>0.1629999999951432</c:v>
                </c:pt>
                <c:pt idx="968">
                  <c:v>0.16299999999529255</c:v>
                </c:pt>
                <c:pt idx="969">
                  <c:v>0.16299999999545717</c:v>
                </c:pt>
                <c:pt idx="970">
                  <c:v>0.1629999999956355</c:v>
                </c:pt>
                <c:pt idx="971">
                  <c:v>0.16299999999582598</c:v>
                </c:pt>
                <c:pt idx="972">
                  <c:v>0.16299999999602716</c:v>
                </c:pt>
                <c:pt idx="973">
                  <c:v>0.16299999999623754</c:v>
                </c:pt>
                <c:pt idx="974">
                  <c:v>0.16299999999645562</c:v>
                </c:pt>
                <c:pt idx="975">
                  <c:v>0.16299999999668005</c:v>
                </c:pt>
                <c:pt idx="976">
                  <c:v>0.16299999999690939</c:v>
                </c:pt>
                <c:pt idx="977">
                  <c:v>0.16299999999714238</c:v>
                </c:pt>
                <c:pt idx="978">
                  <c:v>0.16299999999737763</c:v>
                </c:pt>
                <c:pt idx="979">
                  <c:v>0.16299999999761397</c:v>
                </c:pt>
                <c:pt idx="980">
                  <c:v>0.1629999999978502</c:v>
                </c:pt>
                <c:pt idx="981">
                  <c:v>0.16299999999808518</c:v>
                </c:pt>
                <c:pt idx="982">
                  <c:v>0.16299999999831785</c:v>
                </c:pt>
                <c:pt idx="983">
                  <c:v>0.16299999999854722</c:v>
                </c:pt>
                <c:pt idx="984">
                  <c:v>0.1629999999987724</c:v>
                </c:pt>
                <c:pt idx="985">
                  <c:v>0.16299999999899242</c:v>
                </c:pt>
                <c:pt idx="986">
                  <c:v>0.16299999999920656</c:v>
                </c:pt>
                <c:pt idx="987">
                  <c:v>0.16299999999941403</c:v>
                </c:pt>
                <c:pt idx="988">
                  <c:v>0.16299999999961418</c:v>
                </c:pt>
                <c:pt idx="989">
                  <c:v>0.16299999999980644</c:v>
                </c:pt>
                <c:pt idx="990">
                  <c:v>0.16299999999999026</c:v>
                </c:pt>
                <c:pt idx="991">
                  <c:v>0.16300000000016512</c:v>
                </c:pt>
                <c:pt idx="992">
                  <c:v>0.16300000000033069</c:v>
                </c:pt>
                <c:pt idx="993">
                  <c:v>0.16300000000048659</c:v>
                </c:pt>
                <c:pt idx="994">
                  <c:v>0.16300000000063258</c:v>
                </c:pt>
                <c:pt idx="995">
                  <c:v>0.16300000000076839</c:v>
                </c:pt>
                <c:pt idx="996">
                  <c:v>0.1630000000008939</c:v>
                </c:pt>
                <c:pt idx="997">
                  <c:v>0.16300000000100906</c:v>
                </c:pt>
                <c:pt idx="998">
                  <c:v>0.16300000000111373</c:v>
                </c:pt>
                <c:pt idx="999">
                  <c:v>0.16300000000120798</c:v>
                </c:pt>
                <c:pt idx="1000">
                  <c:v>0.16300000000129186</c:v>
                </c:pt>
                <c:pt idx="1001">
                  <c:v>0.1630000000013655</c:v>
                </c:pt>
                <c:pt idx="1002">
                  <c:v>0.16300000000142897</c:v>
                </c:pt>
                <c:pt idx="1003">
                  <c:v>0.16300000000148251</c:v>
                </c:pt>
                <c:pt idx="1004">
                  <c:v>0.1630000000015264</c:v>
                </c:pt>
                <c:pt idx="1005">
                  <c:v>0.16300000000156076</c:v>
                </c:pt>
                <c:pt idx="1006">
                  <c:v>0.16300000000158604</c:v>
                </c:pt>
                <c:pt idx="1007">
                  <c:v>0.16300000000160247</c:v>
                </c:pt>
                <c:pt idx="1008">
                  <c:v>0.16300000000161047</c:v>
                </c:pt>
                <c:pt idx="1009">
                  <c:v>0.16300000000161036</c:v>
                </c:pt>
                <c:pt idx="1010">
                  <c:v>0.16300000000160253</c:v>
                </c:pt>
                <c:pt idx="1011">
                  <c:v>0.16300000000158746</c:v>
                </c:pt>
                <c:pt idx="1012">
                  <c:v>0.16300000000156548</c:v>
                </c:pt>
                <c:pt idx="1013">
                  <c:v>0.16300000000153711</c:v>
                </c:pt>
                <c:pt idx="1014">
                  <c:v>0.16300000000150278</c:v>
                </c:pt>
                <c:pt idx="1015">
                  <c:v>0.16300000000146292</c:v>
                </c:pt>
                <c:pt idx="1016">
                  <c:v>0.16300000000141801</c:v>
                </c:pt>
                <c:pt idx="1017">
                  <c:v>0.16300000000136849</c:v>
                </c:pt>
                <c:pt idx="1018">
                  <c:v>0.16300000000131487</c:v>
                </c:pt>
                <c:pt idx="1019">
                  <c:v>0.16300000000125756</c:v>
                </c:pt>
                <c:pt idx="1020">
                  <c:v>0.16300000000119705</c:v>
                </c:pt>
                <c:pt idx="1021">
                  <c:v>0.16300000000113371</c:v>
                </c:pt>
                <c:pt idx="1022">
                  <c:v>0.1630000000010681</c:v>
                </c:pt>
                <c:pt idx="1023">
                  <c:v>0.16300000000100054</c:v>
                </c:pt>
                <c:pt idx="1024">
                  <c:v>0.16300000000093148</c:v>
                </c:pt>
                <c:pt idx="1025">
                  <c:v>0.16300000000086137</c:v>
                </c:pt>
                <c:pt idx="1026">
                  <c:v>0.16300000000079051</c:v>
                </c:pt>
                <c:pt idx="1027">
                  <c:v>0.16300000000071938</c:v>
                </c:pt>
                <c:pt idx="1028">
                  <c:v>0.16300000000064824</c:v>
                </c:pt>
                <c:pt idx="1029">
                  <c:v>0.16300000000057749</c:v>
                </c:pt>
                <c:pt idx="1030">
                  <c:v>0.16300000000050743</c:v>
                </c:pt>
                <c:pt idx="1031">
                  <c:v>0.16300000000043835</c:v>
                </c:pt>
                <c:pt idx="1032">
                  <c:v>0.16300000000037054</c:v>
                </c:pt>
                <c:pt idx="1033">
                  <c:v>0.16300000000030426</c:v>
                </c:pt>
                <c:pt idx="1034">
                  <c:v>0.16300000000023973</c:v>
                </c:pt>
                <c:pt idx="1035">
                  <c:v>0.16300000000017728</c:v>
                </c:pt>
                <c:pt idx="1036">
                  <c:v>0.16300000000011697</c:v>
                </c:pt>
                <c:pt idx="1037">
                  <c:v>0.16300000000005904</c:v>
                </c:pt>
                <c:pt idx="1038">
                  <c:v>0.16300000000000367</c:v>
                </c:pt>
                <c:pt idx="1039">
                  <c:v>0.16299999999995099</c:v>
                </c:pt>
                <c:pt idx="1040">
                  <c:v>0.16299999999990109</c:v>
                </c:pt>
                <c:pt idx="1041">
                  <c:v>0.16299999999985412</c:v>
                </c:pt>
                <c:pt idx="1042">
                  <c:v>0.1629999999998101</c:v>
                </c:pt>
                <c:pt idx="1043">
                  <c:v>0.16299999999976916</c:v>
                </c:pt>
                <c:pt idx="1044">
                  <c:v>0.16299999999973133</c:v>
                </c:pt>
                <c:pt idx="1045">
                  <c:v>0.16299999999969664</c:v>
                </c:pt>
                <c:pt idx="1046">
                  <c:v>0.16299999999966505</c:v>
                </c:pt>
                <c:pt idx="1047">
                  <c:v>0.16299999999963666</c:v>
                </c:pt>
                <c:pt idx="1048">
                  <c:v>0.16299999999961134</c:v>
                </c:pt>
                <c:pt idx="1049">
                  <c:v>0.16299999999958914</c:v>
                </c:pt>
                <c:pt idx="1050">
                  <c:v>0.16299999999956999</c:v>
                </c:pt>
                <c:pt idx="1051">
                  <c:v>0.16299999999955381</c:v>
                </c:pt>
                <c:pt idx="1052">
                  <c:v>0.16299999999954057</c:v>
                </c:pt>
                <c:pt idx="1053">
                  <c:v>0.16299999999953016</c:v>
                </c:pt>
                <c:pt idx="1054">
                  <c:v>0.16299999999952253</c:v>
                </c:pt>
                <c:pt idx="1055">
                  <c:v>0.16299999999951756</c:v>
                </c:pt>
                <c:pt idx="1056">
                  <c:v>0.16299999999951512</c:v>
                </c:pt>
                <c:pt idx="1057">
                  <c:v>0.16299999999951512</c:v>
                </c:pt>
                <c:pt idx="1058">
                  <c:v>0.16299999999951742</c:v>
                </c:pt>
                <c:pt idx="1059">
                  <c:v>0.16299999999952197</c:v>
                </c:pt>
                <c:pt idx="1060">
                  <c:v>0.16299999999952852</c:v>
                </c:pt>
                <c:pt idx="1061">
                  <c:v>0.16299999999953704</c:v>
                </c:pt>
                <c:pt idx="1062">
                  <c:v>0.16299999999954737</c:v>
                </c:pt>
                <c:pt idx="1063">
                  <c:v>0.16299999999955933</c:v>
                </c:pt>
                <c:pt idx="1064">
                  <c:v>0.16299999999957285</c:v>
                </c:pt>
                <c:pt idx="1065">
                  <c:v>0.16299999999958772</c:v>
                </c:pt>
                <c:pt idx="1066">
                  <c:v>0.16299999999960388</c:v>
                </c:pt>
                <c:pt idx="1067">
                  <c:v>0.16299999999962111</c:v>
                </c:pt>
                <c:pt idx="1068">
                  <c:v>0.16299999999963932</c:v>
                </c:pt>
                <c:pt idx="1069">
                  <c:v>0.16299999999965836</c:v>
                </c:pt>
                <c:pt idx="1070">
                  <c:v>0.16299999999967815</c:v>
                </c:pt>
                <c:pt idx="1071">
                  <c:v>0.16299999999969847</c:v>
                </c:pt>
                <c:pt idx="1072">
                  <c:v>0.16299999999971923</c:v>
                </c:pt>
                <c:pt idx="1073">
                  <c:v>0.16299999999974035</c:v>
                </c:pt>
                <c:pt idx="1074">
                  <c:v>0.1629999999997617</c:v>
                </c:pt>
                <c:pt idx="1075">
                  <c:v>0.1629999999997831</c:v>
                </c:pt>
                <c:pt idx="1076">
                  <c:v>0.16299999999980452</c:v>
                </c:pt>
                <c:pt idx="1077">
                  <c:v>0.16299999999982584</c:v>
                </c:pt>
                <c:pt idx="1078">
                  <c:v>0.16299999999984693</c:v>
                </c:pt>
                <c:pt idx="1079">
                  <c:v>0.16299999999986772</c:v>
                </c:pt>
                <c:pt idx="1080">
                  <c:v>0.16299999999988815</c:v>
                </c:pt>
                <c:pt idx="1081">
                  <c:v>0.16299999999990814</c:v>
                </c:pt>
                <c:pt idx="1082">
                  <c:v>0.16299999999992754</c:v>
                </c:pt>
                <c:pt idx="1083">
                  <c:v>0.16299999999994635</c:v>
                </c:pt>
                <c:pt idx="1084">
                  <c:v>0.16299999999996453</c:v>
                </c:pt>
                <c:pt idx="1085">
                  <c:v>0.16299999999998196</c:v>
                </c:pt>
                <c:pt idx="1086">
                  <c:v>0.16299999999999867</c:v>
                </c:pt>
                <c:pt idx="1087">
                  <c:v>0.16300000000001455</c:v>
                </c:pt>
                <c:pt idx="1088">
                  <c:v>0.16300000000002957</c:v>
                </c:pt>
                <c:pt idx="1089">
                  <c:v>0.16300000000004372</c:v>
                </c:pt>
                <c:pt idx="1090">
                  <c:v>0.16300000000005699</c:v>
                </c:pt>
                <c:pt idx="1091">
                  <c:v>0.16300000000006934</c:v>
                </c:pt>
                <c:pt idx="1092">
                  <c:v>0.16300000000008072</c:v>
                </c:pt>
                <c:pt idx="1093">
                  <c:v>0.16300000000009121</c:v>
                </c:pt>
                <c:pt idx="1094">
                  <c:v>0.16300000000010073</c:v>
                </c:pt>
                <c:pt idx="1095">
                  <c:v>0.16300000000010928</c:v>
                </c:pt>
                <c:pt idx="1096">
                  <c:v>0.16300000000011691</c:v>
                </c:pt>
                <c:pt idx="1097">
                  <c:v>0.1630000000001236</c:v>
                </c:pt>
                <c:pt idx="1098">
                  <c:v>0.16300000000012937</c:v>
                </c:pt>
                <c:pt idx="1099">
                  <c:v>0.16300000000013426</c:v>
                </c:pt>
                <c:pt idx="1100">
                  <c:v>0.16300000000013828</c:v>
                </c:pt>
                <c:pt idx="1101">
                  <c:v>0.16300000000014142</c:v>
                </c:pt>
                <c:pt idx="1102">
                  <c:v>0.16300000000014372</c:v>
                </c:pt>
                <c:pt idx="1103">
                  <c:v>0.16300000000014525</c:v>
                </c:pt>
                <c:pt idx="1104">
                  <c:v>0.16300000000014597</c:v>
                </c:pt>
                <c:pt idx="1105">
                  <c:v>0.163000000000146</c:v>
                </c:pt>
                <c:pt idx="1106">
                  <c:v>0.16300000000014531</c:v>
                </c:pt>
                <c:pt idx="1107">
                  <c:v>0.16300000000014395</c:v>
                </c:pt>
                <c:pt idx="1108">
                  <c:v>0.16300000000014198</c:v>
                </c:pt>
                <c:pt idx="1109">
                  <c:v>0.16300000000013942</c:v>
                </c:pt>
                <c:pt idx="1110">
                  <c:v>0.16300000000013634</c:v>
                </c:pt>
                <c:pt idx="1111">
                  <c:v>0.16300000000013273</c:v>
                </c:pt>
                <c:pt idx="1112">
                  <c:v>0.16300000000012865</c:v>
                </c:pt>
                <c:pt idx="1113">
                  <c:v>0.16300000000012418</c:v>
                </c:pt>
                <c:pt idx="1114">
                  <c:v>0.16300000000011933</c:v>
                </c:pt>
                <c:pt idx="1115">
                  <c:v>0.16300000000011416</c:v>
                </c:pt>
                <c:pt idx="1116">
                  <c:v>0.16300000000010867</c:v>
                </c:pt>
                <c:pt idx="1117">
                  <c:v>0.16300000000010295</c:v>
                </c:pt>
                <c:pt idx="1118">
                  <c:v>0.16300000000009701</c:v>
                </c:pt>
                <c:pt idx="1119">
                  <c:v>0.16300000000009088</c:v>
                </c:pt>
                <c:pt idx="1120">
                  <c:v>0.1630000000000846</c:v>
                </c:pt>
                <c:pt idx="1121">
                  <c:v>0.16300000000007825</c:v>
                </c:pt>
                <c:pt idx="1122">
                  <c:v>0.16300000000007184</c:v>
                </c:pt>
                <c:pt idx="1123">
                  <c:v>0.16300000000006537</c:v>
                </c:pt>
                <c:pt idx="1124">
                  <c:v>0.16300000000005896</c:v>
                </c:pt>
                <c:pt idx="1125">
                  <c:v>0.16300000000005252</c:v>
                </c:pt>
                <c:pt idx="1126">
                  <c:v>0.16300000000004616</c:v>
                </c:pt>
                <c:pt idx="1127">
                  <c:v>0.16300000000003989</c:v>
                </c:pt>
                <c:pt idx="1128">
                  <c:v>0.16300000000003376</c:v>
                </c:pt>
                <c:pt idx="1129">
                  <c:v>0.16300000000002773</c:v>
                </c:pt>
                <c:pt idx="1130">
                  <c:v>0.16300000000002191</c:v>
                </c:pt>
                <c:pt idx="1131">
                  <c:v>0.16300000000001622</c:v>
                </c:pt>
                <c:pt idx="1132">
                  <c:v>0.16300000000001075</c:v>
                </c:pt>
                <c:pt idx="1133">
                  <c:v>0.1630000000000055</c:v>
                </c:pt>
                <c:pt idx="1134">
                  <c:v>0.16300000000000048</c:v>
                </c:pt>
                <c:pt idx="1135">
                  <c:v>0.16299999999999568</c:v>
                </c:pt>
                <c:pt idx="1136">
                  <c:v>0.16299999999999115</c:v>
                </c:pt>
                <c:pt idx="1137">
                  <c:v>0.16299999999998691</c:v>
                </c:pt>
                <c:pt idx="1138">
                  <c:v>0.16299999999998288</c:v>
                </c:pt>
                <c:pt idx="1139">
                  <c:v>0.16299999999997919</c:v>
                </c:pt>
                <c:pt idx="1140">
                  <c:v>0.16299999999997572</c:v>
                </c:pt>
                <c:pt idx="1141">
                  <c:v>0.16299999999997258</c:v>
                </c:pt>
                <c:pt idx="1142">
                  <c:v>0.16299999999996972</c:v>
                </c:pt>
                <c:pt idx="1143">
                  <c:v>0.16299999999996712</c:v>
                </c:pt>
                <c:pt idx="1144">
                  <c:v>0.16299999999996484</c:v>
                </c:pt>
                <c:pt idx="1145">
                  <c:v>0.16299999999996279</c:v>
                </c:pt>
                <c:pt idx="1146">
                  <c:v>0.16299999999996106</c:v>
                </c:pt>
                <c:pt idx="1147">
                  <c:v>0.16299999999995959</c:v>
                </c:pt>
                <c:pt idx="1148">
                  <c:v>0.16299999999995837</c:v>
                </c:pt>
                <c:pt idx="1149">
                  <c:v>0.16299999999995743</c:v>
                </c:pt>
                <c:pt idx="1150">
                  <c:v>0.16299999999995674</c:v>
                </c:pt>
                <c:pt idx="1151">
                  <c:v>0.16299999999995626</c:v>
                </c:pt>
                <c:pt idx="1152">
                  <c:v>0.16299999999995604</c:v>
                </c:pt>
                <c:pt idx="1153">
                  <c:v>0.16299999999995604</c:v>
                </c:pt>
                <c:pt idx="1154">
                  <c:v>0.16299999999995624</c:v>
                </c:pt>
                <c:pt idx="1155">
                  <c:v>0.16299999999995665</c:v>
                </c:pt>
                <c:pt idx="1156">
                  <c:v>0.16299999999995723</c:v>
                </c:pt>
                <c:pt idx="1157">
                  <c:v>0.16299999999995801</c:v>
                </c:pt>
                <c:pt idx="1158">
                  <c:v>0.16299999999995893</c:v>
                </c:pt>
                <c:pt idx="1159">
                  <c:v>0.16299999999996001</c:v>
                </c:pt>
                <c:pt idx="1160">
                  <c:v>0.16299999999996123</c:v>
                </c:pt>
                <c:pt idx="1161">
                  <c:v>0.16299999999996259</c:v>
                </c:pt>
                <c:pt idx="1162">
                  <c:v>0.16299999999996406</c:v>
                </c:pt>
                <c:pt idx="1163">
                  <c:v>0.16299999999996562</c:v>
                </c:pt>
                <c:pt idx="1164">
                  <c:v>0.16299999999996725</c:v>
                </c:pt>
                <c:pt idx="1165">
                  <c:v>0.16299999999996898</c:v>
                </c:pt>
                <c:pt idx="1166">
                  <c:v>0.16299999999997078</c:v>
                </c:pt>
                <c:pt idx="1167">
                  <c:v>0.16299999999997261</c:v>
                </c:pt>
                <c:pt idx="1168">
                  <c:v>0.1629999999999745</c:v>
                </c:pt>
                <c:pt idx="1169">
                  <c:v>0.16299999999997639</c:v>
                </c:pt>
                <c:pt idx="1170">
                  <c:v>0.16299999999997836</c:v>
                </c:pt>
                <c:pt idx="1171">
                  <c:v>0.16299999999998027</c:v>
                </c:pt>
                <c:pt idx="1172">
                  <c:v>0.16299999999998221</c:v>
                </c:pt>
                <c:pt idx="1173">
                  <c:v>0.16299999999998416</c:v>
                </c:pt>
                <c:pt idx="1174">
                  <c:v>0.16299999999998607</c:v>
                </c:pt>
                <c:pt idx="1175">
                  <c:v>0.16299999999998793</c:v>
                </c:pt>
                <c:pt idx="1176">
                  <c:v>0.16299999999998982</c:v>
                </c:pt>
                <c:pt idx="1177">
                  <c:v>0.1629999999999916</c:v>
                </c:pt>
                <c:pt idx="1178">
                  <c:v>0.1629999999999934</c:v>
                </c:pt>
                <c:pt idx="1179">
                  <c:v>0.16299999999999509</c:v>
                </c:pt>
                <c:pt idx="1180">
                  <c:v>0.16299999999999673</c:v>
                </c:pt>
                <c:pt idx="1181">
                  <c:v>0.16299999999999831</c:v>
                </c:pt>
                <c:pt idx="1182">
                  <c:v>0.16299999999999984</c:v>
                </c:pt>
                <c:pt idx="1183">
                  <c:v>0.16300000000000128</c:v>
                </c:pt>
                <c:pt idx="1184">
                  <c:v>0.16300000000000264</c:v>
                </c:pt>
                <c:pt idx="1185">
                  <c:v>0.16300000000000392</c:v>
                </c:pt>
                <c:pt idx="1186">
                  <c:v>0.16300000000000514</c:v>
                </c:pt>
                <c:pt idx="1187">
                  <c:v>0.16300000000000625</c:v>
                </c:pt>
                <c:pt idx="1188">
                  <c:v>0.16300000000000728</c:v>
                </c:pt>
                <c:pt idx="1189">
                  <c:v>0.16300000000000825</c:v>
                </c:pt>
                <c:pt idx="1190">
                  <c:v>0.16300000000000911</c:v>
                </c:pt>
                <c:pt idx="1191">
                  <c:v>0.16300000000000989</c:v>
                </c:pt>
                <c:pt idx="1192">
                  <c:v>0.16300000000001058</c:v>
                </c:pt>
                <c:pt idx="1193">
                  <c:v>0.16300000000001119</c:v>
                </c:pt>
                <c:pt idx="1194">
                  <c:v>0.16300000000001169</c:v>
                </c:pt>
                <c:pt idx="1195">
                  <c:v>0.16300000000001216</c:v>
                </c:pt>
                <c:pt idx="1196">
                  <c:v>0.16300000000001252</c:v>
                </c:pt>
                <c:pt idx="1197">
                  <c:v>0.1630000000000128</c:v>
                </c:pt>
                <c:pt idx="1198">
                  <c:v>0.16300000000001302</c:v>
                </c:pt>
                <c:pt idx="1199">
                  <c:v>0.16300000000001316</c:v>
                </c:pt>
                <c:pt idx="1200">
                  <c:v>0.16300000000001322</c:v>
                </c:pt>
                <c:pt idx="1201">
                  <c:v>0.16300000000001322</c:v>
                </c:pt>
                <c:pt idx="1202">
                  <c:v>0.16300000000001316</c:v>
                </c:pt>
                <c:pt idx="1203">
                  <c:v>0.16300000000001305</c:v>
                </c:pt>
                <c:pt idx="1204">
                  <c:v>0.16300000000001288</c:v>
                </c:pt>
                <c:pt idx="1205">
                  <c:v>0.16300000000001263</c:v>
                </c:pt>
                <c:pt idx="1206">
                  <c:v>0.16300000000001238</c:v>
                </c:pt>
                <c:pt idx="1207">
                  <c:v>0.16300000000001202</c:v>
                </c:pt>
                <c:pt idx="1208">
                  <c:v>0.16300000000001169</c:v>
                </c:pt>
                <c:pt idx="1209">
                  <c:v>0.16300000000001127</c:v>
                </c:pt>
                <c:pt idx="1210">
                  <c:v>0.16300000000001083</c:v>
                </c:pt>
                <c:pt idx="1211">
                  <c:v>0.16300000000001036</c:v>
                </c:pt>
                <c:pt idx="1212">
                  <c:v>0.16300000000000986</c:v>
                </c:pt>
                <c:pt idx="1213">
                  <c:v>0.16300000000000933</c:v>
                </c:pt>
                <c:pt idx="1214">
                  <c:v>0.1630000000000088</c:v>
                </c:pt>
                <c:pt idx="1215">
                  <c:v>0.16300000000000825</c:v>
                </c:pt>
                <c:pt idx="1216">
                  <c:v>0.16300000000000769</c:v>
                </c:pt>
                <c:pt idx="1217">
                  <c:v>0.16300000000000711</c:v>
                </c:pt>
                <c:pt idx="1218">
                  <c:v>0.1630000000000065</c:v>
                </c:pt>
                <c:pt idx="1219">
                  <c:v>0.16300000000000595</c:v>
                </c:pt>
                <c:pt idx="1220">
                  <c:v>0.16300000000000536</c:v>
                </c:pt>
                <c:pt idx="1221">
                  <c:v>0.16300000000000478</c:v>
                </c:pt>
                <c:pt idx="1222">
                  <c:v>0.1630000000000042</c:v>
                </c:pt>
                <c:pt idx="1223">
                  <c:v>0.16300000000000364</c:v>
                </c:pt>
                <c:pt idx="1224">
                  <c:v>0.16300000000000306</c:v>
                </c:pt>
                <c:pt idx="1225">
                  <c:v>0.16300000000000253</c:v>
                </c:pt>
                <c:pt idx="1226">
                  <c:v>0.163000000000002</c:v>
                </c:pt>
                <c:pt idx="1227">
                  <c:v>0.16300000000000148</c:v>
                </c:pt>
                <c:pt idx="1228">
                  <c:v>0.16300000000000098</c:v>
                </c:pt>
                <c:pt idx="1229">
                  <c:v>0.16300000000000051</c:v>
                </c:pt>
                <c:pt idx="1230">
                  <c:v>0.16300000000000006</c:v>
                </c:pt>
                <c:pt idx="1231">
                  <c:v>0.16299999999999962</c:v>
                </c:pt>
                <c:pt idx="1232">
                  <c:v>0.1629999999999992</c:v>
                </c:pt>
                <c:pt idx="1233">
                  <c:v>0.16299999999999881</c:v>
                </c:pt>
                <c:pt idx="1234">
                  <c:v>0.16299999999999845</c:v>
                </c:pt>
                <c:pt idx="1235">
                  <c:v>0.16299999999999812</c:v>
                </c:pt>
                <c:pt idx="1236">
                  <c:v>0.16299999999999779</c:v>
                </c:pt>
                <c:pt idx="1237">
                  <c:v>0.16299999999999754</c:v>
                </c:pt>
                <c:pt idx="1238">
                  <c:v>0.16299999999999726</c:v>
                </c:pt>
                <c:pt idx="1239">
                  <c:v>0.16299999999999701</c:v>
                </c:pt>
                <c:pt idx="1240">
                  <c:v>0.16299999999999681</c:v>
                </c:pt>
                <c:pt idx="1241">
                  <c:v>0.16299999999999665</c:v>
                </c:pt>
                <c:pt idx="1242">
                  <c:v>0.16299999999999648</c:v>
                </c:pt>
                <c:pt idx="1243">
                  <c:v>0.16299999999999634</c:v>
                </c:pt>
                <c:pt idx="1244">
                  <c:v>0.16299999999999623</c:v>
                </c:pt>
                <c:pt idx="1245">
                  <c:v>0.16299999999999615</c:v>
                </c:pt>
                <c:pt idx="1246">
                  <c:v>0.16299999999999606</c:v>
                </c:pt>
                <c:pt idx="1247">
                  <c:v>0.16299999999999604</c:v>
                </c:pt>
                <c:pt idx="1248">
                  <c:v>0.16299999999999601</c:v>
                </c:pt>
                <c:pt idx="1249">
                  <c:v>0.16299999999999601</c:v>
                </c:pt>
                <c:pt idx="1250">
                  <c:v>0.16299999999999604</c:v>
                </c:pt>
                <c:pt idx="1251">
                  <c:v>0.16299999999999606</c:v>
                </c:pt>
                <c:pt idx="1252">
                  <c:v>0.16299999999999612</c:v>
                </c:pt>
                <c:pt idx="1253">
                  <c:v>0.16299999999999618</c:v>
                </c:pt>
                <c:pt idx="1254">
                  <c:v>0.16299999999999626</c:v>
                </c:pt>
                <c:pt idx="1255">
                  <c:v>0.16299999999999637</c:v>
                </c:pt>
                <c:pt idx="1256">
                  <c:v>0.16299999999999648</c:v>
                </c:pt>
                <c:pt idx="1257">
                  <c:v>0.16299999999999659</c:v>
                </c:pt>
                <c:pt idx="1258">
                  <c:v>0.16299999999999673</c:v>
                </c:pt>
                <c:pt idx="1259">
                  <c:v>0.16299999999999687</c:v>
                </c:pt>
                <c:pt idx="1260">
                  <c:v>0.16299999999999701</c:v>
                </c:pt>
                <c:pt idx="1261">
                  <c:v>0.16299999999999717</c:v>
                </c:pt>
                <c:pt idx="1262">
                  <c:v>0.16299999999999731</c:v>
                </c:pt>
                <c:pt idx="1263">
                  <c:v>0.16299999999999751</c:v>
                </c:pt>
                <c:pt idx="1264">
                  <c:v>0.16299999999999767</c:v>
                </c:pt>
                <c:pt idx="1265">
                  <c:v>0.16299999999999784</c:v>
                </c:pt>
                <c:pt idx="1266">
                  <c:v>0.16299999999999804</c:v>
                </c:pt>
                <c:pt idx="1267">
                  <c:v>0.1629999999999982</c:v>
                </c:pt>
                <c:pt idx="1268">
                  <c:v>0.16299999999999837</c:v>
                </c:pt>
                <c:pt idx="1269">
                  <c:v>0.16299999999999856</c:v>
                </c:pt>
                <c:pt idx="1270">
                  <c:v>0.16299999999999873</c:v>
                </c:pt>
                <c:pt idx="1271">
                  <c:v>0.1629999999999989</c:v>
                </c:pt>
                <c:pt idx="1272">
                  <c:v>0.16299999999999906</c:v>
                </c:pt>
                <c:pt idx="1273">
                  <c:v>0.16299999999999923</c:v>
                </c:pt>
                <c:pt idx="1274">
                  <c:v>0.1629999999999994</c:v>
                </c:pt>
                <c:pt idx="1275">
                  <c:v>0.16299999999999956</c:v>
                </c:pt>
                <c:pt idx="1276">
                  <c:v>0.1629999999999997</c:v>
                </c:pt>
                <c:pt idx="1277">
                  <c:v>0.16299999999999984</c:v>
                </c:pt>
                <c:pt idx="1278">
                  <c:v>0.16299999999999998</c:v>
                </c:pt>
                <c:pt idx="1279">
                  <c:v>0.16300000000000012</c:v>
                </c:pt>
                <c:pt idx="1280">
                  <c:v>0.16300000000000023</c:v>
                </c:pt>
                <c:pt idx="1281">
                  <c:v>0.16300000000000034</c:v>
                </c:pt>
                <c:pt idx="1282">
                  <c:v>0.16300000000000045</c:v>
                </c:pt>
                <c:pt idx="1283">
                  <c:v>0.16300000000000056</c:v>
                </c:pt>
                <c:pt idx="1284">
                  <c:v>0.16300000000000067</c:v>
                </c:pt>
                <c:pt idx="1285">
                  <c:v>0.16300000000000073</c:v>
                </c:pt>
                <c:pt idx="1286">
                  <c:v>0.16300000000000084</c:v>
                </c:pt>
                <c:pt idx="1287">
                  <c:v>0.16300000000000089</c:v>
                </c:pt>
                <c:pt idx="1288">
                  <c:v>0.16300000000000095</c:v>
                </c:pt>
                <c:pt idx="1289">
                  <c:v>0.16300000000000101</c:v>
                </c:pt>
                <c:pt idx="1290">
                  <c:v>0.16300000000000103</c:v>
                </c:pt>
                <c:pt idx="1291">
                  <c:v>0.16300000000000109</c:v>
                </c:pt>
                <c:pt idx="1292">
                  <c:v>0.16300000000000114</c:v>
                </c:pt>
                <c:pt idx="1293">
                  <c:v>0.16300000000000117</c:v>
                </c:pt>
                <c:pt idx="1294">
                  <c:v>0.1630000000000012</c:v>
                </c:pt>
                <c:pt idx="1295">
                  <c:v>0.1630000000000012</c:v>
                </c:pt>
                <c:pt idx="1296">
                  <c:v>0.1630000000000012</c:v>
                </c:pt>
                <c:pt idx="1297">
                  <c:v>0.1630000000000012</c:v>
                </c:pt>
                <c:pt idx="1298">
                  <c:v>0.1630000000000012</c:v>
                </c:pt>
                <c:pt idx="1299">
                  <c:v>0.16300000000000117</c:v>
                </c:pt>
                <c:pt idx="1300">
                  <c:v>0.16300000000000117</c:v>
                </c:pt>
                <c:pt idx="1301">
                  <c:v>0.16300000000000114</c:v>
                </c:pt>
                <c:pt idx="1302">
                  <c:v>0.16300000000000112</c:v>
                </c:pt>
                <c:pt idx="1303">
                  <c:v>0.16300000000000109</c:v>
                </c:pt>
                <c:pt idx="1304">
                  <c:v>0.16300000000000103</c:v>
                </c:pt>
                <c:pt idx="1305">
                  <c:v>0.16300000000000101</c:v>
                </c:pt>
                <c:pt idx="1306">
                  <c:v>0.16300000000000098</c:v>
                </c:pt>
                <c:pt idx="1307">
                  <c:v>0.16300000000000092</c:v>
                </c:pt>
                <c:pt idx="1308">
                  <c:v>0.16300000000000089</c:v>
                </c:pt>
                <c:pt idx="1309">
                  <c:v>0.16300000000000084</c:v>
                </c:pt>
                <c:pt idx="1310">
                  <c:v>0.16300000000000081</c:v>
                </c:pt>
                <c:pt idx="1311">
                  <c:v>0.16300000000000076</c:v>
                </c:pt>
                <c:pt idx="1312">
                  <c:v>0.16300000000000067</c:v>
                </c:pt>
                <c:pt idx="1313">
                  <c:v>0.16300000000000062</c:v>
                </c:pt>
                <c:pt idx="1314">
                  <c:v>0.16300000000000059</c:v>
                </c:pt>
                <c:pt idx="1315">
                  <c:v>0.16300000000000053</c:v>
                </c:pt>
                <c:pt idx="1316">
                  <c:v>0.16300000000000051</c:v>
                </c:pt>
                <c:pt idx="1317">
                  <c:v>0.16300000000000042</c:v>
                </c:pt>
                <c:pt idx="1318">
                  <c:v>0.16300000000000037</c:v>
                </c:pt>
                <c:pt idx="1319">
                  <c:v>0.16300000000000031</c:v>
                </c:pt>
                <c:pt idx="1320">
                  <c:v>0.16300000000000028</c:v>
                </c:pt>
                <c:pt idx="1321">
                  <c:v>0.16300000000000023</c:v>
                </c:pt>
                <c:pt idx="1322">
                  <c:v>0.16300000000000017</c:v>
                </c:pt>
                <c:pt idx="1323">
                  <c:v>0.16300000000000012</c:v>
                </c:pt>
                <c:pt idx="1324">
                  <c:v>0.16300000000000009</c:v>
                </c:pt>
                <c:pt idx="1325">
                  <c:v>0.16300000000000003</c:v>
                </c:pt>
                <c:pt idx="1326">
                  <c:v>0.16300000000000001</c:v>
                </c:pt>
                <c:pt idx="1327">
                  <c:v>0.16299999999999995</c:v>
                </c:pt>
                <c:pt idx="1328">
                  <c:v>0.16299999999999995</c:v>
                </c:pt>
                <c:pt idx="1329">
                  <c:v>0.16299999999999989</c:v>
                </c:pt>
                <c:pt idx="1330">
                  <c:v>0.16299999999999984</c:v>
                </c:pt>
                <c:pt idx="1331">
                  <c:v>0.16299999999999984</c:v>
                </c:pt>
                <c:pt idx="1332">
                  <c:v>0.16299999999999978</c:v>
                </c:pt>
                <c:pt idx="1333">
                  <c:v>0.16299999999999976</c:v>
                </c:pt>
                <c:pt idx="1334">
                  <c:v>0.16299999999999976</c:v>
                </c:pt>
                <c:pt idx="1335">
                  <c:v>0.16299999999999973</c:v>
                </c:pt>
                <c:pt idx="1336">
                  <c:v>0.1629999999999997</c:v>
                </c:pt>
                <c:pt idx="1337">
                  <c:v>0.1629999999999997</c:v>
                </c:pt>
                <c:pt idx="1338">
                  <c:v>0.1629999999999997</c:v>
                </c:pt>
                <c:pt idx="1339">
                  <c:v>0.16299999999999965</c:v>
                </c:pt>
                <c:pt idx="1340">
                  <c:v>0.16299999999999967</c:v>
                </c:pt>
                <c:pt idx="1341">
                  <c:v>0.16299999999999965</c:v>
                </c:pt>
                <c:pt idx="1342">
                  <c:v>0.16299999999999965</c:v>
                </c:pt>
                <c:pt idx="1343">
                  <c:v>0.16299999999999965</c:v>
                </c:pt>
                <c:pt idx="1344">
                  <c:v>0.16299999999999965</c:v>
                </c:pt>
                <c:pt idx="1345">
                  <c:v>0.16299999999999965</c:v>
                </c:pt>
                <c:pt idx="1346">
                  <c:v>0.16299999999999965</c:v>
                </c:pt>
                <c:pt idx="1347">
                  <c:v>0.16299999999999965</c:v>
                </c:pt>
                <c:pt idx="1348">
                  <c:v>0.16299999999999965</c:v>
                </c:pt>
                <c:pt idx="1349">
                  <c:v>0.16299999999999965</c:v>
                </c:pt>
                <c:pt idx="1350">
                  <c:v>0.16299999999999967</c:v>
                </c:pt>
                <c:pt idx="1351">
                  <c:v>0.16299999999999967</c:v>
                </c:pt>
                <c:pt idx="1352">
                  <c:v>0.16299999999999967</c:v>
                </c:pt>
                <c:pt idx="1353">
                  <c:v>0.1629999999999997</c:v>
                </c:pt>
                <c:pt idx="1354">
                  <c:v>0.1629999999999997</c:v>
                </c:pt>
                <c:pt idx="1355">
                  <c:v>0.1629999999999997</c:v>
                </c:pt>
                <c:pt idx="1356">
                  <c:v>0.16299999999999973</c:v>
                </c:pt>
                <c:pt idx="1357">
                  <c:v>0.16299999999999976</c:v>
                </c:pt>
                <c:pt idx="1358">
                  <c:v>0.16299999999999976</c:v>
                </c:pt>
                <c:pt idx="1359">
                  <c:v>0.16299999999999976</c:v>
                </c:pt>
                <c:pt idx="1360">
                  <c:v>0.16299999999999978</c:v>
                </c:pt>
                <c:pt idx="1361">
                  <c:v>0.16299999999999978</c:v>
                </c:pt>
                <c:pt idx="1362">
                  <c:v>0.16299999999999981</c:v>
                </c:pt>
                <c:pt idx="1363">
                  <c:v>0.16299999999999984</c:v>
                </c:pt>
                <c:pt idx="1364">
                  <c:v>0.16299999999999984</c:v>
                </c:pt>
                <c:pt idx="1365">
                  <c:v>0.16299999999999984</c:v>
                </c:pt>
                <c:pt idx="1366">
                  <c:v>0.16299999999999987</c:v>
                </c:pt>
                <c:pt idx="1367">
                  <c:v>0.16299999999999989</c:v>
                </c:pt>
                <c:pt idx="1368">
                  <c:v>0.16299999999999992</c:v>
                </c:pt>
                <c:pt idx="1369">
                  <c:v>0.16299999999999992</c:v>
                </c:pt>
                <c:pt idx="1370">
                  <c:v>0.16299999999999995</c:v>
                </c:pt>
                <c:pt idx="1371">
                  <c:v>0.16299999999999995</c:v>
                </c:pt>
                <c:pt idx="1372">
                  <c:v>0.16299999999999995</c:v>
                </c:pt>
                <c:pt idx="1373">
                  <c:v>0.16299999999999998</c:v>
                </c:pt>
                <c:pt idx="1374">
                  <c:v>0.16299999999999998</c:v>
                </c:pt>
                <c:pt idx="1375">
                  <c:v>0.16300000000000001</c:v>
                </c:pt>
                <c:pt idx="1376">
                  <c:v>0.16300000000000001</c:v>
                </c:pt>
                <c:pt idx="1377">
                  <c:v>0.16300000000000003</c:v>
                </c:pt>
                <c:pt idx="1378">
                  <c:v>0.16300000000000003</c:v>
                </c:pt>
                <c:pt idx="1379">
                  <c:v>0.16300000000000003</c:v>
                </c:pt>
                <c:pt idx="1380">
                  <c:v>0.16300000000000006</c:v>
                </c:pt>
                <c:pt idx="1381">
                  <c:v>0.16300000000000006</c:v>
                </c:pt>
                <c:pt idx="1382">
                  <c:v>0.16300000000000006</c:v>
                </c:pt>
                <c:pt idx="1383">
                  <c:v>0.16300000000000006</c:v>
                </c:pt>
                <c:pt idx="1384">
                  <c:v>0.16300000000000006</c:v>
                </c:pt>
                <c:pt idx="1385">
                  <c:v>0.16300000000000009</c:v>
                </c:pt>
                <c:pt idx="1386">
                  <c:v>0.16300000000000009</c:v>
                </c:pt>
                <c:pt idx="1387">
                  <c:v>0.16300000000000009</c:v>
                </c:pt>
                <c:pt idx="1388">
                  <c:v>0.16300000000000009</c:v>
                </c:pt>
                <c:pt idx="1389">
                  <c:v>0.16300000000000009</c:v>
                </c:pt>
                <c:pt idx="1390">
                  <c:v>0.16300000000000012</c:v>
                </c:pt>
                <c:pt idx="1391">
                  <c:v>0.16300000000000012</c:v>
                </c:pt>
                <c:pt idx="1392">
                  <c:v>0.16300000000000012</c:v>
                </c:pt>
                <c:pt idx="1393">
                  <c:v>0.16300000000000012</c:v>
                </c:pt>
                <c:pt idx="1394">
                  <c:v>0.16300000000000012</c:v>
                </c:pt>
                <c:pt idx="1395">
                  <c:v>0.16300000000000012</c:v>
                </c:pt>
                <c:pt idx="1396">
                  <c:v>0.16300000000000012</c:v>
                </c:pt>
                <c:pt idx="1397">
                  <c:v>0.16300000000000012</c:v>
                </c:pt>
                <c:pt idx="1398">
                  <c:v>0.16300000000000012</c:v>
                </c:pt>
                <c:pt idx="1399">
                  <c:v>0.16300000000000012</c:v>
                </c:pt>
                <c:pt idx="1400">
                  <c:v>0.16300000000000009</c:v>
                </c:pt>
                <c:pt idx="1401">
                  <c:v>0.16300000000000009</c:v>
                </c:pt>
                <c:pt idx="1402">
                  <c:v>0.16300000000000009</c:v>
                </c:pt>
                <c:pt idx="1403">
                  <c:v>0.16300000000000009</c:v>
                </c:pt>
                <c:pt idx="1404">
                  <c:v>0.16300000000000006</c:v>
                </c:pt>
                <c:pt idx="1405">
                  <c:v>0.16300000000000006</c:v>
                </c:pt>
                <c:pt idx="1406">
                  <c:v>0.16300000000000006</c:v>
                </c:pt>
                <c:pt idx="1407">
                  <c:v>0.16300000000000006</c:v>
                </c:pt>
                <c:pt idx="1408">
                  <c:v>0.16300000000000006</c:v>
                </c:pt>
                <c:pt idx="1409">
                  <c:v>0.16300000000000006</c:v>
                </c:pt>
                <c:pt idx="1410">
                  <c:v>0.16300000000000006</c:v>
                </c:pt>
                <c:pt idx="1411">
                  <c:v>0.16300000000000003</c:v>
                </c:pt>
                <c:pt idx="1412">
                  <c:v>0.16300000000000003</c:v>
                </c:pt>
                <c:pt idx="1413">
                  <c:v>0.16300000000000003</c:v>
                </c:pt>
                <c:pt idx="1414">
                  <c:v>0.16300000000000003</c:v>
                </c:pt>
                <c:pt idx="1415">
                  <c:v>0.16300000000000001</c:v>
                </c:pt>
                <c:pt idx="1416">
                  <c:v>0.16300000000000001</c:v>
                </c:pt>
                <c:pt idx="1417">
                  <c:v>0.16300000000000001</c:v>
                </c:pt>
                <c:pt idx="1418">
                  <c:v>0.16300000000000001</c:v>
                </c:pt>
                <c:pt idx="1419">
                  <c:v>0.16300000000000001</c:v>
                </c:pt>
                <c:pt idx="1420">
                  <c:v>0.16300000000000001</c:v>
                </c:pt>
                <c:pt idx="1421">
                  <c:v>0.16300000000000001</c:v>
                </c:pt>
                <c:pt idx="1422">
                  <c:v>0.16300000000000001</c:v>
                </c:pt>
                <c:pt idx="1423">
                  <c:v>0.16300000000000001</c:v>
                </c:pt>
                <c:pt idx="1424">
                  <c:v>0.16300000000000001</c:v>
                </c:pt>
                <c:pt idx="1425">
                  <c:v>0.16300000000000001</c:v>
                </c:pt>
                <c:pt idx="1426">
                  <c:v>0.16299999999999998</c:v>
                </c:pt>
                <c:pt idx="1427">
                  <c:v>0.16299999999999998</c:v>
                </c:pt>
                <c:pt idx="1428">
                  <c:v>0.16299999999999998</c:v>
                </c:pt>
                <c:pt idx="1429">
                  <c:v>0.16299999999999998</c:v>
                </c:pt>
                <c:pt idx="1430">
                  <c:v>0.16299999999999998</c:v>
                </c:pt>
                <c:pt idx="1431">
                  <c:v>0.16299999999999998</c:v>
                </c:pt>
                <c:pt idx="1432">
                  <c:v>0.16299999999999995</c:v>
                </c:pt>
                <c:pt idx="1433">
                  <c:v>0.16299999999999995</c:v>
                </c:pt>
                <c:pt idx="1434">
                  <c:v>0.16299999999999995</c:v>
                </c:pt>
                <c:pt idx="1435">
                  <c:v>0.16299999999999995</c:v>
                </c:pt>
                <c:pt idx="1436">
                  <c:v>0.16299999999999995</c:v>
                </c:pt>
                <c:pt idx="1437">
                  <c:v>0.16299999999999995</c:v>
                </c:pt>
                <c:pt idx="1438">
                  <c:v>0.16299999999999995</c:v>
                </c:pt>
                <c:pt idx="1439">
                  <c:v>0.16299999999999995</c:v>
                </c:pt>
                <c:pt idx="1440">
                  <c:v>0.16299999999999995</c:v>
                </c:pt>
                <c:pt idx="1441">
                  <c:v>0.16299999999999995</c:v>
                </c:pt>
                <c:pt idx="1442">
                  <c:v>0.16299999999999995</c:v>
                </c:pt>
                <c:pt idx="1443">
                  <c:v>0.16299999999999995</c:v>
                </c:pt>
                <c:pt idx="1444">
                  <c:v>0.16299999999999995</c:v>
                </c:pt>
                <c:pt idx="1445">
                  <c:v>0.16299999999999995</c:v>
                </c:pt>
                <c:pt idx="1446">
                  <c:v>0.16299999999999998</c:v>
                </c:pt>
                <c:pt idx="1447">
                  <c:v>0.16299999999999998</c:v>
                </c:pt>
                <c:pt idx="1448">
                  <c:v>0.16299999999999998</c:v>
                </c:pt>
                <c:pt idx="1449">
                  <c:v>0.16299999999999998</c:v>
                </c:pt>
                <c:pt idx="1450">
                  <c:v>0.16299999999999998</c:v>
                </c:pt>
                <c:pt idx="1451">
                  <c:v>0.16299999999999998</c:v>
                </c:pt>
                <c:pt idx="1452">
                  <c:v>0.16299999999999998</c:v>
                </c:pt>
                <c:pt idx="1453">
                  <c:v>0.16299999999999998</c:v>
                </c:pt>
                <c:pt idx="1454">
                  <c:v>0.16299999999999998</c:v>
                </c:pt>
                <c:pt idx="1455">
                  <c:v>0.16299999999999998</c:v>
                </c:pt>
                <c:pt idx="1456">
                  <c:v>0.16299999999999998</c:v>
                </c:pt>
                <c:pt idx="1457">
                  <c:v>0.16299999999999998</c:v>
                </c:pt>
                <c:pt idx="1458">
                  <c:v>0.16300000000000001</c:v>
                </c:pt>
                <c:pt idx="1459">
                  <c:v>0.16300000000000001</c:v>
                </c:pt>
                <c:pt idx="1460">
                  <c:v>0.16300000000000001</c:v>
                </c:pt>
                <c:pt idx="1461">
                  <c:v>0.16300000000000001</c:v>
                </c:pt>
                <c:pt idx="1462">
                  <c:v>0.16300000000000001</c:v>
                </c:pt>
                <c:pt idx="1463">
                  <c:v>0.16300000000000001</c:v>
                </c:pt>
                <c:pt idx="1464">
                  <c:v>0.16300000000000001</c:v>
                </c:pt>
                <c:pt idx="1465">
                  <c:v>0.16300000000000001</c:v>
                </c:pt>
                <c:pt idx="1466">
                  <c:v>0.16300000000000001</c:v>
                </c:pt>
                <c:pt idx="1467">
                  <c:v>0.16300000000000001</c:v>
                </c:pt>
                <c:pt idx="1468">
                  <c:v>0.16300000000000001</c:v>
                </c:pt>
                <c:pt idx="1469">
                  <c:v>0.16300000000000001</c:v>
                </c:pt>
                <c:pt idx="1470">
                  <c:v>0.16300000000000001</c:v>
                </c:pt>
                <c:pt idx="1471">
                  <c:v>0.16300000000000001</c:v>
                </c:pt>
                <c:pt idx="1472">
                  <c:v>0.16300000000000001</c:v>
                </c:pt>
                <c:pt idx="1473">
                  <c:v>0.16300000000000001</c:v>
                </c:pt>
                <c:pt idx="1474">
                  <c:v>0.16300000000000001</c:v>
                </c:pt>
                <c:pt idx="1475">
                  <c:v>0.16300000000000001</c:v>
                </c:pt>
                <c:pt idx="1476">
                  <c:v>0.16300000000000001</c:v>
                </c:pt>
                <c:pt idx="1477">
                  <c:v>0.16300000000000001</c:v>
                </c:pt>
                <c:pt idx="1478">
                  <c:v>0.16300000000000001</c:v>
                </c:pt>
                <c:pt idx="1479">
                  <c:v>0.16300000000000001</c:v>
                </c:pt>
                <c:pt idx="1480">
                  <c:v>0.16300000000000001</c:v>
                </c:pt>
                <c:pt idx="1481">
                  <c:v>0.16300000000000001</c:v>
                </c:pt>
                <c:pt idx="1482">
                  <c:v>0.16300000000000001</c:v>
                </c:pt>
                <c:pt idx="1483">
                  <c:v>0.16300000000000001</c:v>
                </c:pt>
                <c:pt idx="1484">
                  <c:v>0.16300000000000001</c:v>
                </c:pt>
                <c:pt idx="1485">
                  <c:v>0.16300000000000001</c:v>
                </c:pt>
                <c:pt idx="1486">
                  <c:v>0.16300000000000001</c:v>
                </c:pt>
                <c:pt idx="1487">
                  <c:v>0.16300000000000001</c:v>
                </c:pt>
                <c:pt idx="1488">
                  <c:v>0.16300000000000001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B1-4726-81D0-A30829FC7425}"/>
            </c:ext>
          </c:extLst>
        </c:ser>
        <c:ser>
          <c:idx val="4"/>
          <c:order val="8"/>
          <c:tx>
            <c:strRef>
              <c:f>Rocof!$H$6</c:f>
              <c:strCache>
                <c:ptCount val="1"/>
                <c:pt idx="0">
                  <c:v>enveloppe min avec marge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Rocof!$A$7:$A$1495</c:f>
              <c:numCache>
                <c:formatCode>General</c:formatCode>
                <c:ptCount val="1489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  <c:pt idx="1488">
                  <c:v>7.4399999999998698</c:v>
                </c:pt>
              </c:numCache>
            </c:numRef>
          </c:xVal>
          <c:yVal>
            <c:numRef>
              <c:f>Rocof!$H$7:$H$1495</c:f>
              <c:numCache>
                <c:formatCode>General</c:formatCode>
                <c:ptCount val="1489"/>
                <c:pt idx="0">
                  <c:v>-0.02</c:v>
                </c:pt>
                <c:pt idx="1">
                  <c:v>-1.987762298451146E-2</c:v>
                </c:pt>
                <c:pt idx="2">
                  <c:v>-1.9513479953719919E-2</c:v>
                </c:pt>
                <c:pt idx="3">
                  <c:v>-1.8915287927901744E-2</c:v>
                </c:pt>
                <c:pt idx="4">
                  <c:v>-1.8093795584649082E-2</c:v>
                </c:pt>
                <c:pt idx="5">
                  <c:v>-1.7061683565713456E-2</c:v>
                </c:pt>
                <c:pt idx="6">
                  <c:v>-1.5832863462132439E-2</c:v>
                </c:pt>
                <c:pt idx="7">
                  <c:v>-1.4422019986028059E-2</c:v>
                </c:pt>
                <c:pt idx="8">
                  <c:v>-1.284430210768003E-2</c:v>
                </c:pt>
                <c:pt idx="9">
                  <c:v>-1.1115106087389585E-2</c:v>
                </c:pt>
                <c:pt idx="10">
                  <c:v>-9.2499158536483647E-3</c:v>
                </c:pt>
                <c:pt idx="11">
                  <c:v>-7.2641798284678212E-3</c:v>
                </c:pt>
                <c:pt idx="12">
                  <c:v>-5.1732115687931537E-3</c:v>
                </c:pt>
                <c:pt idx="13">
                  <c:v>-2.9921065973955545E-3</c:v>
                </c:pt>
                <c:pt idx="14">
                  <c:v>-7.3567082197147429E-4</c:v>
                </c:pt>
                <c:pt idx="15">
                  <c:v>1.5816422335190282E-3</c:v>
                </c:pt>
                <c:pt idx="16">
                  <c:v>3.9457870633973387E-3</c:v>
                </c:pt>
                <c:pt idx="17">
                  <c:v>6.3431757017712205E-3</c:v>
                </c:pt>
                <c:pt idx="18">
                  <c:v>8.7607217619435525E-3</c:v>
                </c:pt>
                <c:pt idx="19">
                  <c:v>1.1185879395961464E-2</c:v>
                </c:pt>
                <c:pt idx="20">
                  <c:v>1.3606677445265825E-2</c:v>
                </c:pt>
                <c:pt idx="21">
                  <c:v>1.6011748980726371E-2</c:v>
                </c:pt>
                <c:pt idx="22">
                  <c:v>1.8390356392716124E-2</c:v>
                </c:pt>
                <c:pt idx="23">
                  <c:v>2.0732412174993695E-2</c:v>
                </c:pt>
                <c:pt idx="24">
                  <c:v>2.3028495541350006E-2</c:v>
                </c:pt>
                <c:pt idx="25">
                  <c:v>2.5269865015972792E-2</c:v>
                </c:pt>
                <c:pt idx="26">
                  <c:v>2.7448467144099594E-2</c:v>
                </c:pt>
                <c:pt idx="27">
                  <c:v>2.9556941476835009E-2</c:v>
                </c:pt>
                <c:pt idx="28">
                  <c:v>3.1588621991836291E-2</c:v>
                </c:pt>
                <c:pt idx="29">
                  <c:v>3.3537535119224207E-2</c:v>
                </c:pt>
                <c:pt idx="30">
                  <c:v>3.5398394549139983E-2</c:v>
                </c:pt>
                <c:pt idx="31">
                  <c:v>3.7166593003604184E-2</c:v>
                </c:pt>
                <c:pt idx="32">
                  <c:v>3.8838191160611005E-2</c:v>
                </c:pt>
                <c:pt idx="33">
                  <c:v>4.0409903922643084E-2</c:v>
                </c:pt>
                <c:pt idx="34">
                  <c:v>4.1879084224998891E-2</c:v>
                </c:pt>
                <c:pt idx="35">
                  <c:v>4.3243704581488879E-2</c:v>
                </c:pt>
                <c:pt idx="36">
                  <c:v>4.450233656619941E-2</c:v>
                </c:pt>
                <c:pt idx="37">
                  <c:v>4.5654128430178562E-2</c:v>
                </c:pt>
                <c:pt idx="38">
                  <c:v>4.6698781051104768E-2</c:v>
                </c:pt>
                <c:pt idx="39">
                  <c:v>4.7636522412303678E-2</c:v>
                </c:pt>
                <c:pt idx="40">
                  <c:v>4.8468080804931105E-2</c:v>
                </c:pt>
                <c:pt idx="41">
                  <c:v>4.9194656943791215E-2</c:v>
                </c:pt>
                <c:pt idx="42">
                  <c:v>4.9817895183164485E-2</c:v>
                </c:pt>
                <c:pt idx="43">
                  <c:v>5.033985401423402E-2</c:v>
                </c:pt>
                <c:pt idx="44">
                  <c:v>5.0762976020278905E-2</c:v>
                </c:pt>
                <c:pt idx="45">
                  <c:v>5.109005745980405E-2</c:v>
                </c:pt>
                <c:pt idx="46">
                  <c:v>5.1324217641256858E-2</c:v>
                </c:pt>
                <c:pt idx="47">
                  <c:v>5.1468868245996113E-2</c:v>
                </c:pt>
                <c:pt idx="48">
                  <c:v>5.1527682748785567E-2</c:v>
                </c:pt>
                <c:pt idx="49">
                  <c:v>5.1504566077337693E-2</c:v>
                </c:pt>
                <c:pt idx="50">
                  <c:v>5.1403624644387469E-2</c:v>
                </c:pt>
                <c:pt idx="51">
                  <c:v>5.1229136877483983E-2</c:v>
                </c:pt>
                <c:pt idx="52">
                  <c:v>5.0985524363201293E-2</c:v>
                </c:pt>
                <c:pt idx="53">
                  <c:v>5.0677323713838929E-2</c:v>
                </c:pt>
                <c:pt idx="54">
                  <c:v>5.0309159255956276E-2</c:v>
                </c:pt>
                <c:pt idx="55">
                  <c:v>4.9885716631307753E-2</c:v>
                </c:pt>
                <c:pt idx="56">
                  <c:v>4.9411717391964802E-2</c:v>
                </c:pt>
                <c:pt idx="57">
                  <c:v>4.8891894662665886E-2</c:v>
                </c:pt>
                <c:pt idx="58">
                  <c:v>4.8330969934767792E-2</c:v>
                </c:pt>
                <c:pt idx="59">
                  <c:v>4.7733631047619601E-2</c:v>
                </c:pt>
                <c:pt idx="60">
                  <c:v>4.7104511404777227E-2</c:v>
                </c:pt>
                <c:pt idx="61">
                  <c:v>4.6448170464257379E-2</c:v>
                </c:pt>
                <c:pt idx="62">
                  <c:v>4.5769075534022971E-2</c:v>
                </c:pt>
                <c:pt idx="63">
                  <c:v>4.5071584896127573E-2</c:v>
                </c:pt>
                <c:pt idx="64">
                  <c:v>4.435993227544742E-2</c:v>
                </c:pt>
                <c:pt idx="65">
                  <c:v>4.363821266172109E-2</c:v>
                </c:pt>
                <c:pt idx="66">
                  <c:v>4.2910369486717698E-2</c:v>
                </c:pt>
                <c:pt idx="67">
                  <c:v>4.218018315178329E-2</c:v>
                </c:pt>
                <c:pt idx="68">
                  <c:v>4.1451260894786901E-2</c:v>
                </c:pt>
                <c:pt idx="69">
                  <c:v>4.0727027979616068E-2</c:v>
                </c:pt>
                <c:pt idx="70">
                  <c:v>4.0010720185866738E-2</c:v>
                </c:pt>
                <c:pt idx="71">
                  <c:v>3.9305377571243208E-2</c:v>
                </c:pt>
                <c:pt idx="72">
                  <c:v>3.8613839474435474E-2</c:v>
                </c:pt>
                <c:pt idx="73">
                  <c:v>3.7938740721880165E-2</c:v>
                </c:pt>
                <c:pt idx="74">
                  <c:v>3.7282508997836195E-2</c:v>
                </c:pt>
                <c:pt idx="75">
                  <c:v>3.6647363333620356E-2</c:v>
                </c:pt>
                <c:pt idx="76">
                  <c:v>3.6035313668647845E-2</c:v>
                </c:pt>
                <c:pt idx="77">
                  <c:v>3.5448161433104822E-2</c:v>
                </c:pt>
                <c:pt idx="78">
                  <c:v>3.4887501099640339E-2</c:v>
                </c:pt>
                <c:pt idx="79">
                  <c:v>3.4354722649395E-2</c:v>
                </c:pt>
                <c:pt idx="80">
                  <c:v>3.3851014895977263E-2</c:v>
                </c:pt>
                <c:pt idx="81">
                  <c:v>3.3377369609643742E-2</c:v>
                </c:pt>
                <c:pt idx="82">
                  <c:v>3.2934586382928663E-2</c:v>
                </c:pt>
                <c:pt idx="83">
                  <c:v>3.2523278178285972E-2</c:v>
                </c:pt>
                <c:pt idx="84">
                  <c:v>3.2143877497943868E-2</c:v>
                </c:pt>
                <c:pt idx="85">
                  <c:v>3.1796643116111856E-2</c:v>
                </c:pt>
                <c:pt idx="86">
                  <c:v>3.1481667313909181E-2</c:v>
                </c:pt>
                <c:pt idx="87">
                  <c:v>3.1198883557887549E-2</c:v>
                </c:pt>
                <c:pt idx="88">
                  <c:v>3.0948074563782107E-2</c:v>
                </c:pt>
                <c:pt idx="89">
                  <c:v>3.0728880688128814E-2</c:v>
                </c:pt>
                <c:pt idx="90">
                  <c:v>3.0540808591615332E-2</c:v>
                </c:pt>
                <c:pt idx="91">
                  <c:v>3.0383240119470276E-2</c:v>
                </c:pt>
                <c:pt idx="92">
                  <c:v>3.0255441345825081E-2</c:v>
                </c:pt>
                <c:pt idx="93">
                  <c:v>3.0156571730786296E-2</c:v>
                </c:pt>
                <c:pt idx="94">
                  <c:v>3.0085693340917079E-2</c:v>
                </c:pt>
                <c:pt idx="95">
                  <c:v>3.004178008592771E-2</c:v>
                </c:pt>
                <c:pt idx="96">
                  <c:v>3.0023726926599544E-2</c:v>
                </c:pt>
                <c:pt idx="97">
                  <c:v>3.0030359011297778E-2</c:v>
                </c:pt>
                <c:pt idx="98">
                  <c:v>3.0060440700849806E-2</c:v>
                </c:pt>
                <c:pt idx="99">
                  <c:v>3.0112684444061757E-2</c:v>
                </c:pt>
                <c:pt idx="100">
                  <c:v>3.0185759468700359E-2</c:v>
                </c:pt>
                <c:pt idx="101">
                  <c:v>3.0278300255365122E-2</c:v>
                </c:pt>
                <c:pt idx="102">
                  <c:v>3.0388914764303405E-2</c:v>
                </c:pt>
                <c:pt idx="103">
                  <c:v>3.051619238786334E-2</c:v>
                </c:pt>
                <c:pt idx="104">
                  <c:v>3.0658711603923371E-2</c:v>
                </c:pt>
                <c:pt idx="105">
                  <c:v>3.081504730827082E-2</c:v>
                </c:pt>
                <c:pt idx="106">
                  <c:v>3.0983777806511504E-2</c:v>
                </c:pt>
                <c:pt idx="107">
                  <c:v>3.1163491448668621E-2</c:v>
                </c:pt>
                <c:pt idx="108">
                  <c:v>3.1352792892159309E-2</c:v>
                </c:pt>
                <c:pt idx="109">
                  <c:v>3.1550308981313266E-2</c:v>
                </c:pt>
                <c:pt idx="110">
                  <c:v>3.1754694234009312E-2</c:v>
                </c:pt>
                <c:pt idx="111">
                  <c:v>3.1964635928344795E-2</c:v>
                </c:pt>
                <c:pt idx="112">
                  <c:v>3.217885878451153E-2</c:v>
                </c:pt>
                <c:pt idx="113">
                  <c:v>3.2396129239223859E-2</c:v>
                </c:pt>
                <c:pt idx="114">
                  <c:v>3.2615259312122863E-2</c:v>
                </c:pt>
                <c:pt idx="115">
                  <c:v>3.2835110065560821E-2</c:v>
                </c:pt>
                <c:pt idx="116">
                  <c:v>3.3054594661046335E-2</c:v>
                </c:pt>
                <c:pt idx="117">
                  <c:v>3.3272681017400621E-2</c:v>
                </c:pt>
                <c:pt idx="118">
                  <c:v>3.3488394077333644E-2</c:v>
                </c:pt>
                <c:pt idx="119">
                  <c:v>3.3700817690695412E-2</c:v>
                </c:pt>
                <c:pt idx="120">
                  <c:v>3.3909096124088503E-2</c:v>
                </c:pt>
                <c:pt idx="121">
                  <c:v>3.4112435207842851E-2</c:v>
                </c:pt>
                <c:pt idx="122">
                  <c:v>3.4310103132552283E-2</c:v>
                </c:pt>
                <c:pt idx="123">
                  <c:v>3.4501430908453368E-2</c:v>
                </c:pt>
                <c:pt idx="124">
                  <c:v>3.4685812501892552E-2</c:v>
                </c:pt>
                <c:pt idx="125">
                  <c:v>3.4862704663977215E-2</c:v>
                </c:pt>
                <c:pt idx="126">
                  <c:v>3.5031626467242921E-2</c:v>
                </c:pt>
                <c:pt idx="127">
                  <c:v>3.5192158566793252E-2</c:v>
                </c:pt>
                <c:pt idx="128">
                  <c:v>3.5343942202884435E-2</c:v>
                </c:pt>
                <c:pt idx="129">
                  <c:v>3.5486677962336025E-2</c:v>
                </c:pt>
                <c:pt idx="130">
                  <c:v>3.5620124316454643E-2</c:v>
                </c:pt>
                <c:pt idx="131">
                  <c:v>3.5744095953364544E-2</c:v>
                </c:pt>
                <c:pt idx="132">
                  <c:v>3.5858461922749371E-2</c:v>
                </c:pt>
                <c:pt idx="133">
                  <c:v>3.5963143611029022E-2</c:v>
                </c:pt>
                <c:pt idx="134">
                  <c:v>3.6058112564927261E-2</c:v>
                </c:pt>
                <c:pt idx="135">
                  <c:v>3.6143388181235456E-2</c:v>
                </c:pt>
                <c:pt idx="136">
                  <c:v>3.6219035280349782E-2</c:v>
                </c:pt>
                <c:pt idx="137">
                  <c:v>3.628516158085722E-2</c:v>
                </c:pt>
                <c:pt idx="138">
                  <c:v>3.6341915092077515E-2</c:v>
                </c:pt>
                <c:pt idx="139">
                  <c:v>3.6389481441035099E-2</c:v>
                </c:pt>
                <c:pt idx="140">
                  <c:v>3.6428081149846164E-2</c:v>
                </c:pt>
                <c:pt idx="141">
                  <c:v>3.6457966878962814E-2</c:v>
                </c:pt>
                <c:pt idx="142">
                  <c:v>3.6479420651127137E-2</c:v>
                </c:pt>
                <c:pt idx="143">
                  <c:v>3.6492751070255541E-2</c:v>
                </c:pt>
                <c:pt idx="144">
                  <c:v>3.649829054880438E-2</c:v>
                </c:pt>
                <c:pt idx="145">
                  <c:v>3.6496392556466806E-2</c:v>
                </c:pt>
                <c:pt idx="146">
                  <c:v>3.6487428902321609E-2</c:v>
                </c:pt>
                <c:pt idx="147">
                  <c:v>3.6471787061803887E-2</c:v>
                </c:pt>
                <c:pt idx="148">
                  <c:v>3.6449867559098459E-2</c:v>
                </c:pt>
                <c:pt idx="149">
                  <c:v>3.642208141477471E-2</c:v>
                </c:pt>
                <c:pt idx="150">
                  <c:v>3.6388847667690627E-2</c:v>
                </c:pt>
                <c:pt idx="151">
                  <c:v>3.6350590979398342E-2</c:v>
                </c:pt>
                <c:pt idx="152">
                  <c:v>3.630773932848709E-2</c:v>
                </c:pt>
                <c:pt idx="153">
                  <c:v>3.6260721801506787E-2</c:v>
                </c:pt>
                <c:pt idx="154">
                  <c:v>3.620996648632957E-2</c:v>
                </c:pt>
                <c:pt idx="155">
                  <c:v>3.6155898473030468E-2</c:v>
                </c:pt>
                <c:pt idx="156">
                  <c:v>3.6098937966606875E-2</c:v>
                </c:pt>
                <c:pt idx="157">
                  <c:v>3.6039498515110138E-2</c:v>
                </c:pt>
                <c:pt idx="158">
                  <c:v>3.5977985356036912E-2</c:v>
                </c:pt>
                <c:pt idx="159">
                  <c:v>3.5914793883122631E-2</c:v>
                </c:pt>
                <c:pt idx="160">
                  <c:v>3.5850308234999628E-2</c:v>
                </c:pt>
                <c:pt idx="161">
                  <c:v>3.5784900006527717E-2</c:v>
                </c:pt>
                <c:pt idx="162">
                  <c:v>3.5718927082979079E-2</c:v>
                </c:pt>
                <c:pt idx="163">
                  <c:v>3.5652732596662434E-2</c:v>
                </c:pt>
                <c:pt idx="164">
                  <c:v>3.558664400500651E-2</c:v>
                </c:pt>
                <c:pt idx="165">
                  <c:v>3.5520972288589137E-2</c:v>
                </c:pt>
                <c:pt idx="166">
                  <c:v>3.5456011267098436E-2</c:v>
                </c:pt>
                <c:pt idx="167">
                  <c:v>3.5392037030746809E-2</c:v>
                </c:pt>
                <c:pt idx="168">
                  <c:v>3.5329307484226968E-2</c:v>
                </c:pt>
                <c:pt idx="169">
                  <c:v>3.5268061999902789E-2</c:v>
                </c:pt>
                <c:pt idx="170">
                  <c:v>3.5208521176566351E-2</c:v>
                </c:pt>
                <c:pt idx="171">
                  <c:v>3.5150886699767098E-2</c:v>
                </c:pt>
                <c:pt idx="172">
                  <c:v>3.5095341299427138E-2</c:v>
                </c:pt>
                <c:pt idx="173">
                  <c:v>3.5042048800200939E-2</c:v>
                </c:pt>
                <c:pt idx="174">
                  <c:v>3.4991154259815208E-2</c:v>
                </c:pt>
                <c:pt idx="175">
                  <c:v>3.4942784190436421E-2</c:v>
                </c:pt>
                <c:pt idx="176">
                  <c:v>3.4897046857957761E-2</c:v>
                </c:pt>
                <c:pt idx="177">
                  <c:v>3.4854032653973507E-2</c:v>
                </c:pt>
                <c:pt idx="178">
                  <c:v>3.4813814535116477E-2</c:v>
                </c:pt>
                <c:pt idx="179">
                  <c:v>3.477644852437177E-2</c:v>
                </c:pt>
                <c:pt idx="180">
                  <c:v>3.4741974268945694E-2</c:v>
                </c:pt>
                <c:pt idx="181">
                  <c:v>3.4710415649263388E-2</c:v>
                </c:pt>
                <c:pt idx="182">
                  <c:v>3.4681781433687983E-2</c:v>
                </c:pt>
                <c:pt idx="183">
                  <c:v>3.4656065973599798E-2</c:v>
                </c:pt>
                <c:pt idx="184">
                  <c:v>3.4633249933541888E-2</c:v>
                </c:pt>
                <c:pt idx="185">
                  <c:v>3.4613301051229201E-2</c:v>
                </c:pt>
                <c:pt idx="186">
                  <c:v>3.4596174922329109E-2</c:v>
                </c:pt>
                <c:pt idx="187">
                  <c:v>3.4581815805051069E-2</c:v>
                </c:pt>
                <c:pt idx="188">
                  <c:v>3.4570157439730645E-2</c:v>
                </c:pt>
                <c:pt idx="189">
                  <c:v>3.4561123878755678E-2</c:v>
                </c:pt>
                <c:pt idx="190">
                  <c:v>3.4554630322360377E-2</c:v>
                </c:pt>
                <c:pt idx="191">
                  <c:v>3.4550583956002925E-2</c:v>
                </c:pt>
                <c:pt idx="192">
                  <c:v>3.4548884785243553E-2</c:v>
                </c:pt>
                <c:pt idx="193">
                  <c:v>3.4549426464251395E-2</c:v>
                </c:pt>
                <c:pt idx="194">
                  <c:v>3.4552097114287389E-2</c:v>
                </c:pt>
                <c:pt idx="195">
                  <c:v>3.455678012873685E-2</c:v>
                </c:pt>
                <c:pt idx="196">
                  <c:v>3.4563354961496692E-2</c:v>
                </c:pt>
                <c:pt idx="197">
                  <c:v>3.4571697895757661E-2</c:v>
                </c:pt>
                <c:pt idx="198">
                  <c:v>3.4581682790460297E-2</c:v>
                </c:pt>
                <c:pt idx="199">
                  <c:v>3.4593181801942388E-2</c:v>
                </c:pt>
                <c:pt idx="200">
                  <c:v>3.4606066078536155E-2</c:v>
                </c:pt>
                <c:pt idx="201">
                  <c:v>3.4620206426111369E-2</c:v>
                </c:pt>
                <c:pt idx="202">
                  <c:v>3.4635473942797715E-2</c:v>
                </c:pt>
                <c:pt idx="203">
                  <c:v>3.4651740621353483E-2</c:v>
                </c:pt>
                <c:pt idx="204">
                  <c:v>3.4668879917876566E-2</c:v>
                </c:pt>
                <c:pt idx="205">
                  <c:v>3.4686767285779241E-2</c:v>
                </c:pt>
                <c:pt idx="206">
                  <c:v>3.4705280674165978E-2</c:v>
                </c:pt>
                <c:pt idx="207">
                  <c:v>3.4724300989966705E-2</c:v>
                </c:pt>
                <c:pt idx="208">
                  <c:v>3.4743712523382334E-2</c:v>
                </c:pt>
                <c:pt idx="209">
                  <c:v>3.4763403336396534E-2</c:v>
                </c:pt>
                <c:pt idx="210">
                  <c:v>3.4783265614296802E-2</c:v>
                </c:pt>
                <c:pt idx="211">
                  <c:v>3.4803195980327092E-2</c:v>
                </c:pt>
                <c:pt idx="212">
                  <c:v>3.4823095773765023E-2</c:v>
                </c:pt>
                <c:pt idx="213">
                  <c:v>3.4842871291877187E-2</c:v>
                </c:pt>
                <c:pt idx="214">
                  <c:v>3.4862433996356898E-2</c:v>
                </c:pt>
                <c:pt idx="215">
                  <c:v>3.4881700684988956E-2</c:v>
                </c:pt>
                <c:pt idx="216">
                  <c:v>3.4900593629416221E-2</c:v>
                </c:pt>
                <c:pt idx="217">
                  <c:v>3.4919040680002122E-2</c:v>
                </c:pt>
                <c:pt idx="218">
                  <c:v>3.4936975338892409E-2</c:v>
                </c:pt>
                <c:pt idx="219">
                  <c:v>3.4954336802477282E-2</c:v>
                </c:pt>
                <c:pt idx="220">
                  <c:v>3.4971069974543481E-2</c:v>
                </c:pt>
                <c:pt idx="221">
                  <c:v>3.4987125451482526E-2</c:v>
                </c:pt>
                <c:pt idx="222">
                  <c:v>3.5002459480989095E-2</c:v>
                </c:pt>
                <c:pt idx="223">
                  <c:v>3.501703389573968E-2</c:v>
                </c:pt>
                <c:pt idx="224">
                  <c:v>3.5030816023589165E-2</c:v>
                </c:pt>
                <c:pt idx="225">
                  <c:v>3.5043778575860121E-2</c:v>
                </c:pt>
                <c:pt idx="226">
                  <c:v>3.5055899515327713E-2</c:v>
                </c:pt>
                <c:pt idx="227">
                  <c:v>3.5067161905521782E-2</c:v>
                </c:pt>
                <c:pt idx="228">
                  <c:v>3.5077553742978371E-2</c:v>
                </c:pt>
                <c:pt idx="229">
                  <c:v>3.5087067774074651E-2</c:v>
                </c:pt>
                <c:pt idx="230">
                  <c:v>3.5095701298075252E-2</c:v>
                </c:pt>
                <c:pt idx="231">
                  <c:v>3.5103455958004723E-2</c:v>
                </c:pt>
                <c:pt idx="232">
                  <c:v>3.5110337520940171E-2</c:v>
                </c:pt>
                <c:pt idx="233">
                  <c:v>3.5116355649291178E-2</c:v>
                </c:pt>
                <c:pt idx="234">
                  <c:v>3.5121523664600501E-2</c:v>
                </c:pt>
                <c:pt idx="235">
                  <c:v>3.5125858305360358E-2</c:v>
                </c:pt>
                <c:pt idx="236">
                  <c:v>3.5129379480294667E-2</c:v>
                </c:pt>
                <c:pt idx="237">
                  <c:v>3.5132110018508536E-2</c:v>
                </c:pt>
                <c:pt idx="238">
                  <c:v>3.513407541785292E-2</c:v>
                </c:pt>
                <c:pt idx="239">
                  <c:v>3.5135303592795472E-2</c:v>
                </c:pt>
                <c:pt idx="240">
                  <c:v>3.5135824623027487E-2</c:v>
                </c:pt>
                <c:pt idx="241">
                  <c:v>3.5135670503973787E-2</c:v>
                </c:pt>
                <c:pt idx="242">
                  <c:v>3.5134874900306229E-2</c:v>
                </c:pt>
                <c:pt idx="243">
                  <c:v>3.5133472903493237E-2</c:v>
                </c:pt>
                <c:pt idx="244">
                  <c:v>3.513150079434868E-2</c:v>
                </c:pt>
                <c:pt idx="245">
                  <c:v>3.5128995811471789E-2</c:v>
                </c:pt>
                <c:pt idx="246">
                  <c:v>3.5125995926398812E-2</c:v>
                </c:pt>
                <c:pt idx="247">
                  <c:v>3.5122539626214394E-2</c:v>
                </c:pt>
                <c:pt idx="248">
                  <c:v>3.5118665704299071E-2</c:v>
                </c:pt>
                <c:pt idx="249">
                  <c:v>3.5114413059816732E-2</c:v>
                </c:pt>
                <c:pt idx="250">
                  <c:v>3.5109820506475389E-2</c:v>
                </c:pt>
                <c:pt idx="251">
                  <c:v>3.5104926591023378E-2</c:v>
                </c:pt>
                <c:pt idx="252">
                  <c:v>3.5099769421874746E-2</c:v>
                </c:pt>
                <c:pt idx="253">
                  <c:v>3.5094386508189523E-2</c:v>
                </c:pt>
                <c:pt idx="254">
                  <c:v>3.5088814609668742E-2</c:v>
                </c:pt>
                <c:pt idx="255">
                  <c:v>3.5083089597260197E-2</c:v>
                </c:pt>
                <c:pt idx="256">
                  <c:v>3.5077246324909162E-2</c:v>
                </c:pt>
                <c:pt idx="257">
                  <c:v>3.5071318512428867E-2</c:v>
                </c:pt>
                <c:pt idx="258">
                  <c:v>3.5065338639508808E-2</c:v>
                </c:pt>
                <c:pt idx="259">
                  <c:v>3.5059337850824587E-2</c:v>
                </c:pt>
                <c:pt idx="260">
                  <c:v>3.505334587216187E-2</c:v>
                </c:pt>
                <c:pt idx="261">
                  <c:v>3.5047390937418557E-2</c:v>
                </c:pt>
                <c:pt idx="262">
                  <c:v>3.5041499726303701E-2</c:v>
                </c:pt>
                <c:pt idx="263">
                  <c:v>3.503569731250962E-2</c:v>
                </c:pt>
                <c:pt idx="264">
                  <c:v>3.5030007122094378E-2</c:v>
                </c:pt>
                <c:pt idx="265">
                  <c:v>3.5024450901775597E-2</c:v>
                </c:pt>
                <c:pt idx="266">
                  <c:v>3.5019048696804042E-2</c:v>
                </c:pt>
                <c:pt idx="267">
                  <c:v>3.5013818838055544E-2</c:v>
                </c:pt>
                <c:pt idx="268">
                  <c:v>3.5008777937953442E-2</c:v>
                </c:pt>
                <c:pt idx="269">
                  <c:v>3.5003940894810348E-2</c:v>
                </c:pt>
                <c:pt idx="270">
                  <c:v>3.4999320905157977E-2</c:v>
                </c:pt>
                <c:pt idx="271">
                  <c:v>3.4994929483616211E-2</c:v>
                </c:pt>
                <c:pt idx="272">
                  <c:v>3.499077648983899E-2</c:v>
                </c:pt>
                <c:pt idx="273">
                  <c:v>3.4986870162062686E-2</c:v>
                </c:pt>
                <c:pt idx="274">
                  <c:v>3.4983217156774785E-2</c:v>
                </c:pt>
                <c:pt idx="275">
                  <c:v>3.4979822594014234E-2</c:v>
                </c:pt>
                <c:pt idx="276">
                  <c:v>3.4976690107812486E-2</c:v>
                </c:pt>
                <c:pt idx="277">
                  <c:v>3.4973821901282912E-2</c:v>
                </c:pt>
                <c:pt idx="278">
                  <c:v>3.4971218805868648E-2</c:v>
                </c:pt>
                <c:pt idx="279">
                  <c:v>3.4968880344262335E-2</c:v>
                </c:pt>
                <c:pt idx="280">
                  <c:v>3.4966804796517939E-2</c:v>
                </c:pt>
                <c:pt idx="281">
                  <c:v>3.4964989268882557E-2</c:v>
                </c:pt>
                <c:pt idx="282">
                  <c:v>3.496342976488645E-2</c:v>
                </c:pt>
                <c:pt idx="283">
                  <c:v>3.4962121258240789E-2</c:v>
                </c:pt>
                <c:pt idx="284">
                  <c:v>3.4961057767106687E-2</c:v>
                </c:pt>
                <c:pt idx="285">
                  <c:v>3.4960232429312926E-2</c:v>
                </c:pt>
                <c:pt idx="286">
                  <c:v>3.4959637578116542E-2</c:v>
                </c:pt>
                <c:pt idx="287">
                  <c:v>3.4959264818117314E-2</c:v>
                </c:pt>
                <c:pt idx="288">
                  <c:v>3.4959105100955554E-2</c:v>
                </c:pt>
                <c:pt idx="289">
                  <c:v>3.4959148800441514E-2</c:v>
                </c:pt>
                <c:pt idx="290">
                  <c:v>3.4959385786784883E-2</c:v>
                </c:pt>
                <c:pt idx="291">
                  <c:v>3.4959805499613125E-2</c:v>
                </c:pt>
                <c:pt idx="292">
                  <c:v>3.4960397019488429E-2</c:v>
                </c:pt>
                <c:pt idx="293">
                  <c:v>3.4961149137654315E-2</c:v>
                </c:pt>
                <c:pt idx="294">
                  <c:v>3.4962050423764768E-2</c:v>
                </c:pt>
                <c:pt idx="295">
                  <c:v>3.4963089291370139E-2</c:v>
                </c:pt>
                <c:pt idx="296">
                  <c:v>3.4964254060955949E-2</c:v>
                </c:pt>
                <c:pt idx="297">
                  <c:v>3.496553302035256E-2</c:v>
                </c:pt>
                <c:pt idx="298">
                  <c:v>3.4966914482354741E-2</c:v>
                </c:pt>
                <c:pt idx="299">
                  <c:v>3.4968386839411753E-2</c:v>
                </c:pt>
                <c:pt idx="300">
                  <c:v>3.4969938615269022E-2</c:v>
                </c:pt>
                <c:pt idx="301">
                  <c:v>3.4971558513463286E-2</c:v>
                </c:pt>
                <c:pt idx="302">
                  <c:v>3.4973235462592456E-2</c:v>
                </c:pt>
                <c:pt idx="303">
                  <c:v>3.4974958658300956E-2</c:v>
                </c:pt>
                <c:pt idx="304">
                  <c:v>3.4976717601940169E-2</c:v>
                </c:pt>
                <c:pt idx="305">
                  <c:v>3.497850213588076E-2</c:v>
                </c:pt>
                <c:pt idx="306">
                  <c:v>3.4980302475471584E-2</c:v>
                </c:pt>
                <c:pt idx="307">
                  <c:v>3.4982109237655809E-2</c:v>
                </c:pt>
                <c:pt idx="308">
                  <c:v>3.4983913466270181E-2</c:v>
                </c:pt>
                <c:pt idx="309">
                  <c:v>3.4985706654068402E-2</c:v>
                </c:pt>
                <c:pt idx="310">
                  <c:v>3.4987480761522971E-2</c:v>
                </c:pt>
                <c:pt idx="311">
                  <c:v>3.4989228232472566E-2</c:v>
                </c:pt>
                <c:pt idx="312">
                  <c:v>3.4990942006694073E-2</c:v>
                </c:pt>
                <c:pt idx="313">
                  <c:v>3.499261552948911E-2</c:v>
                </c:pt>
                <c:pt idx="314">
                  <c:v>3.4994242758384725E-2</c:v>
                </c:pt>
                <c:pt idx="315">
                  <c:v>3.4995818167056922E-2</c:v>
                </c:pt>
                <c:pt idx="316">
                  <c:v>3.4997336746593902E-2</c:v>
                </c:pt>
                <c:pt idx="317">
                  <c:v>3.49987940042224E-2</c:v>
                </c:pt>
                <c:pt idx="318">
                  <c:v>3.5000185959627242E-2</c:v>
                </c:pt>
                <c:pt idx="319">
                  <c:v>3.5001509138998937E-2</c:v>
                </c:pt>
                <c:pt idx="320">
                  <c:v>3.5002760566948621E-2</c:v>
                </c:pt>
                <c:pt idx="321">
                  <c:v>3.5003937756432943E-2</c:v>
                </c:pt>
                <c:pt idx="322">
                  <c:v>3.5005038696834467E-2</c:v>
                </c:pt>
                <c:pt idx="323">
                  <c:v>3.5006061840344146E-2</c:v>
                </c:pt>
                <c:pt idx="324">
                  <c:v>3.5007006086794037E-2</c:v>
                </c:pt>
                <c:pt idx="325">
                  <c:v>3.5007870767088486E-2</c:v>
                </c:pt>
                <c:pt idx="326">
                  <c:v>3.5008655625381177E-2</c:v>
                </c:pt>
                <c:pt idx="327">
                  <c:v>3.5009360800144593E-2</c:v>
                </c:pt>
                <c:pt idx="328">
                  <c:v>3.5009986804276472E-2</c:v>
                </c:pt>
                <c:pt idx="329">
                  <c:v>3.5010534504385335E-2</c:v>
                </c:pt>
                <c:pt idx="330">
                  <c:v>3.5011005099394255E-2</c:v>
                </c:pt>
                <c:pt idx="331">
                  <c:v>3.5011400098598475E-2</c:v>
                </c:pt>
                <c:pt idx="332">
                  <c:v>3.5011721299308352E-2</c:v>
                </c:pt>
                <c:pt idx="333">
                  <c:v>3.5011970764205091E-2</c:v>
                </c:pt>
                <c:pt idx="334">
                  <c:v>3.5012150798531191E-2</c:v>
                </c:pt>
                <c:pt idx="335">
                  <c:v>3.5012263927233167E-2</c:v>
                </c:pt>
                <c:pt idx="336">
                  <c:v>3.5012312872167967E-2</c:v>
                </c:pt>
                <c:pt idx="337">
                  <c:v>3.5012300529479082E-2</c:v>
                </c:pt>
                <c:pt idx="338">
                  <c:v>3.5012229947242388E-2</c:v>
                </c:pt>
                <c:pt idx="339">
                  <c:v>3.5012104303475317E-2</c:v>
                </c:pt>
                <c:pt idx="340">
                  <c:v>3.5011926884597033E-2</c:v>
                </c:pt>
                <c:pt idx="341">
                  <c:v>3.5011701064420447E-2</c:v>
                </c:pt>
                <c:pt idx="342">
                  <c:v>3.5011430283750908E-2</c:v>
                </c:pt>
                <c:pt idx="343">
                  <c:v>3.5011118030659261E-2</c:v>
                </c:pt>
                <c:pt idx="344">
                  <c:v>3.5010767821490901E-2</c:v>
                </c:pt>
                <c:pt idx="345">
                  <c:v>3.5010383182665902E-2</c:v>
                </c:pt>
                <c:pt idx="346">
                  <c:v>3.500996763331847E-2</c:v>
                </c:pt>
                <c:pt idx="347">
                  <c:v>3.5009524668817904E-2</c:v>
                </c:pt>
                <c:pt idx="348">
                  <c:v>3.5009057745207003E-2</c:v>
                </c:pt>
                <c:pt idx="349">
                  <c:v>3.5008570264587549E-2</c:v>
                </c:pt>
                <c:pt idx="350">
                  <c:v>3.5008065561476509E-2</c:v>
                </c:pt>
                <c:pt idx="351">
                  <c:v>3.5007546890151023E-2</c:v>
                </c:pt>
                <c:pt idx="352">
                  <c:v>3.5007017412994432E-2</c:v>
                </c:pt>
                <c:pt idx="353">
                  <c:v>3.5006480189850156E-2</c:v>
                </c:pt>
                <c:pt idx="354">
                  <c:v>3.5005938168385459E-2</c:v>
                </c:pt>
                <c:pt idx="355">
                  <c:v>3.500539417546171E-2</c:v>
                </c:pt>
                <c:pt idx="356">
                  <c:v>3.5004850909503393E-2</c:v>
                </c:pt>
                <c:pt idx="357">
                  <c:v>3.5004310933853713E-2</c:v>
                </c:pt>
                <c:pt idx="358">
                  <c:v>3.5003776671100453E-2</c:v>
                </c:pt>
                <c:pt idx="359">
                  <c:v>3.5003250398351851E-2</c:v>
                </c:pt>
                <c:pt idx="360">
                  <c:v>3.500273424343886E-2</c:v>
                </c:pt>
                <c:pt idx="361">
                  <c:v>3.5002230182016605E-2</c:v>
                </c:pt>
                <c:pt idx="362">
                  <c:v>3.50017400355353E-2</c:v>
                </c:pt>
                <c:pt idx="363">
                  <c:v>3.5001265470047643E-2</c:v>
                </c:pt>
                <c:pt idx="364">
                  <c:v>3.5000807995817923E-2</c:v>
                </c:pt>
                <c:pt idx="365">
                  <c:v>3.5000368967695206E-2</c:v>
                </c:pt>
                <c:pt idx="366">
                  <c:v>3.4999949586211984E-2</c:v>
                </c:pt>
                <c:pt idx="367">
                  <c:v>3.4999550899367293E-2</c:v>
                </c:pt>
                <c:pt idx="368">
                  <c:v>3.4999173805052616E-2</c:v>
                </c:pt>
                <c:pt idx="369">
                  <c:v>3.4998819054077535E-2</c:v>
                </c:pt>
                <c:pt idx="370">
                  <c:v>3.4998487253751293E-2</c:v>
                </c:pt>
                <c:pt idx="371">
                  <c:v>3.4998178871976357E-2</c:v>
                </c:pt>
                <c:pt idx="372">
                  <c:v>3.4997894241808977E-2</c:v>
                </c:pt>
                <c:pt idx="373">
                  <c:v>3.4997633566442518E-2</c:v>
                </c:pt>
                <c:pt idx="374">
                  <c:v>3.4997396924568991E-2</c:v>
                </c:pt>
                <c:pt idx="375">
                  <c:v>3.4997184276074539E-2</c:v>
                </c:pt>
                <c:pt idx="376">
                  <c:v>3.4996995468025607E-2</c:v>
                </c:pt>
                <c:pt idx="377">
                  <c:v>3.4996830240902818E-2</c:v>
                </c:pt>
                <c:pt idx="378">
                  <c:v>3.499668823504061E-2</c:v>
                </c:pt>
                <c:pt idx="379">
                  <c:v>3.4996568997232011E-2</c:v>
                </c:pt>
                <c:pt idx="380">
                  <c:v>3.4996471987458672E-2</c:v>
                </c:pt>
                <c:pt idx="381">
                  <c:v>3.499639658570794E-2</c:v>
                </c:pt>
                <c:pt idx="382">
                  <c:v>3.4996342098840214E-2</c:v>
                </c:pt>
                <c:pt idx="383">
                  <c:v>3.4996307767471049E-2</c:v>
                </c:pt>
                <c:pt idx="384">
                  <c:v>3.4996292772834683E-2</c:v>
                </c:pt>
                <c:pt idx="385">
                  <c:v>3.4996296243596695E-2</c:v>
                </c:pt>
                <c:pt idx="386">
                  <c:v>3.4996317262586063E-2</c:v>
                </c:pt>
                <c:pt idx="387">
                  <c:v>3.4996354873417998E-2</c:v>
                </c:pt>
                <c:pt idx="388">
                  <c:v>3.4996408086981512E-2</c:v>
                </c:pt>
                <c:pt idx="389">
                  <c:v>3.499647588776697E-2</c:v>
                </c:pt>
                <c:pt idx="390">
                  <c:v>3.4996557240011522E-2</c:v>
                </c:pt>
                <c:pt idx="391">
                  <c:v>3.4996651093641501E-2</c:v>
                </c:pt>
                <c:pt idx="392">
                  <c:v>3.4996756389993611E-2</c:v>
                </c:pt>
                <c:pt idx="393">
                  <c:v>3.4996872067298138E-2</c:v>
                </c:pt>
                <c:pt idx="394">
                  <c:v>3.4996997065909571E-2</c:v>
                </c:pt>
                <c:pt idx="395">
                  <c:v>3.4997130333271981E-2</c:v>
                </c:pt>
                <c:pt idx="396">
                  <c:v>3.4997270828608332E-2</c:v>
                </c:pt>
                <c:pt idx="397">
                  <c:v>3.4997417527324756E-2</c:v>
                </c:pt>
                <c:pt idx="398">
                  <c:v>3.4997569425122568E-2</c:v>
                </c:pt>
                <c:pt idx="399">
                  <c:v>3.4997725541812699E-2</c:v>
                </c:pt>
                <c:pt idx="400">
                  <c:v>3.4997884924828693E-2</c:v>
                </c:pt>
                <c:pt idx="401">
                  <c:v>3.4998046652436374E-2</c:v>
                </c:pt>
                <c:pt idx="402">
                  <c:v>3.4998209836639343E-2</c:v>
                </c:pt>
                <c:pt idx="403">
                  <c:v>3.4998373625781426E-2</c:v>
                </c:pt>
                <c:pt idx="404">
                  <c:v>3.4998537206848396E-2</c:v>
                </c:pt>
                <c:pt idx="405">
                  <c:v>3.4998699807472555E-2</c:v>
                </c:pt>
                <c:pt idx="406">
                  <c:v>3.4998860697645143E-2</c:v>
                </c:pt>
                <c:pt idx="407">
                  <c:v>3.4999019191142552E-2</c:v>
                </c:pt>
                <c:pt idx="408">
                  <c:v>3.4999174646673542E-2</c:v>
                </c:pt>
                <c:pt idx="409">
                  <c:v>3.4999326468755629E-2</c:v>
                </c:pt>
                <c:pt idx="410">
                  <c:v>3.4999474108329515E-2</c:v>
                </c:pt>
                <c:pt idx="411">
                  <c:v>3.4999617063121519E-2</c:v>
                </c:pt>
                <c:pt idx="412">
                  <c:v>3.499975487776455E-2</c:v>
                </c:pt>
                <c:pt idx="413">
                  <c:v>3.4999887143688707E-2</c:v>
                </c:pt>
                <c:pt idx="414">
                  <c:v>3.5000013498793447E-2</c:v>
                </c:pt>
                <c:pt idx="415">
                  <c:v>3.5000133626913413E-2</c:v>
                </c:pt>
                <c:pt idx="416">
                  <c:v>3.5000247257090583E-2</c:v>
                </c:pt>
                <c:pt idx="417">
                  <c:v>3.5000354162665642E-2</c:v>
                </c:pt>
                <c:pt idx="418">
                  <c:v>3.5000454160201727E-2</c:v>
                </c:pt>
                <c:pt idx="419">
                  <c:v>3.5000547108254038E-2</c:v>
                </c:pt>
                <c:pt idx="420">
                  <c:v>3.5000632905998377E-2</c:v>
                </c:pt>
                <c:pt idx="421">
                  <c:v>3.500071149173245E-2</c:v>
                </c:pt>
                <c:pt idx="422">
                  <c:v>3.5000782841262998E-2</c:v>
                </c:pt>
                <c:pt idx="423">
                  <c:v>3.5000846966192184E-2</c:v>
                </c:pt>
                <c:pt idx="424">
                  <c:v>3.5000903912116327E-2</c:v>
                </c:pt>
                <c:pt idx="425">
                  <c:v>3.5000953756749914E-2</c:v>
                </c:pt>
                <c:pt idx="426">
                  <c:v>3.5000996607987347E-2</c:v>
                </c:pt>
                <c:pt idx="427">
                  <c:v>3.5001032601914991E-2</c:v>
                </c:pt>
                <c:pt idx="428">
                  <c:v>3.5001061900785196E-2</c:v>
                </c:pt>
                <c:pt idx="429">
                  <c:v>3.5001084690964038E-2</c:v>
                </c:pt>
                <c:pt idx="430">
                  <c:v>3.5001101180863775E-2</c:v>
                </c:pt>
                <c:pt idx="431">
                  <c:v>3.5001111598870593E-2</c:v>
                </c:pt>
                <c:pt idx="432">
                  <c:v>3.5001116191278062E-2</c:v>
                </c:pt>
                <c:pt idx="433">
                  <c:v>3.500111522023551E-2</c:v>
                </c:pt>
                <c:pt idx="434">
                  <c:v>3.500110896172072E-2</c:v>
                </c:pt>
                <c:pt idx="435">
                  <c:v>3.5001097703545356E-2</c:v>
                </c:pt>
                <c:pt idx="436">
                  <c:v>3.5001081743400969E-2</c:v>
                </c:pt>
                <c:pt idx="437">
                  <c:v>3.5001061386953178E-2</c:v>
                </c:pt>
                <c:pt idx="438">
                  <c:v>3.5001036945990438E-2</c:v>
                </c:pt>
                <c:pt idx="439">
                  <c:v>3.5001008736634087E-2</c:v>
                </c:pt>
                <c:pt idx="440">
                  <c:v>3.5000977077614723E-2</c:v>
                </c:pt>
                <c:pt idx="441">
                  <c:v>3.500094228862026E-2</c:v>
                </c:pt>
                <c:pt idx="442">
                  <c:v>3.5000904688719983E-2</c:v>
                </c:pt>
                <c:pt idx="443">
                  <c:v>3.5000864594868411E-2</c:v>
                </c:pt>
                <c:pt idx="444">
                  <c:v>3.5000822320492189E-2</c:v>
                </c:pt>
                <c:pt idx="445">
                  <c:v>3.5000778174162847E-2</c:v>
                </c:pt>
                <c:pt idx="446">
                  <c:v>3.5000732458357511E-2</c:v>
                </c:pt>
                <c:pt idx="447">
                  <c:v>3.5000685468309117E-2</c:v>
                </c:pt>
                <c:pt idx="448">
                  <c:v>3.5000637490947492E-2</c:v>
                </c:pt>
                <c:pt idx="449">
                  <c:v>3.5000588803931684E-2</c:v>
                </c:pt>
                <c:pt idx="450">
                  <c:v>3.5000539674773887E-2</c:v>
                </c:pt>
                <c:pt idx="451">
                  <c:v>3.5000490360054662E-2</c:v>
                </c:pt>
                <c:pt idx="452">
                  <c:v>3.5000441104728608E-2</c:v>
                </c:pt>
                <c:pt idx="453">
                  <c:v>3.5000392141519635E-2</c:v>
                </c:pt>
                <c:pt idx="454">
                  <c:v>3.5000343690404223E-2</c:v>
                </c:pt>
                <c:pt idx="455">
                  <c:v>3.5000295958180758E-2</c:v>
                </c:pt>
                <c:pt idx="456">
                  <c:v>3.5000249138123024E-2</c:v>
                </c:pt>
                <c:pt idx="457">
                  <c:v>3.5000203409715241E-2</c:v>
                </c:pt>
                <c:pt idx="458">
                  <c:v>3.5000158938466017E-2</c:v>
                </c:pt>
                <c:pt idx="459">
                  <c:v>3.5000115875798182E-2</c:v>
                </c:pt>
                <c:pt idx="460">
                  <c:v>3.5000074359011438E-2</c:v>
                </c:pt>
                <c:pt idx="461">
                  <c:v>3.5000034511314296E-2</c:v>
                </c:pt>
                <c:pt idx="462">
                  <c:v>3.4999996441922004E-2</c:v>
                </c:pt>
                <c:pt idx="463">
                  <c:v>3.4999960246216502E-2</c:v>
                </c:pt>
                <c:pt idx="464">
                  <c:v>3.4999926005964827E-2</c:v>
                </c:pt>
                <c:pt idx="465">
                  <c:v>3.4999893789591993E-2</c:v>
                </c:pt>
                <c:pt idx="466">
                  <c:v>3.4999863652504307E-2</c:v>
                </c:pt>
                <c:pt idx="467">
                  <c:v>3.4999835637459314E-2</c:v>
                </c:pt>
                <c:pt idx="468">
                  <c:v>3.499980977497813E-2</c:v>
                </c:pt>
                <c:pt idx="469">
                  <c:v>3.4999786083796197E-2</c:v>
                </c:pt>
                <c:pt idx="470">
                  <c:v>3.4999764571348485E-2</c:v>
                </c:pt>
                <c:pt idx="471">
                  <c:v>3.4999745234285021E-2</c:v>
                </c:pt>
                <c:pt idx="472">
                  <c:v>3.4999728059012941E-2</c:v>
                </c:pt>
                <c:pt idx="473">
                  <c:v>3.4999713022261042E-2</c:v>
                </c:pt>
                <c:pt idx="474">
                  <c:v>3.4999700091663116E-2</c:v>
                </c:pt>
                <c:pt idx="475">
                  <c:v>3.4999689226356351E-2</c:v>
                </c:pt>
                <c:pt idx="476">
                  <c:v>3.4999680377591214E-2</c:v>
                </c:pt>
                <c:pt idx="477">
                  <c:v>3.4999673489349264E-2</c:v>
                </c:pt>
                <c:pt idx="478">
                  <c:v>3.499966849896563E-2</c:v>
                </c:pt>
                <c:pt idx="479">
                  <c:v>3.4999665337752964E-2</c:v>
                </c:pt>
                <c:pt idx="480">
                  <c:v>3.4999663931623695E-2</c:v>
                </c:pt>
                <c:pt idx="481">
                  <c:v>3.4999664201707831E-2</c:v>
                </c:pt>
                <c:pt idx="482">
                  <c:v>3.4999666064963492E-2</c:v>
                </c:pt>
                <c:pt idx="483">
                  <c:v>3.49996694347776E-2</c:v>
                </c:pt>
                <c:pt idx="484">
                  <c:v>3.4999674221554436E-2</c:v>
                </c:pt>
                <c:pt idx="485">
                  <c:v>3.4999680333289568E-2</c:v>
                </c:pt>
                <c:pt idx="486">
                  <c:v>3.4999687676127614E-2</c:v>
                </c:pt>
                <c:pt idx="487">
                  <c:v>3.4999696154901339E-2</c:v>
                </c:pt>
                <c:pt idx="488">
                  <c:v>3.4999705673650974E-2</c:v>
                </c:pt>
                <c:pt idx="489">
                  <c:v>3.4999716136121864E-2</c:v>
                </c:pt>
                <c:pt idx="490">
                  <c:v>3.4999727446239318E-2</c:v>
                </c:pt>
                <c:pt idx="491">
                  <c:v>3.4999739508559391E-2</c:v>
                </c:pt>
                <c:pt idx="492">
                  <c:v>3.4999752228694767E-2</c:v>
                </c:pt>
                <c:pt idx="493">
                  <c:v>3.4999765513714629E-2</c:v>
                </c:pt>
                <c:pt idx="494">
                  <c:v>3.4999779272518267E-2</c:v>
                </c:pt>
                <c:pt idx="495">
                  <c:v>3.499979341618159E-2</c:v>
                </c:pt>
                <c:pt idx="496">
                  <c:v>3.4999807858276347E-2</c:v>
                </c:pt>
                <c:pt idx="497">
                  <c:v>3.499982251516183E-2</c:v>
                </c:pt>
                <c:pt idx="498">
                  <c:v>3.4999837306249074E-2</c:v>
                </c:pt>
                <c:pt idx="499">
                  <c:v>3.4999852154237496E-2</c:v>
                </c:pt>
                <c:pt idx="500">
                  <c:v>3.4999866985324327E-2</c:v>
                </c:pt>
                <c:pt idx="501">
                  <c:v>3.4999881729387033E-2</c:v>
                </c:pt>
                <c:pt idx="502">
                  <c:v>3.4999896320139307E-2</c:v>
                </c:pt>
                <c:pt idx="503">
                  <c:v>3.4999910695261038E-2</c:v>
                </c:pt>
                <c:pt idx="504">
                  <c:v>3.499992479650299E-2</c:v>
                </c:pt>
                <c:pt idx="505">
                  <c:v>3.4999938569766964E-2</c:v>
                </c:pt>
                <c:pt idx="506">
                  <c:v>3.4999951965162063E-2</c:v>
                </c:pt>
                <c:pt idx="507">
                  <c:v>3.4999964937038205E-2</c:v>
                </c:pt>
                <c:pt idx="508">
                  <c:v>3.4999977443997632E-2</c:v>
                </c:pt>
                <c:pt idx="509">
                  <c:v>3.4999989448885632E-2</c:v>
                </c:pt>
                <c:pt idx="510">
                  <c:v>3.5000000918761237E-2</c:v>
                </c:pt>
                <c:pt idx="511">
                  <c:v>3.5000011824849367E-2</c:v>
                </c:pt>
                <c:pt idx="512">
                  <c:v>3.5000022142475287E-2</c:v>
                </c:pt>
                <c:pt idx="513">
                  <c:v>3.500003185098266E-2</c:v>
                </c:pt>
                <c:pt idx="514">
                  <c:v>3.5000040933636373E-2</c:v>
                </c:pt>
                <c:pt idx="515">
                  <c:v>3.5000049377511389E-2</c:v>
                </c:pt>
                <c:pt idx="516">
                  <c:v>3.5000057173368695E-2</c:v>
                </c:pt>
                <c:pt idx="517">
                  <c:v>3.5000064315519816E-2</c:v>
                </c:pt>
                <c:pt idx="518">
                  <c:v>3.5000070801680744E-2</c:v>
                </c:pt>
                <c:pt idx="519">
                  <c:v>3.5000076632816957E-2</c:v>
                </c:pt>
                <c:pt idx="520">
                  <c:v>3.5000081812980241E-2</c:v>
                </c:pt>
                <c:pt idx="521">
                  <c:v>3.5000086349138773E-2</c:v>
                </c:pt>
                <c:pt idx="522">
                  <c:v>3.500009025100162E-2</c:v>
                </c:pt>
                <c:pt idx="523">
                  <c:v>3.5000093530838577E-2</c:v>
                </c:pt>
                <c:pt idx="524">
                  <c:v>3.500009620329661E-2</c:v>
                </c:pt>
                <c:pt idx="525">
                  <c:v>3.500009828521379E-2</c:v>
                </c:pt>
                <c:pt idx="526">
                  <c:v>3.5000099795431963E-2</c:v>
                </c:pt>
                <c:pt idx="527">
                  <c:v>3.5000100754608868E-2</c:v>
                </c:pt>
                <c:pt idx="528">
                  <c:v>3.5000101185030719E-2</c:v>
                </c:pt>
                <c:pt idx="529">
                  <c:v>3.5000101110426216E-2</c:v>
                </c:pt>
                <c:pt idx="530">
                  <c:v>3.5000100555782676E-2</c:v>
                </c:pt>
                <c:pt idx="531">
                  <c:v>3.5000099547165098E-2</c:v>
                </c:pt>
                <c:pt idx="532">
                  <c:v>3.5000098111538938E-2</c:v>
                </c:pt>
                <c:pt idx="533">
                  <c:v>3.5000096276597184E-2</c:v>
                </c:pt>
                <c:pt idx="534">
                  <c:v>3.5000094070592416E-2</c:v>
                </c:pt>
                <c:pt idx="535">
                  <c:v>3.5000091522174384E-2</c:v>
                </c:pt>
                <c:pt idx="536">
                  <c:v>3.5000088660233519E-2</c:v>
                </c:pt>
                <c:pt idx="537">
                  <c:v>3.5000085513751042E-2</c:v>
                </c:pt>
                <c:pt idx="538">
                  <c:v>3.5000082111655936E-2</c:v>
                </c:pt>
                <c:pt idx="539">
                  <c:v>3.500007848268899E-2</c:v>
                </c:pt>
                <c:pt idx="540">
                  <c:v>3.5000074655274632E-2</c:v>
                </c:pt>
                <c:pt idx="541">
                  <c:v>3.5000070657400295E-2</c:v>
                </c:pt>
                <c:pt idx="542">
                  <c:v>3.5000066516503836E-2</c:v>
                </c:pt>
                <c:pt idx="543">
                  <c:v>3.5000062259369191E-2</c:v>
                </c:pt>
                <c:pt idx="544">
                  <c:v>3.5000057912030008E-2</c:v>
                </c:pt>
                <c:pt idx="545">
                  <c:v>3.5000053499681813E-2</c:v>
                </c:pt>
                <c:pt idx="546">
                  <c:v>3.5000049046602269E-2</c:v>
                </c:pt>
                <c:pt idx="547">
                  <c:v>3.5000044576079872E-2</c:v>
                </c:pt>
                <c:pt idx="548">
                  <c:v>3.500004011035078E-2</c:v>
                </c:pt>
                <c:pt idx="549">
                  <c:v>3.5000035670543717E-2</c:v>
                </c:pt>
                <c:pt idx="550">
                  <c:v>3.5000031276632967E-2</c:v>
                </c:pt>
                <c:pt idx="551">
                  <c:v>3.5000026947399121E-2</c:v>
                </c:pt>
                <c:pt idx="552">
                  <c:v>3.5000022700397398E-2</c:v>
                </c:pt>
                <c:pt idx="553">
                  <c:v>3.5000018551933479E-2</c:v>
                </c:pt>
                <c:pt idx="554">
                  <c:v>3.5000014517046457E-2</c:v>
                </c:pt>
                <c:pt idx="555">
                  <c:v>3.5000010609498644E-2</c:v>
                </c:pt>
                <c:pt idx="556">
                  <c:v>3.5000006841771972E-2</c:v>
                </c:pt>
                <c:pt idx="557">
                  <c:v>3.5000003225070825E-2</c:v>
                </c:pt>
                <c:pt idx="558">
                  <c:v>3.4999999769330645E-2</c:v>
                </c:pt>
                <c:pt idx="559">
                  <c:v>3.4999996483232335E-2</c:v>
                </c:pt>
                <c:pt idx="560">
                  <c:v>3.4999993374221952E-2</c:v>
                </c:pt>
                <c:pt idx="561">
                  <c:v>3.4999990448535231E-2</c:v>
                </c:pt>
                <c:pt idx="562">
                  <c:v>3.4999987711226865E-2</c:v>
                </c:pt>
                <c:pt idx="563">
                  <c:v>3.4999985166203867E-2</c:v>
                </c:pt>
                <c:pt idx="564">
                  <c:v>3.499998281626289E-2</c:v>
                </c:pt>
                <c:pt idx="565">
                  <c:v>3.4999980663130995E-2</c:v>
                </c:pt>
                <c:pt idx="566">
                  <c:v>3.499997870750951E-2</c:v>
                </c:pt>
                <c:pt idx="567">
                  <c:v>3.499997694912077E-2</c:v>
                </c:pt>
                <c:pt idx="568">
                  <c:v>3.4999975386757157E-2</c:v>
                </c:pt>
                <c:pt idx="569">
                  <c:v>3.4999974018332214E-2</c:v>
                </c:pt>
                <c:pt idx="570">
                  <c:v>3.4999972840933521E-2</c:v>
                </c:pt>
                <c:pt idx="571">
                  <c:v>3.4999971850876874E-2</c:v>
                </c:pt>
                <c:pt idx="572">
                  <c:v>3.4999971043761596E-2</c:v>
                </c:pt>
                <c:pt idx="573">
                  <c:v>3.4999970414526502E-2</c:v>
                </c:pt>
                <c:pt idx="574">
                  <c:v>3.4999969957506302E-2</c:v>
                </c:pt>
                <c:pt idx="575">
                  <c:v>3.4999969666488218E-2</c:v>
                </c:pt>
                <c:pt idx="576">
                  <c:v>3.4999969534768346E-2</c:v>
                </c:pt>
                <c:pt idx="577">
                  <c:v>3.4999969555207733E-2</c:v>
                </c:pt>
                <c:pt idx="578">
                  <c:v>3.499996972028771E-2</c:v>
                </c:pt>
                <c:pt idx="579">
                  <c:v>3.4999970022164387E-2</c:v>
                </c:pt>
                <c:pt idx="580">
                  <c:v>3.4999970452722032E-2</c:v>
                </c:pt>
                <c:pt idx="581">
                  <c:v>3.4999971003625147E-2</c:v>
                </c:pt>
                <c:pt idx="582">
                  <c:v>3.4999971666369117E-2</c:v>
                </c:pt>
                <c:pt idx="583">
                  <c:v>3.4999972432329038E-2</c:v>
                </c:pt>
                <c:pt idx="584">
                  <c:v>3.4999973292806907E-2</c:v>
                </c:pt>
                <c:pt idx="585">
                  <c:v>3.4999974239076831E-2</c:v>
                </c:pt>
                <c:pt idx="586">
                  <c:v>3.4999975262428012E-2</c:v>
                </c:pt>
                <c:pt idx="587">
                  <c:v>3.4999976354205833E-2</c:v>
                </c:pt>
                <c:pt idx="588">
                  <c:v>3.4999977505850363E-2</c:v>
                </c:pt>
                <c:pt idx="589">
                  <c:v>3.499997870893283E-2</c:v>
                </c:pt>
                <c:pt idx="590">
                  <c:v>3.4999979955189414E-2</c:v>
                </c:pt>
                <c:pt idx="591">
                  <c:v>3.4999981236552832E-2</c:v>
                </c:pt>
                <c:pt idx="592">
                  <c:v>3.4999982545181316E-2</c:v>
                </c:pt>
                <c:pt idx="593">
                  <c:v>3.4999983873485088E-2</c:v>
                </c:pt>
                <c:pt idx="594">
                  <c:v>3.4999985214150417E-2</c:v>
                </c:pt>
                <c:pt idx="595">
                  <c:v>3.4999986560161164E-2</c:v>
                </c:pt>
                <c:pt idx="596">
                  <c:v>3.4999987904817759E-2</c:v>
                </c:pt>
                <c:pt idx="597">
                  <c:v>3.499998924175389E-2</c:v>
                </c:pt>
                <c:pt idx="598">
                  <c:v>3.4999990564950609E-2</c:v>
                </c:pt>
                <c:pt idx="599">
                  <c:v>3.4999991868748317E-2</c:v>
                </c:pt>
                <c:pt idx="600">
                  <c:v>3.4999993147856165E-2</c:v>
                </c:pt>
                <c:pt idx="601">
                  <c:v>3.4999994397359485E-2</c:v>
                </c:pt>
                <c:pt idx="602">
                  <c:v>3.4999995612724932E-2</c:v>
                </c:pt>
                <c:pt idx="603">
                  <c:v>3.4999996789803506E-2</c:v>
                </c:pt>
                <c:pt idx="604">
                  <c:v>3.4999997924831772E-2</c:v>
                </c:pt>
                <c:pt idx="605">
                  <c:v>3.4999999014430933E-2</c:v>
                </c:pt>
                <c:pt idx="606">
                  <c:v>3.5000000055604358E-2</c:v>
                </c:pt>
                <c:pt idx="607">
                  <c:v>3.5000001045733156E-2</c:v>
                </c:pt>
                <c:pt idx="608">
                  <c:v>3.5000001982570375E-2</c:v>
                </c:pt>
                <c:pt idx="609">
                  <c:v>3.5000002864233562E-2</c:v>
                </c:pt>
                <c:pt idx="610">
                  <c:v>3.5000003689196021E-2</c:v>
                </c:pt>
                <c:pt idx="611">
                  <c:v>3.500000445627674E-2</c:v>
                </c:pt>
                <c:pt idx="612">
                  <c:v>3.50000051646292E-2</c:v>
                </c:pt>
                <c:pt idx="613">
                  <c:v>3.5000005813729085E-2</c:v>
                </c:pt>
                <c:pt idx="614">
                  <c:v>3.5000006403361122E-2</c:v>
                </c:pt>
                <c:pt idx="615">
                  <c:v>3.5000006933604971E-2</c:v>
                </c:pt>
                <c:pt idx="616">
                  <c:v>3.5000007404820538E-2</c:v>
                </c:pt>
                <c:pt idx="617">
                  <c:v>3.5000007817632531E-2</c:v>
                </c:pt>
                <c:pt idx="618">
                  <c:v>3.5000008172914585E-2</c:v>
                </c:pt>
                <c:pt idx="619">
                  <c:v>3.5000008471772925E-2</c:v>
                </c:pt>
                <c:pt idx="620">
                  <c:v>3.5000008715529704E-2</c:v>
                </c:pt>
                <c:pt idx="621">
                  <c:v>3.5000008905706217E-2</c:v>
                </c:pt>
                <c:pt idx="622">
                  <c:v>3.5000009044005881E-2</c:v>
                </c:pt>
                <c:pt idx="623">
                  <c:v>3.5000009132297172E-2</c:v>
                </c:pt>
                <c:pt idx="624">
                  <c:v>3.5000009172596686E-2</c:v>
                </c:pt>
                <c:pt idx="625">
                  <c:v>3.5000009167052204E-2</c:v>
                </c:pt>
                <c:pt idx="626">
                  <c:v>3.5000009117926112E-2</c:v>
                </c:pt>
                <c:pt idx="627">
                  <c:v>3.5000009027578882E-2</c:v>
                </c:pt>
                <c:pt idx="628">
                  <c:v>3.5000008898453117E-2</c:v>
                </c:pt>
                <c:pt idx="629">
                  <c:v>3.5000008733057739E-2</c:v>
                </c:pt>
                <c:pt idx="630">
                  <c:v>3.5000008533952853E-2</c:v>
                </c:pt>
                <c:pt idx="631">
                  <c:v>3.5000008303734911E-2</c:v>
                </c:pt>
                <c:pt idx="632">
                  <c:v>3.5000008045022624E-2</c:v>
                </c:pt>
                <c:pt idx="633">
                  <c:v>3.5000007760443264E-2</c:v>
                </c:pt>
                <c:pt idx="634">
                  <c:v>3.5000007452619691E-2</c:v>
                </c:pt>
                <c:pt idx="635">
                  <c:v>3.50000071241581E-2</c:v>
                </c:pt>
                <c:pt idx="636">
                  <c:v>3.5000006777636233E-2</c:v>
                </c:pt>
                <c:pt idx="637">
                  <c:v>3.5000006415592547E-2</c:v>
                </c:pt>
                <c:pt idx="638">
                  <c:v>3.5000006040515966E-2</c:v>
                </c:pt>
                <c:pt idx="639">
                  <c:v>3.5000005654836311E-2</c:v>
                </c:pt>
                <c:pt idx="640">
                  <c:v>3.5000005260915706E-2</c:v>
                </c:pt>
                <c:pt idx="641">
                  <c:v>3.5000004861040407E-2</c:v>
                </c:pt>
                <c:pt idx="642">
                  <c:v>3.5000004457413705E-2</c:v>
                </c:pt>
                <c:pt idx="643">
                  <c:v>3.5000004052149369E-2</c:v>
                </c:pt>
                <c:pt idx="644">
                  <c:v>3.5000003647265937E-2</c:v>
                </c:pt>
                <c:pt idx="645">
                  <c:v>3.5000003244681624E-2</c:v>
                </c:pt>
                <c:pt idx="646">
                  <c:v>3.5000002846210132E-2</c:v>
                </c:pt>
                <c:pt idx="647">
                  <c:v>3.5000002453557041E-2</c:v>
                </c:pt>
                <c:pt idx="648">
                  <c:v>3.5000002068316896E-2</c:v>
                </c:pt>
                <c:pt idx="649">
                  <c:v>3.5000001691971011E-2</c:v>
                </c:pt>
                <c:pt idx="650">
                  <c:v>3.5000001325885918E-2</c:v>
                </c:pt>
                <c:pt idx="651">
                  <c:v>3.5000000971312437E-2</c:v>
                </c:pt>
                <c:pt idx="652">
                  <c:v>3.5000000629385269E-2</c:v>
                </c:pt>
                <c:pt idx="653">
                  <c:v>3.5000000301123338E-2</c:v>
                </c:pt>
                <c:pt idx="654">
                  <c:v>3.4999999987430447E-2</c:v>
                </c:pt>
                <c:pt idx="655">
                  <c:v>3.4999999689096672E-2</c:v>
                </c:pt>
                <c:pt idx="656">
                  <c:v>3.4999999406800056E-2</c:v>
                </c:pt>
                <c:pt idx="657">
                  <c:v>3.4999999141108878E-2</c:v>
                </c:pt>
                <c:pt idx="658">
                  <c:v>3.4999998892484258E-2</c:v>
                </c:pt>
                <c:pt idx="659">
                  <c:v>3.4999998661283171E-2</c:v>
                </c:pt>
                <c:pt idx="660">
                  <c:v>3.4999998447761846E-2</c:v>
                </c:pt>
                <c:pt idx="661">
                  <c:v>3.4999998252079473E-2</c:v>
                </c:pt>
                <c:pt idx="662">
                  <c:v>3.4999998074302083E-2</c:v>
                </c:pt>
                <c:pt idx="663">
                  <c:v>3.4999997914406875E-2</c:v>
                </c:pt>
                <c:pt idx="664">
                  <c:v>3.4999997772286615E-2</c:v>
                </c:pt>
                <c:pt idx="665">
                  <c:v>3.4999997647754258E-2</c:v>
                </c:pt>
                <c:pt idx="666">
                  <c:v>3.499999754054775E-2</c:v>
                </c:pt>
                <c:pt idx="667">
                  <c:v>3.4999997450334941E-2</c:v>
                </c:pt>
                <c:pt idx="668">
                  <c:v>3.4999997376718578E-2</c:v>
                </c:pt>
                <c:pt idx="669">
                  <c:v>3.4999997319241402E-2</c:v>
                </c:pt>
                <c:pt idx="670">
                  <c:v>3.4999997277391254E-2</c:v>
                </c:pt>
                <c:pt idx="671">
                  <c:v>3.4999997250606193E-2</c:v>
                </c:pt>
                <c:pt idx="672">
                  <c:v>3.4999997238279609E-2</c:v>
                </c:pt>
                <c:pt idx="673">
                  <c:v>3.499999723976531E-2</c:v>
                </c:pt>
                <c:pt idx="674">
                  <c:v>3.4999997254382575E-2</c:v>
                </c:pt>
                <c:pt idx="675">
                  <c:v>3.499999728142103E-2</c:v>
                </c:pt>
                <c:pt idx="676">
                  <c:v>3.4999997320145568E-2</c:v>
                </c:pt>
                <c:pt idx="677">
                  <c:v>3.4999997369800986E-2</c:v>
                </c:pt>
                <c:pt idx="678">
                  <c:v>3.4999997429616639E-2</c:v>
                </c:pt>
                <c:pt idx="679">
                  <c:v>3.4999997498810886E-2</c:v>
                </c:pt>
                <c:pt idx="680">
                  <c:v>3.4999997576595318E-2</c:v>
                </c:pt>
                <c:pt idx="681">
                  <c:v>3.49999976621789E-2</c:v>
                </c:pt>
                <c:pt idx="682">
                  <c:v>3.4999997754771861E-2</c:v>
                </c:pt>
                <c:pt idx="683">
                  <c:v>3.4999997853589385E-2</c:v>
                </c:pt>
                <c:pt idx="684">
                  <c:v>3.4999997957855231E-2</c:v>
                </c:pt>
                <c:pt idx="685">
                  <c:v>3.4999998066804885E-2</c:v>
                </c:pt>
                <c:pt idx="686">
                  <c:v>3.499999817968874E-2</c:v>
                </c:pt>
                <c:pt idx="687">
                  <c:v>3.4999998295774951E-2</c:v>
                </c:pt>
                <c:pt idx="688">
                  <c:v>3.4999998414351974E-2</c:v>
                </c:pt>
                <c:pt idx="689">
                  <c:v>3.4999998534731125E-2</c:v>
                </c:pt>
                <c:pt idx="690">
                  <c:v>3.4999998656248657E-2</c:v>
                </c:pt>
                <c:pt idx="691">
                  <c:v>3.499999877826776E-2</c:v>
                </c:pt>
                <c:pt idx="692">
                  <c:v>3.4999998900180268E-2</c:v>
                </c:pt>
                <c:pt idx="693">
                  <c:v>3.4999999021408199E-2</c:v>
                </c:pt>
                <c:pt idx="694">
                  <c:v>3.4999999141405017E-2</c:v>
                </c:pt>
                <c:pt idx="695">
                  <c:v>3.4999999259656731E-2</c:v>
                </c:pt>
                <c:pt idx="696">
                  <c:v>3.4999999375682808E-2</c:v>
                </c:pt>
                <c:pt idx="697">
                  <c:v>3.4999999489036746E-2</c:v>
                </c:pt>
                <c:pt idx="698">
                  <c:v>3.4999999599306608E-2</c:v>
                </c:pt>
                <c:pt idx="699">
                  <c:v>3.4999999706115323E-2</c:v>
                </c:pt>
                <c:pt idx="700">
                  <c:v>3.499999980912076E-2</c:v>
                </c:pt>
                <c:pt idx="701">
                  <c:v>3.4999999908015667E-2</c:v>
                </c:pt>
                <c:pt idx="702">
                  <c:v>3.500000000252744E-2</c:v>
                </c:pt>
                <c:pt idx="703">
                  <c:v>3.500000009241773E-2</c:v>
                </c:pt>
                <c:pt idx="704">
                  <c:v>3.5000000177481908E-2</c:v>
                </c:pt>
                <c:pt idx="705">
                  <c:v>3.5000000257548458E-2</c:v>
                </c:pt>
                <c:pt idx="706">
                  <c:v>3.500000033247809E-2</c:v>
                </c:pt>
                <c:pt idx="707">
                  <c:v>3.500000040216289E-2</c:v>
                </c:pt>
                <c:pt idx="708">
                  <c:v>3.5000000466525336E-2</c:v>
                </c:pt>
                <c:pt idx="709">
                  <c:v>3.5000000525517064E-2</c:v>
                </c:pt>
                <c:pt idx="710">
                  <c:v>3.5000000579117854E-2</c:v>
                </c:pt>
                <c:pt idx="711">
                  <c:v>3.5000000627334202E-2</c:v>
                </c:pt>
                <c:pt idx="712">
                  <c:v>3.5000000670198053E-2</c:v>
                </c:pt>
                <c:pt idx="713">
                  <c:v>3.5000000707765419E-2</c:v>
                </c:pt>
                <c:pt idx="714">
                  <c:v>3.5000000740114889E-2</c:v>
                </c:pt>
                <c:pt idx="715">
                  <c:v>3.5000000767346218E-2</c:v>
                </c:pt>
                <c:pt idx="716">
                  <c:v>3.5000000789578725E-2</c:v>
                </c:pt>
                <c:pt idx="717">
                  <c:v>3.5000000806949871E-2</c:v>
                </c:pt>
                <c:pt idx="718">
                  <c:v>3.500000081961363E-2</c:v>
                </c:pt>
                <c:pt idx="719">
                  <c:v>3.5000000827739033E-2</c:v>
                </c:pt>
                <c:pt idx="720">
                  <c:v>3.5000000831508546E-2</c:v>
                </c:pt>
                <c:pt idx="721">
                  <c:v>3.5000000831116554E-2</c:v>
                </c:pt>
                <c:pt idx="722">
                  <c:v>3.5000000826767894E-2</c:v>
                </c:pt>
                <c:pt idx="723">
                  <c:v>3.5000000818676366E-2</c:v>
                </c:pt>
                <c:pt idx="724">
                  <c:v>3.5000000807063184E-2</c:v>
                </c:pt>
                <c:pt idx="725">
                  <c:v>3.5000000792155692E-2</c:v>
                </c:pt>
                <c:pt idx="726">
                  <c:v>3.500000077418583E-2</c:v>
                </c:pt>
                <c:pt idx="727">
                  <c:v>3.5000000753388924E-2</c:v>
                </c:pt>
                <c:pt idx="728">
                  <c:v>3.5000000730002354E-2</c:v>
                </c:pt>
                <c:pt idx="729">
                  <c:v>3.5000000704264275E-2</c:v>
                </c:pt>
                <c:pt idx="730">
                  <c:v>3.5000000676412499E-2</c:v>
                </c:pt>
                <c:pt idx="731">
                  <c:v>3.5000000646683349E-2</c:v>
                </c:pt>
                <c:pt idx="732">
                  <c:v>3.5000000615310597E-2</c:v>
                </c:pt>
                <c:pt idx="733">
                  <c:v>3.5000000582524463E-2</c:v>
                </c:pt>
                <c:pt idx="734">
                  <c:v>3.5000000548550736E-2</c:v>
                </c:pt>
                <c:pt idx="735">
                  <c:v>3.5000000513609866E-2</c:v>
                </c:pt>
                <c:pt idx="736">
                  <c:v>3.5000000477916127E-2</c:v>
                </c:pt>
                <c:pt idx="737">
                  <c:v>3.5000000441677018E-2</c:v>
                </c:pt>
                <c:pt idx="738">
                  <c:v>3.5000000405092477E-2</c:v>
                </c:pt>
                <c:pt idx="739">
                  <c:v>3.5000000368354364E-2</c:v>
                </c:pt>
                <c:pt idx="740">
                  <c:v>3.5000000331645909E-2</c:v>
                </c:pt>
                <c:pt idx="741">
                  <c:v>3.5000000295141262E-2</c:v>
                </c:pt>
                <c:pt idx="742">
                  <c:v>3.5000000259005112E-2</c:v>
                </c:pt>
                <c:pt idx="743">
                  <c:v>3.5000000223392363E-2</c:v>
                </c:pt>
                <c:pt idx="744">
                  <c:v>3.500000018844783E-2</c:v>
                </c:pt>
                <c:pt idx="745">
                  <c:v>3.5000000154306085E-2</c:v>
                </c:pt>
                <c:pt idx="746">
                  <c:v>3.5000000121091307E-2</c:v>
                </c:pt>
                <c:pt idx="747">
                  <c:v>3.5000000088917183E-2</c:v>
                </c:pt>
                <c:pt idx="748">
                  <c:v>3.5000000057886851E-2</c:v>
                </c:pt>
                <c:pt idx="749">
                  <c:v>3.5000000028092976E-2</c:v>
                </c:pt>
                <c:pt idx="750">
                  <c:v>3.4999999999617795E-2</c:v>
                </c:pt>
                <c:pt idx="751">
                  <c:v>3.4999999972533169E-2</c:v>
                </c:pt>
                <c:pt idx="752">
                  <c:v>3.4999999946900881E-2</c:v>
                </c:pt>
                <c:pt idx="753">
                  <c:v>3.4999999922772695E-2</c:v>
                </c:pt>
                <c:pt idx="754">
                  <c:v>3.499999990019069E-2</c:v>
                </c:pt>
                <c:pt idx="755">
                  <c:v>3.4999999879187477E-2</c:v>
                </c:pt>
                <c:pt idx="756">
                  <c:v>3.4999999859786524E-2</c:v>
                </c:pt>
                <c:pt idx="757">
                  <c:v>3.4999999842002499E-2</c:v>
                </c:pt>
                <c:pt idx="758">
                  <c:v>3.4999999825841621E-2</c:v>
                </c:pt>
                <c:pt idx="759">
                  <c:v>3.4999999811302029E-2</c:v>
                </c:pt>
                <c:pt idx="760">
                  <c:v>3.4999999798374204E-2</c:v>
                </c:pt>
                <c:pt idx="761">
                  <c:v>3.4999999787041394E-2</c:v>
                </c:pt>
                <c:pt idx="762">
                  <c:v>3.4999999777280008E-2</c:v>
                </c:pt>
                <c:pt idx="763">
                  <c:v>3.4999999769060111E-2</c:v>
                </c:pt>
                <c:pt idx="764">
                  <c:v>3.4999999762345829E-2</c:v>
                </c:pt>
                <c:pt idx="765">
                  <c:v>3.4999999757095862E-2</c:v>
                </c:pt>
                <c:pt idx="766">
                  <c:v>3.4999999753263927E-2</c:v>
                </c:pt>
                <c:pt idx="767">
                  <c:v>3.4999999750799163E-2</c:v>
                </c:pt>
                <c:pt idx="768">
                  <c:v>3.499999974964671E-2</c:v>
                </c:pt>
                <c:pt idx="769">
                  <c:v>3.4999999749748059E-2</c:v>
                </c:pt>
                <c:pt idx="770">
                  <c:v>3.499999975104158E-2</c:v>
                </c:pt>
                <c:pt idx="771">
                  <c:v>3.4999999753462949E-2</c:v>
                </c:pt>
                <c:pt idx="772">
                  <c:v>3.499999975694558E-2</c:v>
                </c:pt>
                <c:pt idx="773">
                  <c:v>3.4999999761421041E-2</c:v>
                </c:pt>
                <c:pt idx="774">
                  <c:v>3.4999999766819515E-2</c:v>
                </c:pt>
                <c:pt idx="775">
                  <c:v>3.4999999773070167E-2</c:v>
                </c:pt>
                <c:pt idx="776">
                  <c:v>3.4999999780101515E-2</c:v>
                </c:pt>
                <c:pt idx="777">
                  <c:v>3.4999999787841865E-2</c:v>
                </c:pt>
                <c:pt idx="778">
                  <c:v>3.4999999796219608E-2</c:v>
                </c:pt>
                <c:pt idx="779">
                  <c:v>3.4999999805163565E-2</c:v>
                </c:pt>
                <c:pt idx="780">
                  <c:v>3.4999999814603361E-2</c:v>
                </c:pt>
                <c:pt idx="781">
                  <c:v>3.4999999824469649E-2</c:v>
                </c:pt>
                <c:pt idx="782">
                  <c:v>3.4999999834694429E-2</c:v>
                </c:pt>
                <c:pt idx="783">
                  <c:v>3.4999999845211294E-2</c:v>
                </c:pt>
                <c:pt idx="784">
                  <c:v>3.4999999855955713E-2</c:v>
                </c:pt>
                <c:pt idx="785">
                  <c:v>3.4999999866865167E-2</c:v>
                </c:pt>
                <c:pt idx="786">
                  <c:v>3.4999999877879454E-2</c:v>
                </c:pt>
                <c:pt idx="787">
                  <c:v>3.499999988894073E-2</c:v>
                </c:pt>
                <c:pt idx="788">
                  <c:v>3.4999999899993819E-2</c:v>
                </c:pt>
                <c:pt idx="789">
                  <c:v>3.4999999910986235E-2</c:v>
                </c:pt>
                <c:pt idx="790">
                  <c:v>3.4999999921868363E-2</c:v>
                </c:pt>
                <c:pt idx="791">
                  <c:v>3.4999999932593506E-2</c:v>
                </c:pt>
                <c:pt idx="792">
                  <c:v>3.4999999943118032E-2</c:v>
                </c:pt>
                <c:pt idx="793">
                  <c:v>3.4999999953401376E-2</c:v>
                </c:pt>
                <c:pt idx="794">
                  <c:v>3.4999999963406109E-2</c:v>
                </c:pt>
                <c:pt idx="795">
                  <c:v>3.4999999973097953E-2</c:v>
                </c:pt>
                <c:pt idx="796">
                  <c:v>3.4999999982445823E-2</c:v>
                </c:pt>
                <c:pt idx="797">
                  <c:v>3.499999999142174E-2</c:v>
                </c:pt>
                <c:pt idx="798">
                  <c:v>3.5000000000000961E-2</c:v>
                </c:pt>
                <c:pt idx="799">
                  <c:v>3.5000000008161752E-2</c:v>
                </c:pt>
                <c:pt idx="800">
                  <c:v>3.5000000015885491E-2</c:v>
                </c:pt>
                <c:pt idx="801">
                  <c:v>3.5000000023156549E-2</c:v>
                </c:pt>
                <c:pt idx="802">
                  <c:v>3.5000000029962217E-2</c:v>
                </c:pt>
                <c:pt idx="803">
                  <c:v>3.5000000036292639E-2</c:v>
                </c:pt>
                <c:pt idx="804">
                  <c:v>3.5000000042140725E-2</c:v>
                </c:pt>
                <c:pt idx="805">
                  <c:v>3.5000000047501992E-2</c:v>
                </c:pt>
                <c:pt idx="806">
                  <c:v>3.5000000052374566E-2</c:v>
                </c:pt>
                <c:pt idx="807">
                  <c:v>3.5000000056758948E-2</c:v>
                </c:pt>
                <c:pt idx="808">
                  <c:v>3.5000000060657996E-2</c:v>
                </c:pt>
                <c:pt idx="809">
                  <c:v>3.5000000064076719E-2</c:v>
                </c:pt>
                <c:pt idx="810">
                  <c:v>3.5000000067022183E-2</c:v>
                </c:pt>
                <c:pt idx="811">
                  <c:v>3.5000000069503392E-2</c:v>
                </c:pt>
                <c:pt idx="812">
                  <c:v>3.5000000071531104E-2</c:v>
                </c:pt>
                <c:pt idx="813">
                  <c:v>3.5000000073117737E-2</c:v>
                </c:pt>
                <c:pt idx="814">
                  <c:v>3.5000000074277227E-2</c:v>
                </c:pt>
                <c:pt idx="815">
                  <c:v>3.5000000075024851E-2</c:v>
                </c:pt>
                <c:pt idx="816">
                  <c:v>3.5000000075377111E-2</c:v>
                </c:pt>
                <c:pt idx="817">
                  <c:v>3.5000000075351631E-2</c:v>
                </c:pt>
                <c:pt idx="818">
                  <c:v>3.5000000074966925E-2</c:v>
                </c:pt>
                <c:pt idx="819">
                  <c:v>3.5000000074242366E-2</c:v>
                </c:pt>
                <c:pt idx="820">
                  <c:v>3.5000000073197993E-2</c:v>
                </c:pt>
                <c:pt idx="821">
                  <c:v>3.5000000071854401E-2</c:v>
                </c:pt>
                <c:pt idx="822">
                  <c:v>3.5000000070232615E-2</c:v>
                </c:pt>
                <c:pt idx="823">
                  <c:v>3.5000000068353951E-2</c:v>
                </c:pt>
                <c:pt idx="824">
                  <c:v>3.500000006623992E-2</c:v>
                </c:pt>
                <c:pt idx="825">
                  <c:v>3.5000000063912143E-2</c:v>
                </c:pt>
                <c:pt idx="826">
                  <c:v>3.5000000061392145E-2</c:v>
                </c:pt>
                <c:pt idx="827">
                  <c:v>3.5000000058701367E-2</c:v>
                </c:pt>
                <c:pt idx="828">
                  <c:v>3.5000000055861027E-2</c:v>
                </c:pt>
                <c:pt idx="829">
                  <c:v>3.5000000052891986E-2</c:v>
                </c:pt>
                <c:pt idx="830">
                  <c:v>3.5000000049814725E-2</c:v>
                </c:pt>
                <c:pt idx="831">
                  <c:v>3.5000000046649243E-2</c:v>
                </c:pt>
                <c:pt idx="832">
                  <c:v>3.5000000043414997E-2</c:v>
                </c:pt>
                <c:pt idx="833">
                  <c:v>3.5000000040130805E-2</c:v>
                </c:pt>
                <c:pt idx="834">
                  <c:v>3.5000000036814818E-2</c:v>
                </c:pt>
                <c:pt idx="835">
                  <c:v>3.5000000033484441E-2</c:v>
                </c:pt>
                <c:pt idx="836">
                  <c:v>3.5000000030156297E-2</c:v>
                </c:pt>
                <c:pt idx="837">
                  <c:v>3.5000000026846223E-2</c:v>
                </c:pt>
                <c:pt idx="838">
                  <c:v>3.5000000023569164E-2</c:v>
                </c:pt>
                <c:pt idx="839">
                  <c:v>3.5000000020339178E-2</c:v>
                </c:pt>
                <c:pt idx="840">
                  <c:v>3.5000000017169422E-2</c:v>
                </c:pt>
                <c:pt idx="841">
                  <c:v>3.5000000014072136E-2</c:v>
                </c:pt>
                <c:pt idx="842">
                  <c:v>3.5000000011058574E-2</c:v>
                </c:pt>
                <c:pt idx="843">
                  <c:v>3.500000000813909E-2</c:v>
                </c:pt>
                <c:pt idx="844">
                  <c:v>3.5000000005323051E-2</c:v>
                </c:pt>
                <c:pt idx="845">
                  <c:v>3.5000000002618895E-2</c:v>
                </c:pt>
                <c:pt idx="846">
                  <c:v>3.5000000000034101E-2</c:v>
                </c:pt>
                <c:pt idx="847">
                  <c:v>3.4999999997575193E-2</c:v>
                </c:pt>
                <c:pt idx="848">
                  <c:v>3.4999999995247819E-2</c:v>
                </c:pt>
                <c:pt idx="849">
                  <c:v>3.4999999993056669E-2</c:v>
                </c:pt>
                <c:pt idx="850">
                  <c:v>3.4999999991005615E-2</c:v>
                </c:pt>
                <c:pt idx="851">
                  <c:v>3.4999999989097613E-2</c:v>
                </c:pt>
                <c:pt idx="852">
                  <c:v>3.4999999987334801E-2</c:v>
                </c:pt>
                <c:pt idx="853">
                  <c:v>3.4999999985718566E-2</c:v>
                </c:pt>
                <c:pt idx="854">
                  <c:v>3.4999999984249477E-2</c:v>
                </c:pt>
                <c:pt idx="855">
                  <c:v>3.4999999982927368E-2</c:v>
                </c:pt>
                <c:pt idx="856">
                  <c:v>3.499999998175142E-2</c:v>
                </c:pt>
                <c:pt idx="857">
                  <c:v>3.499999998072012E-2</c:v>
                </c:pt>
                <c:pt idx="858">
                  <c:v>3.4999999979831331E-2</c:v>
                </c:pt>
                <c:pt idx="859">
                  <c:v>3.4999999979082375E-2</c:v>
                </c:pt>
                <c:pt idx="860">
                  <c:v>3.4999999978470017E-2</c:v>
                </c:pt>
                <c:pt idx="861">
                  <c:v>3.4999999977990512E-2</c:v>
                </c:pt>
                <c:pt idx="862">
                  <c:v>3.4999999977639668E-2</c:v>
                </c:pt>
                <c:pt idx="863">
                  <c:v>3.4999999977412904E-2</c:v>
                </c:pt>
                <c:pt idx="864">
                  <c:v>3.4999999977305254E-2</c:v>
                </c:pt>
                <c:pt idx="865">
                  <c:v>3.4999999977311416E-2</c:v>
                </c:pt>
                <c:pt idx="866">
                  <c:v>3.4999999977425811E-2</c:v>
                </c:pt>
                <c:pt idx="867">
                  <c:v>3.4999999977642623E-2</c:v>
                </c:pt>
                <c:pt idx="868">
                  <c:v>3.4999999977955804E-2</c:v>
                </c:pt>
                <c:pt idx="869">
                  <c:v>3.4999999978359148E-2</c:v>
                </c:pt>
                <c:pt idx="870">
                  <c:v>3.4999999978846355E-2</c:v>
                </c:pt>
                <c:pt idx="871">
                  <c:v>3.4999999979411001E-2</c:v>
                </c:pt>
                <c:pt idx="872">
                  <c:v>3.4999999980046589E-2</c:v>
                </c:pt>
                <c:pt idx="873">
                  <c:v>3.4999999980746627E-2</c:v>
                </c:pt>
                <c:pt idx="874">
                  <c:v>3.4999999981504631E-2</c:v>
                </c:pt>
                <c:pt idx="875">
                  <c:v>3.4999999982314151E-2</c:v>
                </c:pt>
                <c:pt idx="876">
                  <c:v>3.4999999983168786E-2</c:v>
                </c:pt>
                <c:pt idx="877">
                  <c:v>3.4999999984062252E-2</c:v>
                </c:pt>
                <c:pt idx="878">
                  <c:v>3.4999999984988386E-2</c:v>
                </c:pt>
                <c:pt idx="879">
                  <c:v>3.4999999985941152E-2</c:v>
                </c:pt>
                <c:pt idx="880">
                  <c:v>3.499999998691472E-2</c:v>
                </c:pt>
                <c:pt idx="881">
                  <c:v>3.4999999987903388E-2</c:v>
                </c:pt>
                <c:pt idx="882">
                  <c:v>3.4999999988901714E-2</c:v>
                </c:pt>
                <c:pt idx="883">
                  <c:v>3.499999998990444E-2</c:v>
                </c:pt>
                <c:pt idx="884">
                  <c:v>3.4999999990906555E-2</c:v>
                </c:pt>
                <c:pt idx="885">
                  <c:v>3.4999999991903286E-2</c:v>
                </c:pt>
                <c:pt idx="886">
                  <c:v>3.4999999992890163E-2</c:v>
                </c:pt>
                <c:pt idx="887">
                  <c:v>3.4999999993862899E-2</c:v>
                </c:pt>
                <c:pt idx="888">
                  <c:v>3.4999999994817566E-2</c:v>
                </c:pt>
                <c:pt idx="889">
                  <c:v>3.4999999995750444E-2</c:v>
                </c:pt>
                <c:pt idx="890">
                  <c:v>3.4999999996658177E-2</c:v>
                </c:pt>
                <c:pt idx="891">
                  <c:v>3.4999999997537612E-2</c:v>
                </c:pt>
                <c:pt idx="892">
                  <c:v>3.4999999998385933E-2</c:v>
                </c:pt>
                <c:pt idx="893">
                  <c:v>3.4999999999200615E-2</c:v>
                </c:pt>
                <c:pt idx="894">
                  <c:v>3.4999999999979367E-2</c:v>
                </c:pt>
                <c:pt idx="895">
                  <c:v>3.5000000000720261E-2</c:v>
                </c:pt>
                <c:pt idx="896">
                  <c:v>3.5000000001421561E-2</c:v>
                </c:pt>
                <c:pt idx="897">
                  <c:v>3.5000000002081866E-2</c:v>
                </c:pt>
                <c:pt idx="898">
                  <c:v>3.5000000002699996E-2</c:v>
                </c:pt>
                <c:pt idx="899">
                  <c:v>3.5000000003275078E-2</c:v>
                </c:pt>
                <c:pt idx="900">
                  <c:v>3.5000000003806445E-2</c:v>
                </c:pt>
                <c:pt idx="901">
                  <c:v>3.500000000429368E-2</c:v>
                </c:pt>
                <c:pt idx="902">
                  <c:v>3.5000000004736617E-2</c:v>
                </c:pt>
                <c:pt idx="903">
                  <c:v>3.5000000005135298E-2</c:v>
                </c:pt>
                <c:pt idx="904">
                  <c:v>3.5000000005489959E-2</c:v>
                </c:pt>
                <c:pt idx="905">
                  <c:v>3.5000000005801071E-2</c:v>
                </c:pt>
                <c:pt idx="906">
                  <c:v>3.500000000606926E-2</c:v>
                </c:pt>
                <c:pt idx="907">
                  <c:v>3.5000000006295329E-2</c:v>
                </c:pt>
                <c:pt idx="908">
                  <c:v>3.5000000006480264E-2</c:v>
                </c:pt>
                <c:pt idx="909">
                  <c:v>3.5000000006625176E-2</c:v>
                </c:pt>
                <c:pt idx="910">
                  <c:v>3.5000000006731327E-2</c:v>
                </c:pt>
                <c:pt idx="911">
                  <c:v>3.5000000006800092E-2</c:v>
                </c:pt>
                <c:pt idx="912">
                  <c:v>3.5000000006832982E-2</c:v>
                </c:pt>
                <c:pt idx="913">
                  <c:v>3.5000000006831594E-2</c:v>
                </c:pt>
                <c:pt idx="914">
                  <c:v>3.500000000679758E-2</c:v>
                </c:pt>
                <c:pt idx="915">
                  <c:v>3.5000000006732701E-2</c:v>
                </c:pt>
                <c:pt idx="916">
                  <c:v>3.500000000663879E-2</c:v>
                </c:pt>
                <c:pt idx="917">
                  <c:v>3.5000000006517706E-2</c:v>
                </c:pt>
                <c:pt idx="918">
                  <c:v>3.5000000006371351E-2</c:v>
                </c:pt>
                <c:pt idx="919">
                  <c:v>3.500000000620164E-2</c:v>
                </c:pt>
                <c:pt idx="920">
                  <c:v>3.5000000006010543E-2</c:v>
                </c:pt>
                <c:pt idx="921">
                  <c:v>3.5000000005800017E-2</c:v>
                </c:pt>
                <c:pt idx="922">
                  <c:v>3.5000000005572018E-2</c:v>
                </c:pt>
                <c:pt idx="923">
                  <c:v>3.5000000005328477E-2</c:v>
                </c:pt>
                <c:pt idx="924">
                  <c:v>3.5000000005071322E-2</c:v>
                </c:pt>
                <c:pt idx="925">
                  <c:v>3.5000000004802467E-2</c:v>
                </c:pt>
                <c:pt idx="926">
                  <c:v>3.5000000004523732E-2</c:v>
                </c:pt>
                <c:pt idx="927">
                  <c:v>3.5000000004236961E-2</c:v>
                </c:pt>
                <c:pt idx="928">
                  <c:v>3.5000000003943904E-2</c:v>
                </c:pt>
                <c:pt idx="929">
                  <c:v>3.5000000003646267E-2</c:v>
                </c:pt>
                <c:pt idx="930">
                  <c:v>3.5000000003345702E-2</c:v>
                </c:pt>
                <c:pt idx="931">
                  <c:v>3.5000000003043805E-2</c:v>
                </c:pt>
                <c:pt idx="932">
                  <c:v>3.5000000002742074E-2</c:v>
                </c:pt>
                <c:pt idx="933">
                  <c:v>3.5000000002441925E-2</c:v>
                </c:pt>
                <c:pt idx="934">
                  <c:v>3.5000000002144746E-2</c:v>
                </c:pt>
                <c:pt idx="935">
                  <c:v>3.5000000001851786E-2</c:v>
                </c:pt>
                <c:pt idx="936">
                  <c:v>3.5000000001564266E-2</c:v>
                </c:pt>
                <c:pt idx="937">
                  <c:v>3.5000000001283282E-2</c:v>
                </c:pt>
                <c:pt idx="938">
                  <c:v>3.5000000001009876E-2</c:v>
                </c:pt>
                <c:pt idx="939">
                  <c:v>3.5000000000744963E-2</c:v>
                </c:pt>
                <c:pt idx="940">
                  <c:v>3.500000000048939E-2</c:v>
                </c:pt>
                <c:pt idx="941">
                  <c:v>3.5000000000243961E-2</c:v>
                </c:pt>
                <c:pt idx="942">
                  <c:v>3.5000000000009329E-2</c:v>
                </c:pt>
                <c:pt idx="943">
                  <c:v>3.4999999999786105E-2</c:v>
                </c:pt>
                <c:pt idx="944">
                  <c:v>3.4999999999574774E-2</c:v>
                </c:pt>
                <c:pt idx="945">
                  <c:v>3.4999999999375794E-2</c:v>
                </c:pt>
                <c:pt idx="946">
                  <c:v>3.4999999999189499E-2</c:v>
                </c:pt>
                <c:pt idx="947">
                  <c:v>3.4999999999016179E-2</c:v>
                </c:pt>
                <c:pt idx="948">
                  <c:v>3.4999999998856002E-2</c:v>
                </c:pt>
                <c:pt idx="949">
                  <c:v>3.4999999998709119E-2</c:v>
                </c:pt>
                <c:pt idx="950">
                  <c:v>3.4999999998575573E-2</c:v>
                </c:pt>
                <c:pt idx="951">
                  <c:v>3.499999999845535E-2</c:v>
                </c:pt>
                <c:pt idx="952">
                  <c:v>3.499999999834838E-2</c:v>
                </c:pt>
                <c:pt idx="953">
                  <c:v>3.4999999998254538E-2</c:v>
                </c:pt>
                <c:pt idx="954">
                  <c:v>3.4999999998173617E-2</c:v>
                </c:pt>
                <c:pt idx="955">
                  <c:v>3.499999999810538E-2</c:v>
                </c:pt>
                <c:pt idx="956">
                  <c:v>3.4999999998049522E-2</c:v>
                </c:pt>
                <c:pt idx="957">
                  <c:v>3.4999999998005737E-2</c:v>
                </c:pt>
                <c:pt idx="958">
                  <c:v>3.4999999997973624E-2</c:v>
                </c:pt>
                <c:pt idx="959">
                  <c:v>3.4999999997952752E-2</c:v>
                </c:pt>
                <c:pt idx="960">
                  <c:v>3.4999999997942705E-2</c:v>
                </c:pt>
                <c:pt idx="961">
                  <c:v>3.4999999997942996E-2</c:v>
                </c:pt>
                <c:pt idx="962">
                  <c:v>3.4999999997953099E-2</c:v>
                </c:pt>
                <c:pt idx="963">
                  <c:v>3.4999999997972514E-2</c:v>
                </c:pt>
                <c:pt idx="964">
                  <c:v>3.4999999998000672E-2</c:v>
                </c:pt>
                <c:pt idx="965">
                  <c:v>3.4999999998037032E-2</c:v>
                </c:pt>
                <c:pt idx="966">
                  <c:v>3.4999999998080997E-2</c:v>
                </c:pt>
                <c:pt idx="967">
                  <c:v>3.4999999998131998E-2</c:v>
                </c:pt>
                <c:pt idx="968">
                  <c:v>3.4999999998189452E-2</c:v>
                </c:pt>
                <c:pt idx="969">
                  <c:v>3.4999999998252762E-2</c:v>
                </c:pt>
                <c:pt idx="970">
                  <c:v>3.4999999998321346E-2</c:v>
                </c:pt>
                <c:pt idx="971">
                  <c:v>3.4999999998394607E-2</c:v>
                </c:pt>
                <c:pt idx="972">
                  <c:v>3.499999999847199E-2</c:v>
                </c:pt>
                <c:pt idx="973">
                  <c:v>3.4999999998552897E-2</c:v>
                </c:pt>
                <c:pt idx="974">
                  <c:v>3.4999999998636774E-2</c:v>
                </c:pt>
                <c:pt idx="975">
                  <c:v>3.4999999998723094E-2</c:v>
                </c:pt>
                <c:pt idx="976">
                  <c:v>3.4999999998811315E-2</c:v>
                </c:pt>
                <c:pt idx="977">
                  <c:v>3.499999999890091E-2</c:v>
                </c:pt>
                <c:pt idx="978">
                  <c:v>3.4999999998991393E-2</c:v>
                </c:pt>
                <c:pt idx="979">
                  <c:v>3.4999999999082293E-2</c:v>
                </c:pt>
                <c:pt idx="980">
                  <c:v>3.4999999999173151E-2</c:v>
                </c:pt>
                <c:pt idx="981">
                  <c:v>3.4999999999263537E-2</c:v>
                </c:pt>
                <c:pt idx="982">
                  <c:v>3.4999999999353021E-2</c:v>
                </c:pt>
                <c:pt idx="983">
                  <c:v>3.4999999999441242E-2</c:v>
                </c:pt>
                <c:pt idx="984">
                  <c:v>3.4999999999527853E-2</c:v>
                </c:pt>
                <c:pt idx="985">
                  <c:v>3.4999999999612466E-2</c:v>
                </c:pt>
                <c:pt idx="986">
                  <c:v>3.4999999999694831E-2</c:v>
                </c:pt>
                <c:pt idx="987">
                  <c:v>3.4999999999774628E-2</c:v>
                </c:pt>
                <c:pt idx="988">
                  <c:v>3.4999999999851608E-2</c:v>
                </c:pt>
                <c:pt idx="989">
                  <c:v>3.4999999999925563E-2</c:v>
                </c:pt>
                <c:pt idx="990">
                  <c:v>3.4999999999996256E-2</c:v>
                </c:pt>
                <c:pt idx="991">
                  <c:v>3.5000000000063508E-2</c:v>
                </c:pt>
                <c:pt idx="992">
                  <c:v>3.5000000000127193E-2</c:v>
                </c:pt>
                <c:pt idx="993">
                  <c:v>3.5000000000187159E-2</c:v>
                </c:pt>
                <c:pt idx="994">
                  <c:v>3.5000000000243295E-2</c:v>
                </c:pt>
                <c:pt idx="995">
                  <c:v>3.5000000000295545E-2</c:v>
                </c:pt>
                <c:pt idx="996">
                  <c:v>3.5000000000343812E-2</c:v>
                </c:pt>
                <c:pt idx="997">
                  <c:v>3.5000000000388096E-2</c:v>
                </c:pt>
                <c:pt idx="998">
                  <c:v>3.5000000000428355E-2</c:v>
                </c:pt>
                <c:pt idx="999">
                  <c:v>3.5000000000464618E-2</c:v>
                </c:pt>
                <c:pt idx="1000">
                  <c:v>3.500000000049687E-2</c:v>
                </c:pt>
                <c:pt idx="1001">
                  <c:v>3.5000000000525194E-2</c:v>
                </c:pt>
                <c:pt idx="1002">
                  <c:v>3.5000000000549605E-2</c:v>
                </c:pt>
                <c:pt idx="1003">
                  <c:v>3.50000000005702E-2</c:v>
                </c:pt>
                <c:pt idx="1004">
                  <c:v>3.5000000000587075E-2</c:v>
                </c:pt>
                <c:pt idx="1005">
                  <c:v>3.5000000000600301E-2</c:v>
                </c:pt>
                <c:pt idx="1006">
                  <c:v>3.5000000000610015E-2</c:v>
                </c:pt>
                <c:pt idx="1007">
                  <c:v>3.5000000000616344E-2</c:v>
                </c:pt>
                <c:pt idx="1008">
                  <c:v>3.5000000000619411E-2</c:v>
                </c:pt>
                <c:pt idx="1009">
                  <c:v>3.5000000000619369E-2</c:v>
                </c:pt>
                <c:pt idx="1010">
                  <c:v>3.5000000000616358E-2</c:v>
                </c:pt>
                <c:pt idx="1011">
                  <c:v>3.5000000000610557E-2</c:v>
                </c:pt>
                <c:pt idx="1012">
                  <c:v>3.5000000000602105E-2</c:v>
                </c:pt>
                <c:pt idx="1013">
                  <c:v>3.5000000000591197E-2</c:v>
                </c:pt>
                <c:pt idx="1014">
                  <c:v>3.5000000000577985E-2</c:v>
                </c:pt>
                <c:pt idx="1015">
                  <c:v>3.5000000000562664E-2</c:v>
                </c:pt>
                <c:pt idx="1016">
                  <c:v>3.5000000000545387E-2</c:v>
                </c:pt>
                <c:pt idx="1017">
                  <c:v>3.5000000000526346E-2</c:v>
                </c:pt>
                <c:pt idx="1018">
                  <c:v>3.5000000000505724E-2</c:v>
                </c:pt>
                <c:pt idx="1019">
                  <c:v>3.5000000000483672E-2</c:v>
                </c:pt>
                <c:pt idx="1020">
                  <c:v>3.5000000000460399E-2</c:v>
                </c:pt>
                <c:pt idx="1021">
                  <c:v>3.5000000000436043E-2</c:v>
                </c:pt>
                <c:pt idx="1022">
                  <c:v>3.50000000004108E-2</c:v>
                </c:pt>
                <c:pt idx="1023">
                  <c:v>3.5000000000384821E-2</c:v>
                </c:pt>
                <c:pt idx="1024">
                  <c:v>3.5000000000358272E-2</c:v>
                </c:pt>
                <c:pt idx="1025">
                  <c:v>3.5000000000331294E-2</c:v>
                </c:pt>
                <c:pt idx="1026">
                  <c:v>3.5000000000304052E-2</c:v>
                </c:pt>
                <c:pt idx="1027">
                  <c:v>3.5000000000276685E-2</c:v>
                </c:pt>
                <c:pt idx="1028">
                  <c:v>3.5000000000249332E-2</c:v>
                </c:pt>
                <c:pt idx="1029">
                  <c:v>3.5000000000222117E-2</c:v>
                </c:pt>
                <c:pt idx="1030">
                  <c:v>3.5000000000195167E-2</c:v>
                </c:pt>
                <c:pt idx="1031">
                  <c:v>3.5000000000168591E-2</c:v>
                </c:pt>
                <c:pt idx="1032">
                  <c:v>3.5000000000142514E-2</c:v>
                </c:pt>
                <c:pt idx="1033">
                  <c:v>3.5000000000117021E-2</c:v>
                </c:pt>
                <c:pt idx="1034">
                  <c:v>3.5000000000092207E-2</c:v>
                </c:pt>
                <c:pt idx="1035">
                  <c:v>3.5000000000068185E-2</c:v>
                </c:pt>
                <c:pt idx="1036">
                  <c:v>3.5000000000044995E-2</c:v>
                </c:pt>
                <c:pt idx="1037">
                  <c:v>3.5000000000022707E-2</c:v>
                </c:pt>
                <c:pt idx="1038">
                  <c:v>3.5000000000001419E-2</c:v>
                </c:pt>
                <c:pt idx="1039">
                  <c:v>3.4999999999981143E-2</c:v>
                </c:pt>
                <c:pt idx="1040">
                  <c:v>3.499999999996195E-2</c:v>
                </c:pt>
                <c:pt idx="1041">
                  <c:v>3.4999999999943895E-2</c:v>
                </c:pt>
                <c:pt idx="1042">
                  <c:v>3.4999999999926965E-2</c:v>
                </c:pt>
                <c:pt idx="1043">
                  <c:v>3.4999999999911213E-2</c:v>
                </c:pt>
                <c:pt idx="1044">
                  <c:v>3.4999999999896669E-2</c:v>
                </c:pt>
                <c:pt idx="1045">
                  <c:v>3.4999999999883319E-2</c:v>
                </c:pt>
                <c:pt idx="1046">
                  <c:v>3.4999999999871176E-2</c:v>
                </c:pt>
                <c:pt idx="1047">
                  <c:v>3.4999999999860254E-2</c:v>
                </c:pt>
                <c:pt idx="1048">
                  <c:v>3.4999999999850526E-2</c:v>
                </c:pt>
                <c:pt idx="1049">
                  <c:v>3.4999999999841977E-2</c:v>
                </c:pt>
                <c:pt idx="1050">
                  <c:v>3.4999999999834608E-2</c:v>
                </c:pt>
                <c:pt idx="1051">
                  <c:v>3.4999999999828391E-2</c:v>
                </c:pt>
                <c:pt idx="1052">
                  <c:v>3.4999999999823297E-2</c:v>
                </c:pt>
                <c:pt idx="1053">
                  <c:v>3.4999999999819301E-2</c:v>
                </c:pt>
                <c:pt idx="1054">
                  <c:v>3.4999999999816359E-2</c:v>
                </c:pt>
                <c:pt idx="1055">
                  <c:v>3.4999999999814443E-2</c:v>
                </c:pt>
                <c:pt idx="1056">
                  <c:v>3.49999999998135E-2</c:v>
                </c:pt>
                <c:pt idx="1057">
                  <c:v>3.4999999999813514E-2</c:v>
                </c:pt>
                <c:pt idx="1058">
                  <c:v>3.4999999999814402E-2</c:v>
                </c:pt>
                <c:pt idx="1059">
                  <c:v>3.4999999999816137E-2</c:v>
                </c:pt>
                <c:pt idx="1060">
                  <c:v>3.4999999999818662E-2</c:v>
                </c:pt>
                <c:pt idx="1061">
                  <c:v>3.4999999999821937E-2</c:v>
                </c:pt>
                <c:pt idx="1062">
                  <c:v>3.4999999999825906E-2</c:v>
                </c:pt>
                <c:pt idx="1063">
                  <c:v>3.4999999999830514E-2</c:v>
                </c:pt>
                <c:pt idx="1064">
                  <c:v>3.4999999999835704E-2</c:v>
                </c:pt>
                <c:pt idx="1065">
                  <c:v>3.4999999999841436E-2</c:v>
                </c:pt>
                <c:pt idx="1066">
                  <c:v>3.4999999999847639E-2</c:v>
                </c:pt>
                <c:pt idx="1067">
                  <c:v>3.4999999999854273E-2</c:v>
                </c:pt>
                <c:pt idx="1068">
                  <c:v>3.4999999999861281E-2</c:v>
                </c:pt>
                <c:pt idx="1069">
                  <c:v>3.4999999999868608E-2</c:v>
                </c:pt>
                <c:pt idx="1070">
                  <c:v>3.4999999999876213E-2</c:v>
                </c:pt>
                <c:pt idx="1071">
                  <c:v>3.4999999999884027E-2</c:v>
                </c:pt>
                <c:pt idx="1072">
                  <c:v>3.499999999989202E-2</c:v>
                </c:pt>
                <c:pt idx="1073">
                  <c:v>3.4999999999900139E-2</c:v>
                </c:pt>
                <c:pt idx="1074">
                  <c:v>3.4999999999908341E-2</c:v>
                </c:pt>
                <c:pt idx="1075">
                  <c:v>3.4999999999916584E-2</c:v>
                </c:pt>
                <c:pt idx="1076">
                  <c:v>3.4999999999924813E-2</c:v>
                </c:pt>
                <c:pt idx="1077">
                  <c:v>3.4999999999933015E-2</c:v>
                </c:pt>
                <c:pt idx="1078">
                  <c:v>3.4999999999941134E-2</c:v>
                </c:pt>
                <c:pt idx="1079">
                  <c:v>3.4999999999949127E-2</c:v>
                </c:pt>
                <c:pt idx="1080">
                  <c:v>3.4999999999956982E-2</c:v>
                </c:pt>
                <c:pt idx="1081">
                  <c:v>3.499999999996467E-2</c:v>
                </c:pt>
                <c:pt idx="1082">
                  <c:v>3.4999999999972137E-2</c:v>
                </c:pt>
                <c:pt idx="1083">
                  <c:v>3.4999999999979367E-2</c:v>
                </c:pt>
                <c:pt idx="1084">
                  <c:v>3.4999999999986361E-2</c:v>
                </c:pt>
                <c:pt idx="1085">
                  <c:v>3.4999999999993064E-2</c:v>
                </c:pt>
                <c:pt idx="1086">
                  <c:v>3.499999999999949E-2</c:v>
                </c:pt>
                <c:pt idx="1087">
                  <c:v>3.5000000000005596E-2</c:v>
                </c:pt>
                <c:pt idx="1088">
                  <c:v>3.5000000000011369E-2</c:v>
                </c:pt>
                <c:pt idx="1089">
                  <c:v>3.5000000000016823E-2</c:v>
                </c:pt>
                <c:pt idx="1090">
                  <c:v>3.5000000000021916E-2</c:v>
                </c:pt>
                <c:pt idx="1091">
                  <c:v>3.5000000000026663E-2</c:v>
                </c:pt>
                <c:pt idx="1092">
                  <c:v>3.5000000000031048E-2</c:v>
                </c:pt>
                <c:pt idx="1093">
                  <c:v>3.5000000000035086E-2</c:v>
                </c:pt>
                <c:pt idx="1094">
                  <c:v>3.5000000000038736E-2</c:v>
                </c:pt>
                <c:pt idx="1095">
                  <c:v>3.5000000000042039E-2</c:v>
                </c:pt>
                <c:pt idx="1096">
                  <c:v>3.5000000000044967E-2</c:v>
                </c:pt>
                <c:pt idx="1097">
                  <c:v>3.5000000000047549E-2</c:v>
                </c:pt>
                <c:pt idx="1098">
                  <c:v>3.5000000000049769E-2</c:v>
                </c:pt>
                <c:pt idx="1099">
                  <c:v>3.5000000000051643E-2</c:v>
                </c:pt>
                <c:pt idx="1100">
                  <c:v>3.5000000000053183E-2</c:v>
                </c:pt>
                <c:pt idx="1101">
                  <c:v>3.500000000005439E-2</c:v>
                </c:pt>
                <c:pt idx="1102">
                  <c:v>3.5000000000055279E-2</c:v>
                </c:pt>
                <c:pt idx="1103">
                  <c:v>3.5000000000055861E-2</c:v>
                </c:pt>
                <c:pt idx="1104">
                  <c:v>3.5000000000056153E-2</c:v>
                </c:pt>
                <c:pt idx="1105">
                  <c:v>3.5000000000056153E-2</c:v>
                </c:pt>
                <c:pt idx="1106">
                  <c:v>3.5000000000055889E-2</c:v>
                </c:pt>
                <c:pt idx="1107">
                  <c:v>3.5000000000055362E-2</c:v>
                </c:pt>
                <c:pt idx="1108">
                  <c:v>3.5000000000054612E-2</c:v>
                </c:pt>
                <c:pt idx="1109">
                  <c:v>3.5000000000053627E-2</c:v>
                </c:pt>
                <c:pt idx="1110">
                  <c:v>3.5000000000052434E-2</c:v>
                </c:pt>
                <c:pt idx="1111">
                  <c:v>3.5000000000051046E-2</c:v>
                </c:pt>
                <c:pt idx="1112">
                  <c:v>3.5000000000049492E-2</c:v>
                </c:pt>
                <c:pt idx="1113">
                  <c:v>3.5000000000047771E-2</c:v>
                </c:pt>
                <c:pt idx="1114">
                  <c:v>3.5000000000045897E-2</c:v>
                </c:pt>
                <c:pt idx="1115">
                  <c:v>3.5000000000043913E-2</c:v>
                </c:pt>
                <c:pt idx="1116">
                  <c:v>3.5000000000041789E-2</c:v>
                </c:pt>
                <c:pt idx="1117">
                  <c:v>3.5000000000039597E-2</c:v>
                </c:pt>
                <c:pt idx="1118">
                  <c:v>3.5000000000037307E-2</c:v>
                </c:pt>
                <c:pt idx="1119">
                  <c:v>3.5000000000034948E-2</c:v>
                </c:pt>
                <c:pt idx="1120">
                  <c:v>3.5000000000032547E-2</c:v>
                </c:pt>
                <c:pt idx="1121">
                  <c:v>3.5000000000030104E-2</c:v>
                </c:pt>
                <c:pt idx="1122">
                  <c:v>3.5000000000027634E-2</c:v>
                </c:pt>
                <c:pt idx="1123">
                  <c:v>3.500000000002515E-2</c:v>
                </c:pt>
                <c:pt idx="1124">
                  <c:v>3.500000000002268E-2</c:v>
                </c:pt>
                <c:pt idx="1125">
                  <c:v>3.5000000000020209E-2</c:v>
                </c:pt>
                <c:pt idx="1126">
                  <c:v>3.5000000000017753E-2</c:v>
                </c:pt>
                <c:pt idx="1127">
                  <c:v>3.5000000000015352E-2</c:v>
                </c:pt>
                <c:pt idx="1128">
                  <c:v>3.5000000000012979E-2</c:v>
                </c:pt>
                <c:pt idx="1129">
                  <c:v>3.5000000000010675E-2</c:v>
                </c:pt>
                <c:pt idx="1130">
                  <c:v>3.5000000000008427E-2</c:v>
                </c:pt>
                <c:pt idx="1131">
                  <c:v>3.5000000000006234E-2</c:v>
                </c:pt>
                <c:pt idx="1132">
                  <c:v>3.5000000000004139E-2</c:v>
                </c:pt>
                <c:pt idx="1133">
                  <c:v>3.5000000000002113E-2</c:v>
                </c:pt>
                <c:pt idx="1134">
                  <c:v>3.5000000000000184E-2</c:v>
                </c:pt>
                <c:pt idx="1135">
                  <c:v>3.4999999999998338E-2</c:v>
                </c:pt>
                <c:pt idx="1136">
                  <c:v>3.4999999999996603E-2</c:v>
                </c:pt>
                <c:pt idx="1137">
                  <c:v>3.4999999999994966E-2</c:v>
                </c:pt>
                <c:pt idx="1138">
                  <c:v>3.4999999999993425E-2</c:v>
                </c:pt>
                <c:pt idx="1139">
                  <c:v>3.4999999999991996E-2</c:v>
                </c:pt>
                <c:pt idx="1140">
                  <c:v>3.4999999999990664E-2</c:v>
                </c:pt>
                <c:pt idx="1141">
                  <c:v>3.4999999999989456E-2</c:v>
                </c:pt>
                <c:pt idx="1142">
                  <c:v>3.499999999998836E-2</c:v>
                </c:pt>
                <c:pt idx="1143">
                  <c:v>3.4999999999987361E-2</c:v>
                </c:pt>
                <c:pt idx="1144">
                  <c:v>3.4999999999986472E-2</c:v>
                </c:pt>
                <c:pt idx="1145">
                  <c:v>3.4999999999985695E-2</c:v>
                </c:pt>
                <c:pt idx="1146">
                  <c:v>3.4999999999985029E-2</c:v>
                </c:pt>
                <c:pt idx="1147">
                  <c:v>3.499999999998446E-2</c:v>
                </c:pt>
                <c:pt idx="1148">
                  <c:v>3.4999999999983988E-2</c:v>
                </c:pt>
                <c:pt idx="1149">
                  <c:v>3.4999999999983628E-2</c:v>
                </c:pt>
                <c:pt idx="1150">
                  <c:v>3.4999999999983364E-2</c:v>
                </c:pt>
                <c:pt idx="1151">
                  <c:v>3.4999999999983183E-2</c:v>
                </c:pt>
                <c:pt idx="1152">
                  <c:v>3.49999999999831E-2</c:v>
                </c:pt>
                <c:pt idx="1153">
                  <c:v>3.4999999999983086E-2</c:v>
                </c:pt>
                <c:pt idx="1154">
                  <c:v>3.499999999998317E-2</c:v>
                </c:pt>
                <c:pt idx="1155">
                  <c:v>3.4999999999983336E-2</c:v>
                </c:pt>
                <c:pt idx="1156">
                  <c:v>3.4999999999983558E-2</c:v>
                </c:pt>
                <c:pt idx="1157">
                  <c:v>3.499999999998385E-2</c:v>
                </c:pt>
                <c:pt idx="1158">
                  <c:v>3.499999999998421E-2</c:v>
                </c:pt>
                <c:pt idx="1159">
                  <c:v>3.4999999999984627E-2</c:v>
                </c:pt>
                <c:pt idx="1160">
                  <c:v>3.4999999999985099E-2</c:v>
                </c:pt>
                <c:pt idx="1161">
                  <c:v>3.4999999999985612E-2</c:v>
                </c:pt>
                <c:pt idx="1162">
                  <c:v>3.4999999999986181E-2</c:v>
                </c:pt>
                <c:pt idx="1163">
                  <c:v>3.4999999999986778E-2</c:v>
                </c:pt>
                <c:pt idx="1164">
                  <c:v>3.4999999999987402E-2</c:v>
                </c:pt>
                <c:pt idx="1165">
                  <c:v>3.4999999999988068E-2</c:v>
                </c:pt>
                <c:pt idx="1166">
                  <c:v>3.4999999999988762E-2</c:v>
                </c:pt>
                <c:pt idx="1167">
                  <c:v>3.499999999998947E-2</c:v>
                </c:pt>
                <c:pt idx="1168">
                  <c:v>3.4999999999990192E-2</c:v>
                </c:pt>
                <c:pt idx="1169">
                  <c:v>3.4999999999990927E-2</c:v>
                </c:pt>
                <c:pt idx="1170">
                  <c:v>3.4999999999991677E-2</c:v>
                </c:pt>
                <c:pt idx="1171">
                  <c:v>3.4999999999992412E-2</c:v>
                </c:pt>
                <c:pt idx="1172">
                  <c:v>3.4999999999993162E-2</c:v>
                </c:pt>
                <c:pt idx="1173">
                  <c:v>3.4999999999993911E-2</c:v>
                </c:pt>
                <c:pt idx="1174">
                  <c:v>3.4999999999994647E-2</c:v>
                </c:pt>
                <c:pt idx="1175">
                  <c:v>3.4999999999995368E-2</c:v>
                </c:pt>
                <c:pt idx="1176">
                  <c:v>3.499999999999609E-2</c:v>
                </c:pt>
                <c:pt idx="1177">
                  <c:v>3.499999999999677E-2</c:v>
                </c:pt>
                <c:pt idx="1178">
                  <c:v>3.4999999999997464E-2</c:v>
                </c:pt>
                <c:pt idx="1179">
                  <c:v>3.4999999999998116E-2</c:v>
                </c:pt>
                <c:pt idx="1180">
                  <c:v>3.499999999999874E-2</c:v>
                </c:pt>
                <c:pt idx="1181">
                  <c:v>3.4999999999999351E-2</c:v>
                </c:pt>
                <c:pt idx="1182">
                  <c:v>3.4999999999999934E-2</c:v>
                </c:pt>
                <c:pt idx="1183">
                  <c:v>3.5000000000000489E-2</c:v>
                </c:pt>
                <c:pt idx="1184">
                  <c:v>3.5000000000001016E-2</c:v>
                </c:pt>
                <c:pt idx="1185">
                  <c:v>3.5000000000001516E-2</c:v>
                </c:pt>
                <c:pt idx="1186">
                  <c:v>3.5000000000001974E-2</c:v>
                </c:pt>
                <c:pt idx="1187">
                  <c:v>3.5000000000002404E-2</c:v>
                </c:pt>
                <c:pt idx="1188">
                  <c:v>3.5000000000002807E-2</c:v>
                </c:pt>
                <c:pt idx="1189">
                  <c:v>3.5000000000003167E-2</c:v>
                </c:pt>
                <c:pt idx="1190">
                  <c:v>3.5000000000003501E-2</c:v>
                </c:pt>
                <c:pt idx="1191">
                  <c:v>3.5000000000003806E-2</c:v>
                </c:pt>
                <c:pt idx="1192">
                  <c:v>3.500000000000407E-2</c:v>
                </c:pt>
                <c:pt idx="1193">
                  <c:v>3.5000000000004305E-2</c:v>
                </c:pt>
                <c:pt idx="1194">
                  <c:v>3.50000000000045E-2</c:v>
                </c:pt>
                <c:pt idx="1195">
                  <c:v>3.500000000000468E-2</c:v>
                </c:pt>
                <c:pt idx="1196">
                  <c:v>3.5000000000004819E-2</c:v>
                </c:pt>
                <c:pt idx="1197">
                  <c:v>3.500000000000493E-2</c:v>
                </c:pt>
                <c:pt idx="1198">
                  <c:v>3.5000000000005013E-2</c:v>
                </c:pt>
                <c:pt idx="1199">
                  <c:v>3.5000000000005069E-2</c:v>
                </c:pt>
                <c:pt idx="1200">
                  <c:v>3.5000000000005083E-2</c:v>
                </c:pt>
                <c:pt idx="1201">
                  <c:v>3.5000000000005083E-2</c:v>
                </c:pt>
                <c:pt idx="1202">
                  <c:v>3.5000000000005069E-2</c:v>
                </c:pt>
                <c:pt idx="1203">
                  <c:v>3.5000000000005013E-2</c:v>
                </c:pt>
                <c:pt idx="1204">
                  <c:v>3.5000000000004958E-2</c:v>
                </c:pt>
                <c:pt idx="1205">
                  <c:v>3.5000000000004861E-2</c:v>
                </c:pt>
                <c:pt idx="1206">
                  <c:v>3.5000000000004763E-2</c:v>
                </c:pt>
                <c:pt idx="1207">
                  <c:v>3.5000000000004625E-2</c:v>
                </c:pt>
                <c:pt idx="1208">
                  <c:v>3.50000000000045E-2</c:v>
                </c:pt>
                <c:pt idx="1209">
                  <c:v>3.5000000000004333E-2</c:v>
                </c:pt>
                <c:pt idx="1210">
                  <c:v>3.5000000000004167E-2</c:v>
                </c:pt>
                <c:pt idx="1211">
                  <c:v>3.5000000000003986E-2</c:v>
                </c:pt>
                <c:pt idx="1212">
                  <c:v>3.5000000000003792E-2</c:v>
                </c:pt>
                <c:pt idx="1213">
                  <c:v>3.5000000000003598E-2</c:v>
                </c:pt>
                <c:pt idx="1214">
                  <c:v>3.500000000000339E-2</c:v>
                </c:pt>
                <c:pt idx="1215">
                  <c:v>3.5000000000003167E-2</c:v>
                </c:pt>
                <c:pt idx="1216">
                  <c:v>3.5000000000002959E-2</c:v>
                </c:pt>
                <c:pt idx="1217">
                  <c:v>3.5000000000002737E-2</c:v>
                </c:pt>
                <c:pt idx="1218">
                  <c:v>3.5000000000002501E-2</c:v>
                </c:pt>
                <c:pt idx="1219">
                  <c:v>3.5000000000002293E-2</c:v>
                </c:pt>
                <c:pt idx="1220">
                  <c:v>3.5000000000002057E-2</c:v>
                </c:pt>
                <c:pt idx="1221">
                  <c:v>3.5000000000001835E-2</c:v>
                </c:pt>
                <c:pt idx="1222">
                  <c:v>3.5000000000001613E-2</c:v>
                </c:pt>
                <c:pt idx="1223">
                  <c:v>3.5000000000001405E-2</c:v>
                </c:pt>
                <c:pt idx="1224">
                  <c:v>3.5000000000001183E-2</c:v>
                </c:pt>
                <c:pt idx="1225">
                  <c:v>3.5000000000000975E-2</c:v>
                </c:pt>
                <c:pt idx="1226">
                  <c:v>3.5000000000000767E-2</c:v>
                </c:pt>
                <c:pt idx="1227">
                  <c:v>3.5000000000000572E-2</c:v>
                </c:pt>
                <c:pt idx="1228">
                  <c:v>3.5000000000000378E-2</c:v>
                </c:pt>
                <c:pt idx="1229">
                  <c:v>3.5000000000000198E-2</c:v>
                </c:pt>
                <c:pt idx="1230">
                  <c:v>3.5000000000000017E-2</c:v>
                </c:pt>
                <c:pt idx="1231">
                  <c:v>3.4999999999999851E-2</c:v>
                </c:pt>
                <c:pt idx="1232">
                  <c:v>3.4999999999999698E-2</c:v>
                </c:pt>
                <c:pt idx="1233">
                  <c:v>3.4999999999999545E-2</c:v>
                </c:pt>
                <c:pt idx="1234">
                  <c:v>3.4999999999999407E-2</c:v>
                </c:pt>
                <c:pt idx="1235">
                  <c:v>3.4999999999999282E-2</c:v>
                </c:pt>
                <c:pt idx="1236">
                  <c:v>3.4999999999999157E-2</c:v>
                </c:pt>
                <c:pt idx="1237">
                  <c:v>3.4999999999999046E-2</c:v>
                </c:pt>
                <c:pt idx="1238">
                  <c:v>3.4999999999998949E-2</c:v>
                </c:pt>
                <c:pt idx="1239">
                  <c:v>3.4999999999998851E-2</c:v>
                </c:pt>
                <c:pt idx="1240">
                  <c:v>3.4999999999998768E-2</c:v>
                </c:pt>
                <c:pt idx="1241">
                  <c:v>3.4999999999998713E-2</c:v>
                </c:pt>
                <c:pt idx="1242">
                  <c:v>3.4999999999998643E-2</c:v>
                </c:pt>
                <c:pt idx="1243">
                  <c:v>3.4999999999998588E-2</c:v>
                </c:pt>
                <c:pt idx="1244">
                  <c:v>3.4999999999998546E-2</c:v>
                </c:pt>
                <c:pt idx="1245">
                  <c:v>3.4999999999998518E-2</c:v>
                </c:pt>
                <c:pt idx="1246">
                  <c:v>3.4999999999998491E-2</c:v>
                </c:pt>
                <c:pt idx="1247">
                  <c:v>3.4999999999998477E-2</c:v>
                </c:pt>
                <c:pt idx="1248">
                  <c:v>3.4999999999998463E-2</c:v>
                </c:pt>
                <c:pt idx="1249">
                  <c:v>3.4999999999998463E-2</c:v>
                </c:pt>
                <c:pt idx="1250">
                  <c:v>3.4999999999998477E-2</c:v>
                </c:pt>
                <c:pt idx="1251">
                  <c:v>3.4999999999998491E-2</c:v>
                </c:pt>
                <c:pt idx="1252">
                  <c:v>3.4999999999998505E-2</c:v>
                </c:pt>
                <c:pt idx="1253">
                  <c:v>3.4999999999998532E-2</c:v>
                </c:pt>
                <c:pt idx="1254">
                  <c:v>3.499999999999856E-2</c:v>
                </c:pt>
                <c:pt idx="1255">
                  <c:v>3.4999999999998602E-2</c:v>
                </c:pt>
                <c:pt idx="1256">
                  <c:v>3.4999999999998643E-2</c:v>
                </c:pt>
                <c:pt idx="1257">
                  <c:v>3.4999999999998699E-2</c:v>
                </c:pt>
                <c:pt idx="1258">
                  <c:v>3.499999999999874E-2</c:v>
                </c:pt>
                <c:pt idx="1259">
                  <c:v>3.4999999999998796E-2</c:v>
                </c:pt>
                <c:pt idx="1260">
                  <c:v>3.4999999999998851E-2</c:v>
                </c:pt>
                <c:pt idx="1261">
                  <c:v>3.4999999999998921E-2</c:v>
                </c:pt>
                <c:pt idx="1262">
                  <c:v>3.4999999999998976E-2</c:v>
                </c:pt>
                <c:pt idx="1263">
                  <c:v>3.4999999999999046E-2</c:v>
                </c:pt>
                <c:pt idx="1264">
                  <c:v>3.4999999999999101E-2</c:v>
                </c:pt>
                <c:pt idx="1265">
                  <c:v>3.4999999999999171E-2</c:v>
                </c:pt>
                <c:pt idx="1266">
                  <c:v>3.499999999999924E-2</c:v>
                </c:pt>
                <c:pt idx="1267">
                  <c:v>3.4999999999999309E-2</c:v>
                </c:pt>
                <c:pt idx="1268">
                  <c:v>3.4999999999999379E-2</c:v>
                </c:pt>
                <c:pt idx="1269">
                  <c:v>3.4999999999999448E-2</c:v>
                </c:pt>
                <c:pt idx="1270">
                  <c:v>3.4999999999999518E-2</c:v>
                </c:pt>
                <c:pt idx="1271">
                  <c:v>3.4999999999999573E-2</c:v>
                </c:pt>
                <c:pt idx="1272">
                  <c:v>3.4999999999999643E-2</c:v>
                </c:pt>
                <c:pt idx="1273">
                  <c:v>3.4999999999999712E-2</c:v>
                </c:pt>
                <c:pt idx="1274">
                  <c:v>3.4999999999999767E-2</c:v>
                </c:pt>
                <c:pt idx="1275">
                  <c:v>3.4999999999999837E-2</c:v>
                </c:pt>
                <c:pt idx="1276">
                  <c:v>3.4999999999999878E-2</c:v>
                </c:pt>
                <c:pt idx="1277">
                  <c:v>3.4999999999999934E-2</c:v>
                </c:pt>
                <c:pt idx="1278">
                  <c:v>3.4999999999999989E-2</c:v>
                </c:pt>
                <c:pt idx="1279">
                  <c:v>3.5000000000000045E-2</c:v>
                </c:pt>
                <c:pt idx="1280">
                  <c:v>3.5000000000000087E-2</c:v>
                </c:pt>
                <c:pt idx="1281">
                  <c:v>3.5000000000000128E-2</c:v>
                </c:pt>
                <c:pt idx="1282">
                  <c:v>3.500000000000017E-2</c:v>
                </c:pt>
                <c:pt idx="1283">
                  <c:v>3.5000000000000225E-2</c:v>
                </c:pt>
                <c:pt idx="1284">
                  <c:v>3.5000000000000253E-2</c:v>
                </c:pt>
                <c:pt idx="1285">
                  <c:v>3.5000000000000281E-2</c:v>
                </c:pt>
                <c:pt idx="1286">
                  <c:v>3.5000000000000323E-2</c:v>
                </c:pt>
                <c:pt idx="1287">
                  <c:v>3.500000000000035E-2</c:v>
                </c:pt>
                <c:pt idx="1288">
                  <c:v>3.5000000000000364E-2</c:v>
                </c:pt>
                <c:pt idx="1289">
                  <c:v>3.5000000000000392E-2</c:v>
                </c:pt>
                <c:pt idx="1290">
                  <c:v>3.5000000000000406E-2</c:v>
                </c:pt>
                <c:pt idx="1291">
                  <c:v>3.500000000000042E-2</c:v>
                </c:pt>
                <c:pt idx="1292">
                  <c:v>3.5000000000000434E-2</c:v>
                </c:pt>
                <c:pt idx="1293">
                  <c:v>3.5000000000000447E-2</c:v>
                </c:pt>
                <c:pt idx="1294">
                  <c:v>3.5000000000000461E-2</c:v>
                </c:pt>
                <c:pt idx="1295">
                  <c:v>3.5000000000000461E-2</c:v>
                </c:pt>
                <c:pt idx="1296">
                  <c:v>3.5000000000000461E-2</c:v>
                </c:pt>
                <c:pt idx="1297">
                  <c:v>3.5000000000000461E-2</c:v>
                </c:pt>
                <c:pt idx="1298">
                  <c:v>3.5000000000000461E-2</c:v>
                </c:pt>
                <c:pt idx="1299">
                  <c:v>3.5000000000000447E-2</c:v>
                </c:pt>
                <c:pt idx="1300">
                  <c:v>3.5000000000000447E-2</c:v>
                </c:pt>
                <c:pt idx="1301">
                  <c:v>3.5000000000000447E-2</c:v>
                </c:pt>
                <c:pt idx="1302">
                  <c:v>3.5000000000000434E-2</c:v>
                </c:pt>
                <c:pt idx="1303">
                  <c:v>3.500000000000042E-2</c:v>
                </c:pt>
                <c:pt idx="1304">
                  <c:v>3.5000000000000406E-2</c:v>
                </c:pt>
                <c:pt idx="1305">
                  <c:v>3.5000000000000392E-2</c:v>
                </c:pt>
                <c:pt idx="1306">
                  <c:v>3.5000000000000378E-2</c:v>
                </c:pt>
                <c:pt idx="1307">
                  <c:v>3.5000000000000364E-2</c:v>
                </c:pt>
                <c:pt idx="1308">
                  <c:v>3.500000000000035E-2</c:v>
                </c:pt>
                <c:pt idx="1309">
                  <c:v>3.5000000000000323E-2</c:v>
                </c:pt>
                <c:pt idx="1310">
                  <c:v>3.5000000000000309E-2</c:v>
                </c:pt>
                <c:pt idx="1311">
                  <c:v>3.5000000000000295E-2</c:v>
                </c:pt>
                <c:pt idx="1312">
                  <c:v>3.5000000000000267E-2</c:v>
                </c:pt>
                <c:pt idx="1313">
                  <c:v>3.5000000000000239E-2</c:v>
                </c:pt>
                <c:pt idx="1314">
                  <c:v>3.5000000000000225E-2</c:v>
                </c:pt>
                <c:pt idx="1315">
                  <c:v>3.5000000000000211E-2</c:v>
                </c:pt>
                <c:pt idx="1316">
                  <c:v>3.5000000000000198E-2</c:v>
                </c:pt>
                <c:pt idx="1317">
                  <c:v>3.500000000000017E-2</c:v>
                </c:pt>
                <c:pt idx="1318">
                  <c:v>3.5000000000000142E-2</c:v>
                </c:pt>
                <c:pt idx="1319">
                  <c:v>3.5000000000000128E-2</c:v>
                </c:pt>
                <c:pt idx="1320">
                  <c:v>3.5000000000000114E-2</c:v>
                </c:pt>
                <c:pt idx="1321">
                  <c:v>3.5000000000000087E-2</c:v>
                </c:pt>
                <c:pt idx="1322">
                  <c:v>3.5000000000000073E-2</c:v>
                </c:pt>
                <c:pt idx="1323">
                  <c:v>3.5000000000000045E-2</c:v>
                </c:pt>
                <c:pt idx="1324">
                  <c:v>3.5000000000000031E-2</c:v>
                </c:pt>
                <c:pt idx="1325">
                  <c:v>3.5000000000000017E-2</c:v>
                </c:pt>
                <c:pt idx="1326">
                  <c:v>3.5000000000000003E-2</c:v>
                </c:pt>
                <c:pt idx="1327">
                  <c:v>3.4999999999999989E-2</c:v>
                </c:pt>
                <c:pt idx="1328">
                  <c:v>3.4999999999999976E-2</c:v>
                </c:pt>
                <c:pt idx="1329">
                  <c:v>3.4999999999999962E-2</c:v>
                </c:pt>
                <c:pt idx="1330">
                  <c:v>3.4999999999999948E-2</c:v>
                </c:pt>
                <c:pt idx="1331">
                  <c:v>3.4999999999999934E-2</c:v>
                </c:pt>
                <c:pt idx="1332">
                  <c:v>3.499999999999992E-2</c:v>
                </c:pt>
                <c:pt idx="1333">
                  <c:v>3.4999999999999906E-2</c:v>
                </c:pt>
                <c:pt idx="1334">
                  <c:v>3.4999999999999906E-2</c:v>
                </c:pt>
                <c:pt idx="1335">
                  <c:v>3.4999999999999892E-2</c:v>
                </c:pt>
                <c:pt idx="1336">
                  <c:v>3.4999999999999892E-2</c:v>
                </c:pt>
                <c:pt idx="1337">
                  <c:v>3.4999999999999878E-2</c:v>
                </c:pt>
                <c:pt idx="1338">
                  <c:v>3.4999999999999878E-2</c:v>
                </c:pt>
                <c:pt idx="1339">
                  <c:v>3.4999999999999865E-2</c:v>
                </c:pt>
                <c:pt idx="1340">
                  <c:v>3.4999999999999878E-2</c:v>
                </c:pt>
                <c:pt idx="1341">
                  <c:v>3.4999999999999865E-2</c:v>
                </c:pt>
                <c:pt idx="1342">
                  <c:v>3.4999999999999865E-2</c:v>
                </c:pt>
                <c:pt idx="1343">
                  <c:v>3.4999999999999865E-2</c:v>
                </c:pt>
                <c:pt idx="1344">
                  <c:v>3.4999999999999865E-2</c:v>
                </c:pt>
                <c:pt idx="1345">
                  <c:v>3.4999999999999865E-2</c:v>
                </c:pt>
                <c:pt idx="1346">
                  <c:v>3.4999999999999865E-2</c:v>
                </c:pt>
                <c:pt idx="1347">
                  <c:v>3.4999999999999865E-2</c:v>
                </c:pt>
                <c:pt idx="1348">
                  <c:v>3.4999999999999865E-2</c:v>
                </c:pt>
                <c:pt idx="1349">
                  <c:v>3.4999999999999865E-2</c:v>
                </c:pt>
                <c:pt idx="1350">
                  <c:v>3.4999999999999878E-2</c:v>
                </c:pt>
                <c:pt idx="1351">
                  <c:v>3.4999999999999878E-2</c:v>
                </c:pt>
                <c:pt idx="1352">
                  <c:v>3.4999999999999878E-2</c:v>
                </c:pt>
                <c:pt idx="1353">
                  <c:v>3.4999999999999878E-2</c:v>
                </c:pt>
                <c:pt idx="1354">
                  <c:v>3.4999999999999878E-2</c:v>
                </c:pt>
                <c:pt idx="1355">
                  <c:v>3.4999999999999892E-2</c:v>
                </c:pt>
                <c:pt idx="1356">
                  <c:v>3.4999999999999892E-2</c:v>
                </c:pt>
                <c:pt idx="1357">
                  <c:v>3.4999999999999906E-2</c:v>
                </c:pt>
                <c:pt idx="1358">
                  <c:v>3.4999999999999906E-2</c:v>
                </c:pt>
                <c:pt idx="1359">
                  <c:v>3.4999999999999906E-2</c:v>
                </c:pt>
                <c:pt idx="1360">
                  <c:v>3.499999999999992E-2</c:v>
                </c:pt>
                <c:pt idx="1361">
                  <c:v>3.499999999999992E-2</c:v>
                </c:pt>
                <c:pt idx="1362">
                  <c:v>3.4999999999999934E-2</c:v>
                </c:pt>
                <c:pt idx="1363">
                  <c:v>3.4999999999999934E-2</c:v>
                </c:pt>
                <c:pt idx="1364">
                  <c:v>3.4999999999999948E-2</c:v>
                </c:pt>
                <c:pt idx="1365">
                  <c:v>3.4999999999999948E-2</c:v>
                </c:pt>
                <c:pt idx="1366">
                  <c:v>3.4999999999999948E-2</c:v>
                </c:pt>
                <c:pt idx="1367">
                  <c:v>3.4999999999999962E-2</c:v>
                </c:pt>
                <c:pt idx="1368">
                  <c:v>3.4999999999999976E-2</c:v>
                </c:pt>
                <c:pt idx="1369">
                  <c:v>3.4999999999999976E-2</c:v>
                </c:pt>
                <c:pt idx="1370">
                  <c:v>3.4999999999999976E-2</c:v>
                </c:pt>
                <c:pt idx="1371">
                  <c:v>3.4999999999999989E-2</c:v>
                </c:pt>
                <c:pt idx="1372">
                  <c:v>3.4999999999999989E-2</c:v>
                </c:pt>
                <c:pt idx="1373">
                  <c:v>3.4999999999999989E-2</c:v>
                </c:pt>
                <c:pt idx="1374">
                  <c:v>3.4999999999999989E-2</c:v>
                </c:pt>
                <c:pt idx="1375">
                  <c:v>3.5000000000000003E-2</c:v>
                </c:pt>
                <c:pt idx="1376">
                  <c:v>3.5000000000000003E-2</c:v>
                </c:pt>
                <c:pt idx="1377">
                  <c:v>3.5000000000000017E-2</c:v>
                </c:pt>
                <c:pt idx="1378">
                  <c:v>3.5000000000000017E-2</c:v>
                </c:pt>
                <c:pt idx="1379">
                  <c:v>3.5000000000000017E-2</c:v>
                </c:pt>
                <c:pt idx="1380">
                  <c:v>3.5000000000000031E-2</c:v>
                </c:pt>
                <c:pt idx="1381">
                  <c:v>3.5000000000000031E-2</c:v>
                </c:pt>
                <c:pt idx="1382">
                  <c:v>3.5000000000000031E-2</c:v>
                </c:pt>
                <c:pt idx="1383">
                  <c:v>3.5000000000000031E-2</c:v>
                </c:pt>
                <c:pt idx="1384">
                  <c:v>3.5000000000000031E-2</c:v>
                </c:pt>
                <c:pt idx="1385">
                  <c:v>3.5000000000000031E-2</c:v>
                </c:pt>
                <c:pt idx="1386">
                  <c:v>3.5000000000000031E-2</c:v>
                </c:pt>
                <c:pt idx="1387">
                  <c:v>3.5000000000000031E-2</c:v>
                </c:pt>
                <c:pt idx="1388">
                  <c:v>3.5000000000000031E-2</c:v>
                </c:pt>
                <c:pt idx="1389">
                  <c:v>3.5000000000000031E-2</c:v>
                </c:pt>
                <c:pt idx="1390">
                  <c:v>3.5000000000000045E-2</c:v>
                </c:pt>
                <c:pt idx="1391">
                  <c:v>3.5000000000000045E-2</c:v>
                </c:pt>
                <c:pt idx="1392">
                  <c:v>3.5000000000000045E-2</c:v>
                </c:pt>
                <c:pt idx="1393">
                  <c:v>3.5000000000000045E-2</c:v>
                </c:pt>
                <c:pt idx="1394">
                  <c:v>3.5000000000000045E-2</c:v>
                </c:pt>
                <c:pt idx="1395">
                  <c:v>3.5000000000000045E-2</c:v>
                </c:pt>
                <c:pt idx="1396">
                  <c:v>3.5000000000000045E-2</c:v>
                </c:pt>
                <c:pt idx="1397">
                  <c:v>3.5000000000000045E-2</c:v>
                </c:pt>
                <c:pt idx="1398">
                  <c:v>3.5000000000000045E-2</c:v>
                </c:pt>
                <c:pt idx="1399">
                  <c:v>3.5000000000000045E-2</c:v>
                </c:pt>
                <c:pt idx="1400">
                  <c:v>3.5000000000000031E-2</c:v>
                </c:pt>
                <c:pt idx="1401">
                  <c:v>3.5000000000000031E-2</c:v>
                </c:pt>
                <c:pt idx="1402">
                  <c:v>3.5000000000000031E-2</c:v>
                </c:pt>
                <c:pt idx="1403">
                  <c:v>3.5000000000000031E-2</c:v>
                </c:pt>
                <c:pt idx="1404">
                  <c:v>3.5000000000000031E-2</c:v>
                </c:pt>
                <c:pt idx="1405">
                  <c:v>3.5000000000000031E-2</c:v>
                </c:pt>
                <c:pt idx="1406">
                  <c:v>3.5000000000000031E-2</c:v>
                </c:pt>
                <c:pt idx="1407">
                  <c:v>3.5000000000000017E-2</c:v>
                </c:pt>
                <c:pt idx="1408">
                  <c:v>3.5000000000000017E-2</c:v>
                </c:pt>
                <c:pt idx="1409">
                  <c:v>3.5000000000000017E-2</c:v>
                </c:pt>
                <c:pt idx="1410">
                  <c:v>3.5000000000000017E-2</c:v>
                </c:pt>
                <c:pt idx="1411">
                  <c:v>3.5000000000000017E-2</c:v>
                </c:pt>
                <c:pt idx="1412">
                  <c:v>3.5000000000000017E-2</c:v>
                </c:pt>
                <c:pt idx="1413">
                  <c:v>3.5000000000000017E-2</c:v>
                </c:pt>
                <c:pt idx="1414">
                  <c:v>3.5000000000000017E-2</c:v>
                </c:pt>
                <c:pt idx="1415">
                  <c:v>3.5000000000000003E-2</c:v>
                </c:pt>
                <c:pt idx="1416">
                  <c:v>3.5000000000000003E-2</c:v>
                </c:pt>
                <c:pt idx="1417">
                  <c:v>3.5000000000000003E-2</c:v>
                </c:pt>
                <c:pt idx="1418">
                  <c:v>3.5000000000000003E-2</c:v>
                </c:pt>
                <c:pt idx="1419">
                  <c:v>3.5000000000000003E-2</c:v>
                </c:pt>
                <c:pt idx="1420">
                  <c:v>3.5000000000000003E-2</c:v>
                </c:pt>
                <c:pt idx="1421">
                  <c:v>3.5000000000000003E-2</c:v>
                </c:pt>
                <c:pt idx="1422">
                  <c:v>3.5000000000000003E-2</c:v>
                </c:pt>
                <c:pt idx="1423">
                  <c:v>3.5000000000000003E-2</c:v>
                </c:pt>
                <c:pt idx="1424">
                  <c:v>3.5000000000000003E-2</c:v>
                </c:pt>
                <c:pt idx="1425">
                  <c:v>3.5000000000000003E-2</c:v>
                </c:pt>
                <c:pt idx="1426">
                  <c:v>3.4999999999999989E-2</c:v>
                </c:pt>
                <c:pt idx="1427">
                  <c:v>3.4999999999999989E-2</c:v>
                </c:pt>
                <c:pt idx="1428">
                  <c:v>3.4999999999999989E-2</c:v>
                </c:pt>
                <c:pt idx="1429">
                  <c:v>3.4999999999999989E-2</c:v>
                </c:pt>
                <c:pt idx="1430">
                  <c:v>3.4999999999999989E-2</c:v>
                </c:pt>
                <c:pt idx="1431">
                  <c:v>3.4999999999999989E-2</c:v>
                </c:pt>
                <c:pt idx="1432">
                  <c:v>3.4999999999999989E-2</c:v>
                </c:pt>
                <c:pt idx="1433">
                  <c:v>3.4999999999999989E-2</c:v>
                </c:pt>
                <c:pt idx="1434">
                  <c:v>3.4999999999999989E-2</c:v>
                </c:pt>
                <c:pt idx="1435">
                  <c:v>3.4999999999999989E-2</c:v>
                </c:pt>
                <c:pt idx="1436">
                  <c:v>3.4999999999999989E-2</c:v>
                </c:pt>
                <c:pt idx="1437">
                  <c:v>3.4999999999999989E-2</c:v>
                </c:pt>
                <c:pt idx="1438">
                  <c:v>3.4999999999999989E-2</c:v>
                </c:pt>
                <c:pt idx="1439">
                  <c:v>3.4999999999999989E-2</c:v>
                </c:pt>
                <c:pt idx="1440">
                  <c:v>3.4999999999999989E-2</c:v>
                </c:pt>
                <c:pt idx="1441">
                  <c:v>3.4999999999999989E-2</c:v>
                </c:pt>
                <c:pt idx="1442">
                  <c:v>3.4999999999999989E-2</c:v>
                </c:pt>
                <c:pt idx="1443">
                  <c:v>3.4999999999999989E-2</c:v>
                </c:pt>
                <c:pt idx="1444">
                  <c:v>3.4999999999999989E-2</c:v>
                </c:pt>
                <c:pt idx="1445">
                  <c:v>3.4999999999999989E-2</c:v>
                </c:pt>
                <c:pt idx="1446">
                  <c:v>3.4999999999999989E-2</c:v>
                </c:pt>
                <c:pt idx="1447">
                  <c:v>3.4999999999999989E-2</c:v>
                </c:pt>
                <c:pt idx="1448">
                  <c:v>3.4999999999999989E-2</c:v>
                </c:pt>
                <c:pt idx="1449">
                  <c:v>3.4999999999999989E-2</c:v>
                </c:pt>
                <c:pt idx="1450">
                  <c:v>3.4999999999999989E-2</c:v>
                </c:pt>
                <c:pt idx="1451">
                  <c:v>3.4999999999999989E-2</c:v>
                </c:pt>
                <c:pt idx="1452">
                  <c:v>3.4999999999999989E-2</c:v>
                </c:pt>
                <c:pt idx="1453">
                  <c:v>3.4999999999999989E-2</c:v>
                </c:pt>
                <c:pt idx="1454">
                  <c:v>3.4999999999999989E-2</c:v>
                </c:pt>
                <c:pt idx="1455">
                  <c:v>3.4999999999999989E-2</c:v>
                </c:pt>
                <c:pt idx="1456">
                  <c:v>3.4999999999999989E-2</c:v>
                </c:pt>
                <c:pt idx="1457">
                  <c:v>3.4999999999999989E-2</c:v>
                </c:pt>
                <c:pt idx="1458">
                  <c:v>3.5000000000000003E-2</c:v>
                </c:pt>
                <c:pt idx="1459">
                  <c:v>3.5000000000000003E-2</c:v>
                </c:pt>
                <c:pt idx="1460">
                  <c:v>3.5000000000000003E-2</c:v>
                </c:pt>
                <c:pt idx="1461">
                  <c:v>3.5000000000000003E-2</c:v>
                </c:pt>
                <c:pt idx="1462">
                  <c:v>3.5000000000000003E-2</c:v>
                </c:pt>
                <c:pt idx="1463">
                  <c:v>3.5000000000000003E-2</c:v>
                </c:pt>
                <c:pt idx="1464">
                  <c:v>3.5000000000000003E-2</c:v>
                </c:pt>
                <c:pt idx="1465">
                  <c:v>3.5000000000000003E-2</c:v>
                </c:pt>
                <c:pt idx="1466">
                  <c:v>3.5000000000000003E-2</c:v>
                </c:pt>
                <c:pt idx="1467">
                  <c:v>3.5000000000000003E-2</c:v>
                </c:pt>
                <c:pt idx="1468">
                  <c:v>3.5000000000000003E-2</c:v>
                </c:pt>
                <c:pt idx="1469">
                  <c:v>3.5000000000000003E-2</c:v>
                </c:pt>
                <c:pt idx="1470">
                  <c:v>3.5000000000000003E-2</c:v>
                </c:pt>
                <c:pt idx="1471">
                  <c:v>3.5000000000000003E-2</c:v>
                </c:pt>
                <c:pt idx="1472">
                  <c:v>3.5000000000000003E-2</c:v>
                </c:pt>
                <c:pt idx="1473">
                  <c:v>3.5000000000000003E-2</c:v>
                </c:pt>
                <c:pt idx="1474">
                  <c:v>3.5000000000000003E-2</c:v>
                </c:pt>
                <c:pt idx="1475">
                  <c:v>3.5000000000000003E-2</c:v>
                </c:pt>
                <c:pt idx="1476">
                  <c:v>3.5000000000000003E-2</c:v>
                </c:pt>
                <c:pt idx="1477">
                  <c:v>3.5000000000000003E-2</c:v>
                </c:pt>
                <c:pt idx="1478">
                  <c:v>3.5000000000000003E-2</c:v>
                </c:pt>
                <c:pt idx="1479">
                  <c:v>3.5000000000000003E-2</c:v>
                </c:pt>
                <c:pt idx="1480">
                  <c:v>3.5000000000000003E-2</c:v>
                </c:pt>
                <c:pt idx="1481">
                  <c:v>3.5000000000000003E-2</c:v>
                </c:pt>
                <c:pt idx="1482">
                  <c:v>3.5000000000000003E-2</c:v>
                </c:pt>
                <c:pt idx="1483">
                  <c:v>3.5000000000000003E-2</c:v>
                </c:pt>
                <c:pt idx="1484">
                  <c:v>3.5000000000000003E-2</c:v>
                </c:pt>
                <c:pt idx="1485">
                  <c:v>3.5000000000000003E-2</c:v>
                </c:pt>
                <c:pt idx="1486">
                  <c:v>3.5000000000000003E-2</c:v>
                </c:pt>
                <c:pt idx="1487">
                  <c:v>3.5000000000000003E-2</c:v>
                </c:pt>
                <c:pt idx="1488">
                  <c:v>3.5000000000000003E-2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B1-4726-81D0-A30829FC7425}"/>
            </c:ext>
          </c:extLst>
        </c:ser>
        <c:ser>
          <c:idx val="8"/>
          <c:order val="9"/>
          <c:tx>
            <c:strRef>
              <c:f>Rocof!$L$6</c:f>
              <c:strCache>
                <c:ptCount val="1"/>
                <c:pt idx="0">
                  <c:v>Enveloppe min avec marge et tunnel et exp 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Rocof!$A$7:$A$1495</c:f>
              <c:numCache>
                <c:formatCode>General</c:formatCode>
                <c:ptCount val="1489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  <c:pt idx="1488">
                  <c:v>7.4399999999998698</c:v>
                </c:pt>
              </c:numCache>
            </c:numRef>
          </c:xVal>
          <c:yVal>
            <c:numRef>
              <c:f>Rocof!$L$7:$L$1495</c:f>
              <c:numCache>
                <c:formatCode>General</c:formatCode>
                <c:ptCount val="1489"/>
                <c:pt idx="0">
                  <c:v>0.06</c:v>
                </c:pt>
                <c:pt idx="1">
                  <c:v>6.0122377015488546E-2</c:v>
                </c:pt>
                <c:pt idx="2">
                  <c:v>6.0486520046280079E-2</c:v>
                </c:pt>
                <c:pt idx="3">
                  <c:v>6.1084712072098257E-2</c:v>
                </c:pt>
                <c:pt idx="4">
                  <c:v>6.190620441535092E-2</c:v>
                </c:pt>
                <c:pt idx="5">
                  <c:v>6.2938316434286545E-2</c:v>
                </c:pt>
                <c:pt idx="6">
                  <c:v>6.416713653786757E-2</c:v>
                </c:pt>
                <c:pt idx="7">
                  <c:v>6.5577980013971943E-2</c:v>
                </c:pt>
                <c:pt idx="8">
                  <c:v>6.7155697892319968E-2</c:v>
                </c:pt>
                <c:pt idx="9">
                  <c:v>6.888489391261042E-2</c:v>
                </c:pt>
                <c:pt idx="10">
                  <c:v>7.0750084146351644E-2</c:v>
                </c:pt>
                <c:pt idx="11">
                  <c:v>7.2735820171532184E-2</c:v>
                </c:pt>
                <c:pt idx="12">
                  <c:v>7.4826788431206853E-2</c:v>
                </c:pt>
                <c:pt idx="13">
                  <c:v>7.7007893402604444E-2</c:v>
                </c:pt>
                <c:pt idx="14">
                  <c:v>7.9264329178028531E-2</c:v>
                </c:pt>
                <c:pt idx="15">
                  <c:v>8.1581642233519033E-2</c:v>
                </c:pt>
                <c:pt idx="16">
                  <c:v>8.3945787063397337E-2</c:v>
                </c:pt>
                <c:pt idx="17">
                  <c:v>8.6343175701771219E-2</c:v>
                </c:pt>
                <c:pt idx="18">
                  <c:v>8.8760721761943551E-2</c:v>
                </c:pt>
                <c:pt idx="19">
                  <c:v>9.1185879395961469E-2</c:v>
                </c:pt>
                <c:pt idx="20">
                  <c:v>9.3606677445265823E-2</c:v>
                </c:pt>
                <c:pt idx="21">
                  <c:v>9.6011748980726369E-2</c:v>
                </c:pt>
                <c:pt idx="22">
                  <c:v>9.8390356392716122E-2</c:v>
                </c:pt>
                <c:pt idx="23">
                  <c:v>0.10073241217499369</c:v>
                </c:pt>
                <c:pt idx="24">
                  <c:v>0.10302849554135</c:v>
                </c:pt>
                <c:pt idx="25">
                  <c:v>0.1052698650159728</c:v>
                </c:pt>
                <c:pt idx="26">
                  <c:v>0.1074484671440996</c:v>
                </c:pt>
                <c:pt idx="27">
                  <c:v>0.10955694147683501</c:v>
                </c:pt>
                <c:pt idx="28">
                  <c:v>0.11158862199183629</c:v>
                </c:pt>
                <c:pt idx="29">
                  <c:v>0.11353753511922421</c:v>
                </c:pt>
                <c:pt idx="30">
                  <c:v>0.11539839454913998</c:v>
                </c:pt>
                <c:pt idx="31">
                  <c:v>0.11716659300360419</c:v>
                </c:pt>
                <c:pt idx="32">
                  <c:v>0.11883819116061101</c:v>
                </c:pt>
                <c:pt idx="33">
                  <c:v>0.12040990392264309</c:v>
                </c:pt>
                <c:pt idx="34">
                  <c:v>0.12187908422499889</c:v>
                </c:pt>
                <c:pt idx="35">
                  <c:v>0.12324370458148888</c:v>
                </c:pt>
                <c:pt idx="36">
                  <c:v>0.12450233656619941</c:v>
                </c:pt>
                <c:pt idx="37">
                  <c:v>0.12565412843017856</c:v>
                </c:pt>
                <c:pt idx="38">
                  <c:v>0.12669878105110477</c:v>
                </c:pt>
                <c:pt idx="39">
                  <c:v>0.12763652241230367</c:v>
                </c:pt>
                <c:pt idx="40">
                  <c:v>0.12846808080493111</c:v>
                </c:pt>
                <c:pt idx="41">
                  <c:v>0.12919465694379123</c:v>
                </c:pt>
                <c:pt idx="42">
                  <c:v>0.1298178951831645</c:v>
                </c:pt>
                <c:pt idx="43">
                  <c:v>0.13033985401423404</c:v>
                </c:pt>
                <c:pt idx="44">
                  <c:v>0.13076297602027892</c:v>
                </c:pt>
                <c:pt idx="45">
                  <c:v>0.13109005745980407</c:v>
                </c:pt>
                <c:pt idx="46">
                  <c:v>0.13132421764125685</c:v>
                </c:pt>
                <c:pt idx="47">
                  <c:v>0.13146886824599613</c:v>
                </c:pt>
                <c:pt idx="48">
                  <c:v>0.13152768274878557</c:v>
                </c:pt>
                <c:pt idx="49">
                  <c:v>0.13150456607733768</c:v>
                </c:pt>
                <c:pt idx="50">
                  <c:v>0.13169656285501369</c:v>
                </c:pt>
                <c:pt idx="51">
                  <c:v>0.1318876020447661</c:v>
                </c:pt>
                <c:pt idx="52">
                  <c:v>0.1320776884225846</c:v>
                </c:pt>
                <c:pt idx="53">
                  <c:v>0.13226682674063855</c:v>
                </c:pt>
                <c:pt idx="54">
                  <c:v>0.13245502172739573</c:v>
                </c:pt>
                <c:pt idx="55">
                  <c:v>0.13264227808774065</c:v>
                </c:pt>
                <c:pt idx="56">
                  <c:v>0.13282860050309203</c:v>
                </c:pt>
                <c:pt idx="57">
                  <c:v>0.13301399363151997</c:v>
                </c:pt>
                <c:pt idx="58">
                  <c:v>0.13319846210786235</c:v>
                </c:pt>
                <c:pt idx="59">
                  <c:v>0.13338201054384066</c:v>
                </c:pt>
                <c:pt idx="60">
                  <c:v>0.1335646435281754</c:v>
                </c:pt>
                <c:pt idx="61">
                  <c:v>0.13374636562670067</c:v>
                </c:pt>
                <c:pt idx="62">
                  <c:v>0.13392718138247839</c:v>
                </c:pt>
                <c:pt idx="63">
                  <c:v>0.13410709531591186</c:v>
                </c:pt>
                <c:pt idx="64">
                  <c:v>0.13428611192485884</c:v>
                </c:pt>
                <c:pt idx="65">
                  <c:v>0.1344642356847438</c:v>
                </c:pt>
                <c:pt idx="66">
                  <c:v>0.13464147104867008</c:v>
                </c:pt>
                <c:pt idx="67">
                  <c:v>0.13481782244753099</c:v>
                </c:pt>
                <c:pt idx="68">
                  <c:v>0.13499329429012069</c:v>
                </c:pt>
                <c:pt idx="69">
                  <c:v>0.13516789096324433</c:v>
                </c:pt>
                <c:pt idx="70">
                  <c:v>0.13534161683182794</c:v>
                </c:pt>
                <c:pt idx="71">
                  <c:v>0.13551447623902718</c:v>
                </c:pt>
                <c:pt idx="72">
                  <c:v>0.13568647350633628</c:v>
                </c:pt>
                <c:pt idx="73">
                  <c:v>0.13585761293369586</c:v>
                </c:pt>
                <c:pt idx="74">
                  <c:v>0.13602789879960056</c:v>
                </c:pt>
                <c:pt idx="75">
                  <c:v>0.13619733536120585</c:v>
                </c:pt>
                <c:pt idx="76">
                  <c:v>0.1363659268544346</c:v>
                </c:pt>
                <c:pt idx="77">
                  <c:v>0.13653367749408296</c:v>
                </c:pt>
                <c:pt idx="78">
                  <c:v>0.13670059147392563</c:v>
                </c:pt>
                <c:pt idx="79">
                  <c:v>0.13686667296682081</c:v>
                </c:pt>
                <c:pt idx="80">
                  <c:v>0.13703192612481446</c:v>
                </c:pt>
                <c:pt idx="81">
                  <c:v>0.1371963550792441</c:v>
                </c:pt>
                <c:pt idx="82">
                  <c:v>0.13735996394084224</c:v>
                </c:pt>
                <c:pt idx="83">
                  <c:v>0.13752275679983889</c:v>
                </c:pt>
                <c:pt idx="84">
                  <c:v>0.13768473772606402</c:v>
                </c:pt>
                <c:pt idx="85">
                  <c:v>0.1378459107690492</c:v>
                </c:pt>
                <c:pt idx="86">
                  <c:v>0.13800627995812892</c:v>
                </c:pt>
                <c:pt idx="87">
                  <c:v>0.13816584930254125</c:v>
                </c:pt>
                <c:pt idx="88">
                  <c:v>0.1383246227915281</c:v>
                </c:pt>
                <c:pt idx="89">
                  <c:v>0.13848260439443499</c:v>
                </c:pt>
                <c:pt idx="90">
                  <c:v>0.13863979806081023</c:v>
                </c:pt>
                <c:pt idx="91">
                  <c:v>0.13879620772050361</c:v>
                </c:pt>
                <c:pt idx="92">
                  <c:v>0.13895183728376481</c:v>
                </c:pt>
                <c:pt idx="93">
                  <c:v>0.13910669064134101</c:v>
                </c:pt>
                <c:pt idx="94">
                  <c:v>0.13926077166457423</c:v>
                </c:pt>
                <c:pt idx="95">
                  <c:v>0.13941408420549806</c:v>
                </c:pt>
                <c:pt idx="96">
                  <c:v>0.13956663209693401</c:v>
                </c:pt>
                <c:pt idx="97">
                  <c:v>0.13971841915258731</c:v>
                </c:pt>
                <c:pt idx="98">
                  <c:v>0.13986944916714225</c:v>
                </c:pt>
                <c:pt idx="99">
                  <c:v>0.14001972591635709</c:v>
                </c:pt>
                <c:pt idx="100">
                  <c:v>0.14016925315715834</c:v>
                </c:pt>
                <c:pt idx="101">
                  <c:v>0.14031803462773484</c:v>
                </c:pt>
                <c:pt idx="102">
                  <c:v>0.14046607404763109</c:v>
                </c:pt>
                <c:pt idx="103">
                  <c:v>0.14061337511784031</c:v>
                </c:pt>
                <c:pt idx="104">
                  <c:v>0.14075994152089691</c:v>
                </c:pt>
                <c:pt idx="105">
                  <c:v>0.14090577692096862</c:v>
                </c:pt>
                <c:pt idx="106">
                  <c:v>0.14105088496394805</c:v>
                </c:pt>
                <c:pt idx="107">
                  <c:v>0.14119526927754378</c:v>
                </c:pt>
                <c:pt idx="108">
                  <c:v>0.14133893347137122</c:v>
                </c:pt>
                <c:pt idx="109">
                  <c:v>0.14148188113704269</c:v>
                </c:pt>
                <c:pt idx="110">
                  <c:v>0.14162411584825724</c:v>
                </c:pt>
                <c:pt idx="111">
                  <c:v>0.14176564116089008</c:v>
                </c:pt>
                <c:pt idx="112">
                  <c:v>0.14190646061308143</c:v>
                </c:pt>
                <c:pt idx="113">
                  <c:v>0.14204657772532486</c:v>
                </c:pt>
                <c:pt idx="114">
                  <c:v>0.14218599600055554</c:v>
                </c:pt>
                <c:pt idx="115">
                  <c:v>0.14232471892423759</c:v>
                </c:pt>
                <c:pt idx="116">
                  <c:v>0.14246274996445132</c:v>
                </c:pt>
                <c:pt idx="117">
                  <c:v>0.14260009257197992</c:v>
                </c:pt>
                <c:pt idx="118">
                  <c:v>0.14273675018039578</c:v>
                </c:pt>
                <c:pt idx="119">
                  <c:v>0.14287272620614616</c:v>
                </c:pt>
                <c:pt idx="120">
                  <c:v>0.14300802404863877</c:v>
                </c:pt>
                <c:pt idx="121">
                  <c:v>0.14314264709032681</c:v>
                </c:pt>
                <c:pt idx="122">
                  <c:v>0.14327659869679329</c:v>
                </c:pt>
                <c:pt idx="123">
                  <c:v>0.14340988221683532</c:v>
                </c:pt>
                <c:pt idx="124">
                  <c:v>0.14354250098254789</c:v>
                </c:pt>
                <c:pt idx="125">
                  <c:v>0.14367445830940703</c:v>
                </c:pt>
                <c:pt idx="126">
                  <c:v>0.14380575749635277</c:v>
                </c:pt>
                <c:pt idx="127">
                  <c:v>0.14393640182587164</c:v>
                </c:pt>
                <c:pt idx="128">
                  <c:v>0.14406639456407866</c:v>
                </c:pt>
                <c:pt idx="129">
                  <c:v>0.14419573896079907</c:v>
                </c:pt>
                <c:pt idx="130">
                  <c:v>0.14432443824964958</c:v>
                </c:pt>
                <c:pt idx="131">
                  <c:v>0.14445249564811902</c:v>
                </c:pt>
                <c:pt idx="132">
                  <c:v>0.14457991435764905</c:v>
                </c:pt>
                <c:pt idx="133">
                  <c:v>0.14470669756371407</c:v>
                </c:pt>
                <c:pt idx="134">
                  <c:v>0.14483284843590083</c:v>
                </c:pt>
                <c:pt idx="135">
                  <c:v>0.14495837012798768</c:v>
                </c:pt>
                <c:pt idx="136">
                  <c:v>0.1450832657780235</c:v>
                </c:pt>
                <c:pt idx="137">
                  <c:v>0.14520753850840601</c:v>
                </c:pt>
                <c:pt idx="138">
                  <c:v>0.14533119142595996</c:v>
                </c:pt>
                <c:pt idx="139">
                  <c:v>0.14545422762201471</c:v>
                </c:pt>
                <c:pt idx="140">
                  <c:v>0.14557665017248161</c:v>
                </c:pt>
                <c:pt idx="141">
                  <c:v>0.14569846213793075</c:v>
                </c:pt>
                <c:pt idx="142">
                  <c:v>0.14581966656366763</c:v>
                </c:pt>
                <c:pt idx="143">
                  <c:v>0.14594026647980923</c:v>
                </c:pt>
                <c:pt idx="144">
                  <c:v>0.1460602649013597</c:v>
                </c:pt>
                <c:pt idx="145">
                  <c:v>0.14617966482828584</c:v>
                </c:pt>
                <c:pt idx="146">
                  <c:v>0.14629846924559203</c:v>
                </c:pt>
                <c:pt idx="147">
                  <c:v>0.14641668112339495</c:v>
                </c:pt>
                <c:pt idx="148">
                  <c:v>0.14653430341699764</c:v>
                </c:pt>
                <c:pt idx="149">
                  <c:v>0.14665133906696354</c:v>
                </c:pt>
                <c:pt idx="150">
                  <c:v>0.14676779099919007</c:v>
                </c:pt>
                <c:pt idx="151">
                  <c:v>0.14688366212498155</c:v>
                </c:pt>
                <c:pt idx="152">
                  <c:v>0.1469989553411222</c:v>
                </c:pt>
                <c:pt idx="153">
                  <c:v>0.14711367352994842</c:v>
                </c:pt>
                <c:pt idx="154">
                  <c:v>0.14722781955942082</c:v>
                </c:pt>
                <c:pt idx="155">
                  <c:v>0.14734139628319623</c:v>
                </c:pt>
                <c:pt idx="156">
                  <c:v>0.14745440654069855</c:v>
                </c:pt>
                <c:pt idx="157">
                  <c:v>0.14756685315719015</c:v>
                </c:pt>
                <c:pt idx="158">
                  <c:v>0.14767873894384226</c:v>
                </c:pt>
                <c:pt idx="159">
                  <c:v>0.14779006669780542</c:v>
                </c:pt>
                <c:pt idx="160">
                  <c:v>0.14790083920227926</c:v>
                </c:pt>
                <c:pt idx="161">
                  <c:v>0.14801105922658214</c:v>
                </c:pt>
                <c:pt idx="162">
                  <c:v>0.14812072952622046</c:v>
                </c:pt>
                <c:pt idx="163">
                  <c:v>0.14822985284295737</c:v>
                </c:pt>
                <c:pt idx="164">
                  <c:v>0.1483384319048815</c:v>
                </c:pt>
                <c:pt idx="165">
                  <c:v>0.14844646942647499</c:v>
                </c:pt>
                <c:pt idx="166">
                  <c:v>0.1485539681086816</c:v>
                </c:pt>
                <c:pt idx="167">
                  <c:v>0.14866093063897395</c:v>
                </c:pt>
                <c:pt idx="168">
                  <c:v>0.14876735969142091</c:v>
                </c:pt>
                <c:pt idx="169">
                  <c:v>0.14887325792675424</c:v>
                </c:pt>
                <c:pt idx="170">
                  <c:v>0.14897862799243539</c:v>
                </c:pt>
                <c:pt idx="171">
                  <c:v>0.14908347252272147</c:v>
                </c:pt>
                <c:pt idx="172">
                  <c:v>0.14918779413873123</c:v>
                </c:pt>
                <c:pt idx="173">
                  <c:v>0.14929159544851051</c:v>
                </c:pt>
                <c:pt idx="174">
                  <c:v>0.14939487904709742</c:v>
                </c:pt>
                <c:pt idx="175">
                  <c:v>0.14949764751658728</c:v>
                </c:pt>
                <c:pt idx="176">
                  <c:v>0.14959990342619728</c:v>
                </c:pt>
                <c:pt idx="177">
                  <c:v>0.14970164933233043</c:v>
                </c:pt>
                <c:pt idx="178">
                  <c:v>0.14980288777863965</c:v>
                </c:pt>
                <c:pt idx="179">
                  <c:v>0.14990362129609142</c:v>
                </c:pt>
                <c:pt idx="180">
                  <c:v>0.15000385240302888</c:v>
                </c:pt>
                <c:pt idx="181">
                  <c:v>0.15010358360523496</c:v>
                </c:pt>
                <c:pt idx="182">
                  <c:v>0.15020281739599492</c:v>
                </c:pt>
                <c:pt idx="183">
                  <c:v>0.15030155625615865</c:v>
                </c:pt>
                <c:pt idx="184">
                  <c:v>0.15039980265420286</c:v>
                </c:pt>
                <c:pt idx="185">
                  <c:v>0.15049755904629253</c:v>
                </c:pt>
                <c:pt idx="186">
                  <c:v>0.15059482787634265</c:v>
                </c:pt>
                <c:pt idx="187">
                  <c:v>0.15069161157607897</c:v>
                </c:pt>
                <c:pt idx="188">
                  <c:v>0.15078791256509905</c:v>
                </c:pt>
                <c:pt idx="189">
                  <c:v>0.15088373325093263</c:v>
                </c:pt>
                <c:pt idx="190">
                  <c:v>0.15097907602910182</c:v>
                </c:pt>
                <c:pt idx="191">
                  <c:v>0.15107394328318108</c:v>
                </c:pt>
                <c:pt idx="192">
                  <c:v>0.15116833738485669</c:v>
                </c:pt>
                <c:pt idx="193">
                  <c:v>0.15126226069398613</c:v>
                </c:pt>
                <c:pt idx="194">
                  <c:v>0.15135571555865696</c:v>
                </c:pt>
                <c:pt idx="195">
                  <c:v>0.15144870431524571</c:v>
                </c:pt>
                <c:pt idx="196">
                  <c:v>0.15154122928847613</c:v>
                </c:pt>
                <c:pt idx="197">
                  <c:v>0.15163329279147736</c:v>
                </c:pt>
                <c:pt idx="198">
                  <c:v>0.15172489712584175</c:v>
                </c:pt>
                <c:pt idx="199">
                  <c:v>0.15181604458168252</c:v>
                </c:pt>
                <c:pt idx="200">
                  <c:v>0.15190673743769068</c:v>
                </c:pt>
                <c:pt idx="201">
                  <c:v>0.15199697796119246</c:v>
                </c:pt>
                <c:pt idx="202">
                  <c:v>0.15208676840820562</c:v>
                </c:pt>
                <c:pt idx="203">
                  <c:v>0.15217611102349599</c:v>
                </c:pt>
                <c:pt idx="204">
                  <c:v>0.15226500804063364</c:v>
                </c:pt>
                <c:pt idx="205">
                  <c:v>0.15235346168204858</c:v>
                </c:pt>
                <c:pt idx="206">
                  <c:v>0.15244147415908649</c:v>
                </c:pt>
                <c:pt idx="207">
                  <c:v>0.15252904767206388</c:v>
                </c:pt>
                <c:pt idx="208">
                  <c:v>0.1526161844103231</c:v>
                </c:pt>
                <c:pt idx="209">
                  <c:v>0.1527028865522872</c:v>
                </c:pt>
                <c:pt idx="210">
                  <c:v>0.1527891562655142</c:v>
                </c:pt>
                <c:pt idx="211">
                  <c:v>0.15287499570675145</c:v>
                </c:pt>
                <c:pt idx="212">
                  <c:v>0.15296040702198943</c:v>
                </c:pt>
                <c:pt idx="213">
                  <c:v>0.15304539234651549</c:v>
                </c:pt>
                <c:pt idx="214">
                  <c:v>0.15312995380496713</c:v>
                </c:pt>
                <c:pt idx="215">
                  <c:v>0.15321409351138526</c:v>
                </c:pt>
                <c:pt idx="216">
                  <c:v>0.15329781356926692</c:v>
                </c:pt>
                <c:pt idx="217">
                  <c:v>0.15338111607161792</c:v>
                </c:pt>
                <c:pt idx="218">
                  <c:v>0.15346400310100511</c:v>
                </c:pt>
                <c:pt idx="219">
                  <c:v>0.15354647672960858</c:v>
                </c:pt>
                <c:pt idx="220">
                  <c:v>0.15362853901927337</c:v>
                </c:pt>
                <c:pt idx="221">
                  <c:v>0.15371019202156092</c:v>
                </c:pt>
                <c:pt idx="222">
                  <c:v>0.15379143777780058</c:v>
                </c:pt>
                <c:pt idx="223">
                  <c:v>0.15387227831914052</c:v>
                </c:pt>
                <c:pt idx="224">
                  <c:v>0.15395271566659843</c:v>
                </c:pt>
                <c:pt idx="225">
                  <c:v>0.1540327518311122</c:v>
                </c:pt>
                <c:pt idx="226">
                  <c:v>0.15411238881359013</c:v>
                </c:pt>
                <c:pt idx="227">
                  <c:v>0.15419162860496094</c:v>
                </c:pt>
                <c:pt idx="228">
                  <c:v>0.1542704731862235</c:v>
                </c:pt>
                <c:pt idx="229">
                  <c:v>0.15434892452849647</c:v>
                </c:pt>
                <c:pt idx="230">
                  <c:v>0.15442698459306747</c:v>
                </c:pt>
                <c:pt idx="231">
                  <c:v>0.15450465533144225</c:v>
                </c:pt>
                <c:pt idx="232">
                  <c:v>0.15458193868539322</c:v>
                </c:pt>
                <c:pt idx="233">
                  <c:v>0.15465883658700835</c:v>
                </c:pt>
                <c:pt idx="234">
                  <c:v>0.15473535095873908</c:v>
                </c:pt>
                <c:pt idx="235">
                  <c:v>0.15481148371344877</c:v>
                </c:pt>
                <c:pt idx="236">
                  <c:v>0.15488723675446026</c:v>
                </c:pt>
                <c:pt idx="237">
                  <c:v>0.15496261197560346</c:v>
                </c:pt>
                <c:pt idx="238">
                  <c:v>0.15503761126126281</c:v>
                </c:pt>
                <c:pt idx="239">
                  <c:v>0.15511223648642447</c:v>
                </c:pt>
                <c:pt idx="240">
                  <c:v>0.15518648951672284</c:v>
                </c:pt>
                <c:pt idx="241">
                  <c:v>0.1552603722084876</c:v>
                </c:pt>
                <c:pt idx="242">
                  <c:v>0.15533388640878987</c:v>
                </c:pt>
                <c:pt idx="243">
                  <c:v>0.15540703395548855</c:v>
                </c:pt>
                <c:pt idx="244">
                  <c:v>0.15547981667727601</c:v>
                </c:pt>
                <c:pt idx="245">
                  <c:v>0.15555223639372417</c:v>
                </c:pt>
                <c:pt idx="246">
                  <c:v>0.15562429491532967</c:v>
                </c:pt>
                <c:pt idx="247">
                  <c:v>0.15569599404355933</c:v>
                </c:pt>
                <c:pt idx="248">
                  <c:v>0.15576733557089506</c:v>
                </c:pt>
                <c:pt idx="249">
                  <c:v>0.15583832128087882</c:v>
                </c:pt>
                <c:pt idx="250">
                  <c:v>0.15590895294815699</c:v>
                </c:pt>
                <c:pt idx="251">
                  <c:v>0.15597923233852493</c:v>
                </c:pt>
                <c:pt idx="252">
                  <c:v>0.15604916120897111</c:v>
                </c:pt>
                <c:pt idx="253">
                  <c:v>0.15611874130772091</c:v>
                </c:pt>
                <c:pt idx="254">
                  <c:v>0.15618797437428039</c:v>
                </c:pt>
                <c:pt idx="255">
                  <c:v>0.15625686213947987</c:v>
                </c:pt>
                <c:pt idx="256">
                  <c:v>0.15632540632551706</c:v>
                </c:pt>
                <c:pt idx="257">
                  <c:v>0.15639360864600016</c:v>
                </c:pt>
                <c:pt idx="258">
                  <c:v>0.15646147080599074</c:v>
                </c:pt>
                <c:pt idx="259">
                  <c:v>0.15652899450204633</c:v>
                </c:pt>
                <c:pt idx="260">
                  <c:v>0.15659618142226289</c:v>
                </c:pt>
                <c:pt idx="261">
                  <c:v>0.15666303324631686</c:v>
                </c:pt>
                <c:pt idx="262">
                  <c:v>0.15672955164550734</c:v>
                </c:pt>
                <c:pt idx="263">
                  <c:v>0.1567957382827978</c:v>
                </c:pt>
                <c:pt idx="264">
                  <c:v>0.15686159481285764</c:v>
                </c:pt>
                <c:pt idx="265">
                  <c:v>0.15692712288210348</c:v>
                </c:pt>
                <c:pt idx="266">
                  <c:v>0.15699232412874048</c:v>
                </c:pt>
                <c:pt idx="267">
                  <c:v>0.15705720018280322</c:v>
                </c:pt>
                <c:pt idx="268">
                  <c:v>0.15712175266619646</c:v>
                </c:pt>
                <c:pt idx="269">
                  <c:v>0.15718598319273558</c:v>
                </c:pt>
                <c:pt idx="270">
                  <c:v>0.15724989336818712</c:v>
                </c:pt>
                <c:pt idx="271">
                  <c:v>0.15731348479030882</c:v>
                </c:pt>
                <c:pt idx="272">
                  <c:v>0.15737675904888951</c:v>
                </c:pt>
                <c:pt idx="273">
                  <c:v>0.15743971772578896</c:v>
                </c:pt>
                <c:pt idx="274">
                  <c:v>0.15750236239497736</c:v>
                </c:pt>
                <c:pt idx="275">
                  <c:v>0.15756469462257472</c:v>
                </c:pt>
                <c:pt idx="276">
                  <c:v>0.15762671596688999</c:v>
                </c:pt>
                <c:pt idx="277">
                  <c:v>0.15768842797846</c:v>
                </c:pt>
                <c:pt idx="278">
                  <c:v>0.1577498322000882</c:v>
                </c:pt>
                <c:pt idx="279">
                  <c:v>0.15781093016688341</c:v>
                </c:pt>
                <c:pt idx="280">
                  <c:v>0.1578717234062979</c:v>
                </c:pt>
                <c:pt idx="281">
                  <c:v>0.15793221343816591</c:v>
                </c:pt>
                <c:pt idx="282">
                  <c:v>0.15799240177474133</c:v>
                </c:pt>
                <c:pt idx="283">
                  <c:v>0.15805228992073572</c:v>
                </c:pt>
                <c:pt idx="284">
                  <c:v>0.15811187937335586</c:v>
                </c:pt>
                <c:pt idx="285">
                  <c:v>0.15817117162234112</c:v>
                </c:pt>
                <c:pt idx="286">
                  <c:v>0.1582301681500009</c:v>
                </c:pt>
                <c:pt idx="287">
                  <c:v>0.15828887043125139</c:v>
                </c:pt>
                <c:pt idx="288">
                  <c:v>0.15834727993365272</c:v>
                </c:pt>
                <c:pt idx="289">
                  <c:v>0.15840539811744547</c:v>
                </c:pt>
                <c:pt idx="290">
                  <c:v>0.1584632264355873</c:v>
                </c:pt>
                <c:pt idx="291">
                  <c:v>0.15852076633378909</c:v>
                </c:pt>
                <c:pt idx="292">
                  <c:v>0.15857801925055137</c:v>
                </c:pt>
                <c:pt idx="293">
                  <c:v>0.15863498661720005</c:v>
                </c:pt>
                <c:pt idx="294">
                  <c:v>0.15869166985792221</c:v>
                </c:pt>
                <c:pt idx="295">
                  <c:v>0.15874807038980182</c:v>
                </c:pt>
                <c:pt idx="296">
                  <c:v>0.15880418962285517</c:v>
                </c:pt>
                <c:pt idx="297">
                  <c:v>0.15886002896006596</c:v>
                </c:pt>
                <c:pt idx="298">
                  <c:v>0.15891558979742054</c:v>
                </c:pt>
                <c:pt idx="299">
                  <c:v>0.15897087352394276</c:v>
                </c:pt>
                <c:pt idx="300">
                  <c:v>0.15902588152172864</c:v>
                </c:pt>
                <c:pt idx="301">
                  <c:v>0.15908061516598099</c:v>
                </c:pt>
                <c:pt idx="302">
                  <c:v>0.15913507582504377</c:v>
                </c:pt>
                <c:pt idx="303">
                  <c:v>0.15918926486043627</c:v>
                </c:pt>
                <c:pt idx="304">
                  <c:v>0.15924318362688727</c:v>
                </c:pt>
                <c:pt idx="305">
                  <c:v>0.15929683347236867</c:v>
                </c:pt>
                <c:pt idx="306">
                  <c:v>0.15935021573812941</c:v>
                </c:pt>
                <c:pt idx="307">
                  <c:v>0.15940333175872895</c:v>
                </c:pt>
                <c:pt idx="308">
                  <c:v>0.15945618286207053</c:v>
                </c:pt>
                <c:pt idx="309">
                  <c:v>0.1595087703694345</c:v>
                </c:pt>
                <c:pt idx="310">
                  <c:v>0.15956109559551118</c:v>
                </c:pt>
                <c:pt idx="311">
                  <c:v>0.15961315984843427</c:v>
                </c:pt>
                <c:pt idx="312">
                  <c:v>0.15966496442981248</c:v>
                </c:pt>
                <c:pt idx="313">
                  <c:v>0.15971651063476316</c:v>
                </c:pt>
                <c:pt idx="314">
                  <c:v>0.159767799751944</c:v>
                </c:pt>
                <c:pt idx="315">
                  <c:v>0.15981883306358582</c:v>
                </c:pt>
                <c:pt idx="316">
                  <c:v>0.15986961184552398</c:v>
                </c:pt>
                <c:pt idx="317">
                  <c:v>0.15992013736723062</c:v>
                </c:pt>
                <c:pt idx="318">
                  <c:v>0.15997041089184647</c:v>
                </c:pt>
                <c:pt idx="319">
                  <c:v>0.16002043367621221</c:v>
                </c:pt>
                <c:pt idx="320">
                  <c:v>0.16007020697090013</c:v>
                </c:pt>
                <c:pt idx="321">
                  <c:v>0.16011973202024513</c:v>
                </c:pt>
                <c:pt idx="322">
                  <c:v>0.16016901006237602</c:v>
                </c:pt>
                <c:pt idx="323">
                  <c:v>0.16021804232924647</c:v>
                </c:pt>
                <c:pt idx="324">
                  <c:v>0.16026683004666564</c:v>
                </c:pt>
                <c:pt idx="325">
                  <c:v>0.16031537443432906</c:v>
                </c:pt>
                <c:pt idx="326">
                  <c:v>0.16036367670584892</c:v>
                </c:pt>
                <c:pt idx="327">
                  <c:v>0.16041173806878453</c:v>
                </c:pt>
                <c:pt idx="328">
                  <c:v>0.16045955972467246</c:v>
                </c:pt>
                <c:pt idx="329">
                  <c:v>0.16050714286905665</c:v>
                </c:pt>
                <c:pt idx="330">
                  <c:v>0.16055448869151812</c:v>
                </c:pt>
                <c:pt idx="331">
                  <c:v>0.16060159837570492</c:v>
                </c:pt>
                <c:pt idx="332">
                  <c:v>0.16064847309936164</c:v>
                </c:pt>
                <c:pt idx="333">
                  <c:v>0.16069511403435877</c:v>
                </c:pt>
                <c:pt idx="334">
                  <c:v>0.16074152234672212</c:v>
                </c:pt>
                <c:pt idx="335">
                  <c:v>0.16078769919666192</c:v>
                </c:pt>
                <c:pt idx="336">
                  <c:v>0.16083364573860184</c:v>
                </c:pt>
                <c:pt idx="337">
                  <c:v>0.16087936312120782</c:v>
                </c:pt>
                <c:pt idx="338">
                  <c:v>0.16092485248741678</c:v>
                </c:pt>
                <c:pt idx="339">
                  <c:v>0.16097011497446526</c:v>
                </c:pt>
                <c:pt idx="340">
                  <c:v>0.16101515171391778</c:v>
                </c:pt>
                <c:pt idx="341">
                  <c:v>0.16105996383169524</c:v>
                </c:pt>
                <c:pt idx="342">
                  <c:v>0.16110455244810282</c:v>
                </c:pt>
                <c:pt idx="343">
                  <c:v>0.1611489186778583</c:v>
                </c:pt>
                <c:pt idx="344">
                  <c:v>0.16119306363011976</c:v>
                </c:pt>
                <c:pt idx="345">
                  <c:v>0.16123698840851325</c:v>
                </c:pt>
                <c:pt idx="346">
                  <c:v>0.16128069411116058</c:v>
                </c:pt>
                <c:pt idx="347">
                  <c:v>0.16132418183070651</c:v>
                </c:pt>
                <c:pt idx="348">
                  <c:v>0.16136745265434638</c:v>
                </c:pt>
                <c:pt idx="349">
                  <c:v>0.16141050766385295</c:v>
                </c:pt>
                <c:pt idx="350">
                  <c:v>0.16145334793560379</c:v>
                </c:pt>
                <c:pt idx="351">
                  <c:v>0.16149597454060788</c:v>
                </c:pt>
                <c:pt idx="352">
                  <c:v>0.16153838854453256</c:v>
                </c:pt>
                <c:pt idx="353">
                  <c:v>0.16158059100773015</c:v>
                </c:pt>
                <c:pt idx="354">
                  <c:v>0.16162258298526441</c:v>
                </c:pt>
                <c:pt idx="355">
                  <c:v>0.16166436552693697</c:v>
                </c:pt>
                <c:pt idx="356">
                  <c:v>0.16170593967731356</c:v>
                </c:pt>
                <c:pt idx="357">
                  <c:v>0.16174730647575011</c:v>
                </c:pt>
                <c:pt idx="358">
                  <c:v>0.16178846695641874</c:v>
                </c:pt>
                <c:pt idx="359">
                  <c:v>0.16182942214833357</c:v>
                </c:pt>
                <c:pt idx="360">
                  <c:v>0.16187017307537654</c:v>
                </c:pt>
                <c:pt idx="361">
                  <c:v>0.16191072075632301</c:v>
                </c:pt>
                <c:pt idx="362">
                  <c:v>0.16195106620486704</c:v>
                </c:pt>
                <c:pt idx="363">
                  <c:v>0.16199121042964701</c:v>
                </c:pt>
                <c:pt idx="364">
                  <c:v>0.16203115443427057</c:v>
                </c:pt>
                <c:pt idx="365">
                  <c:v>0.16207089921733994</c:v>
                </c:pt>
                <c:pt idx="366">
                  <c:v>0.1621104457724768</c:v>
                </c:pt>
                <c:pt idx="367">
                  <c:v>0.16214979508834704</c:v>
                </c:pt>
                <c:pt idx="368">
                  <c:v>0.16218894814868559</c:v>
                </c:pt>
                <c:pt idx="369">
                  <c:v>0.16222790593232106</c:v>
                </c:pt>
                <c:pt idx="370">
                  <c:v>0.16226666941320006</c:v>
                </c:pt>
                <c:pt idx="371">
                  <c:v>0.16230523956041157</c:v>
                </c:pt>
                <c:pt idx="372">
                  <c:v>0.16234361733821134</c:v>
                </c:pt>
                <c:pt idx="373">
                  <c:v>0.1623818037060458</c:v>
                </c:pt>
                <c:pt idx="374">
                  <c:v>0.16241979961857611</c:v>
                </c:pt>
                <c:pt idx="375">
                  <c:v>0.16245760602570214</c:v>
                </c:pt>
                <c:pt idx="376">
                  <c:v>0.16249522387258591</c:v>
                </c:pt>
                <c:pt idx="377">
                  <c:v>0.16253265409967566</c:v>
                </c:pt>
                <c:pt idx="378">
                  <c:v>0.16256989764272894</c:v>
                </c:pt>
                <c:pt idx="379">
                  <c:v>0.16260695543283635</c:v>
                </c:pt>
                <c:pt idx="380">
                  <c:v>0.16264382839644451</c:v>
                </c:pt>
                <c:pt idx="381">
                  <c:v>0.16268051745537943</c:v>
                </c:pt>
                <c:pt idx="382">
                  <c:v>0.16271702352686954</c:v>
                </c:pt>
                <c:pt idx="383">
                  <c:v>0.16275334752356846</c:v>
                </c:pt>
                <c:pt idx="384">
                  <c:v>0.16278949035357809</c:v>
                </c:pt>
                <c:pt idx="385">
                  <c:v>0.16282545292047096</c:v>
                </c:pt>
                <c:pt idx="386">
                  <c:v>0.16286123612331321</c:v>
                </c:pt>
                <c:pt idx="387">
                  <c:v>0.16289684085668671</c:v>
                </c:pt>
                <c:pt idx="388">
                  <c:v>0.16293226801071167</c:v>
                </c:pt>
                <c:pt idx="389">
                  <c:v>0.16296751847106877</c:v>
                </c:pt>
                <c:pt idx="390">
                  <c:v>0.16300259311902143</c:v>
                </c:pt>
                <c:pt idx="391">
                  <c:v>0.16303749283143756</c:v>
                </c:pt>
                <c:pt idx="392">
                  <c:v>0.16307221848081188</c:v>
                </c:pt>
                <c:pt idx="393">
                  <c:v>0.16310677093528736</c:v>
                </c:pt>
                <c:pt idx="394">
                  <c:v>0.16314115105867721</c:v>
                </c:pt>
                <c:pt idx="395">
                  <c:v>0.16317535971048633</c:v>
                </c:pt>
                <c:pt idx="396">
                  <c:v>0.16320939774593274</c:v>
                </c:pt>
                <c:pt idx="397">
                  <c:v>0.16324326601596911</c:v>
                </c:pt>
                <c:pt idx="398">
                  <c:v>0.16327696536730396</c:v>
                </c:pt>
                <c:pt idx="399">
                  <c:v>0.16331049664242286</c:v>
                </c:pt>
                <c:pt idx="400">
                  <c:v>0.16334386067960932</c:v>
                </c:pt>
                <c:pt idx="401">
                  <c:v>0.16337705831296617</c:v>
                </c:pt>
                <c:pt idx="402">
                  <c:v>0.16341009037243598</c:v>
                </c:pt>
                <c:pt idx="403">
                  <c:v>0.1634429576838218</c:v>
                </c:pt>
                <c:pt idx="404">
                  <c:v>0.16347566106880815</c:v>
                </c:pt>
                <c:pt idx="405">
                  <c:v>0.16350820134498151</c:v>
                </c:pt>
                <c:pt idx="406">
                  <c:v>0.16354057932585034</c:v>
                </c:pt>
                <c:pt idx="407">
                  <c:v>0.16357279582086587</c:v>
                </c:pt>
                <c:pt idx="408">
                  <c:v>0.16360485163544214</c:v>
                </c:pt>
                <c:pt idx="409">
                  <c:v>0.16363674757097624</c:v>
                </c:pt>
                <c:pt idx="410">
                  <c:v>0.1636684844248682</c:v>
                </c:pt>
                <c:pt idx="411">
                  <c:v>0.16370006299054105</c:v>
                </c:pt>
                <c:pt idx="412">
                  <c:v>0.16373148405746052</c:v>
                </c:pt>
                <c:pt idx="413">
                  <c:v>0.16376274841115493</c:v>
                </c:pt>
                <c:pt idx="414">
                  <c:v>0.16379385683323477</c:v>
                </c:pt>
                <c:pt idx="415">
                  <c:v>0.1638248101014122</c:v>
                </c:pt>
                <c:pt idx="416">
                  <c:v>0.16385560898952056</c:v>
                </c:pt>
                <c:pt idx="417">
                  <c:v>0.16388625426753362</c:v>
                </c:pt>
                <c:pt idx="418">
                  <c:v>0.16391674670158493</c:v>
                </c:pt>
                <c:pt idx="419">
                  <c:v>0.16394708705398697</c:v>
                </c:pt>
                <c:pt idx="420">
                  <c:v>0.16397727608325008</c:v>
                </c:pt>
                <c:pt idx="421">
                  <c:v>0.16400731454410161</c:v>
                </c:pt>
                <c:pt idx="422">
                  <c:v>0.16403720318750459</c:v>
                </c:pt>
                <c:pt idx="423">
                  <c:v>0.16406694276067674</c:v>
                </c:pt>
                <c:pt idx="424">
                  <c:v>0.16409653400710889</c:v>
                </c:pt>
                <c:pt idx="425">
                  <c:v>0.16412597766658371</c:v>
                </c:pt>
                <c:pt idx="426">
                  <c:v>0.16415527447519426</c:v>
                </c:pt>
                <c:pt idx="427">
                  <c:v>0.1641844251653623</c:v>
                </c:pt>
                <c:pt idx="428">
                  <c:v>0.16421343046585657</c:v>
                </c:pt>
                <c:pt idx="429">
                  <c:v>0.1642422911018111</c:v>
                </c:pt>
                <c:pt idx="430">
                  <c:v>0.1642710077947433</c:v>
                </c:pt>
                <c:pt idx="431">
                  <c:v>0.16429958126257196</c:v>
                </c:pt>
                <c:pt idx="432">
                  <c:v>0.16432801221963533</c:v>
                </c:pt>
                <c:pt idx="433">
                  <c:v>0.16435630137670876</c:v>
                </c:pt>
                <c:pt idx="434">
                  <c:v>0.16438444944102265</c:v>
                </c:pt>
                <c:pt idx="435">
                  <c:v>0.16441245711628008</c:v>
                </c:pt>
                <c:pt idx="436">
                  <c:v>0.16444032510267442</c:v>
                </c:pt>
                <c:pt idx="437">
                  <c:v>0.16446805409690674</c:v>
                </c:pt>
                <c:pt idx="438">
                  <c:v>0.16449564479220335</c:v>
                </c:pt>
                <c:pt idx="439">
                  <c:v>0.16452309787833314</c:v>
                </c:pt>
                <c:pt idx="440">
                  <c:v>0.16455041404162457</c:v>
                </c:pt>
                <c:pt idx="441">
                  <c:v>0.16457759396498325</c:v>
                </c:pt>
                <c:pt idx="442">
                  <c:v>0.16460463832790861</c:v>
                </c:pt>
                <c:pt idx="443">
                  <c:v>0.16463154780651118</c:v>
                </c:pt>
                <c:pt idx="444">
                  <c:v>0.16465832307352929</c:v>
                </c:pt>
                <c:pt idx="445">
                  <c:v>0.16468496479834605</c:v>
                </c:pt>
                <c:pt idx="446">
                  <c:v>0.16471147364700589</c:v>
                </c:pt>
                <c:pt idx="447">
                  <c:v>0.16473785028223153</c:v>
                </c:pt>
                <c:pt idx="448">
                  <c:v>0.16476409536344011</c:v>
                </c:pt>
                <c:pt idx="449">
                  <c:v>0.1647902095467601</c:v>
                </c:pt>
                <c:pt idx="450">
                  <c:v>0.16481619348504739</c:v>
                </c:pt>
                <c:pt idx="451">
                  <c:v>0.16484204782790182</c:v>
                </c:pt>
                <c:pt idx="452">
                  <c:v>0.16486777322168331</c:v>
                </c:pt>
                <c:pt idx="453">
                  <c:v>0.16489337030952805</c:v>
                </c:pt>
                <c:pt idx="454">
                  <c:v>0.16491883973136451</c:v>
                </c:pt>
                <c:pt idx="455">
                  <c:v>0.16494418212392967</c:v>
                </c:pt>
                <c:pt idx="456">
                  <c:v>0.16496939812078459</c:v>
                </c:pt>
                <c:pt idx="457">
                  <c:v>0.16499448835233049</c:v>
                </c:pt>
                <c:pt idx="458">
                  <c:v>0.16501945344582453</c:v>
                </c:pt>
                <c:pt idx="459">
                  <c:v>0.16504429402539528</c:v>
                </c:pt>
                <c:pt idx="460">
                  <c:v>0.16506901071205857</c:v>
                </c:pt>
                <c:pt idx="461">
                  <c:v>0.16509360412373283</c:v>
                </c:pt>
                <c:pt idx="462">
                  <c:v>0.16511807487525465</c:v>
                </c:pt>
                <c:pt idx="463">
                  <c:v>0.16514242357839409</c:v>
                </c:pt>
                <c:pt idx="464">
                  <c:v>0.16516665084186999</c:v>
                </c:pt>
                <c:pt idx="465">
                  <c:v>0.16519075727136517</c:v>
                </c:pt>
                <c:pt idx="466">
                  <c:v>0.16521474346954168</c:v>
                </c:pt>
                <c:pt idx="467">
                  <c:v>0.16523861003605572</c:v>
                </c:pt>
                <c:pt idx="468">
                  <c:v>0.16526235756757263</c:v>
                </c:pt>
                <c:pt idx="469">
                  <c:v>0.16528598665778199</c:v>
                </c:pt>
                <c:pt idx="470">
                  <c:v>0.16530949789741228</c:v>
                </c:pt>
                <c:pt idx="471">
                  <c:v>0.16533289187424571</c:v>
                </c:pt>
                <c:pt idx="472">
                  <c:v>0.16535616917313289</c:v>
                </c:pt>
                <c:pt idx="473">
                  <c:v>0.16537933037600758</c:v>
                </c:pt>
                <c:pt idx="474">
                  <c:v>0.16540237606190097</c:v>
                </c:pt>
                <c:pt idx="475">
                  <c:v>0.16542530680695647</c:v>
                </c:pt>
                <c:pt idx="476">
                  <c:v>0.16544812318444385</c:v>
                </c:pt>
                <c:pt idx="477">
                  <c:v>0.16547082576477379</c:v>
                </c:pt>
                <c:pt idx="478">
                  <c:v>0.16549341511551197</c:v>
                </c:pt>
                <c:pt idx="479">
                  <c:v>0.16551589180139328</c:v>
                </c:pt>
                <c:pt idx="480">
                  <c:v>0.16553825638433611</c:v>
                </c:pt>
                <c:pt idx="481">
                  <c:v>0.16556050942345613</c:v>
                </c:pt>
                <c:pt idx="482">
                  <c:v>0.16558265147508056</c:v>
                </c:pt>
                <c:pt idx="483">
                  <c:v>0.16560468309276177</c:v>
                </c:pt>
                <c:pt idx="484">
                  <c:v>0.16562660482729136</c:v>
                </c:pt>
                <c:pt idx="485">
                  <c:v>0.16564841722671386</c:v>
                </c:pt>
                <c:pt idx="486">
                  <c:v>0.16567012083634042</c:v>
                </c:pt>
                <c:pt idx="487">
                  <c:v>0.16569171619876233</c:v>
                </c:pt>
                <c:pt idx="488">
                  <c:v>0.16571320385386484</c:v>
                </c:pt>
                <c:pt idx="489">
                  <c:v>0.16573458433884042</c:v>
                </c:pt>
                <c:pt idx="490">
                  <c:v>0.16575585818820229</c:v>
                </c:pt>
                <c:pt idx="491">
                  <c:v>0.16577702593379784</c:v>
                </c:pt>
                <c:pt idx="492">
                  <c:v>0.16579808810482177</c:v>
                </c:pt>
                <c:pt idx="493">
                  <c:v>0.1658190452278295</c:v>
                </c:pt>
                <c:pt idx="494">
                  <c:v>0.16583989782675015</c:v>
                </c:pt>
                <c:pt idx="495">
                  <c:v>0.16586064642289983</c:v>
                </c:pt>
                <c:pt idx="496">
                  <c:v>0.16588129153499442</c:v>
                </c:pt>
                <c:pt idx="497">
                  <c:v>0.16590183367916289</c:v>
                </c:pt>
                <c:pt idx="498">
                  <c:v>0.16592227336895993</c:v>
                </c:pt>
                <c:pt idx="499">
                  <c:v>0.16594261111537878</c:v>
                </c:pt>
                <c:pt idx="500">
                  <c:v>0.16596284742686421</c:v>
                </c:pt>
                <c:pt idx="501">
                  <c:v>0.16598298280932505</c:v>
                </c:pt>
                <c:pt idx="502">
                  <c:v>0.1660030177661469</c:v>
                </c:pt>
                <c:pt idx="503">
                  <c:v>0.16602295279820473</c:v>
                </c:pt>
                <c:pt idx="504">
                  <c:v>0.16604278840387535</c:v>
                </c:pt>
                <c:pt idx="505">
                  <c:v>0.16606252507904998</c:v>
                </c:pt>
                <c:pt idx="506">
                  <c:v>0.16608216331714651</c:v>
                </c:pt>
                <c:pt idx="507">
                  <c:v>0.16610170360912191</c:v>
                </c:pt>
                <c:pt idx="508">
                  <c:v>0.16612114644348452</c:v>
                </c:pt>
                <c:pt idx="509">
                  <c:v>0.16614049230630618</c:v>
                </c:pt>
                <c:pt idx="510">
                  <c:v>0.16615974168123449</c:v>
                </c:pt>
                <c:pt idx="511">
                  <c:v>0.16617889504950478</c:v>
                </c:pt>
                <c:pt idx="512">
                  <c:v>0.16619795288995232</c:v>
                </c:pt>
                <c:pt idx="513">
                  <c:v>0.16621691567902408</c:v>
                </c:pt>
                <c:pt idx="514">
                  <c:v>0.1662357838907908</c:v>
                </c:pt>
                <c:pt idx="515">
                  <c:v>0.16625455799695871</c:v>
                </c:pt>
                <c:pt idx="516">
                  <c:v>0.16627323846688147</c:v>
                </c:pt>
                <c:pt idx="517">
                  <c:v>0.16629182576757184</c:v>
                </c:pt>
                <c:pt idx="518">
                  <c:v>0.16631032036371324</c:v>
                </c:pt>
                <c:pt idx="519">
                  <c:v>0.16632872271767152</c:v>
                </c:pt>
                <c:pt idx="520">
                  <c:v>0.16634703328950656</c:v>
                </c:pt>
                <c:pt idx="521">
                  <c:v>0.16636525253698359</c:v>
                </c:pt>
                <c:pt idx="522">
                  <c:v>0.16638338091558474</c:v>
                </c:pt>
                <c:pt idx="523">
                  <c:v>0.16640141887852039</c:v>
                </c:pt>
                <c:pt idx="524">
                  <c:v>0.16641936687674061</c:v>
                </c:pt>
                <c:pt idx="525">
                  <c:v>0.16643722535894623</c:v>
                </c:pt>
                <c:pt idx="526">
                  <c:v>0.16645499477160028</c:v>
                </c:pt>
                <c:pt idx="527">
                  <c:v>0.16647267555893897</c:v>
                </c:pt>
                <c:pt idx="528">
                  <c:v>0.1664902681629829</c:v>
                </c:pt>
                <c:pt idx="529">
                  <c:v>0.16650777302354813</c:v>
                </c:pt>
                <c:pt idx="530">
                  <c:v>0.1665251905782571</c:v>
                </c:pt>
                <c:pt idx="531">
                  <c:v>0.16654252126254948</c:v>
                </c:pt>
                <c:pt idx="532">
                  <c:v>0.16655976550969337</c:v>
                </c:pt>
                <c:pt idx="533">
                  <c:v>0.16657692375079583</c:v>
                </c:pt>
                <c:pt idx="534">
                  <c:v>0.16659399641481376</c:v>
                </c:pt>
                <c:pt idx="535">
                  <c:v>0.16661098392856469</c:v>
                </c:pt>
                <c:pt idx="536">
                  <c:v>0.16662788671673731</c:v>
                </c:pt>
                <c:pt idx="537">
                  <c:v>0.16664470520190222</c:v>
                </c:pt>
                <c:pt idx="538">
                  <c:v>0.16666143980452242</c:v>
                </c:pt>
                <c:pt idx="539">
                  <c:v>0.16667809094296382</c:v>
                </c:pt>
                <c:pt idx="540">
                  <c:v>0.16669465903350583</c:v>
                </c:pt>
                <c:pt idx="541">
                  <c:v>0.16671114449035149</c:v>
                </c:pt>
                <c:pt idx="542">
                  <c:v>0.16672754772563814</c:v>
                </c:pt>
                <c:pt idx="543">
                  <c:v>0.16674386914944744</c:v>
                </c:pt>
                <c:pt idx="544">
                  <c:v>0.16676010916981593</c:v>
                </c:pt>
                <c:pt idx="545">
                  <c:v>0.16677626819274494</c:v>
                </c:pt>
                <c:pt idx="546">
                  <c:v>0.16679234662221082</c:v>
                </c:pt>
                <c:pt idx="547">
                  <c:v>0.16680834486017521</c:v>
                </c:pt>
                <c:pt idx="548">
                  <c:v>0.16682426330659486</c:v>
                </c:pt>
                <c:pt idx="549">
                  <c:v>0.16684010235943178</c:v>
                </c:pt>
                <c:pt idx="550">
                  <c:v>0.1668558624146631</c:v>
                </c:pt>
                <c:pt idx="551">
                  <c:v>0.16687154386629105</c:v>
                </c:pt>
                <c:pt idx="552">
                  <c:v>0.16688714710635272</c:v>
                </c:pt>
                <c:pt idx="553">
                  <c:v>0.16690267252492988</c:v>
                </c:pt>
                <c:pt idx="554">
                  <c:v>0.16691812051015886</c:v>
                </c:pt>
                <c:pt idx="555">
                  <c:v>0.1669334914482401</c:v>
                </c:pt>
                <c:pt idx="556">
                  <c:v>0.16694878572344782</c:v>
                </c:pt>
                <c:pt idx="557">
                  <c:v>0.16696400371813971</c:v>
                </c:pt>
                <c:pt idx="558">
                  <c:v>0.16697914581276643</c:v>
                </c:pt>
                <c:pt idx="559">
                  <c:v>0.16699421238588114</c:v>
                </c:pt>
                <c:pt idx="560">
                  <c:v>0.16700920381414891</c:v>
                </c:pt>
                <c:pt idx="561">
                  <c:v>0.16702412047235632</c:v>
                </c:pt>
                <c:pt idx="562">
                  <c:v>0.1670389627334205</c:v>
                </c:pt>
                <c:pt idx="563">
                  <c:v>0.16705373096839882</c:v>
                </c:pt>
                <c:pt idx="564">
                  <c:v>0.16706842554649787</c:v>
                </c:pt>
                <c:pt idx="565">
                  <c:v>0.1670830468350829</c:v>
                </c:pt>
                <c:pt idx="566">
                  <c:v>0.16709759519968692</c:v>
                </c:pt>
                <c:pt idx="567">
                  <c:v>0.16711207100401973</c:v>
                </c:pt>
                <c:pt idx="568">
                  <c:v>0.16712647460997723</c:v>
                </c:pt>
                <c:pt idx="569">
                  <c:v>0.16714080637765033</c:v>
                </c:pt>
                <c:pt idx="570">
                  <c:v>0.16715506666533395</c:v>
                </c:pt>
                <c:pt idx="571">
                  <c:v>0.16716925582953601</c:v>
                </c:pt>
                <c:pt idx="572">
                  <c:v>0.16718337422498641</c:v>
                </c:pt>
                <c:pt idx="573">
                  <c:v>0.16719742220464573</c:v>
                </c:pt>
                <c:pt idx="574">
                  <c:v>0.16721140011971419</c:v>
                </c:pt>
                <c:pt idx="575">
                  <c:v>0.16722530831964039</c:v>
                </c:pt>
                <c:pt idx="576">
                  <c:v>0.16723914715213006</c:v>
                </c:pt>
                <c:pt idx="577">
                  <c:v>0.16725291696315475</c:v>
                </c:pt>
                <c:pt idx="578">
                  <c:v>0.16726661809696047</c:v>
                </c:pt>
                <c:pt idx="579">
                  <c:v>0.16728025089607623</c:v>
                </c:pt>
                <c:pt idx="580">
                  <c:v>0.16729381570132273</c:v>
                </c:pt>
                <c:pt idx="581">
                  <c:v>0.16730731285182082</c:v>
                </c:pt>
                <c:pt idx="582">
                  <c:v>0.16732074268499994</c:v>
                </c:pt>
                <c:pt idx="583">
                  <c:v>0.16733410553660666</c:v>
                </c:pt>
                <c:pt idx="584">
                  <c:v>0.16734740174071294</c:v>
                </c:pt>
                <c:pt idx="585">
                  <c:v>0.16736063162972459</c:v>
                </c:pt>
                <c:pt idx="586">
                  <c:v>0.16737379553438952</c:v>
                </c:pt>
                <c:pt idx="587">
                  <c:v>0.16738689378380603</c:v>
                </c:pt>
                <c:pt idx="588">
                  <c:v>0.16739992670543102</c:v>
                </c:pt>
                <c:pt idx="589">
                  <c:v>0.16741289462508824</c:v>
                </c:pt>
                <c:pt idx="590">
                  <c:v>0.16742579786697634</c:v>
                </c:pt>
                <c:pt idx="591">
                  <c:v>0.16743863675367701</c:v>
                </c:pt>
                <c:pt idx="592">
                  <c:v>0.16745141160616314</c:v>
                </c:pt>
                <c:pt idx="593">
                  <c:v>0.16746412274380668</c:v>
                </c:pt>
                <c:pt idx="594">
                  <c:v>0.16747677048438675</c:v>
                </c:pt>
                <c:pt idx="595">
                  <c:v>0.16748935514409752</c:v>
                </c:pt>
                <c:pt idx="596">
                  <c:v>0.16750187703755612</c:v>
                </c:pt>
                <c:pt idx="597">
                  <c:v>0.16751433647781055</c:v>
                </c:pt>
                <c:pt idx="598">
                  <c:v>0.16752673377634747</c:v>
                </c:pt>
                <c:pt idx="599">
                  <c:v>0.16753906924309997</c:v>
                </c:pt>
                <c:pt idx="600">
                  <c:v>0.16755134318645537</c:v>
                </c:pt>
                <c:pt idx="601">
                  <c:v>0.16756355591326288</c:v>
                </c:pt>
                <c:pt idx="602">
                  <c:v>0.16757570772884137</c:v>
                </c:pt>
                <c:pt idx="603">
                  <c:v>0.16758779893698678</c:v>
                </c:pt>
                <c:pt idx="604">
                  <c:v>0.16759982983998001</c:v>
                </c:pt>
                <c:pt idx="605">
                  <c:v>0.16761180073859422</c:v>
                </c:pt>
                <c:pt idx="606">
                  <c:v>0.16762371193210249</c:v>
                </c:pt>
                <c:pt idx="607">
                  <c:v>0.16763556371828531</c:v>
                </c:pt>
                <c:pt idx="608">
                  <c:v>0.16764735639343792</c:v>
                </c:pt>
                <c:pt idx="609">
                  <c:v>0.16765909025237785</c:v>
                </c:pt>
                <c:pt idx="610">
                  <c:v>0.16767076558845218</c:v>
                </c:pt>
                <c:pt idx="611">
                  <c:v>0.16768238269354491</c:v>
                </c:pt>
                <c:pt idx="612">
                  <c:v>0.16769394185808423</c:v>
                </c:pt>
                <c:pt idx="613">
                  <c:v>0.16770544337104992</c:v>
                </c:pt>
                <c:pt idx="614">
                  <c:v>0.16771688751998037</c:v>
                </c:pt>
                <c:pt idx="615">
                  <c:v>0.16772827459097994</c:v>
                </c:pt>
                <c:pt idx="616">
                  <c:v>0.16773960486872594</c:v>
                </c:pt>
                <c:pt idx="617">
                  <c:v>0.16775087863647592</c:v>
                </c:pt>
                <c:pt idx="618">
                  <c:v>0.16776209617607468</c:v>
                </c:pt>
                <c:pt idx="619">
                  <c:v>0.16777325776796129</c:v>
                </c:pt>
                <c:pt idx="620">
                  <c:v>0.16778436369117611</c:v>
                </c:pt>
                <c:pt idx="621">
                  <c:v>0.16779541422336783</c:v>
                </c:pt>
                <c:pt idx="622">
                  <c:v>0.16780640964080029</c:v>
                </c:pt>
                <c:pt idx="623">
                  <c:v>0.16781735021835953</c:v>
                </c:pt>
                <c:pt idx="624">
                  <c:v>0.16782823622956056</c:v>
                </c:pt>
                <c:pt idx="625">
                  <c:v>0.16783906794655418</c:v>
                </c:pt>
                <c:pt idx="626">
                  <c:v>0.16784984564013394</c:v>
                </c:pt>
                <c:pt idx="627">
                  <c:v>0.16786056957974274</c:v>
                </c:pt>
                <c:pt idx="628">
                  <c:v>0.16787124003347959</c:v>
                </c:pt>
                <c:pt idx="629">
                  <c:v>0.16788185726810639</c:v>
                </c:pt>
                <c:pt idx="630">
                  <c:v>0.16789242154905457</c:v>
                </c:pt>
                <c:pt idx="631">
                  <c:v>0.1679029331404317</c:v>
                </c:pt>
                <c:pt idx="632">
                  <c:v>0.16791339230502816</c:v>
                </c:pt>
                <c:pt idx="633">
                  <c:v>0.16792379930432352</c:v>
                </c:pt>
                <c:pt idx="634">
                  <c:v>0.16793415439849338</c:v>
                </c:pt>
                <c:pt idx="635">
                  <c:v>0.1679444578464156</c:v>
                </c:pt>
                <c:pt idx="636">
                  <c:v>0.16795470990567693</c:v>
                </c:pt>
                <c:pt idx="637">
                  <c:v>0.16796491083257936</c:v>
                </c:pt>
                <c:pt idx="638">
                  <c:v>0.16797506088214662</c:v>
                </c:pt>
                <c:pt idx="639">
                  <c:v>0.16798516030813046</c:v>
                </c:pt>
                <c:pt idx="640">
                  <c:v>0.16799520936301707</c:v>
                </c:pt>
                <c:pt idx="641">
                  <c:v>0.16800520829803334</c:v>
                </c:pt>
                <c:pt idx="642">
                  <c:v>0.16801515736315314</c:v>
                </c:pt>
                <c:pt idx="643">
                  <c:v>0.16802505680710367</c:v>
                </c:pt>
                <c:pt idx="644">
                  <c:v>0.16803490687737155</c:v>
                </c:pt>
                <c:pt idx="645">
                  <c:v>0.16804470782020897</c:v>
                </c:pt>
                <c:pt idx="646">
                  <c:v>0.16805445988064005</c:v>
                </c:pt>
                <c:pt idx="647">
                  <c:v>0.16806416330246682</c:v>
                </c:pt>
                <c:pt idx="648">
                  <c:v>0.16807381832827534</c:v>
                </c:pt>
                <c:pt idx="649">
                  <c:v>0.16808342519944175</c:v>
                </c:pt>
                <c:pt idx="650">
                  <c:v>0.16809298415613833</c:v>
                </c:pt>
                <c:pt idx="651">
                  <c:v>0.16810249543733946</c:v>
                </c:pt>
                <c:pt idx="652">
                  <c:v>0.1681119592808277</c:v>
                </c:pt>
                <c:pt idx="653">
                  <c:v>0.16812137592319965</c:v>
                </c:pt>
                <c:pt idx="654">
                  <c:v>0.16813074559987179</c:v>
                </c:pt>
                <c:pt idx="655">
                  <c:v>0.16814006854508662</c:v>
                </c:pt>
                <c:pt idx="656">
                  <c:v>0.16814934499191819</c:v>
                </c:pt>
                <c:pt idx="657">
                  <c:v>0.16815857517227817</c:v>
                </c:pt>
                <c:pt idx="658">
                  <c:v>0.16816775931692152</c:v>
                </c:pt>
                <c:pt idx="659">
                  <c:v>0.16817689765545241</c:v>
                </c:pt>
                <c:pt idx="660">
                  <c:v>0.1681859904163297</c:v>
                </c:pt>
                <c:pt idx="661">
                  <c:v>0.16819503782687295</c:v>
                </c:pt>
                <c:pt idx="662">
                  <c:v>0.16820404011326784</c:v>
                </c:pt>
                <c:pt idx="663">
                  <c:v>0.168212997500572</c:v>
                </c:pt>
                <c:pt idx="664">
                  <c:v>0.16822191021272065</c:v>
                </c:pt>
                <c:pt idx="665">
                  <c:v>0.16823077847253198</c:v>
                </c:pt>
                <c:pt idx="666">
                  <c:v>0.16823960250171296</c:v>
                </c:pt>
                <c:pt idx="667">
                  <c:v>0.16824838252086483</c:v>
                </c:pt>
                <c:pt idx="668">
                  <c:v>0.16825711874948845</c:v>
                </c:pt>
                <c:pt idx="669">
                  <c:v>0.16826581140599009</c:v>
                </c:pt>
                <c:pt idx="670">
                  <c:v>0.16827446070768654</c:v>
                </c:pt>
                <c:pt idx="671">
                  <c:v>0.16828306687081079</c:v>
                </c:pt>
                <c:pt idx="672">
                  <c:v>0.1682916301105174</c:v>
                </c:pt>
                <c:pt idx="673">
                  <c:v>0.16830015064088777</c:v>
                </c:pt>
                <c:pt idx="674">
                  <c:v>0.16830862867493565</c:v>
                </c:pt>
                <c:pt idx="675">
                  <c:v>0.16831706442461231</c:v>
                </c:pt>
                <c:pt idx="676">
                  <c:v>0.16832545810081193</c:v>
                </c:pt>
                <c:pt idx="677">
                  <c:v>0.16833380991337688</c:v>
                </c:pt>
                <c:pt idx="678">
                  <c:v>0.16834212007110283</c:v>
                </c:pt>
                <c:pt idx="679">
                  <c:v>0.16835038878174424</c:v>
                </c:pt>
                <c:pt idx="680">
                  <c:v>0.16835861625201928</c:v>
                </c:pt>
                <c:pt idx="681">
                  <c:v>0.16836680268761511</c:v>
                </c:pt>
                <c:pt idx="682">
                  <c:v>0.16837494829319311</c:v>
                </c:pt>
                <c:pt idx="683">
                  <c:v>0.16838305327239378</c:v>
                </c:pt>
                <c:pt idx="684">
                  <c:v>0.16839111782784202</c:v>
                </c:pt>
                <c:pt idx="685">
                  <c:v>0.16839914216115218</c:v>
                </c:pt>
                <c:pt idx="686">
                  <c:v>0.16840712647293299</c:v>
                </c:pt>
                <c:pt idx="687">
                  <c:v>0.16841507096279265</c:v>
                </c:pt>
                <c:pt idx="688">
                  <c:v>0.16842297582934385</c:v>
                </c:pt>
                <c:pt idx="689">
                  <c:v>0.16843084127020863</c:v>
                </c:pt>
                <c:pt idx="690">
                  <c:v>0.16843866748202346</c:v>
                </c:pt>
                <c:pt idx="691">
                  <c:v>0.168446454660444</c:v>
                </c:pt>
                <c:pt idx="692">
                  <c:v>0.16845420300015015</c:v>
                </c:pt>
                <c:pt idx="693">
                  <c:v>0.16846191269485078</c:v>
                </c:pt>
                <c:pt idx="694">
                  <c:v>0.1684695839372887</c:v>
                </c:pt>
                <c:pt idx="695">
                  <c:v>0.16847721691924533</c:v>
                </c:pt>
                <c:pt idx="696">
                  <c:v>0.16848481183154562</c:v>
                </c:pt>
                <c:pt idx="697">
                  <c:v>0.16849236886406277</c:v>
                </c:pt>
                <c:pt idx="698">
                  <c:v>0.16849988820572304</c:v>
                </c:pt>
                <c:pt idx="699">
                  <c:v>0.16850737004451027</c:v>
                </c:pt>
                <c:pt idx="700">
                  <c:v>0.16851481456747092</c:v>
                </c:pt>
                <c:pt idx="701">
                  <c:v>0.16852222196071839</c:v>
                </c:pt>
                <c:pt idx="702">
                  <c:v>0.16852959240943791</c:v>
                </c:pt>
                <c:pt idx="703">
                  <c:v>0.16853692609789106</c:v>
                </c:pt>
                <c:pt idx="704">
                  <c:v>0.16854422320942047</c:v>
                </c:pt>
                <c:pt idx="705">
                  <c:v>0.1685514839264543</c:v>
                </c:pt>
                <c:pt idx="706">
                  <c:v>0.16855870843051085</c:v>
                </c:pt>
                <c:pt idx="707">
                  <c:v>0.16856589690220308</c:v>
                </c:pt>
                <c:pt idx="708">
                  <c:v>0.16857304952124319</c:v>
                </c:pt>
                <c:pt idx="709">
                  <c:v>0.168580166466447</c:v>
                </c:pt>
                <c:pt idx="710">
                  <c:v>0.16858724791573854</c:v>
                </c:pt>
                <c:pt idx="711">
                  <c:v>0.16859429404615436</c:v>
                </c:pt>
                <c:pt idx="712">
                  <c:v>0.16860130503384813</c:v>
                </c:pt>
                <c:pt idx="713">
                  <c:v>0.16860828105409492</c:v>
                </c:pt>
                <c:pt idx="714">
                  <c:v>0.16861522228129555</c:v>
                </c:pt>
                <c:pt idx="715">
                  <c:v>0.16862212888898109</c:v>
                </c:pt>
                <c:pt idx="716">
                  <c:v>0.1686290010498171</c:v>
                </c:pt>
                <c:pt idx="717">
                  <c:v>0.16863583893560796</c:v>
                </c:pt>
                <c:pt idx="718">
                  <c:v>0.16864264271730114</c:v>
                </c:pt>
                <c:pt idx="719">
                  <c:v>0.16864941256499155</c:v>
                </c:pt>
                <c:pt idx="720">
                  <c:v>0.16865614864792577</c:v>
                </c:pt>
                <c:pt idx="721">
                  <c:v>0.16866285113450619</c:v>
                </c:pt>
                <c:pt idx="722">
                  <c:v>0.16866952019229531</c:v>
                </c:pt>
                <c:pt idx="723">
                  <c:v>0.16867615598801994</c:v>
                </c:pt>
                <c:pt idx="724">
                  <c:v>0.16868275868757535</c:v>
                </c:pt>
                <c:pt idx="725">
                  <c:v>0.16868932845602932</c:v>
                </c:pt>
                <c:pt idx="726">
                  <c:v>0.16869586545762644</c:v>
                </c:pt>
                <c:pt idx="727">
                  <c:v>0.16870236985579207</c:v>
                </c:pt>
                <c:pt idx="728">
                  <c:v>0.1687088418131365</c:v>
                </c:pt>
                <c:pt idx="729">
                  <c:v>0.16871528149145903</c:v>
                </c:pt>
                <c:pt idx="730">
                  <c:v>0.16872168905175194</c:v>
                </c:pt>
                <c:pt idx="731">
                  <c:v>0.16872806465420453</c:v>
                </c:pt>
                <c:pt idx="732">
                  <c:v>0.16873440845820725</c:v>
                </c:pt>
                <c:pt idx="733">
                  <c:v>0.16874072062235551</c:v>
                </c:pt>
                <c:pt idx="734">
                  <c:v>0.16874700130445375</c:v>
                </c:pt>
                <c:pt idx="735">
                  <c:v>0.16875325066151931</c:v>
                </c:pt>
                <c:pt idx="736">
                  <c:v>0.16875946884978649</c:v>
                </c:pt>
                <c:pt idx="737">
                  <c:v>0.16876565602471033</c:v>
                </c:pt>
                <c:pt idx="738">
                  <c:v>0.16877181234097044</c:v>
                </c:pt>
                <c:pt idx="739">
                  <c:v>0.16877793795247514</c:v>
                </c:pt>
                <c:pt idx="740">
                  <c:v>0.16878403301236503</c:v>
                </c:pt>
                <c:pt idx="741">
                  <c:v>0.16879009767301686</c:v>
                </c:pt>
                <c:pt idx="742">
                  <c:v>0.16879613208604752</c:v>
                </c:pt>
                <c:pt idx="743">
                  <c:v>0.16880213640231762</c:v>
                </c:pt>
                <c:pt idx="744">
                  <c:v>0.16880811077193539</c:v>
                </c:pt>
                <c:pt idx="745">
                  <c:v>0.16881405534426036</c:v>
                </c:pt>
                <c:pt idx="746">
                  <c:v>0.16881997026790718</c:v>
                </c:pt>
                <c:pt idx="747">
                  <c:v>0.16882585569074926</c:v>
                </c:pt>
                <c:pt idx="748">
                  <c:v>0.16883171175992245</c:v>
                </c:pt>
                <c:pt idx="749">
                  <c:v>0.16883753862182876</c:v>
                </c:pt>
                <c:pt idx="750">
                  <c:v>0.16884333642214011</c:v>
                </c:pt>
                <c:pt idx="751">
                  <c:v>0.16884910530580177</c:v>
                </c:pt>
                <c:pt idx="752">
                  <c:v>0.1688548454170361</c:v>
                </c:pt>
                <c:pt idx="753">
                  <c:v>0.16886055689934623</c:v>
                </c:pt>
                <c:pt idx="754">
                  <c:v>0.16886623989551949</c:v>
                </c:pt>
                <c:pt idx="755">
                  <c:v>0.1688718945476311</c:v>
                </c:pt>
                <c:pt idx="756">
                  <c:v>0.16887752099704761</c:v>
                </c:pt>
                <c:pt idx="757">
                  <c:v>0.16888311938443062</c:v>
                </c:pt>
                <c:pt idx="758">
                  <c:v>0.16888868984974009</c:v>
                </c:pt>
                <c:pt idx="759">
                  <c:v>0.1688942325322379</c:v>
                </c:pt>
                <c:pt idx="760">
                  <c:v>0.16889974757049142</c:v>
                </c:pt>
                <c:pt idx="761">
                  <c:v>0.16890523510237687</c:v>
                </c:pt>
                <c:pt idx="762">
                  <c:v>0.1689106952650829</c:v>
                </c:pt>
                <c:pt idx="763">
                  <c:v>0.16891612819511381</c:v>
                </c:pt>
                <c:pt idx="764">
                  <c:v>0.16892153402829313</c:v>
                </c:pt>
                <c:pt idx="765">
                  <c:v>0.16892691289976702</c:v>
                </c:pt>
                <c:pt idx="766">
                  <c:v>0.16893226494400748</c:v>
                </c:pt>
                <c:pt idx="767">
                  <c:v>0.16893759029481595</c:v>
                </c:pt>
                <c:pt idx="768">
                  <c:v>0.16894288908532645</c:v>
                </c:pt>
                <c:pt idx="769">
                  <c:v>0.16894816144800903</c:v>
                </c:pt>
                <c:pt idx="770">
                  <c:v>0.16895340751467303</c:v>
                </c:pt>
                <c:pt idx="771">
                  <c:v>0.16895862741647039</c:v>
                </c:pt>
                <c:pt idx="772">
                  <c:v>0.16896382128389892</c:v>
                </c:pt>
                <c:pt idx="773">
                  <c:v>0.16896898924680553</c:v>
                </c:pt>
                <c:pt idx="774">
                  <c:v>0.16897413143438966</c:v>
                </c:pt>
                <c:pt idx="775">
                  <c:v>0.16897924797520625</c:v>
                </c:pt>
                <c:pt idx="776">
                  <c:v>0.168984338997169</c:v>
                </c:pt>
                <c:pt idx="777">
                  <c:v>0.1689894046275538</c:v>
                </c:pt>
                <c:pt idx="778">
                  <c:v>0.16899444499300165</c:v>
                </c:pt>
                <c:pt idx="779">
                  <c:v>0.16899946021952195</c:v>
                </c:pt>
                <c:pt idx="780">
                  <c:v>0.16900445043249562</c:v>
                </c:pt>
                <c:pt idx="781">
                  <c:v>0.16900941575667827</c:v>
                </c:pt>
                <c:pt idx="782">
                  <c:v>0.16901435631620326</c:v>
                </c:pt>
                <c:pt idx="783">
                  <c:v>0.16901927223458479</c:v>
                </c:pt>
                <c:pt idx="784">
                  <c:v>0.16902416363472111</c:v>
                </c:pt>
                <c:pt idx="785">
                  <c:v>0.16902903063889746</c:v>
                </c:pt>
                <c:pt idx="786">
                  <c:v>0.16903387336878925</c:v>
                </c:pt>
                <c:pt idx="787">
                  <c:v>0.16903869194546489</c:v>
                </c:pt>
                <c:pt idx="788">
                  <c:v>0.16904348648938916</c:v>
                </c:pt>
                <c:pt idx="789">
                  <c:v>0.16904825712042582</c:v>
                </c:pt>
                <c:pt idx="790">
                  <c:v>0.1690530039578409</c:v>
                </c:pt>
                <c:pt idx="791">
                  <c:v>0.16905772712030559</c:v>
                </c:pt>
                <c:pt idx="792">
                  <c:v>0.16906242672589927</c:v>
                </c:pt>
                <c:pt idx="793">
                  <c:v>0.16906710289211221</c:v>
                </c:pt>
                <c:pt idx="794">
                  <c:v>0.1690717557358489</c:v>
                </c:pt>
                <c:pt idx="795">
                  <c:v>0.16907638537343062</c:v>
                </c:pt>
                <c:pt idx="796">
                  <c:v>0.16908099192059858</c:v>
                </c:pt>
                <c:pt idx="797">
                  <c:v>0.16908557549251668</c:v>
                </c:pt>
                <c:pt idx="798">
                  <c:v>0.1690901362037745</c:v>
                </c:pt>
                <c:pt idx="799">
                  <c:v>0.16909467416838997</c:v>
                </c:pt>
                <c:pt idx="800">
                  <c:v>0.16909918949981254</c:v>
                </c:pt>
                <c:pt idx="801">
                  <c:v>0.16910368231092568</c:v>
                </c:pt>
                <c:pt idx="802">
                  <c:v>0.16910815271404989</c:v>
                </c:pt>
                <c:pt idx="803">
                  <c:v>0.16911260082094554</c:v>
                </c:pt>
                <c:pt idx="804">
                  <c:v>0.16911702674281545</c:v>
                </c:pt>
                <c:pt idx="805">
                  <c:v>0.16912143059030799</c:v>
                </c:pt>
                <c:pt idx="806">
                  <c:v>0.16912581247351949</c:v>
                </c:pt>
                <c:pt idx="807">
                  <c:v>0.1691301725019973</c:v>
                </c:pt>
                <c:pt idx="808">
                  <c:v>0.16913451078474237</c:v>
                </c:pt>
                <c:pt idx="809">
                  <c:v>0.16913882743021197</c:v>
                </c:pt>
                <c:pt idx="810">
                  <c:v>0.16914312254632247</c:v>
                </c:pt>
                <c:pt idx="811">
                  <c:v>0.169147396240452</c:v>
                </c:pt>
                <c:pt idx="812">
                  <c:v>0.16915164861944315</c:v>
                </c:pt>
                <c:pt idx="813">
                  <c:v>0.16915587978960561</c:v>
                </c:pt>
                <c:pt idx="814">
                  <c:v>0.16916008985671882</c:v>
                </c:pt>
                <c:pt idx="815">
                  <c:v>0.16916427892603469</c:v>
                </c:pt>
                <c:pt idx="816">
                  <c:v>0.16916844710228024</c:v>
                </c:pt>
                <c:pt idx="817">
                  <c:v>0.16917259448965999</c:v>
                </c:pt>
                <c:pt idx="818">
                  <c:v>0.16917672119185889</c:v>
                </c:pt>
                <c:pt idx="819">
                  <c:v>0.16918082731204473</c:v>
                </c:pt>
                <c:pt idx="820">
                  <c:v>0.16918491295287069</c:v>
                </c:pt>
                <c:pt idx="821">
                  <c:v>0.16918897821647805</c:v>
                </c:pt>
                <c:pt idx="822">
                  <c:v>0.16919302320449853</c:v>
                </c:pt>
                <c:pt idx="823">
                  <c:v>0.16919704801805713</c:v>
                </c:pt>
                <c:pt idx="824">
                  <c:v>0.16920105275777433</c:v>
                </c:pt>
                <c:pt idx="825">
                  <c:v>0.16920503752376886</c:v>
                </c:pt>
                <c:pt idx="826">
                  <c:v>0.16920900241566011</c:v>
                </c:pt>
                <c:pt idx="827">
                  <c:v>0.16921294753257055</c:v>
                </c:pt>
                <c:pt idx="828">
                  <c:v>0.16921687297312832</c:v>
                </c:pt>
                <c:pt idx="829">
                  <c:v>0.1692207788354696</c:v>
                </c:pt>
                <c:pt idx="830">
                  <c:v>0.16922466521724122</c:v>
                </c:pt>
                <c:pt idx="831">
                  <c:v>0.16922853221560286</c:v>
                </c:pt>
                <c:pt idx="832">
                  <c:v>0.16923237992722973</c:v>
                </c:pt>
                <c:pt idx="833">
                  <c:v>0.16923620844831477</c:v>
                </c:pt>
                <c:pt idx="834">
                  <c:v>0.16924001787457124</c:v>
                </c:pt>
                <c:pt idx="835">
                  <c:v>0.16924380830123503</c:v>
                </c:pt>
                <c:pt idx="836">
                  <c:v>0.16924757982306693</c:v>
                </c:pt>
                <c:pt idx="837">
                  <c:v>0.1692513325343552</c:v>
                </c:pt>
                <c:pt idx="838">
                  <c:v>0.16925506652891789</c:v>
                </c:pt>
                <c:pt idx="839">
                  <c:v>0.16925878190010496</c:v>
                </c:pt>
                <c:pt idx="840">
                  <c:v>0.16926247874080097</c:v>
                </c:pt>
                <c:pt idx="841">
                  <c:v>0.16926615714342708</c:v>
                </c:pt>
                <c:pt idx="842">
                  <c:v>0.16926981719994352</c:v>
                </c:pt>
                <c:pt idx="843">
                  <c:v>0.16927345900185195</c:v>
                </c:pt>
                <c:pt idx="844">
                  <c:v>0.16927708264019758</c:v>
                </c:pt>
                <c:pt idx="845">
                  <c:v>0.16928068820557157</c:v>
                </c:pt>
                <c:pt idx="846">
                  <c:v>0.16928427578811323</c:v>
                </c:pt>
                <c:pt idx="847">
                  <c:v>0.1692878454775123</c:v>
                </c:pt>
                <c:pt idx="848">
                  <c:v>0.16929139736301124</c:v>
                </c:pt>
                <c:pt idx="849">
                  <c:v>0.16929493153340736</c:v>
                </c:pt>
                <c:pt idx="850">
                  <c:v>0.16929844807705507</c:v>
                </c:pt>
                <c:pt idx="851">
                  <c:v>0.16930194708186816</c:v>
                </c:pt>
                <c:pt idx="852">
                  <c:v>0.16930542863532194</c:v>
                </c:pt>
                <c:pt idx="853">
                  <c:v>0.16930889282445544</c:v>
                </c:pt>
                <c:pt idx="854">
                  <c:v>0.16931233973587356</c:v>
                </c:pt>
                <c:pt idx="855">
                  <c:v>0.16931576945574928</c:v>
                </c:pt>
                <c:pt idx="856">
                  <c:v>0.16931918206982571</c:v>
                </c:pt>
                <c:pt idx="857">
                  <c:v>0.16932257766341846</c:v>
                </c:pt>
                <c:pt idx="858">
                  <c:v>0.1693259563214175</c:v>
                </c:pt>
                <c:pt idx="859">
                  <c:v>0.16932931812828947</c:v>
                </c:pt>
                <c:pt idx="860">
                  <c:v>0.16933266316807971</c:v>
                </c:pt>
                <c:pt idx="861">
                  <c:v>0.16933599152441442</c:v>
                </c:pt>
                <c:pt idx="862">
                  <c:v>0.16933930328050262</c:v>
                </c:pt>
                <c:pt idx="863">
                  <c:v>0.16934259851913847</c:v>
                </c:pt>
                <c:pt idx="864">
                  <c:v>0.16934587732270301</c:v>
                </c:pt>
                <c:pt idx="865">
                  <c:v>0.16934913977316657</c:v>
                </c:pt>
                <c:pt idx="866">
                  <c:v>0.16935238595209057</c:v>
                </c:pt>
                <c:pt idx="867">
                  <c:v>0.16935561594062959</c:v>
                </c:pt>
                <c:pt idx="868">
                  <c:v>0.16935882981953362</c:v>
                </c:pt>
                <c:pt idx="869">
                  <c:v>0.16936202766914973</c:v>
                </c:pt>
                <c:pt idx="870">
                  <c:v>0.16936520956942436</c:v>
                </c:pt>
                <c:pt idx="871">
                  <c:v>0.16936837559990511</c:v>
                </c:pt>
                <c:pt idx="872">
                  <c:v>0.16937152583974299</c:v>
                </c:pt>
                <c:pt idx="873">
                  <c:v>0.16937466036769414</c:v>
                </c:pt>
                <c:pt idx="874">
                  <c:v>0.16937777926212189</c:v>
                </c:pt>
                <c:pt idx="875">
                  <c:v>0.16938088260099882</c:v>
                </c:pt>
                <c:pt idx="876">
                  <c:v>0.16938397046190851</c:v>
                </c:pt>
                <c:pt idx="877">
                  <c:v>0.16938704292204765</c:v>
                </c:pt>
                <c:pt idx="878">
                  <c:v>0.16939010005822794</c:v>
                </c:pt>
                <c:pt idx="879">
                  <c:v>0.16939314194687791</c:v>
                </c:pt>
                <c:pt idx="880">
                  <c:v>0.16939616866404494</c:v>
                </c:pt>
                <c:pt idx="881">
                  <c:v>0.16939918028539713</c:v>
                </c:pt>
                <c:pt idx="882">
                  <c:v>0.16940217688622516</c:v>
                </c:pt>
                <c:pt idx="883">
                  <c:v>0.16940515854144422</c:v>
                </c:pt>
                <c:pt idx="884">
                  <c:v>0.16940812532559579</c:v>
                </c:pt>
                <c:pt idx="885">
                  <c:v>0.16941107731284971</c:v>
                </c:pt>
                <c:pt idx="886">
                  <c:v>0.16941401457700578</c:v>
                </c:pt>
                <c:pt idx="887">
                  <c:v>0.16941693719149575</c:v>
                </c:pt>
                <c:pt idx="888">
                  <c:v>0.16941984522938514</c:v>
                </c:pt>
                <c:pt idx="889">
                  <c:v>0.16942273876337505</c:v>
                </c:pt>
                <c:pt idx="890">
                  <c:v>0.16942561786580396</c:v>
                </c:pt>
                <c:pt idx="891">
                  <c:v>0.16942848260864962</c:v>
                </c:pt>
                <c:pt idx="892">
                  <c:v>0.16943133306353075</c:v>
                </c:pt>
                <c:pt idx="893">
                  <c:v>0.16943416930170879</c:v>
                </c:pt>
                <c:pt idx="894">
                  <c:v>0.16943699139408996</c:v>
                </c:pt>
                <c:pt idx="895">
                  <c:v>0.16943979941122661</c:v>
                </c:pt>
                <c:pt idx="896">
                  <c:v>0.16944259342331941</c:v>
                </c:pt>
                <c:pt idx="897">
                  <c:v>0.16944537350021874</c:v>
                </c:pt>
                <c:pt idx="898">
                  <c:v>0.16944813971142669</c:v>
                </c:pt>
                <c:pt idx="899">
                  <c:v>0.16945089212609868</c:v>
                </c:pt>
                <c:pt idx="900">
                  <c:v>0.16945363081304521</c:v>
                </c:pt>
                <c:pt idx="901">
                  <c:v>0.16945635584073365</c:v>
                </c:pt>
                <c:pt idx="902">
                  <c:v>0.16945906727728977</c:v>
                </c:pt>
                <c:pt idx="903">
                  <c:v>0.16946176519049963</c:v>
                </c:pt>
                <c:pt idx="904">
                  <c:v>0.16946444964781124</c:v>
                </c:pt>
                <c:pt idx="905">
                  <c:v>0.16946712071633613</c:v>
                </c:pt>
                <c:pt idx="906">
                  <c:v>0.16946977846285122</c:v>
                </c:pt>
                <c:pt idx="907">
                  <c:v>0.16947242295380022</c:v>
                </c:pt>
                <c:pt idx="908">
                  <c:v>0.1694750542552956</c:v>
                </c:pt>
                <c:pt idx="909">
                  <c:v>0.16947767243312004</c:v>
                </c:pt>
                <c:pt idx="910">
                  <c:v>0.1694802775527281</c:v>
                </c:pt>
                <c:pt idx="911">
                  <c:v>0.16948286967924789</c:v>
                </c:pt>
                <c:pt idx="912">
                  <c:v>0.16948544887748274</c:v>
                </c:pt>
                <c:pt idx="913">
                  <c:v>0.1694880152119127</c:v>
                </c:pt>
                <c:pt idx="914">
                  <c:v>0.16949056874669632</c:v>
                </c:pt>
                <c:pt idx="915">
                  <c:v>0.16949310954567209</c:v>
                </c:pt>
                <c:pt idx="916">
                  <c:v>0.16949563767236009</c:v>
                </c:pt>
                <c:pt idx="917">
                  <c:v>0.16949815318996359</c:v>
                </c:pt>
                <c:pt idx="918">
                  <c:v>0.16950065616137075</c:v>
                </c:pt>
                <c:pt idx="919">
                  <c:v>0.16950314664915592</c:v>
                </c:pt>
                <c:pt idx="920">
                  <c:v>0.16950562471558145</c:v>
                </c:pt>
                <c:pt idx="921">
                  <c:v>0.16950809042259909</c:v>
                </c:pt>
                <c:pt idx="922">
                  <c:v>0.16951054383185171</c:v>
                </c:pt>
                <c:pt idx="923">
                  <c:v>0.1695129850046746</c:v>
                </c:pt>
                <c:pt idx="924">
                  <c:v>0.16951541400209727</c:v>
                </c:pt>
                <c:pt idx="925">
                  <c:v>0.16951783088484473</c:v>
                </c:pt>
                <c:pt idx="926">
                  <c:v>0.16952023571333924</c:v>
                </c:pt>
                <c:pt idx="927">
                  <c:v>0.16952262854770156</c:v>
                </c:pt>
                <c:pt idx="928">
                  <c:v>0.16952500944775273</c:v>
                </c:pt>
                <c:pt idx="929">
                  <c:v>0.16952737847301533</c:v>
                </c:pt>
                <c:pt idx="930">
                  <c:v>0.16952973568271515</c:v>
                </c:pt>
                <c:pt idx="931">
                  <c:v>0.16953208113578255</c:v>
                </c:pt>
                <c:pt idx="932">
                  <c:v>0.16953441489085397</c:v>
                </c:pt>
                <c:pt idx="933">
                  <c:v>0.16953673700627342</c:v>
                </c:pt>
                <c:pt idx="934">
                  <c:v>0.16953904754009388</c:v>
                </c:pt>
                <c:pt idx="935">
                  <c:v>0.16954134655007885</c:v>
                </c:pt>
                <c:pt idx="936">
                  <c:v>0.16954363409370368</c:v>
                </c:pt>
                <c:pt idx="937">
                  <c:v>0.16954591022815707</c:v>
                </c:pt>
                <c:pt idx="938">
                  <c:v>0.16954817501034253</c:v>
                </c:pt>
                <c:pt idx="939">
                  <c:v>0.16955042849687973</c:v>
                </c:pt>
                <c:pt idx="940">
                  <c:v>0.1695526707441059</c:v>
                </c:pt>
                <c:pt idx="941">
                  <c:v>0.16955490180807742</c:v>
                </c:pt>
                <c:pt idx="942">
                  <c:v>0.16955712174457094</c:v>
                </c:pt>
                <c:pt idx="943">
                  <c:v>0.16955933060908498</c:v>
                </c:pt>
                <c:pt idx="944">
                  <c:v>0.1695615284568413</c:v>
                </c:pt>
                <c:pt idx="945">
                  <c:v>0.16956371534278625</c:v>
                </c:pt>
                <c:pt idx="946">
                  <c:v>0.169565891321592</c:v>
                </c:pt>
                <c:pt idx="947">
                  <c:v>0.16956805644765821</c:v>
                </c:pt>
                <c:pt idx="948">
                  <c:v>0.16957021077511308</c:v>
                </c:pt>
                <c:pt idx="949">
                  <c:v>0.16957235435781498</c:v>
                </c:pt>
                <c:pt idx="950">
                  <c:v>0.16957448724935353</c:v>
                </c:pt>
                <c:pt idx="951">
                  <c:v>0.16957660950305115</c:v>
                </c:pt>
                <c:pt idx="952">
                  <c:v>0.16957872117196432</c:v>
                </c:pt>
                <c:pt idx="953">
                  <c:v>0.16958082230888483</c:v>
                </c:pt>
                <c:pt idx="954">
                  <c:v>0.16958291296634123</c:v>
                </c:pt>
                <c:pt idx="955">
                  <c:v>0.16958499319660006</c:v>
                </c:pt>
                <c:pt idx="956">
                  <c:v>0.16958706305166721</c:v>
                </c:pt>
                <c:pt idx="957">
                  <c:v>0.16958912258328912</c:v>
                </c:pt>
                <c:pt idx="958">
                  <c:v>0.16959117184295422</c:v>
                </c:pt>
                <c:pt idx="959">
                  <c:v>0.16959321088189411</c:v>
                </c:pt>
                <c:pt idx="960">
                  <c:v>0.16959523975108484</c:v>
                </c:pt>
                <c:pt idx="961">
                  <c:v>0.16959725850124829</c:v>
                </c:pt>
                <c:pt idx="962">
                  <c:v>0.16959926718285329</c:v>
                </c:pt>
                <c:pt idx="963">
                  <c:v>0.16960126584611696</c:v>
                </c:pt>
                <c:pt idx="964">
                  <c:v>0.16960325454100605</c:v>
                </c:pt>
                <c:pt idx="965">
                  <c:v>0.16960523331723798</c:v>
                </c:pt>
                <c:pt idx="966">
                  <c:v>0.1696072022242823</c:v>
                </c:pt>
                <c:pt idx="967">
                  <c:v>0.16960916131136178</c:v>
                </c:pt>
                <c:pt idx="968">
                  <c:v>0.16961111062745365</c:v>
                </c:pt>
                <c:pt idx="969">
                  <c:v>0.16961305022129097</c:v>
                </c:pt>
                <c:pt idx="970">
                  <c:v>0.16961498014136367</c:v>
                </c:pt>
                <c:pt idx="971">
                  <c:v>0.16961690043591984</c:v>
                </c:pt>
                <c:pt idx="972">
                  <c:v>0.16961881115296695</c:v>
                </c:pt>
                <c:pt idx="973">
                  <c:v>0.16962071234027307</c:v>
                </c:pt>
                <c:pt idx="974">
                  <c:v>0.16962260404536791</c:v>
                </c:pt>
                <c:pt idx="975">
                  <c:v>0.16962448631554422</c:v>
                </c:pt>
                <c:pt idx="976">
                  <c:v>0.1696263591978589</c:v>
                </c:pt>
                <c:pt idx="977">
                  <c:v>0.16962822273913403</c:v>
                </c:pt>
                <c:pt idx="978">
                  <c:v>0.16963007698595828</c:v>
                </c:pt>
                <c:pt idx="979">
                  <c:v>0.16963192198468793</c:v>
                </c:pt>
                <c:pt idx="980">
                  <c:v>0.16963375778144801</c:v>
                </c:pt>
                <c:pt idx="981">
                  <c:v>0.16963558442213356</c:v>
                </c:pt>
                <c:pt idx="982">
                  <c:v>0.16963740195241067</c:v>
                </c:pt>
                <c:pt idx="983">
                  <c:v>0.16963921041771773</c:v>
                </c:pt>
                <c:pt idx="984">
                  <c:v>0.16964100986326641</c:v>
                </c:pt>
                <c:pt idx="985">
                  <c:v>0.169642800334043</c:v>
                </c:pt>
                <c:pt idx="986">
                  <c:v>0.16964458187480932</c:v>
                </c:pt>
                <c:pt idx="987">
                  <c:v>0.16964635453010402</c:v>
                </c:pt>
                <c:pt idx="988">
                  <c:v>0.16964811834424354</c:v>
                </c:pt>
                <c:pt idx="989">
                  <c:v>0.16964987336132334</c:v>
                </c:pt>
                <c:pt idx="990">
                  <c:v>0.16965161962521894</c:v>
                </c:pt>
                <c:pt idx="991">
                  <c:v>0.16965335717958702</c:v>
                </c:pt>
                <c:pt idx="992">
                  <c:v>0.16965508606786653</c:v>
                </c:pt>
                <c:pt idx="993">
                  <c:v>0.16965680633327979</c:v>
                </c:pt>
                <c:pt idx="994">
                  <c:v>0.16965851801883347</c:v>
                </c:pt>
                <c:pt idx="995">
                  <c:v>0.16966022116731988</c:v>
                </c:pt>
                <c:pt idx="996">
                  <c:v>0.16966191582131776</c:v>
                </c:pt>
                <c:pt idx="997">
                  <c:v>0.16966360202319355</c:v>
                </c:pt>
                <c:pt idx="998">
                  <c:v>0.16966527981510243</c:v>
                </c:pt>
                <c:pt idx="999">
                  <c:v>0.16966694923898923</c:v>
                </c:pt>
                <c:pt idx="1000">
                  <c:v>0.16966861033658964</c:v>
                </c:pt>
                <c:pt idx="1001">
                  <c:v>0.16967026314943123</c:v>
                </c:pt>
                <c:pt idx="1002">
                  <c:v>0.16967190771883439</c:v>
                </c:pt>
                <c:pt idx="1003">
                  <c:v>0.16967354408591345</c:v>
                </c:pt>
                <c:pt idx="1004">
                  <c:v>0.16967517229157761</c:v>
                </c:pt>
                <c:pt idx="1005">
                  <c:v>0.16967679237653216</c:v>
                </c:pt>
                <c:pt idx="1006">
                  <c:v>0.16967840438127929</c:v>
                </c:pt>
                <c:pt idx="1007">
                  <c:v>0.16968000834611921</c:v>
                </c:pt>
                <c:pt idx="1008">
                  <c:v>0.16968160431115109</c:v>
                </c:pt>
                <c:pt idx="1009">
                  <c:v>0.16968319231627421</c:v>
                </c:pt>
                <c:pt idx="1010">
                  <c:v>0.16968477240118868</c:v>
                </c:pt>
                <c:pt idx="1011">
                  <c:v>0.1696863446053968</c:v>
                </c:pt>
                <c:pt idx="1012">
                  <c:v>0.16968790896820374</c:v>
                </c:pt>
                <c:pt idx="1013">
                  <c:v>0.16968946552871858</c:v>
                </c:pt>
                <c:pt idx="1014">
                  <c:v>0.16969101432585548</c:v>
                </c:pt>
                <c:pt idx="1015">
                  <c:v>0.16969255539833444</c:v>
                </c:pt>
                <c:pt idx="1016">
                  <c:v>0.16969408878468234</c:v>
                </c:pt>
                <c:pt idx="1017">
                  <c:v>0.16969561452323395</c:v>
                </c:pt>
                <c:pt idx="1018">
                  <c:v>0.16969713265213276</c:v>
                </c:pt>
                <c:pt idx="1019">
                  <c:v>0.16969864320933209</c:v>
                </c:pt>
                <c:pt idx="1020">
                  <c:v>0.16970014623259599</c:v>
                </c:pt>
                <c:pt idx="1021">
                  <c:v>0.16970164175950006</c:v>
                </c:pt>
                <c:pt idx="1022">
                  <c:v>0.16970312982743258</c:v>
                </c:pt>
                <c:pt idx="1023">
                  <c:v>0.16970461047359536</c:v>
                </c:pt>
                <c:pt idx="1024">
                  <c:v>0.16970608373500456</c:v>
                </c:pt>
                <c:pt idx="1025">
                  <c:v>0.16970754964849183</c:v>
                </c:pt>
                <c:pt idx="1026">
                  <c:v>0.16970900825070506</c:v>
                </c:pt>
                <c:pt idx="1027">
                  <c:v>0.16971045957810943</c:v>
                </c:pt>
                <c:pt idx="1028">
                  <c:v>0.16971190366698818</c:v>
                </c:pt>
                <c:pt idx="1029">
                  <c:v>0.16971334055344359</c:v>
                </c:pt>
                <c:pt idx="1030">
                  <c:v>0.1697147702733979</c:v>
                </c:pt>
                <c:pt idx="1031">
                  <c:v>0.16971619286259421</c:v>
                </c:pt>
                <c:pt idx="1032">
                  <c:v>0.16971760835659727</c:v>
                </c:pt>
                <c:pt idx="1033">
                  <c:v>0.16971901679079454</c:v>
                </c:pt>
                <c:pt idx="1034">
                  <c:v>0.16972041820039696</c:v>
                </c:pt>
                <c:pt idx="1035">
                  <c:v>0.16972181262043984</c:v>
                </c:pt>
                <c:pt idx="1036">
                  <c:v>0.16972320008578373</c:v>
                </c:pt>
                <c:pt idx="1037">
                  <c:v>0.16972458063111534</c:v>
                </c:pt>
                <c:pt idx="1038">
                  <c:v>0.16972595429094839</c:v>
                </c:pt>
                <c:pt idx="1039">
                  <c:v>0.16972732109962446</c:v>
                </c:pt>
                <c:pt idx="1040">
                  <c:v>0.16972868109131378</c:v>
                </c:pt>
                <c:pt idx="1041">
                  <c:v>0.16973003430001629</c:v>
                </c:pt>
                <c:pt idx="1042">
                  <c:v>0.16973138075956223</c:v>
                </c:pt>
                <c:pt idx="1043">
                  <c:v>0.16973272050361315</c:v>
                </c:pt>
                <c:pt idx="1044">
                  <c:v>0.16973405356566273</c:v>
                </c:pt>
                <c:pt idx="1045">
                  <c:v>0.16973537997903765</c:v>
                </c:pt>
                <c:pt idx="1046">
                  <c:v>0.1697366997768982</c:v>
                </c:pt>
                <c:pt idx="1047">
                  <c:v>0.16973801299223951</c:v>
                </c:pt>
                <c:pt idx="1048">
                  <c:v>0.16973931965789196</c:v>
                </c:pt>
                <c:pt idx="1049">
                  <c:v>0.16974061980652227</c:v>
                </c:pt>
                <c:pt idx="1050">
                  <c:v>0.16974191347063428</c:v>
                </c:pt>
                <c:pt idx="1051">
                  <c:v>0.16974320068256954</c:v>
                </c:pt>
                <c:pt idx="1052">
                  <c:v>0.16974448147450855</c:v>
                </c:pt>
                <c:pt idx="1053">
                  <c:v>0.16974575587847107</c:v>
                </c:pt>
                <c:pt idx="1054">
                  <c:v>0.16974702392631735</c:v>
                </c:pt>
                <c:pt idx="1055">
                  <c:v>0.16974828564974859</c:v>
                </c:pt>
                <c:pt idx="1056">
                  <c:v>0.16974954108030799</c:v>
                </c:pt>
                <c:pt idx="1057">
                  <c:v>0.16975079024938133</c:v>
                </c:pt>
                <c:pt idx="1058">
                  <c:v>0.16975203318819793</c:v>
                </c:pt>
                <c:pt idx="1059">
                  <c:v>0.1697532699278313</c:v>
                </c:pt>
                <c:pt idx="1060">
                  <c:v>0.16975450049920005</c:v>
                </c:pt>
                <c:pt idx="1061">
                  <c:v>0.16975572493306845</c:v>
                </c:pt>
                <c:pt idx="1062">
                  <c:v>0.16975694326004748</c:v>
                </c:pt>
                <c:pt idx="1063">
                  <c:v>0.16975815551059537</c:v>
                </c:pt>
                <c:pt idx="1064">
                  <c:v>0.1697593617150184</c:v>
                </c:pt>
                <c:pt idx="1065">
                  <c:v>0.16976056190347177</c:v>
                </c:pt>
                <c:pt idx="1066">
                  <c:v>0.16976175610596028</c:v>
                </c:pt>
                <c:pt idx="1067">
                  <c:v>0.16976294435233902</c:v>
                </c:pt>
                <c:pt idx="1068">
                  <c:v>0.16976412667231422</c:v>
                </c:pt>
                <c:pt idx="1069">
                  <c:v>0.16976530309544396</c:v>
                </c:pt>
                <c:pt idx="1070">
                  <c:v>0.16976647365113884</c:v>
                </c:pt>
                <c:pt idx="1071">
                  <c:v>0.16976763836866282</c:v>
                </c:pt>
                <c:pt idx="1072">
                  <c:v>0.16976879727713395</c:v>
                </c:pt>
                <c:pt idx="1073">
                  <c:v>0.16976995040552495</c:v>
                </c:pt>
                <c:pt idx="1074">
                  <c:v>0.16977109778266414</c:v>
                </c:pt>
                <c:pt idx="1075">
                  <c:v>0.16977223943723591</c:v>
                </c:pt>
                <c:pt idx="1076">
                  <c:v>0.16977337539778181</c:v>
                </c:pt>
                <c:pt idx="1077">
                  <c:v>0.16977450569270081</c:v>
                </c:pt>
                <c:pt idx="1078">
                  <c:v>0.16977563035025039</c:v>
                </c:pt>
                <c:pt idx="1079">
                  <c:v>0.16977674939854703</c:v>
                </c:pt>
                <c:pt idx="1080">
                  <c:v>0.16977786286556706</c:v>
                </c:pt>
                <c:pt idx="1081">
                  <c:v>0.16977897077914711</c:v>
                </c:pt>
                <c:pt idx="1082">
                  <c:v>0.16978007316698512</c:v>
                </c:pt>
                <c:pt idx="1083">
                  <c:v>0.1697811700566409</c:v>
                </c:pt>
                <c:pt idx="1084">
                  <c:v>0.16978226147553666</c:v>
                </c:pt>
                <c:pt idx="1085">
                  <c:v>0.16978334745095797</c:v>
                </c:pt>
                <c:pt idx="1086">
                  <c:v>0.16978442801005428</c:v>
                </c:pt>
                <c:pt idx="1087">
                  <c:v>0.16978550317983959</c:v>
                </c:pt>
                <c:pt idx="1088">
                  <c:v>0.16978657298719324</c:v>
                </c:pt>
                <c:pt idx="1089">
                  <c:v>0.16978763745886047</c:v>
                </c:pt>
                <c:pt idx="1090">
                  <c:v>0.1697886966214531</c:v>
                </c:pt>
                <c:pt idx="1091">
                  <c:v>0.16978975050145026</c:v>
                </c:pt>
                <c:pt idx="1092">
                  <c:v>0.16979079912519901</c:v>
                </c:pt>
                <c:pt idx="1093">
                  <c:v>0.16979184251891499</c:v>
                </c:pt>
                <c:pt idx="1094">
                  <c:v>0.16979288070868309</c:v>
                </c:pt>
                <c:pt idx="1095">
                  <c:v>0.16979391372045813</c:v>
                </c:pt>
                <c:pt idx="1096">
                  <c:v>0.16979494158006547</c:v>
                </c:pt>
                <c:pt idx="1097">
                  <c:v>0.1697959643132016</c:v>
                </c:pt>
                <c:pt idx="1098">
                  <c:v>0.16979698194543494</c:v>
                </c:pt>
                <c:pt idx="1099">
                  <c:v>0.16979799450220634</c:v>
                </c:pt>
                <c:pt idx="1100">
                  <c:v>0.16979900200882977</c:v>
                </c:pt>
                <c:pt idx="1101">
                  <c:v>0.16980000449049298</c:v>
                </c:pt>
                <c:pt idx="1102">
                  <c:v>0.169801001972258</c:v>
                </c:pt>
                <c:pt idx="1103">
                  <c:v>0.16980199447906197</c:v>
                </c:pt>
                <c:pt idx="1104">
                  <c:v>0.16980298203571764</c:v>
                </c:pt>
                <c:pt idx="1105">
                  <c:v>0.16980396466691389</c:v>
                </c:pt>
                <c:pt idx="1106">
                  <c:v>0.16980494239721663</c:v>
                </c:pt>
                <c:pt idx="1107">
                  <c:v>0.16980591525106914</c:v>
                </c:pt>
                <c:pt idx="1108">
                  <c:v>0.16980688325279281</c:v>
                </c:pt>
                <c:pt idx="1109">
                  <c:v>0.16980784642658775</c:v>
                </c:pt>
                <c:pt idx="1110">
                  <c:v>0.16980880479653335</c:v>
                </c:pt>
                <c:pt idx="1111">
                  <c:v>0.1698097583865889</c:v>
                </c:pt>
                <c:pt idx="1112">
                  <c:v>0.16981070722059421</c:v>
                </c:pt>
                <c:pt idx="1113">
                  <c:v>0.16981165132227016</c:v>
                </c:pt>
                <c:pt idx="1114">
                  <c:v>0.16981259071521937</c:v>
                </c:pt>
                <c:pt idx="1115">
                  <c:v>0.16981352542292671</c:v>
                </c:pt>
                <c:pt idx="1116">
                  <c:v>0.1698144554687599</c:v>
                </c:pt>
                <c:pt idx="1117">
                  <c:v>0.16981538087597015</c:v>
                </c:pt>
                <c:pt idx="1118">
                  <c:v>0.16981630166769268</c:v>
                </c:pt>
                <c:pt idx="1119">
                  <c:v>0.16981721786694731</c:v>
                </c:pt>
                <c:pt idx="1120">
                  <c:v>0.1698181294966391</c:v>
                </c:pt>
                <c:pt idx="1121">
                  <c:v>0.16981903657955888</c:v>
                </c:pt>
                <c:pt idx="1122">
                  <c:v>0.16981993913838367</c:v>
                </c:pt>
                <c:pt idx="1123">
                  <c:v>0.16982083719567759</c:v>
                </c:pt>
                <c:pt idx="1124">
                  <c:v>0.16982173077389204</c:v>
                </c:pt>
                <c:pt idx="1125">
                  <c:v>0.16982261989536657</c:v>
                </c:pt>
                <c:pt idx="1126">
                  <c:v>0.1698235045823292</c:v>
                </c:pt>
                <c:pt idx="1127">
                  <c:v>0.16982438485689724</c:v>
                </c:pt>
                <c:pt idx="1128">
                  <c:v>0.16982526074107757</c:v>
                </c:pt>
                <c:pt idx="1129">
                  <c:v>0.16982613225676729</c:v>
                </c:pt>
                <c:pt idx="1130">
                  <c:v>0.16982699942575435</c:v>
                </c:pt>
                <c:pt idx="1131">
                  <c:v>0.16982786226971811</c:v>
                </c:pt>
                <c:pt idx="1132">
                  <c:v>0.16982872081022959</c:v>
                </c:pt>
                <c:pt idx="1133">
                  <c:v>0.16982957506875246</c:v>
                </c:pt>
                <c:pt idx="1134">
                  <c:v>0.16983042506664314</c:v>
                </c:pt>
                <c:pt idx="1135">
                  <c:v>0.16983127082515165</c:v>
                </c:pt>
                <c:pt idx="1136">
                  <c:v>0.16983211236542201</c:v>
                </c:pt>
                <c:pt idx="1137">
                  <c:v>0.16983294970849278</c:v>
                </c:pt>
                <c:pt idx="1138">
                  <c:v>0.16983378287529752</c:v>
                </c:pt>
                <c:pt idx="1139">
                  <c:v>0.16983461188666549</c:v>
                </c:pt>
                <c:pt idx="1140">
                  <c:v>0.16983543676332202</c:v>
                </c:pt>
                <c:pt idx="1141">
                  <c:v>0.1698362575258891</c:v>
                </c:pt>
                <c:pt idx="1142">
                  <c:v>0.16983707419488575</c:v>
                </c:pt>
                <c:pt idx="1143">
                  <c:v>0.16983788679072881</c:v>
                </c:pt>
                <c:pt idx="1144">
                  <c:v>0.16983869533373319</c:v>
                </c:pt>
                <c:pt idx="1145">
                  <c:v>0.16983949984411251</c:v>
                </c:pt>
                <c:pt idx="1146">
                  <c:v>0.16984030034197958</c:v>
                </c:pt>
                <c:pt idx="1147">
                  <c:v>0.16984109684734688</c:v>
                </c:pt>
                <c:pt idx="1148">
                  <c:v>0.16984188938012709</c:v>
                </c:pt>
                <c:pt idx="1149">
                  <c:v>0.16984267796013358</c:v>
                </c:pt>
                <c:pt idx="1150">
                  <c:v>0.16984346260708083</c:v>
                </c:pt>
                <c:pt idx="1151">
                  <c:v>0.16984424334058518</c:v>
                </c:pt>
                <c:pt idx="1152">
                  <c:v>0.16984502018016487</c:v>
                </c:pt>
                <c:pt idx="1153">
                  <c:v>0.16984579314524101</c:v>
                </c:pt>
                <c:pt idx="1154">
                  <c:v>0.16984656225513775</c:v>
                </c:pt>
                <c:pt idx="1155">
                  <c:v>0.16984732752908288</c:v>
                </c:pt>
                <c:pt idx="1156">
                  <c:v>0.16984808898620829</c:v>
                </c:pt>
                <c:pt idx="1157">
                  <c:v>0.16984884664555044</c:v>
                </c:pt>
                <c:pt idx="1158">
                  <c:v>0.16984960052605086</c:v>
                </c:pt>
                <c:pt idx="1159">
                  <c:v>0.16985035064655657</c:v>
                </c:pt>
                <c:pt idx="1160">
                  <c:v>0.16985109702582069</c:v>
                </c:pt>
                <c:pt idx="1161">
                  <c:v>0.16985183968250267</c:v>
                </c:pt>
                <c:pt idx="1162">
                  <c:v>0.169852578635169</c:v>
                </c:pt>
                <c:pt idx="1163">
                  <c:v>0.16985331390229352</c:v>
                </c:pt>
                <c:pt idx="1164">
                  <c:v>0.16985404550225799</c:v>
                </c:pt>
                <c:pt idx="1165">
                  <c:v>0.1698547734533524</c:v>
                </c:pt>
                <c:pt idx="1166">
                  <c:v>0.16985549777377557</c:v>
                </c:pt>
                <c:pt idx="1167">
                  <c:v>0.16985621848163557</c:v>
                </c:pt>
                <c:pt idx="1168">
                  <c:v>0.16985693559495013</c:v>
                </c:pt>
                <c:pt idx="1169">
                  <c:v>0.16985764913164711</c:v>
                </c:pt>
                <c:pt idx="1170">
                  <c:v>0.16985835910956495</c:v>
                </c:pt>
                <c:pt idx="1171">
                  <c:v>0.16985906554645316</c:v>
                </c:pt>
                <c:pt idx="1172">
                  <c:v>0.16985976845997269</c:v>
                </c:pt>
                <c:pt idx="1173">
                  <c:v>0.16986046786769643</c:v>
                </c:pt>
                <c:pt idx="1174">
                  <c:v>0.16986116378710958</c:v>
                </c:pt>
                <c:pt idx="1175">
                  <c:v>0.16986185623561018</c:v>
                </c:pt>
                <c:pt idx="1176">
                  <c:v>0.16986254523050948</c:v>
                </c:pt>
                <c:pt idx="1177">
                  <c:v>0.16986323078903237</c:v>
                </c:pt>
                <c:pt idx="1178">
                  <c:v>0.16986391292831787</c:v>
                </c:pt>
                <c:pt idx="1179">
                  <c:v>0.16986459166541951</c:v>
                </c:pt>
                <c:pt idx="1180">
                  <c:v>0.1698652670173057</c:v>
                </c:pt>
                <c:pt idx="1181">
                  <c:v>0.16986593900086033</c:v>
                </c:pt>
                <c:pt idx="1182">
                  <c:v>0.16986660763288297</c:v>
                </c:pt>
                <c:pt idx="1183">
                  <c:v>0.16986727293008952</c:v>
                </c:pt>
                <c:pt idx="1184">
                  <c:v>0.16986793490911239</c:v>
                </c:pt>
                <c:pt idx="1185">
                  <c:v>0.16986859358650111</c:v>
                </c:pt>
                <c:pt idx="1186">
                  <c:v>0.16986924897872263</c:v>
                </c:pt>
                <c:pt idx="1187">
                  <c:v>0.16986990110216185</c:v>
                </c:pt>
                <c:pt idx="1188">
                  <c:v>0.16987054997312184</c:v>
                </c:pt>
                <c:pt idx="1189">
                  <c:v>0.16987119560782438</c:v>
                </c:pt>
                <c:pt idx="1190">
                  <c:v>0.16987183802241046</c:v>
                </c:pt>
                <c:pt idx="1191">
                  <c:v>0.16987247723294036</c:v>
                </c:pt>
                <c:pt idx="1192">
                  <c:v>0.1698731132553945</c:v>
                </c:pt>
                <c:pt idx="1193">
                  <c:v>0.16987374610567338</c:v>
                </c:pt>
                <c:pt idx="1194">
                  <c:v>0.16987437579959835</c:v>
                </c:pt>
                <c:pt idx="1195">
                  <c:v>0.16987500235291175</c:v>
                </c:pt>
                <c:pt idx="1196">
                  <c:v>0.16987562578127746</c:v>
                </c:pt>
                <c:pt idx="1197">
                  <c:v>0.16987624610028124</c:v>
                </c:pt>
                <c:pt idx="1198">
                  <c:v>0.16987686332543106</c:v>
                </c:pt>
                <c:pt idx="1199">
                  <c:v>0.16987747747215765</c:v>
                </c:pt>
                <c:pt idx="1200">
                  <c:v>0.1698780885558146</c:v>
                </c:pt>
                <c:pt idx="1201">
                  <c:v>0.16987869659167915</c:v>
                </c:pt>
                <c:pt idx="1202">
                  <c:v>0.16987930159495213</c:v>
                </c:pt>
                <c:pt idx="1203">
                  <c:v>0.16987990358075872</c:v>
                </c:pt>
                <c:pt idx="1204">
                  <c:v>0.16988050256414855</c:v>
                </c:pt>
                <c:pt idx="1205">
                  <c:v>0.16988109856009631</c:v>
                </c:pt>
                <c:pt idx="1206">
                  <c:v>0.16988169158350186</c:v>
                </c:pt>
                <c:pt idx="1207">
                  <c:v>0.16988228164919081</c:v>
                </c:pt>
                <c:pt idx="1208">
                  <c:v>0.16988286877191489</c:v>
                </c:pt>
                <c:pt idx="1209">
                  <c:v>0.16988345296635213</c:v>
                </c:pt>
                <c:pt idx="1210">
                  <c:v>0.16988403424710746</c:v>
                </c:pt>
                <c:pt idx="1211">
                  <c:v>0.16988461262871296</c:v>
                </c:pt>
                <c:pt idx="1212">
                  <c:v>0.16988518812562817</c:v>
                </c:pt>
                <c:pt idx="1213">
                  <c:v>0.16988576075224052</c:v>
                </c:pt>
                <c:pt idx="1214">
                  <c:v>0.16988633052286573</c:v>
                </c:pt>
                <c:pt idx="1215">
                  <c:v>0.16988689745174809</c:v>
                </c:pt>
                <c:pt idx="1216">
                  <c:v>0.16988746155306086</c:v>
                </c:pt>
                <c:pt idx="1217">
                  <c:v>0.16988802284090659</c:v>
                </c:pt>
                <c:pt idx="1218">
                  <c:v>0.1698885813293175</c:v>
                </c:pt>
                <c:pt idx="1219">
                  <c:v>0.16988913703225589</c:v>
                </c:pt>
                <c:pt idx="1220">
                  <c:v>0.16988968996361425</c:v>
                </c:pt>
                <c:pt idx="1221">
                  <c:v>0.16989024013721599</c:v>
                </c:pt>
                <c:pt idx="1222">
                  <c:v>0.16989078756681542</c:v>
                </c:pt>
                <c:pt idx="1223">
                  <c:v>0.16989133226609837</c:v>
                </c:pt>
                <c:pt idx="1224">
                  <c:v>0.16989187424868227</c:v>
                </c:pt>
                <c:pt idx="1225">
                  <c:v>0.16989241352811679</c:v>
                </c:pt>
                <c:pt idx="1226">
                  <c:v>0.16989295011788388</c:v>
                </c:pt>
                <c:pt idx="1227">
                  <c:v>0.16989348403139837</c:v>
                </c:pt>
                <c:pt idx="1228">
                  <c:v>0.16989401528200807</c:v>
                </c:pt>
                <c:pt idx="1229">
                  <c:v>0.1698945438829943</c:v>
                </c:pt>
                <c:pt idx="1230">
                  <c:v>0.16989506984757213</c:v>
                </c:pt>
                <c:pt idx="1231">
                  <c:v>0.16989559318889069</c:v>
                </c:pt>
                <c:pt idx="1232">
                  <c:v>0.16989611392003351</c:v>
                </c:pt>
                <c:pt idx="1233">
                  <c:v>0.16989663205401895</c:v>
                </c:pt>
                <c:pt idx="1234">
                  <c:v>0.16989714760380031</c:v>
                </c:pt>
                <c:pt idx="1235">
                  <c:v>0.16989766058226646</c:v>
                </c:pt>
                <c:pt idx="1236">
                  <c:v>0.1698981710022418</c:v>
                </c:pt>
                <c:pt idx="1237">
                  <c:v>0.16989867887648691</c:v>
                </c:pt>
                <c:pt idx="1238">
                  <c:v>0.16989918421769867</c:v>
                </c:pt>
                <c:pt idx="1239">
                  <c:v>0.16989968703851061</c:v>
                </c:pt>
                <c:pt idx="1240">
                  <c:v>0.16990018735149326</c:v>
                </c:pt>
                <c:pt idx="1241">
                  <c:v>0.16990068516915452</c:v>
                </c:pt>
                <c:pt idx="1242">
                  <c:v>0.16990118050393985</c:v>
                </c:pt>
                <c:pt idx="1243">
                  <c:v>0.16990167336823261</c:v>
                </c:pt>
                <c:pt idx="1244">
                  <c:v>0.16990216377435446</c:v>
                </c:pt>
                <c:pt idx="1245">
                  <c:v>0.16990265173456559</c:v>
                </c:pt>
                <c:pt idx="1246">
                  <c:v>0.16990313726106498</c:v>
                </c:pt>
                <c:pt idx="1247">
                  <c:v>0.16990362036599088</c:v>
                </c:pt>
                <c:pt idx="1248">
                  <c:v>0.1699041010614209</c:v>
                </c:pt>
                <c:pt idx="1249">
                  <c:v>0.16990457935937248</c:v>
                </c:pt>
                <c:pt idx="1250">
                  <c:v>0.16990505527180305</c:v>
                </c:pt>
                <c:pt idx="1251">
                  <c:v>0.1699055288106105</c:v>
                </c:pt>
                <c:pt idx="1252">
                  <c:v>0.16990599998763325</c:v>
                </c:pt>
                <c:pt idx="1253">
                  <c:v>0.16990646881465082</c:v>
                </c:pt>
                <c:pt idx="1254">
                  <c:v>0.16990693530338388</c:v>
                </c:pt>
                <c:pt idx="1255">
                  <c:v>0.16990739946549469</c:v>
                </c:pt>
                <c:pt idx="1256">
                  <c:v>0.16990786131258728</c:v>
                </c:pt>
                <c:pt idx="1257">
                  <c:v>0.16990832085620794</c:v>
                </c:pt>
                <c:pt idx="1258">
                  <c:v>0.16990877810784519</c:v>
                </c:pt>
                <c:pt idx="1259">
                  <c:v>0.16990923307893038</c:v>
                </c:pt>
                <c:pt idx="1260">
                  <c:v>0.16990968578083784</c:v>
                </c:pt>
                <c:pt idx="1261">
                  <c:v>0.1699101362248851</c:v>
                </c:pt>
                <c:pt idx="1262">
                  <c:v>0.16991058442233331</c:v>
                </c:pt>
                <c:pt idx="1263">
                  <c:v>0.16991103038438743</c:v>
                </c:pt>
                <c:pt idx="1264">
                  <c:v>0.16991147412219651</c:v>
                </c:pt>
                <c:pt idx="1265">
                  <c:v>0.16991191564685404</c:v>
                </c:pt>
                <c:pt idx="1266">
                  <c:v>0.16991235496939816</c:v>
                </c:pt>
                <c:pt idx="1267">
                  <c:v>0.16991279210081195</c:v>
                </c:pt>
                <c:pt idx="1268">
                  <c:v>0.16991322705202372</c:v>
                </c:pt>
                <c:pt idx="1269">
                  <c:v>0.16991365983390727</c:v>
                </c:pt>
                <c:pt idx="1270">
                  <c:v>0.16991409045728215</c:v>
                </c:pt>
                <c:pt idx="1271">
                  <c:v>0.16991451893291398</c:v>
                </c:pt>
                <c:pt idx="1272">
                  <c:v>0.16991494527151474</c:v>
                </c:pt>
                <c:pt idx="1273">
                  <c:v>0.16991536948374281</c:v>
                </c:pt>
                <c:pt idx="1274">
                  <c:v>0.16991579158020356</c:v>
                </c:pt>
                <c:pt idx="1275">
                  <c:v>0.16991621157144945</c:v>
                </c:pt>
                <c:pt idx="1276">
                  <c:v>0.16991662946798025</c:v>
                </c:pt>
                <c:pt idx="1277">
                  <c:v>0.16991704528024343</c:v>
                </c:pt>
                <c:pt idx="1278">
                  <c:v>0.16991745901863428</c:v>
                </c:pt>
                <c:pt idx="1279">
                  <c:v>0.16991787069349629</c:v>
                </c:pt>
                <c:pt idx="1280">
                  <c:v>0.16991828031512138</c:v>
                </c:pt>
                <c:pt idx="1281">
                  <c:v>0.16991868789375009</c:v>
                </c:pt>
                <c:pt idx="1282">
                  <c:v>0.1699190934395719</c:v>
                </c:pt>
                <c:pt idx="1283">
                  <c:v>0.16991949696272546</c:v>
                </c:pt>
                <c:pt idx="1284">
                  <c:v>0.16991989847329891</c:v>
                </c:pt>
                <c:pt idx="1285">
                  <c:v>0.16992029798133004</c:v>
                </c:pt>
                <c:pt idx="1286">
                  <c:v>0.16992069549680655</c:v>
                </c:pt>
                <c:pt idx="1287">
                  <c:v>0.16992109102966635</c:v>
                </c:pt>
                <c:pt idx="1288">
                  <c:v>0.16992148458979778</c:v>
                </c:pt>
                <c:pt idx="1289">
                  <c:v>0.16992187618703986</c:v>
                </c:pt>
                <c:pt idx="1290">
                  <c:v>0.16992226583118253</c:v>
                </c:pt>
                <c:pt idx="1291">
                  <c:v>0.16992265353196695</c:v>
                </c:pt>
                <c:pt idx="1292">
                  <c:v>0.16992303929908564</c:v>
                </c:pt>
                <c:pt idx="1293">
                  <c:v>0.16992342314218278</c:v>
                </c:pt>
                <c:pt idx="1294">
                  <c:v>0.16992380507085453</c:v>
                </c:pt>
                <c:pt idx="1295">
                  <c:v>0.16992418509464902</c:v>
                </c:pt>
                <c:pt idx="1296">
                  <c:v>0.16992456322306698</c:v>
                </c:pt>
                <c:pt idx="1297">
                  <c:v>0.16992493946556159</c:v>
                </c:pt>
                <c:pt idx="1298">
                  <c:v>0.16992531383153889</c:v>
                </c:pt>
                <c:pt idx="1299">
                  <c:v>0.16992568633035809</c:v>
                </c:pt>
                <c:pt idx="1300">
                  <c:v>0.16992605697133173</c:v>
                </c:pt>
                <c:pt idx="1301">
                  <c:v>0.16992642576372574</c:v>
                </c:pt>
                <c:pt idx="1302">
                  <c:v>0.16992679271676003</c:v>
                </c:pt>
                <c:pt idx="1303">
                  <c:v>0.16992715783960846</c:v>
                </c:pt>
                <c:pt idx="1304">
                  <c:v>0.16992752114139906</c:v>
                </c:pt>
                <c:pt idx="1305">
                  <c:v>0.16992788263121444</c:v>
                </c:pt>
                <c:pt idx="1306">
                  <c:v>0.16992824231809181</c:v>
                </c:pt>
                <c:pt idx="1307">
                  <c:v>0.16992860021102341</c:v>
                </c:pt>
                <c:pt idx="1308">
                  <c:v>0.16992895631895658</c:v>
                </c:pt>
                <c:pt idx="1309">
                  <c:v>0.169929310650794</c:v>
                </c:pt>
                <c:pt idx="1310">
                  <c:v>0.16992966321539404</c:v>
                </c:pt>
                <c:pt idx="1311">
                  <c:v>0.16993001402157076</c:v>
                </c:pt>
                <c:pt idx="1312">
                  <c:v>0.16993036307809439</c:v>
                </c:pt>
                <c:pt idx="1313">
                  <c:v>0.16993071039369137</c:v>
                </c:pt>
                <c:pt idx="1314">
                  <c:v>0.16993105597704455</c:v>
                </c:pt>
                <c:pt idx="1315">
                  <c:v>0.16993139983679359</c:v>
                </c:pt>
                <c:pt idx="1316">
                  <c:v>0.16993174198153499</c:v>
                </c:pt>
                <c:pt idx="1317">
                  <c:v>0.16993208241982233</c:v>
                </c:pt>
                <c:pt idx="1318">
                  <c:v>0.16993242116016666</c:v>
                </c:pt>
                <c:pt idx="1319">
                  <c:v>0.16993275821103646</c:v>
                </c:pt>
                <c:pt idx="1320">
                  <c:v>0.16993309358085801</c:v>
                </c:pt>
                <c:pt idx="1321">
                  <c:v>0.16993342727801564</c:v>
                </c:pt>
                <c:pt idx="1322">
                  <c:v>0.16993375931085175</c:v>
                </c:pt>
                <c:pt idx="1323">
                  <c:v>0.16993408968766716</c:v>
                </c:pt>
                <c:pt idx="1324">
                  <c:v>0.16993441841672133</c:v>
                </c:pt>
                <c:pt idx="1325">
                  <c:v>0.1699347455062325</c:v>
                </c:pt>
                <c:pt idx="1326">
                  <c:v>0.16993507096437793</c:v>
                </c:pt>
                <c:pt idx="1327">
                  <c:v>0.16993539479929409</c:v>
                </c:pt>
                <c:pt idx="1328">
                  <c:v>0.16993571701907689</c:v>
                </c:pt>
                <c:pt idx="1329">
                  <c:v>0.16993603763178181</c:v>
                </c:pt>
                <c:pt idx="1330">
                  <c:v>0.16993635664542417</c:v>
                </c:pt>
                <c:pt idx="1331">
                  <c:v>0.16993667406797935</c:v>
                </c:pt>
                <c:pt idx="1332">
                  <c:v>0.16993698990738298</c:v>
                </c:pt>
                <c:pt idx="1333">
                  <c:v>0.16993730417153097</c:v>
                </c:pt>
                <c:pt idx="1334">
                  <c:v>0.16993761686827999</c:v>
                </c:pt>
                <c:pt idx="1335">
                  <c:v>0.16993792800544746</c:v>
                </c:pt>
                <c:pt idx="1336">
                  <c:v>0.16993823759081184</c:v>
                </c:pt>
                <c:pt idx="1337">
                  <c:v>0.1699385456321128</c:v>
                </c:pt>
                <c:pt idx="1338">
                  <c:v>0.16993885213705134</c:v>
                </c:pt>
                <c:pt idx="1339">
                  <c:v>0.16993915711329011</c:v>
                </c:pt>
                <c:pt idx="1340">
                  <c:v>0.16993946056845355</c:v>
                </c:pt>
                <c:pt idx="1341">
                  <c:v>0.16993976251012805</c:v>
                </c:pt>
                <c:pt idx="1342">
                  <c:v>0.16994006294586217</c:v>
                </c:pt>
                <c:pt idx="1343">
                  <c:v>0.1699403618831668</c:v>
                </c:pt>
                <c:pt idx="1344">
                  <c:v>0.16994065932951541</c:v>
                </c:pt>
                <c:pt idx="1345">
                  <c:v>0.16994095529234418</c:v>
                </c:pt>
                <c:pt idx="1346">
                  <c:v>0.16994124977905217</c:v>
                </c:pt>
                <c:pt idx="1347">
                  <c:v>0.16994154279700158</c:v>
                </c:pt>
                <c:pt idx="1348">
                  <c:v>0.1699418343535179</c:v>
                </c:pt>
                <c:pt idx="1349">
                  <c:v>0.16994212445588996</c:v>
                </c:pt>
                <c:pt idx="1350">
                  <c:v>0.16994241311137048</c:v>
                </c:pt>
                <c:pt idx="1351">
                  <c:v>0.16994270032717573</c:v>
                </c:pt>
                <c:pt idx="1352">
                  <c:v>0.16994298611048619</c:v>
                </c:pt>
                <c:pt idx="1353">
                  <c:v>0.16994327046844646</c:v>
                </c:pt>
                <c:pt idx="1354">
                  <c:v>0.16994355340816547</c:v>
                </c:pt>
                <c:pt idx="1355">
                  <c:v>0.16994383493671675</c:v>
                </c:pt>
                <c:pt idx="1356">
                  <c:v>0.16994411506113852</c:v>
                </c:pt>
                <c:pt idx="1357">
                  <c:v>0.1699443937884339</c:v>
                </c:pt>
                <c:pt idx="1358">
                  <c:v>0.1699446711255711</c:v>
                </c:pt>
                <c:pt idx="1359">
                  <c:v>0.16994494707948354</c:v>
                </c:pt>
                <c:pt idx="1360">
                  <c:v>0.16994522165707016</c:v>
                </c:pt>
                <c:pt idx="1361">
                  <c:v>0.16994549486519528</c:v>
                </c:pt>
                <c:pt idx="1362">
                  <c:v>0.16994576671068923</c:v>
                </c:pt>
                <c:pt idx="1363">
                  <c:v>0.16994603720034812</c:v>
                </c:pt>
                <c:pt idx="1364">
                  <c:v>0.16994630634093422</c:v>
                </c:pt>
                <c:pt idx="1365">
                  <c:v>0.16994657413917602</c:v>
                </c:pt>
                <c:pt idx="1366">
                  <c:v>0.16994684060176851</c:v>
                </c:pt>
                <c:pt idx="1367">
                  <c:v>0.16994710573537331</c:v>
                </c:pt>
                <c:pt idx="1368">
                  <c:v>0.16994736954661871</c:v>
                </c:pt>
                <c:pt idx="1369">
                  <c:v>0.16994763204210006</c:v>
                </c:pt>
                <c:pt idx="1370">
                  <c:v>0.16994789322837972</c:v>
                </c:pt>
                <c:pt idx="1371">
                  <c:v>0.16994815311198738</c:v>
                </c:pt>
                <c:pt idx="1372">
                  <c:v>0.16994841169942015</c:v>
                </c:pt>
                <c:pt idx="1373">
                  <c:v>0.1699486689971427</c:v>
                </c:pt>
                <c:pt idx="1374">
                  <c:v>0.16994892501158751</c:v>
                </c:pt>
                <c:pt idx="1375">
                  <c:v>0.16994917974915497</c:v>
                </c:pt>
                <c:pt idx="1376">
                  <c:v>0.16994943321621347</c:v>
                </c:pt>
                <c:pt idx="1377">
                  <c:v>0.16994968541909977</c:v>
                </c:pt>
                <c:pt idx="1378">
                  <c:v>0.16994993636411893</c:v>
                </c:pt>
                <c:pt idx="1379">
                  <c:v>0.16995018605754458</c:v>
                </c:pt>
                <c:pt idx="1380">
                  <c:v>0.16995043450561906</c:v>
                </c:pt>
                <c:pt idx="1381">
                  <c:v>0.1699506817145536</c:v>
                </c:pt>
                <c:pt idx="1382">
                  <c:v>0.16995092769052844</c:v>
                </c:pt>
                <c:pt idx="1383">
                  <c:v>0.16995117243969299</c:v>
                </c:pt>
                <c:pt idx="1384">
                  <c:v>0.16995141596816601</c:v>
                </c:pt>
                <c:pt idx="1385">
                  <c:v>0.16995165828203568</c:v>
                </c:pt>
                <c:pt idx="1386">
                  <c:v>0.16995189938735988</c:v>
                </c:pt>
                <c:pt idx="1387">
                  <c:v>0.16995213929016628</c:v>
                </c:pt>
                <c:pt idx="1388">
                  <c:v>0.16995237799645241</c:v>
                </c:pt>
                <c:pt idx="1389">
                  <c:v>0.16995261551218599</c:v>
                </c:pt>
                <c:pt idx="1390">
                  <c:v>0.16995285184330494</c:v>
                </c:pt>
                <c:pt idx="1391">
                  <c:v>0.16995308699571748</c:v>
                </c:pt>
                <c:pt idx="1392">
                  <c:v>0.16995332097530247</c:v>
                </c:pt>
                <c:pt idx="1393">
                  <c:v>0.16995355378790938</c:v>
                </c:pt>
                <c:pt idx="1394">
                  <c:v>0.16995378543935863</c:v>
                </c:pt>
                <c:pt idx="1395">
                  <c:v>0.16995401593544143</c:v>
                </c:pt>
                <c:pt idx="1396">
                  <c:v>0.16995424528192021</c:v>
                </c:pt>
                <c:pt idx="1397">
                  <c:v>0.16995447348452869</c:v>
                </c:pt>
                <c:pt idx="1398">
                  <c:v>0.16995470054897188</c:v>
                </c:pt>
                <c:pt idx="1399">
                  <c:v>0.16995492648092642</c:v>
                </c:pt>
                <c:pt idx="1400">
                  <c:v>0.16995515128604066</c:v>
                </c:pt>
                <c:pt idx="1401">
                  <c:v>0.16995537496993474</c:v>
                </c:pt>
                <c:pt idx="1402">
                  <c:v>0.16995559753820072</c:v>
                </c:pt>
                <c:pt idx="1403">
                  <c:v>0.16995581899640283</c:v>
                </c:pt>
                <c:pt idx="1404">
                  <c:v>0.16995603935007755</c:v>
                </c:pt>
                <c:pt idx="1405">
                  <c:v>0.16995625860473373</c:v>
                </c:pt>
                <c:pt idx="1406">
                  <c:v>0.16995647676585279</c:v>
                </c:pt>
                <c:pt idx="1407">
                  <c:v>0.16995669383888867</c:v>
                </c:pt>
                <c:pt idx="1408">
                  <c:v>0.16995690982926831</c:v>
                </c:pt>
                <c:pt idx="1409">
                  <c:v>0.16995712474239144</c:v>
                </c:pt>
                <c:pt idx="1410">
                  <c:v>0.16995733858363088</c:v>
                </c:pt>
                <c:pt idx="1411">
                  <c:v>0.16995755135833268</c:v>
                </c:pt>
                <c:pt idx="1412">
                  <c:v>0.16995776307181626</c:v>
                </c:pt>
                <c:pt idx="1413">
                  <c:v>0.16995797372937438</c:v>
                </c:pt>
                <c:pt idx="1414">
                  <c:v>0.1699581833362736</c:v>
                </c:pt>
                <c:pt idx="1415">
                  <c:v>0.16995839189775402</c:v>
                </c:pt>
                <c:pt idx="1416">
                  <c:v>0.16995859941902974</c:v>
                </c:pt>
                <c:pt idx="1417">
                  <c:v>0.16995880590528875</c:v>
                </c:pt>
                <c:pt idx="1418">
                  <c:v>0.16995901136169328</c:v>
                </c:pt>
                <c:pt idx="1419">
                  <c:v>0.16995921579337969</c:v>
                </c:pt>
                <c:pt idx="1420">
                  <c:v>0.16995941920545882</c:v>
                </c:pt>
                <c:pt idx="1421">
                  <c:v>0.16995962160301598</c:v>
                </c:pt>
                <c:pt idx="1422">
                  <c:v>0.16995982299111106</c:v>
                </c:pt>
                <c:pt idx="1423">
                  <c:v>0.16996002337477889</c:v>
                </c:pt>
                <c:pt idx="1424">
                  <c:v>0.169960222759029</c:v>
                </c:pt>
                <c:pt idx="1425">
                  <c:v>0.16996042114884599</c:v>
                </c:pt>
                <c:pt idx="1426">
                  <c:v>0.16996061854918965</c:v>
                </c:pt>
                <c:pt idx="1427">
                  <c:v>0.16996081496499499</c:v>
                </c:pt>
                <c:pt idx="1428">
                  <c:v>0.1699610104011724</c:v>
                </c:pt>
                <c:pt idx="1429">
                  <c:v>0.16996120486260785</c:v>
                </c:pt>
                <c:pt idx="1430">
                  <c:v>0.1699613983541628</c:v>
                </c:pt>
                <c:pt idx="1431">
                  <c:v>0.16996159088067461</c:v>
                </c:pt>
                <c:pt idx="1432">
                  <c:v>0.16996178244695642</c:v>
                </c:pt>
                <c:pt idx="1433">
                  <c:v>0.16996197305779745</c:v>
                </c:pt>
                <c:pt idx="1434">
                  <c:v>0.16996216271796294</c:v>
                </c:pt>
                <c:pt idx="1435">
                  <c:v>0.16996235143219438</c:v>
                </c:pt>
                <c:pt idx="1436">
                  <c:v>0.16996253920520965</c:v>
                </c:pt>
                <c:pt idx="1437">
                  <c:v>0.16996272604170315</c:v>
                </c:pt>
                <c:pt idx="1438">
                  <c:v>0.16996291194634572</c:v>
                </c:pt>
                <c:pt idx="1439">
                  <c:v>0.16996309692378503</c:v>
                </c:pt>
                <c:pt idx="1440">
                  <c:v>0.16996328097864549</c:v>
                </c:pt>
                <c:pt idx="1441">
                  <c:v>0.16996346411552854</c:v>
                </c:pt>
                <c:pt idx="1442">
                  <c:v>0.16996364633901256</c:v>
                </c:pt>
                <c:pt idx="1443">
                  <c:v>0.16996382765365314</c:v>
                </c:pt>
                <c:pt idx="1444">
                  <c:v>0.16996400806398321</c:v>
                </c:pt>
                <c:pt idx="1445">
                  <c:v>0.16996418757451298</c:v>
                </c:pt>
                <c:pt idx="1446">
                  <c:v>0.16996436618973026</c:v>
                </c:pt>
                <c:pt idx="1447">
                  <c:v>0.16996454391410043</c:v>
                </c:pt>
                <c:pt idx="1448">
                  <c:v>0.16996472075206659</c:v>
                </c:pt>
                <c:pt idx="1449">
                  <c:v>0.16996489670804971</c:v>
                </c:pt>
                <c:pt idx="1450">
                  <c:v>0.16996507178644873</c:v>
                </c:pt>
                <c:pt idx="1451">
                  <c:v>0.16996524599164059</c:v>
                </c:pt>
                <c:pt idx="1452">
                  <c:v>0.16996541932798043</c:v>
                </c:pt>
                <c:pt idx="1453">
                  <c:v>0.16996559179980164</c:v>
                </c:pt>
                <c:pt idx="1454">
                  <c:v>0.16996576341141606</c:v>
                </c:pt>
                <c:pt idx="1455">
                  <c:v>0.169965934167114</c:v>
                </c:pt>
                <c:pt idx="1456">
                  <c:v>0.16996610407116436</c:v>
                </c:pt>
                <c:pt idx="1457">
                  <c:v>0.1699662731278147</c:v>
                </c:pt>
                <c:pt idx="1458">
                  <c:v>0.16996644134129146</c:v>
                </c:pt>
                <c:pt idx="1459">
                  <c:v>0.16996660871580005</c:v>
                </c:pt>
                <c:pt idx="1460">
                  <c:v>0.16996677525552478</c:v>
                </c:pt>
                <c:pt idx="1461">
                  <c:v>0.16996694096462917</c:v>
                </c:pt>
                <c:pt idx="1462">
                  <c:v>0.16996710584725594</c:v>
                </c:pt>
                <c:pt idx="1463">
                  <c:v>0.1699672699075272</c:v>
                </c:pt>
                <c:pt idx="1464">
                  <c:v>0.16996743314954443</c:v>
                </c:pt>
                <c:pt idx="1465">
                  <c:v>0.16996759557738872</c:v>
                </c:pt>
                <c:pt idx="1466">
                  <c:v>0.16996775719512075</c:v>
                </c:pt>
                <c:pt idx="1467">
                  <c:v>0.16996791800678096</c:v>
                </c:pt>
                <c:pt idx="1468">
                  <c:v>0.16996807801638969</c:v>
                </c:pt>
                <c:pt idx="1469">
                  <c:v>0.16996823722794713</c:v>
                </c:pt>
                <c:pt idx="1470">
                  <c:v>0.16996839564543365</c:v>
                </c:pt>
                <c:pt idx="1471">
                  <c:v>0.16996855327280966</c:v>
                </c:pt>
                <c:pt idx="1472">
                  <c:v>0.16996871011401585</c:v>
                </c:pt>
                <c:pt idx="1473">
                  <c:v>0.16996886617297324</c:v>
                </c:pt>
                <c:pt idx="1474">
                  <c:v>0.16996902145358336</c:v>
                </c:pt>
                <c:pt idx="1475">
                  <c:v>0.16996917595972819</c:v>
                </c:pt>
                <c:pt idx="1476">
                  <c:v>0.1699693296952704</c:v>
                </c:pt>
                <c:pt idx="1477">
                  <c:v>0.16996948266405343</c:v>
                </c:pt>
                <c:pt idx="1478">
                  <c:v>0.16996963486990144</c:v>
                </c:pt>
                <c:pt idx="1479">
                  <c:v>0.16996978631661963</c:v>
                </c:pt>
                <c:pt idx="1480">
                  <c:v>0.16996993700799415</c:v>
                </c:pt>
                <c:pt idx="1481">
                  <c:v>0.16997008694779231</c:v>
                </c:pt>
                <c:pt idx="1482">
                  <c:v>0.16997023613976259</c:v>
                </c:pt>
                <c:pt idx="1483">
                  <c:v>0.16997038458763486</c:v>
                </c:pt>
                <c:pt idx="1484">
                  <c:v>0.16997053229512021</c:v>
                </c:pt>
                <c:pt idx="1485">
                  <c:v>0.16997067926591147</c:v>
                </c:pt>
                <c:pt idx="1486">
                  <c:v>0.16997082550368281</c:v>
                </c:pt>
                <c:pt idx="1487">
                  <c:v>0.16997097101209024</c:v>
                </c:pt>
                <c:pt idx="1488">
                  <c:v>0.16997111579477145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B1-40FC-BE1E-F7208BC72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68616"/>
        <c:axId val="1220569696"/>
        <c:extLst/>
      </c:scatterChart>
      <c:valAx>
        <c:axId val="122056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0569696"/>
        <c:crosses val="autoZero"/>
        <c:crossBetween val="midCat"/>
      </c:valAx>
      <c:valAx>
        <c:axId val="12205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056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137550161601702"/>
          <c:y val="7.8499148002539321E-2"/>
          <c:w val="0.678624458524275"/>
          <c:h val="9.2645647016895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1982560031235764E-2"/>
          <c:y val="6.9948137670909946E-2"/>
          <c:w val="0.94958217826077529"/>
          <c:h val="0.9196935036585773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Rocof!$X$6</c:f>
              <c:strCache>
                <c:ptCount val="1"/>
                <c:pt idx="0">
                  <c:v>Pdown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Rocof!$A$7:$A$1494</c:f>
              <c:numCache>
                <c:formatCode>General</c:formatCode>
                <c:ptCount val="1488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</c:numCache>
            </c:numRef>
          </c:xVal>
          <c:yVal>
            <c:numRef>
              <c:f>Rocof!$X$7:$X$1494</c:f>
              <c:numCache>
                <c:formatCode>General</c:formatCode>
                <c:ptCount val="148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0.10031818024027021</c:v>
                </c:pt>
                <c:pt idx="6">
                  <c:v>0.10126495212032821</c:v>
                </c:pt>
                <c:pt idx="7">
                  <c:v>0.10282025138745546</c:v>
                </c:pt>
                <c:pt idx="8">
                  <c:v>0.1049561314799124</c:v>
                </c:pt>
                <c:pt idx="9">
                  <c:v>0.10763962272914501</c:v>
                </c:pt>
                <c:pt idx="10">
                  <c:v>0.11083455499845565</c:v>
                </c:pt>
                <c:pt idx="11">
                  <c:v>0.11450274803632705</c:v>
                </c:pt>
                <c:pt idx="12">
                  <c:v>0.11860481452003192</c:v>
                </c:pt>
                <c:pt idx="13">
                  <c:v>0.12310072417278708</c:v>
                </c:pt>
                <c:pt idx="14">
                  <c:v>0.12795021878051427</c:v>
                </c:pt>
                <c:pt idx="15">
                  <c:v>0.13311313244598366</c:v>
                </c:pt>
                <c:pt idx="16">
                  <c:v>0.1385496499211378</c:v>
                </c:pt>
                <c:pt idx="17">
                  <c:v>0.14422052284677156</c:v>
                </c:pt>
                <c:pt idx="18">
                  <c:v>0.15008725586287419</c:v>
                </c:pt>
                <c:pt idx="19">
                  <c:v>0.15611226980714948</c:v>
                </c:pt>
                <c:pt idx="20">
                  <c:v>0.16225904636483307</c:v>
                </c:pt>
                <c:pt idx="21">
                  <c:v>0.16849225682460517</c:v>
                </c:pt>
                <c:pt idx="22">
                  <c:v>0.17477787658105326</c:v>
                </c:pt>
                <c:pt idx="23">
                  <c:v>0.18108328642949983</c:v>
                </c:pt>
                <c:pt idx="24">
                  <c:v>0.18737736135769117</c:v>
                </c:pt>
                <c:pt idx="25">
                  <c:v>0.19363054734988858</c:v>
                </c:pt>
                <c:pt idx="26">
                  <c:v>0.19981492662106193</c:v>
                </c:pt>
                <c:pt idx="27">
                  <c:v>0.20590427165498359</c:v>
                </c:pt>
                <c:pt idx="28">
                  <c:v>0.21187408840751004</c:v>
                </c:pt>
                <c:pt idx="29">
                  <c:v>0.21770164904152928</c:v>
                </c:pt>
                <c:pt idx="30">
                  <c:v>0.22336601457465893</c:v>
                </c:pt>
                <c:pt idx="31">
                  <c:v>0.22884804783977103</c:v>
                </c:pt>
                <c:pt idx="32">
                  <c:v>0.23413041717877436</c:v>
                </c:pt>
                <c:pt idx="33">
                  <c:v>0.23919759130998297</c:v>
                </c:pt>
                <c:pt idx="34">
                  <c:v>0.24403582582776395</c:v>
                </c:pt>
                <c:pt idx="35">
                  <c:v>0.24863314180937085</c:v>
                </c:pt>
                <c:pt idx="36">
                  <c:v>0.25297929701758859</c:v>
                </c:pt>
                <c:pt idx="37">
                  <c:v>0.25706575019887201</c:v>
                </c:pt>
                <c:pt idx="38">
                  <c:v>0.26088561898499713</c:v>
                </c:pt>
                <c:pt idx="39">
                  <c:v>0.26443363191187108</c:v>
                </c:pt>
                <c:pt idx="40">
                  <c:v>0.26770607507211847</c:v>
                </c:pt>
                <c:pt idx="41">
                  <c:v>0.27070073391846428</c:v>
                </c:pt>
                <c:pt idx="42">
                  <c:v>0.27341683073287243</c:v>
                </c:pt>
                <c:pt idx="43">
                  <c:v>0.27585495827198958</c:v>
                </c:pt>
                <c:pt idx="44">
                  <c:v>0.27801701009282087</c:v>
                </c:pt>
                <c:pt idx="45">
                  <c:v>0.27990610805385718</c:v>
                </c:pt>
                <c:pt idx="46">
                  <c:v>0.28152652747622769</c:v>
                </c:pt>
                <c:pt idx="47">
                  <c:v>0.28288362043700849</c:v>
                </c:pt>
                <c:pt idx="48">
                  <c:v>0.28398373765272517</c:v>
                </c:pt>
                <c:pt idx="49">
                  <c:v>0.28483414939549057</c:v>
                </c:pt>
                <c:pt idx="50">
                  <c:v>0.28544296586726786</c:v>
                </c:pt>
                <c:pt idx="51">
                  <c:v>0.28581905743958991</c:v>
                </c:pt>
                <c:pt idx="52">
                  <c:v>0.28597197514684247</c:v>
                </c:pt>
                <c:pt idx="53">
                  <c:v>0.28591187180107802</c:v>
                </c:pt>
                <c:pt idx="54">
                  <c:v>0.28564942407540744</c:v>
                </c:pt>
                <c:pt idx="55">
                  <c:v>0.28519575588145835</c:v>
                </c:pt>
                <c:pt idx="56">
                  <c:v>0.28456236334432339</c:v>
                </c:pt>
                <c:pt idx="57">
                  <c:v>0.28376104165598121</c:v>
                </c:pt>
                <c:pt idx="58">
                  <c:v>0.28280381406548633</c:v>
                </c:pt>
                <c:pt idx="59">
                  <c:v>0.28170286324140015</c:v>
                </c:pt>
                <c:pt idx="60">
                  <c:v>0.28047046521910851</c:v>
                </c:pt>
                <c:pt idx="61">
                  <c:v>0.27911892612293132</c:v>
                </c:pt>
                <c:pt idx="62">
                  <c:v>0.27766052183039625</c:v>
                </c:pt>
                <c:pt idx="63">
                  <c:v>0.27610744072381099</c:v>
                </c:pt>
                <c:pt idx="64">
                  <c:v>0.27447172965242078</c:v>
                </c:pt>
                <c:pt idx="65">
                  <c:v>0.27276524320706919</c:v>
                </c:pt>
                <c:pt idx="66">
                  <c:v>0.27099959638845972</c:v>
                </c:pt>
                <c:pt idx="67">
                  <c:v>0.2691861207299317</c:v>
                </c:pt>
                <c:pt idx="68">
                  <c:v>0.26733582391616328</c:v>
                </c:pt>
                <c:pt idx="69">
                  <c:v>0.26545935292047484</c:v>
                </c:pt>
                <c:pt idx="70">
                  <c:v>0.26356696066546603</c:v>
                </c:pt>
                <c:pt idx="71">
                  <c:v>0.26166847619463657</c:v>
                </c:pt>
                <c:pt idx="72">
                  <c:v>0.25977327832644592</c:v>
                </c:pt>
                <c:pt idx="73">
                  <c:v>0.25789027274700177</c:v>
                </c:pt>
                <c:pt idx="74">
                  <c:v>0.25602787248325354</c:v>
                </c:pt>
                <c:pt idx="75">
                  <c:v>0.25419398168523233</c:v>
                </c:pt>
                <c:pt idx="76">
                  <c:v>0.25239598263353225</c:v>
                </c:pt>
                <c:pt idx="77">
                  <c:v>0.25064072587688846</c:v>
                </c:pt>
                <c:pt idx="78">
                  <c:v>0.24893452339437411</c:v>
                </c:pt>
                <c:pt idx="79">
                  <c:v>0.24728314466741291</c:v>
                </c:pt>
                <c:pt idx="80">
                  <c:v>0.2456918155384844</c:v>
                </c:pt>
                <c:pt idx="81">
                  <c:v>0.24416521972607252</c:v>
                </c:pt>
                <c:pt idx="82">
                  <c:v>0.24270750285906489</c:v>
                </c:pt>
                <c:pt idx="83">
                  <c:v>0.241322278888427</c:v>
                </c:pt>
                <c:pt idx="84">
                  <c:v>0.24001263872954087</c:v>
                </c:pt>
                <c:pt idx="85">
                  <c:v>0.23878116098507374</c:v>
                </c:pt>
                <c:pt idx="86">
                  <c:v>0.23762992459561455</c:v>
                </c:pt>
                <c:pt idx="87">
                  <c:v>0.23656052326354354</c:v>
                </c:pt>
                <c:pt idx="88">
                  <c:v>0.23557408149465409</c:v>
                </c:pt>
                <c:pt idx="89">
                  <c:v>0.23467127210189082</c:v>
                </c:pt>
                <c:pt idx="90">
                  <c:v>0.23385233501616387</c:v>
                </c:pt>
                <c:pt idx="91">
                  <c:v>0.23311709725050761</c:v>
                </c:pt>
                <c:pt idx="92">
                  <c:v>0.23246499386583347</c:v>
                </c:pt>
                <c:pt idx="93">
                  <c:v>0.23189508978913492</c:v>
                </c:pt>
                <c:pt idx="94">
                  <c:v>0.23140610233819986</c:v>
                </c:pt>
                <c:pt idx="95">
                  <c:v>0.23099642431062273</c:v>
                </c:pt>
                <c:pt idx="96">
                  <c:v>0.23066414749914521</c:v>
                </c:pt>
                <c:pt idx="97">
                  <c:v>0.23040708650004438</c:v>
                </c:pt>
                <c:pt idx="98">
                  <c:v>0.2302228026863844</c:v>
                </c:pt>
                <c:pt idx="99">
                  <c:v>0.23010862822341205</c:v>
                </c:pt>
                <c:pt idx="100">
                  <c:v>0.23006169000915883</c:v>
                </c:pt>
                <c:pt idx="101">
                  <c:v>0.23007893342937424</c:v>
                </c:pt>
                <c:pt idx="102">
                  <c:v>0.22997878933110649</c:v>
                </c:pt>
                <c:pt idx="103">
                  <c:v>0.22987914470361259</c:v>
                </c:pt>
                <c:pt idx="104">
                  <c:v>0.22977999705577162</c:v>
                </c:pt>
                <c:pt idx="105">
                  <c:v>0.22968134390888728</c:v>
                </c:pt>
                <c:pt idx="106">
                  <c:v>0.22958318279662571</c:v>
                </c:pt>
                <c:pt idx="107">
                  <c:v>0.22948551126495403</c:v>
                </c:pt>
                <c:pt idx="108">
                  <c:v>0.22938832687207888</c:v>
                </c:pt>
                <c:pt idx="109">
                  <c:v>0.22929162718838531</c:v>
                </c:pt>
                <c:pt idx="110">
                  <c:v>0.2291954097963762</c:v>
                </c:pt>
                <c:pt idx="111">
                  <c:v>0.22909967229061179</c:v>
                </c:pt>
                <c:pt idx="112">
                  <c:v>0.22900441227764945</c:v>
                </c:pt>
                <c:pt idx="113">
                  <c:v>0.2289096273759838</c:v>
                </c:pt>
                <c:pt idx="114">
                  <c:v>0.22881531521598747</c:v>
                </c:pt>
                <c:pt idx="115">
                  <c:v>0.2287214734398515</c:v>
                </c:pt>
                <c:pt idx="116">
                  <c:v>0.22862809970152659</c:v>
                </c:pt>
                <c:pt idx="117">
                  <c:v>0.22853519166666442</c:v>
                </c:pt>
                <c:pt idx="118">
                  <c:v>0.22844274701255934</c:v>
                </c:pt>
                <c:pt idx="119">
                  <c:v>0.22835076342809008</c:v>
                </c:pt>
                <c:pt idx="120">
                  <c:v>0.22825923861366232</c:v>
                </c:pt>
                <c:pt idx="121">
                  <c:v>0.22816817028115088</c:v>
                </c:pt>
                <c:pt idx="122">
                  <c:v>0.22807755615384279</c:v>
                </c:pt>
                <c:pt idx="123">
                  <c:v>0.22798739396638001</c:v>
                </c:pt>
                <c:pt idx="124">
                  <c:v>0.22789768146470329</c:v>
                </c:pt>
                <c:pt idx="125">
                  <c:v>0.22780841640599531</c:v>
                </c:pt>
                <c:pt idx="126">
                  <c:v>0.22771959655862506</c:v>
                </c:pt>
                <c:pt idx="127">
                  <c:v>0.22763121970209166</c:v>
                </c:pt>
                <c:pt idx="128">
                  <c:v>0.22754328362696907</c:v>
                </c:pt>
                <c:pt idx="129">
                  <c:v>0.2274557861348509</c:v>
                </c:pt>
                <c:pt idx="130">
                  <c:v>0.22736872503829525</c:v>
                </c:pt>
                <c:pt idx="131">
                  <c:v>0.22728209816077016</c:v>
                </c:pt>
                <c:pt idx="132">
                  <c:v>0.22719590333659917</c:v>
                </c:pt>
                <c:pt idx="133">
                  <c:v>0.22711013841090727</c:v>
                </c:pt>
                <c:pt idx="134">
                  <c:v>0.22702480123956681</c:v>
                </c:pt>
                <c:pt idx="135">
                  <c:v>0.22693988968914403</c:v>
                </c:pt>
                <c:pt idx="136">
                  <c:v>0.22685540163684575</c:v>
                </c:pt>
                <c:pt idx="137">
                  <c:v>0.22677133497046625</c:v>
                </c:pt>
                <c:pt idx="138">
                  <c:v>0.22668768758833457</c:v>
                </c:pt>
                <c:pt idx="139">
                  <c:v>0.22660445739926177</c:v>
                </c:pt>
                <c:pt idx="140">
                  <c:v>0.22652164232248873</c:v>
                </c:pt>
                <c:pt idx="141">
                  <c:v>0.22643924028763424</c:v>
                </c:pt>
                <c:pt idx="142">
                  <c:v>0.22635724923464318</c:v>
                </c:pt>
                <c:pt idx="143">
                  <c:v>0.22627566711373492</c:v>
                </c:pt>
                <c:pt idx="144">
                  <c:v>0.22619449188535218</c:v>
                </c:pt>
                <c:pt idx="145">
                  <c:v>0.22611372152011006</c:v>
                </c:pt>
                <c:pt idx="146">
                  <c:v>0.22603335399874519</c:v>
                </c:pt>
                <c:pt idx="147">
                  <c:v>0.22595338731206532</c:v>
                </c:pt>
                <c:pt idx="148">
                  <c:v>0.22587381946089924</c:v>
                </c:pt>
                <c:pt idx="149">
                  <c:v>0.22579464845604635</c:v>
                </c:pt>
                <c:pt idx="150">
                  <c:v>0.2257158723182276</c:v>
                </c:pt>
                <c:pt idx="151">
                  <c:v>0.22563748907803527</c:v>
                </c:pt>
                <c:pt idx="152">
                  <c:v>0.22555949677588438</c:v>
                </c:pt>
                <c:pt idx="153">
                  <c:v>0.22548189346196323</c:v>
                </c:pt>
                <c:pt idx="154">
                  <c:v>0.22540467719618501</c:v>
                </c:pt>
                <c:pt idx="155">
                  <c:v>0.22532784604813905</c:v>
                </c:pt>
                <c:pt idx="156">
                  <c:v>0.22525139809704259</c:v>
                </c:pt>
                <c:pt idx="157">
                  <c:v>0.22517533143169288</c:v>
                </c:pt>
                <c:pt idx="158">
                  <c:v>0.22509964415041939</c:v>
                </c:pt>
                <c:pt idx="159">
                  <c:v>0.22502433436103608</c:v>
                </c:pt>
                <c:pt idx="160">
                  <c:v>0.22494940018079429</c:v>
                </c:pt>
                <c:pt idx="161">
                  <c:v>0.22487483973633571</c:v>
                </c:pt>
                <c:pt idx="162">
                  <c:v>0.22480065116364517</c:v>
                </c:pt>
                <c:pt idx="163">
                  <c:v>0.22472683260800469</c:v>
                </c:pt>
                <c:pt idx="164">
                  <c:v>0.22465338222394637</c:v>
                </c:pt>
                <c:pt idx="165">
                  <c:v>0.22458029817520686</c:v>
                </c:pt>
                <c:pt idx="166">
                  <c:v>0.22450757863468113</c:v>
                </c:pt>
                <c:pt idx="167">
                  <c:v>0.22443522178437686</c:v>
                </c:pt>
                <c:pt idx="168">
                  <c:v>0.22436322581536899</c:v>
                </c:pt>
                <c:pt idx="169">
                  <c:v>0.22429158892775464</c:v>
                </c:pt>
                <c:pt idx="170">
                  <c:v>0.22422030933060783</c:v>
                </c:pt>
                <c:pt idx="171">
                  <c:v>0.22414938524193495</c:v>
                </c:pt>
                <c:pt idx="172">
                  <c:v>0.22407881488863002</c:v>
                </c:pt>
                <c:pt idx="173">
                  <c:v>0.22400859650643062</c:v>
                </c:pt>
                <c:pt idx="174">
                  <c:v>0.22393872833987349</c:v>
                </c:pt>
                <c:pt idx="175">
                  <c:v>0.22386920864225079</c:v>
                </c:pt>
                <c:pt idx="176">
                  <c:v>0.22380003567556656</c:v>
                </c:pt>
                <c:pt idx="177">
                  <c:v>0.22373120771049293</c:v>
                </c:pt>
                <c:pt idx="178">
                  <c:v>0.22366272302632723</c:v>
                </c:pt>
                <c:pt idx="179">
                  <c:v>0.22359457991094883</c:v>
                </c:pt>
                <c:pt idx="180">
                  <c:v>0.22352677666077625</c:v>
                </c:pt>
                <c:pt idx="181">
                  <c:v>0.22345931158072468</c:v>
                </c:pt>
                <c:pt idx="182">
                  <c:v>0.22339218298416363</c:v>
                </c:pt>
                <c:pt idx="183">
                  <c:v>0.2233253891928747</c:v>
                </c:pt>
                <c:pt idx="184">
                  <c:v>0.22325892853700963</c:v>
                </c:pt>
                <c:pt idx="185">
                  <c:v>0.22319279935504854</c:v>
                </c:pt>
                <c:pt idx="186">
                  <c:v>0.22312699999375851</c:v>
                </c:pt>
                <c:pt idx="187">
                  <c:v>0.22306152880815194</c:v>
                </c:pt>
                <c:pt idx="188">
                  <c:v>0.2229963841614459</c:v>
                </c:pt>
                <c:pt idx="189">
                  <c:v>0.22293156442502082</c:v>
                </c:pt>
                <c:pt idx="190">
                  <c:v>0.22286706797837985</c:v>
                </c:pt>
                <c:pt idx="191">
                  <c:v>0.22280289320910851</c:v>
                </c:pt>
                <c:pt idx="192">
                  <c:v>0.22273903851283422</c:v>
                </c:pt>
                <c:pt idx="193">
                  <c:v>0.22267550229318622</c:v>
                </c:pt>
                <c:pt idx="194">
                  <c:v>0.22261228296175578</c:v>
                </c:pt>
                <c:pt idx="195">
                  <c:v>0.22254937893805621</c:v>
                </c:pt>
                <c:pt idx="196">
                  <c:v>0.22248678864948379</c:v>
                </c:pt>
                <c:pt idx="197">
                  <c:v>0.22242451053127787</c:v>
                </c:pt>
                <c:pt idx="198">
                  <c:v>0.2223625430264824</c:v>
                </c:pt>
                <c:pt idx="199">
                  <c:v>0.22230088458590647</c:v>
                </c:pt>
                <c:pt idx="200">
                  <c:v>0.22223953366808585</c:v>
                </c:pt>
                <c:pt idx="201">
                  <c:v>0.2221784887392444</c:v>
                </c:pt>
                <c:pt idx="202">
                  <c:v>0.22211774827325576</c:v>
                </c:pt>
                <c:pt idx="203">
                  <c:v>0.22205731075160501</c:v>
                </c:pt>
                <c:pt idx="204">
                  <c:v>0.22199717466335112</c:v>
                </c:pt>
                <c:pt idx="205">
                  <c:v>0.22193733850508862</c:v>
                </c:pt>
                <c:pt idx="206">
                  <c:v>0.22187780078091052</c:v>
                </c:pt>
                <c:pt idx="207">
                  <c:v>0.22181856000237055</c:v>
                </c:pt>
                <c:pt idx="208">
                  <c:v>0.22175961468844618</c:v>
                </c:pt>
                <c:pt idx="209">
                  <c:v>0.22170096336550149</c:v>
                </c:pt>
                <c:pt idx="210">
                  <c:v>0.22164260456725043</c:v>
                </c:pt>
                <c:pt idx="211">
                  <c:v>0.2215845368347199</c:v>
                </c:pt>
                <c:pt idx="212">
                  <c:v>0.22152675871621358</c:v>
                </c:pt>
                <c:pt idx="213">
                  <c:v>0.22146926876727552</c:v>
                </c:pt>
                <c:pt idx="214">
                  <c:v>0.22141206555065401</c:v>
                </c:pt>
                <c:pt idx="215">
                  <c:v>0.22135514763626568</c:v>
                </c:pt>
                <c:pt idx="216">
                  <c:v>0.22129851360115965</c:v>
                </c:pt>
                <c:pt idx="217">
                  <c:v>0.2212421620294821</c:v>
                </c:pt>
                <c:pt idx="218">
                  <c:v>0.22118609151244079</c:v>
                </c:pt>
                <c:pt idx="219">
                  <c:v>0.22113030064826994</c:v>
                </c:pt>
                <c:pt idx="220">
                  <c:v>0.22107478804219499</c:v>
                </c:pt>
                <c:pt idx="221">
                  <c:v>0.22101955230639792</c:v>
                </c:pt>
                <c:pt idx="222">
                  <c:v>0.22096459205998242</c:v>
                </c:pt>
                <c:pt idx="223">
                  <c:v>0.2209099059289395</c:v>
                </c:pt>
                <c:pt idx="224">
                  <c:v>0.22085549254611303</c:v>
                </c:pt>
                <c:pt idx="225">
                  <c:v>0.22080135055116562</c:v>
                </c:pt>
                <c:pt idx="226">
                  <c:v>0.22074747859054455</c:v>
                </c:pt>
                <c:pt idx="227">
                  <c:v>0.220693875317448</c:v>
                </c:pt>
                <c:pt idx="228">
                  <c:v>0.2206405393917914</c:v>
                </c:pt>
                <c:pt idx="229">
                  <c:v>0.22058746948017377</c:v>
                </c:pt>
                <c:pt idx="230">
                  <c:v>0.22053466425584456</c:v>
                </c:pt>
                <c:pt idx="231">
                  <c:v>0.22048212239867043</c:v>
                </c:pt>
                <c:pt idx="232">
                  <c:v>0.22042984259510218</c:v>
                </c:pt>
                <c:pt idx="233">
                  <c:v>0.22037782353814206</c:v>
                </c:pt>
                <c:pt idx="234">
                  <c:v>0.22032606392731091</c:v>
                </c:pt>
                <c:pt idx="235">
                  <c:v>0.22027456246861576</c:v>
                </c:pt>
                <c:pt idx="236">
                  <c:v>0.22022331787451743</c:v>
                </c:pt>
                <c:pt idx="237">
                  <c:v>0.22017232886389848</c:v>
                </c:pt>
                <c:pt idx="238">
                  <c:v>0.22012159416203092</c:v>
                </c:pt>
                <c:pt idx="239">
                  <c:v>0.22007111250054456</c:v>
                </c:pt>
                <c:pt idx="240">
                  <c:v>0.22002088261739522</c:v>
                </c:pt>
                <c:pt idx="241">
                  <c:v>0.21997090325683327</c:v>
                </c:pt>
                <c:pt idx="242">
                  <c:v>0.2199211731693721</c:v>
                </c:pt>
                <c:pt idx="243">
                  <c:v>0.21987169111175686</c:v>
                </c:pt>
                <c:pt idx="244">
                  <c:v>0.21982245584693355</c:v>
                </c:pt>
                <c:pt idx="245">
                  <c:v>0.21977346614401799</c:v>
                </c:pt>
                <c:pt idx="246">
                  <c:v>0.2197247207782651</c:v>
                </c:pt>
                <c:pt idx="247">
                  <c:v>0.21967621853103814</c:v>
                </c:pt>
                <c:pt idx="248">
                  <c:v>0.21962795818977843</c:v>
                </c:pt>
                <c:pt idx="249">
                  <c:v>0.21957993854797492</c:v>
                </c:pt>
                <c:pt idx="250">
                  <c:v>0.21953215840513407</c:v>
                </c:pt>
                <c:pt idx="251">
                  <c:v>0.21948461656674983</c:v>
                </c:pt>
                <c:pt idx="252">
                  <c:v>0.21943731184427373</c:v>
                </c:pt>
                <c:pt idx="253">
                  <c:v>0.21939024305508525</c:v>
                </c:pt>
                <c:pt idx="254">
                  <c:v>0.21934340902246224</c:v>
                </c:pt>
                <c:pt idx="255">
                  <c:v>0.21929680857555145</c:v>
                </c:pt>
                <c:pt idx="256">
                  <c:v>0.21925044054933923</c:v>
                </c:pt>
                <c:pt idx="257">
                  <c:v>0.21920430378462258</c:v>
                </c:pt>
                <c:pt idx="258">
                  <c:v>0.21915839712797991</c:v>
                </c:pt>
                <c:pt idx="259">
                  <c:v>0.21911271943174243</c:v>
                </c:pt>
                <c:pt idx="260">
                  <c:v>0.21906726955396533</c:v>
                </c:pt>
                <c:pt idx="261">
                  <c:v>0.21902204635839939</c:v>
                </c:pt>
                <c:pt idx="262">
                  <c:v>0.21897704871446227</c:v>
                </c:pt>
                <c:pt idx="263">
                  <c:v>0.21893227549721062</c:v>
                </c:pt>
                <c:pt idx="264">
                  <c:v>0.21888772558731157</c:v>
                </c:pt>
                <c:pt idx="265">
                  <c:v>0.21884339787101514</c:v>
                </c:pt>
                <c:pt idx="266">
                  <c:v>0.21879929124012604</c:v>
                </c:pt>
                <c:pt idx="267">
                  <c:v>0.21875540459197629</c:v>
                </c:pt>
                <c:pt idx="268">
                  <c:v>0.21871173682939732</c:v>
                </c:pt>
                <c:pt idx="269">
                  <c:v>0.21866828686069278</c:v>
                </c:pt>
                <c:pt idx="270">
                  <c:v>0.21862505359961132</c:v>
                </c:pt>
                <c:pt idx="271">
                  <c:v>0.218582035965319</c:v>
                </c:pt>
                <c:pt idx="272">
                  <c:v>0.21853923288237281</c:v>
                </c:pt>
                <c:pt idx="273">
                  <c:v>0.21849664328069346</c:v>
                </c:pt>
                <c:pt idx="274">
                  <c:v>0.21845426609553864</c:v>
                </c:pt>
                <c:pt idx="275">
                  <c:v>0.21841210026747654</c:v>
                </c:pt>
                <c:pt idx="276">
                  <c:v>0.21837014474235927</c:v>
                </c:pt>
                <c:pt idx="277">
                  <c:v>0.21832839847129648</c:v>
                </c:pt>
                <c:pt idx="278">
                  <c:v>0.21828686041062928</c:v>
                </c:pt>
                <c:pt idx="279">
                  <c:v>0.2182455295219039</c:v>
                </c:pt>
                <c:pt idx="280">
                  <c:v>0.21820440477184605</c:v>
                </c:pt>
                <c:pt idx="281">
                  <c:v>0.2181634851323348</c:v>
                </c:pt>
                <c:pt idx="282">
                  <c:v>0.21812276958037707</c:v>
                </c:pt>
                <c:pt idx="283">
                  <c:v>0.21808225709808188</c:v>
                </c:pt>
                <c:pt idx="284">
                  <c:v>0.2180419466726351</c:v>
                </c:pt>
                <c:pt idx="285">
                  <c:v>0.21800183729627404</c:v>
                </c:pt>
                <c:pt idx="286">
                  <c:v>0.21796192796626207</c:v>
                </c:pt>
                <c:pt idx="287">
                  <c:v>0.21792221768486397</c:v>
                </c:pt>
                <c:pt idx="288">
                  <c:v>0.21788270545932065</c:v>
                </c:pt>
                <c:pt idx="289">
                  <c:v>0.21784339030182431</c:v>
                </c:pt>
                <c:pt idx="290">
                  <c:v>0.21780427122949403</c:v>
                </c:pt>
                <c:pt idx="291">
                  <c:v>0.21776534726435098</c:v>
                </c:pt>
                <c:pt idx="292">
                  <c:v>0.21772661743329402</c:v>
                </c:pt>
                <c:pt idx="293">
                  <c:v>0.21768808076807528</c:v>
                </c:pt>
                <c:pt idx="294">
                  <c:v>0.21764973630527612</c:v>
                </c:pt>
                <c:pt idx="295">
                  <c:v>0.21761158308628309</c:v>
                </c:pt>
                <c:pt idx="296">
                  <c:v>0.21757362015726361</c:v>
                </c:pt>
                <c:pt idx="297">
                  <c:v>0.21753584656914254</c:v>
                </c:pt>
                <c:pt idx="298">
                  <c:v>0.21749826137757822</c:v>
                </c:pt>
                <c:pt idx="299">
                  <c:v>0.21746086364293882</c:v>
                </c:pt>
                <c:pt idx="300">
                  <c:v>0.21742365243027911</c:v>
                </c:pt>
                <c:pt idx="301">
                  <c:v>0.21738662680931681</c:v>
                </c:pt>
                <c:pt idx="302">
                  <c:v>0.21734978585440945</c:v>
                </c:pt>
                <c:pt idx="303">
                  <c:v>0.21731312864453123</c:v>
                </c:pt>
                <c:pt idx="304">
                  <c:v>0.21727665426325005</c:v>
                </c:pt>
                <c:pt idx="305">
                  <c:v>0.21724036179870443</c:v>
                </c:pt>
                <c:pt idx="306">
                  <c:v>0.21720425034358087</c:v>
                </c:pt>
                <c:pt idx="307">
                  <c:v>0.21716831899509115</c:v>
                </c:pt>
                <c:pt idx="308">
                  <c:v>0.21713256685494964</c:v>
                </c:pt>
                <c:pt idx="309">
                  <c:v>0.21709699302935098</c:v>
                </c:pt>
                <c:pt idx="310">
                  <c:v>0.2170615966289477</c:v>
                </c:pt>
                <c:pt idx="311">
                  <c:v>0.21702637676882797</c:v>
                </c:pt>
                <c:pt idx="312">
                  <c:v>0.21699133256849334</c:v>
                </c:pt>
                <c:pt idx="313">
                  <c:v>0.21695646315183714</c:v>
                </c:pt>
                <c:pt idx="314">
                  <c:v>0.21692176764712207</c:v>
                </c:pt>
                <c:pt idx="315">
                  <c:v>0.21688724518695857</c:v>
                </c:pt>
                <c:pt idx="316">
                  <c:v>0.21685289490828352</c:v>
                </c:pt>
                <c:pt idx="317">
                  <c:v>0.21681871595233809</c:v>
                </c:pt>
                <c:pt idx="318">
                  <c:v>0.21678470746464668</c:v>
                </c:pt>
                <c:pt idx="319">
                  <c:v>0.21675086859499521</c:v>
                </c:pt>
                <c:pt idx="320">
                  <c:v>0.21671719849741017</c:v>
                </c:pt>
                <c:pt idx="321">
                  <c:v>0.21668369633013745</c:v>
                </c:pt>
                <c:pt idx="322">
                  <c:v>0.21665036125562109</c:v>
                </c:pt>
                <c:pt idx="323">
                  <c:v>0.21661719244048255</c:v>
                </c:pt>
                <c:pt idx="324">
                  <c:v>0.21658418905549959</c:v>
                </c:pt>
                <c:pt idx="325">
                  <c:v>0.21655135027558597</c:v>
                </c:pt>
                <c:pt idx="326">
                  <c:v>0.21651867527977048</c:v>
                </c:pt>
                <c:pt idx="327">
                  <c:v>0.21648616325117648</c:v>
                </c:pt>
                <c:pt idx="328">
                  <c:v>0.21645381337700154</c:v>
                </c:pt>
                <c:pt idx="329">
                  <c:v>0.2164216248484972</c:v>
                </c:pt>
                <c:pt idx="330">
                  <c:v>0.21638959686094855</c:v>
                </c:pt>
                <c:pt idx="331">
                  <c:v>0.21635772861365421</c:v>
                </c:pt>
                <c:pt idx="332">
                  <c:v>0.2163260193099063</c:v>
                </c:pt>
                <c:pt idx="333">
                  <c:v>0.21629446815697068</c:v>
                </c:pt>
                <c:pt idx="334">
                  <c:v>0.21626307436606679</c:v>
                </c:pt>
                <c:pt idx="335">
                  <c:v>0.21623183715234823</c:v>
                </c:pt>
                <c:pt idx="336">
                  <c:v>0.21620075573488307</c:v>
                </c:pt>
                <c:pt idx="337">
                  <c:v>0.21616982933663426</c:v>
                </c:pt>
                <c:pt idx="338">
                  <c:v>0.21613905718444021</c:v>
                </c:pt>
                <c:pt idx="339">
                  <c:v>0.21610843850899547</c:v>
                </c:pt>
                <c:pt idx="340">
                  <c:v>0.21607797254483169</c:v>
                </c:pt>
                <c:pt idx="341">
                  <c:v>0.216047658530298</c:v>
                </c:pt>
                <c:pt idx="342">
                  <c:v>0.21601749570754258</c:v>
                </c:pt>
                <c:pt idx="343">
                  <c:v>0.21598748332249329</c:v>
                </c:pt>
                <c:pt idx="344">
                  <c:v>0.21595762062483886</c:v>
                </c:pt>
                <c:pt idx="345">
                  <c:v>0.21592790686801039</c:v>
                </c:pt>
                <c:pt idx="346">
                  <c:v>0.21589834130916236</c:v>
                </c:pt>
                <c:pt idx="347">
                  <c:v>0.21586892320915424</c:v>
                </c:pt>
                <c:pt idx="348">
                  <c:v>0.21583965183253201</c:v>
                </c:pt>
                <c:pt idx="349">
                  <c:v>0.21581052644750981</c:v>
                </c:pt>
                <c:pt idx="350">
                  <c:v>0.21578154632595137</c:v>
                </c:pt>
                <c:pt idx="351">
                  <c:v>0.21575271074335223</c:v>
                </c:pt>
                <c:pt idx="352">
                  <c:v>0.21572401897882126</c:v>
                </c:pt>
                <c:pt idx="353">
                  <c:v>0.21569547031506292</c:v>
                </c:pt>
                <c:pt idx="354">
                  <c:v>0.21566706403835906</c:v>
                </c:pt>
                <c:pt idx="355">
                  <c:v>0.21563879943855135</c:v>
                </c:pt>
                <c:pt idx="356">
                  <c:v>0.21561067580902327</c:v>
                </c:pt>
                <c:pt idx="357">
                  <c:v>0.21558269244668266</c:v>
                </c:pt>
                <c:pt idx="358">
                  <c:v>0.21555484865194396</c:v>
                </c:pt>
                <c:pt idx="359">
                  <c:v>0.2155271437287109</c:v>
                </c:pt>
                <c:pt idx="360">
                  <c:v>0.21549957698435895</c:v>
                </c:pt>
                <c:pt idx="361">
                  <c:v>0.21547214772971801</c:v>
                </c:pt>
                <c:pt idx="362">
                  <c:v>0.21544485527905533</c:v>
                </c:pt>
                <c:pt idx="363">
                  <c:v>0.21541769895005819</c:v>
                </c:pt>
                <c:pt idx="364">
                  <c:v>0.21539067806381701</c:v>
                </c:pt>
                <c:pt idx="365">
                  <c:v>0.21536379194480815</c:v>
                </c:pt>
                <c:pt idx="366">
                  <c:v>0.21533703992087727</c:v>
                </c:pt>
                <c:pt idx="367">
                  <c:v>0.21531042132322242</c:v>
                </c:pt>
                <c:pt idx="368">
                  <c:v>0.21528393548637725</c:v>
                </c:pt>
                <c:pt idx="369">
                  <c:v>0.21525758174819443</c:v>
                </c:pt>
                <c:pt idx="370">
                  <c:v>0.21523135944982913</c:v>
                </c:pt>
                <c:pt idx="371">
                  <c:v>0.21520526793572253</c:v>
                </c:pt>
                <c:pt idx="372">
                  <c:v>0.21517930655358547</c:v>
                </c:pt>
                <c:pt idx="373">
                  <c:v>0.21515347465438195</c:v>
                </c:pt>
                <c:pt idx="374">
                  <c:v>0.21512777159231328</c:v>
                </c:pt>
                <c:pt idx="375">
                  <c:v>0.21510219672480141</c:v>
                </c:pt>
                <c:pt idx="376">
                  <c:v>0.21507674941247346</c:v>
                </c:pt>
                <c:pt idx="377">
                  <c:v>0.2150514290191452</c:v>
                </c:pt>
                <c:pt idx="378">
                  <c:v>0.2150262349118055</c:v>
                </c:pt>
                <c:pt idx="379">
                  <c:v>0.21500116646060041</c:v>
                </c:pt>
                <c:pt idx="380">
                  <c:v>0.2149762230388173</c:v>
                </c:pt>
                <c:pt idx="381">
                  <c:v>0.21495140402286939</c:v>
                </c:pt>
                <c:pt idx="382">
                  <c:v>0.21492670879227987</c:v>
                </c:pt>
                <c:pt idx="383">
                  <c:v>0.21490213672966679</c:v>
                </c:pt>
                <c:pt idx="384">
                  <c:v>0.21487768722072725</c:v>
                </c:pt>
                <c:pt idx="385">
                  <c:v>0.21485335965422231</c:v>
                </c:pt>
                <c:pt idx="386">
                  <c:v>0.21482915342196146</c:v>
                </c:pt>
                <c:pt idx="387">
                  <c:v>0.21480506791878767</c:v>
                </c:pt>
                <c:pt idx="388">
                  <c:v>0.21478110254256216</c:v>
                </c:pt>
                <c:pt idx="389">
                  <c:v>0.21475725669414925</c:v>
                </c:pt>
                <c:pt idx="390">
                  <c:v>0.2147335297774014</c:v>
                </c:pt>
                <c:pt idx="391">
                  <c:v>0.21470992119914456</c:v>
                </c:pt>
                <c:pt idx="392">
                  <c:v>0.21468643036916302</c:v>
                </c:pt>
                <c:pt idx="393">
                  <c:v>0.21466305670018476</c:v>
                </c:pt>
                <c:pt idx="394">
                  <c:v>0.21463979960786689</c:v>
                </c:pt>
                <c:pt idx="395">
                  <c:v>0.21461665851078088</c:v>
                </c:pt>
                <c:pt idx="396">
                  <c:v>0.21459363283039806</c:v>
                </c:pt>
                <c:pt idx="397">
                  <c:v>0.21457072199107524</c:v>
                </c:pt>
                <c:pt idx="398">
                  <c:v>0.21454792542004031</c:v>
                </c:pt>
                <c:pt idx="399">
                  <c:v>0.2145252425473777</c:v>
                </c:pt>
                <c:pt idx="400">
                  <c:v>0.21450267280601454</c:v>
                </c:pt>
                <c:pt idx="401">
                  <c:v>0.21448021563170599</c:v>
                </c:pt>
                <c:pt idx="402">
                  <c:v>0.21445787046302156</c:v>
                </c:pt>
                <c:pt idx="403">
                  <c:v>0.21443563674133093</c:v>
                </c:pt>
                <c:pt idx="404">
                  <c:v>0.21441351391078989</c:v>
                </c:pt>
                <c:pt idx="405">
                  <c:v>0.21439150141832641</c:v>
                </c:pt>
                <c:pt idx="406">
                  <c:v>0.2143695987136271</c:v>
                </c:pt>
                <c:pt idx="407">
                  <c:v>0.21434780524912328</c:v>
                </c:pt>
                <c:pt idx="408">
                  <c:v>0.21432612047997718</c:v>
                </c:pt>
                <c:pt idx="409">
                  <c:v>0.21430454386406828</c:v>
                </c:pt>
                <c:pt idx="410">
                  <c:v>0.21428307486198023</c:v>
                </c:pt>
                <c:pt idx="411">
                  <c:v>0.21426171293698676</c:v>
                </c:pt>
                <c:pt idx="412">
                  <c:v>0.21424045755503879</c:v>
                </c:pt>
                <c:pt idx="413">
                  <c:v>0.21421930818475049</c:v>
                </c:pt>
                <c:pt idx="414">
                  <c:v>0.21419826429738659</c:v>
                </c:pt>
                <c:pt idx="415">
                  <c:v>0.21417732536684875</c:v>
                </c:pt>
                <c:pt idx="416">
                  <c:v>0.21415649086966265</c:v>
                </c:pt>
                <c:pt idx="417">
                  <c:v>0.21413576028496478</c:v>
                </c:pt>
                <c:pt idx="418">
                  <c:v>0.21411513309448943</c:v>
                </c:pt>
                <c:pt idx="419">
                  <c:v>0.21409460878255576</c:v>
                </c:pt>
                <c:pt idx="420">
                  <c:v>0.21407418683605495</c:v>
                </c:pt>
                <c:pt idx="421">
                  <c:v>0.21405386674443722</c:v>
                </c:pt>
                <c:pt idx="422">
                  <c:v>0.21403364799969926</c:v>
                </c:pt>
                <c:pt idx="423">
                  <c:v>0.21401353009637136</c:v>
                </c:pt>
                <c:pt idx="424">
                  <c:v>0.21399351253150489</c:v>
                </c:pt>
                <c:pt idx="425">
                  <c:v>0.21397359480465977</c:v>
                </c:pt>
                <c:pt idx="426">
                  <c:v>0.21395377641789165</c:v>
                </c:pt>
                <c:pt idx="427">
                  <c:v>0.21393405687573996</c:v>
                </c:pt>
                <c:pt idx="428">
                  <c:v>0.21391443568521501</c:v>
                </c:pt>
                <c:pt idx="429">
                  <c:v>0.21389491235578612</c:v>
                </c:pt>
                <c:pt idx="430">
                  <c:v>0.21387548639936893</c:v>
                </c:pt>
                <c:pt idx="431">
                  <c:v>0.2138561573303136</c:v>
                </c:pt>
                <c:pt idx="432">
                  <c:v>0.21383692466539239</c:v>
                </c:pt>
                <c:pt idx="433">
                  <c:v>0.21381778792378764</c:v>
                </c:pt>
                <c:pt idx="434">
                  <c:v>0.21379874662707982</c:v>
                </c:pt>
                <c:pt idx="435">
                  <c:v>0.21377980029923555</c:v>
                </c:pt>
                <c:pt idx="436">
                  <c:v>0.2137609484665956</c:v>
                </c:pt>
                <c:pt idx="437">
                  <c:v>0.21374219065786321</c:v>
                </c:pt>
                <c:pt idx="438">
                  <c:v>0.21372352640409215</c:v>
                </c:pt>
                <c:pt idx="439">
                  <c:v>0.21370495523867511</c:v>
                </c:pt>
                <c:pt idx="440">
                  <c:v>0.21368647669733204</c:v>
                </c:pt>
                <c:pt idx="441">
                  <c:v>0.21366809031809841</c:v>
                </c:pt>
                <c:pt idx="442">
                  <c:v>0.21364979564131381</c:v>
                </c:pt>
                <c:pt idx="443">
                  <c:v>0.21363159220961025</c:v>
                </c:pt>
                <c:pt idx="444">
                  <c:v>0.21361347956790117</c:v>
                </c:pt>
                <c:pt idx="445">
                  <c:v>0.21359545726336943</c:v>
                </c:pt>
                <c:pt idx="446">
                  <c:v>0.21357752484545656</c:v>
                </c:pt>
                <c:pt idx="447">
                  <c:v>0.21355968186585117</c:v>
                </c:pt>
                <c:pt idx="448">
                  <c:v>0.21354192787847776</c:v>
                </c:pt>
                <c:pt idx="449">
                  <c:v>0.21352426243948586</c:v>
                </c:pt>
                <c:pt idx="450">
                  <c:v>0.21350668510723847</c:v>
                </c:pt>
                <c:pt idx="451">
                  <c:v>0.21348919544230138</c:v>
                </c:pt>
                <c:pt idx="452">
                  <c:v>0.21347179300743213</c:v>
                </c:pt>
                <c:pt idx="453">
                  <c:v>0.21345447736756884</c:v>
                </c:pt>
                <c:pt idx="454">
                  <c:v>0.21343724808981968</c:v>
                </c:pt>
                <c:pt idx="455">
                  <c:v>0.2134201047434518</c:v>
                </c:pt>
                <c:pt idx="456">
                  <c:v>0.21340304689988066</c:v>
                </c:pt>
                <c:pt idx="457">
                  <c:v>0.2133860741326592</c:v>
                </c:pt>
                <c:pt idx="458">
                  <c:v>0.21336918601746746</c:v>
                </c:pt>
                <c:pt idx="459">
                  <c:v>0.21335238213210161</c:v>
                </c:pt>
                <c:pt idx="460">
                  <c:v>0.21333566205646365</c:v>
                </c:pt>
                <c:pt idx="461">
                  <c:v>0.21331902537255087</c:v>
                </c:pt>
                <c:pt idx="462">
                  <c:v>0.21330247166444527</c:v>
                </c:pt>
                <c:pt idx="463">
                  <c:v>0.21328600051830326</c:v>
                </c:pt>
                <c:pt idx="464">
                  <c:v>0.21326961152234536</c:v>
                </c:pt>
                <c:pt idx="465">
                  <c:v>0.21325330426684586</c:v>
                </c:pt>
                <c:pt idx="466">
                  <c:v>0.21323707834412242</c:v>
                </c:pt>
                <c:pt idx="467">
                  <c:v>0.21322093334852615</c:v>
                </c:pt>
                <c:pt idx="468">
                  <c:v>0.21320486887643142</c:v>
                </c:pt>
                <c:pt idx="469">
                  <c:v>0.21318888452622548</c:v>
                </c:pt>
                <c:pt idx="470">
                  <c:v>0.21317297989829881</c:v>
                </c:pt>
                <c:pt idx="471">
                  <c:v>0.21315715459503481</c:v>
                </c:pt>
                <c:pt idx="472">
                  <c:v>0.21314140822080019</c:v>
                </c:pt>
                <c:pt idx="473">
                  <c:v>0.21312574038193466</c:v>
                </c:pt>
                <c:pt idx="474">
                  <c:v>0.2131101506867415</c:v>
                </c:pt>
                <c:pt idx="475">
                  <c:v>0.21309463874547746</c:v>
                </c:pt>
                <c:pt idx="476">
                  <c:v>0.21307920417034326</c:v>
                </c:pt>
                <c:pt idx="477">
                  <c:v>0.21306384657547373</c:v>
                </c:pt>
                <c:pt idx="478">
                  <c:v>0.21304856557692808</c:v>
                </c:pt>
                <c:pt idx="479">
                  <c:v>0.2130333607926807</c:v>
                </c:pt>
                <c:pt idx="480">
                  <c:v>0.21301823184261109</c:v>
                </c:pt>
                <c:pt idx="481">
                  <c:v>0.2130031783484948</c:v>
                </c:pt>
                <c:pt idx="482">
                  <c:v>0.21298819993399359</c:v>
                </c:pt>
                <c:pt idx="483">
                  <c:v>0.21297329622464634</c:v>
                </c:pt>
                <c:pt idx="484">
                  <c:v>0.21295846684785963</c:v>
                </c:pt>
                <c:pt idx="485">
                  <c:v>0.21294371143289814</c:v>
                </c:pt>
                <c:pt idx="486">
                  <c:v>0.21292902961087584</c:v>
                </c:pt>
                <c:pt idx="487">
                  <c:v>0.21291442101474634</c:v>
                </c:pt>
                <c:pt idx="488">
                  <c:v>0.21289988527929399</c:v>
                </c:pt>
                <c:pt idx="489">
                  <c:v>0.21288542204112471</c:v>
                </c:pt>
                <c:pt idx="490">
                  <c:v>0.21287103093865667</c:v>
                </c:pt>
                <c:pt idx="491">
                  <c:v>0.21285671161211167</c:v>
                </c:pt>
                <c:pt idx="492">
                  <c:v>0.21284246370350579</c:v>
                </c:pt>
                <c:pt idx="493">
                  <c:v>0.21282828685664051</c:v>
                </c:pt>
                <c:pt idx="494">
                  <c:v>0.21281418071709396</c:v>
                </c:pt>
                <c:pt idx="495">
                  <c:v>0.21280014493221189</c:v>
                </c:pt>
                <c:pt idx="496">
                  <c:v>0.21278617915109899</c:v>
                </c:pt>
                <c:pt idx="497">
                  <c:v>0.21277228302460993</c:v>
                </c:pt>
                <c:pt idx="498">
                  <c:v>0.21275845620534095</c:v>
                </c:pt>
                <c:pt idx="499">
                  <c:v>0.21274469834762072</c:v>
                </c:pt>
                <c:pt idx="500">
                  <c:v>0.21273100910750214</c:v>
                </c:pt>
                <c:pt idx="501">
                  <c:v>0.21271738814275354</c:v>
                </c:pt>
                <c:pt idx="502">
                  <c:v>0.21270383511285001</c:v>
                </c:pt>
                <c:pt idx="503">
                  <c:v>0.21269034967896511</c:v>
                </c:pt>
                <c:pt idx="504">
                  <c:v>0.21267693150396233</c:v>
                </c:pt>
                <c:pt idx="505">
                  <c:v>0.21266358025238652</c:v>
                </c:pt>
                <c:pt idx="506">
                  <c:v>0.21265029559045578</c:v>
                </c:pt>
                <c:pt idx="507">
                  <c:v>0.21263707718605285</c:v>
                </c:pt>
                <c:pt idx="508">
                  <c:v>0.21262392470871688</c:v>
                </c:pt>
                <c:pt idx="509">
                  <c:v>0.21261083782963536</c:v>
                </c:pt>
                <c:pt idx="510">
                  <c:v>0.21259781622163548</c:v>
                </c:pt>
                <c:pt idx="511">
                  <c:v>0.2125848595591765</c:v>
                </c:pt>
                <c:pt idx="512">
                  <c:v>0.21257196751834112</c:v>
                </c:pt>
                <c:pt idx="513">
                  <c:v>0.21255913977682767</c:v>
                </c:pt>
                <c:pt idx="514">
                  <c:v>0.21254637601394188</c:v>
                </c:pt>
                <c:pt idx="515">
                  <c:v>0.21253367591058908</c:v>
                </c:pt>
                <c:pt idx="516">
                  <c:v>0.21252103914926607</c:v>
                </c:pt>
                <c:pt idx="517">
                  <c:v>0.21250846541405299</c:v>
                </c:pt>
                <c:pt idx="518">
                  <c:v>0.21249595439060598</c:v>
                </c:pt>
                <c:pt idx="519">
                  <c:v>0.21248350576614872</c:v>
                </c:pt>
                <c:pt idx="520">
                  <c:v>0.21247111922946499</c:v>
                </c:pt>
                <c:pt idx="521">
                  <c:v>0.21245879447089067</c:v>
                </c:pt>
                <c:pt idx="522">
                  <c:v>0.21244653118230616</c:v>
                </c:pt>
                <c:pt idx="523">
                  <c:v>0.21243432905712867</c:v>
                </c:pt>
                <c:pt idx="524">
                  <c:v>0.21242218779030436</c:v>
                </c:pt>
                <c:pt idx="525">
                  <c:v>0.21241010707830099</c:v>
                </c:pt>
                <c:pt idx="526">
                  <c:v>0.21239808661910009</c:v>
                </c:pt>
                <c:pt idx="527">
                  <c:v>0.2123861261121896</c:v>
                </c:pt>
                <c:pt idx="528">
                  <c:v>0.21237422525855615</c:v>
                </c:pt>
                <c:pt idx="529">
                  <c:v>0.21236238376067784</c:v>
                </c:pt>
                <c:pt idx="530">
                  <c:v>0.2123506013225166</c:v>
                </c:pt>
                <c:pt idx="531">
                  <c:v>0.21233887764951087</c:v>
                </c:pt>
                <c:pt idx="532">
                  <c:v>0.21232721244856811</c:v>
                </c:pt>
                <c:pt idx="533">
                  <c:v>0.21231560542805789</c:v>
                </c:pt>
                <c:pt idx="534">
                  <c:v>0.21230405629780386</c:v>
                </c:pt>
                <c:pt idx="535">
                  <c:v>0.21229256476907737</c:v>
                </c:pt>
                <c:pt idx="536">
                  <c:v>0.21228113055458947</c:v>
                </c:pt>
                <c:pt idx="537">
                  <c:v>0.21226975336848425</c:v>
                </c:pt>
                <c:pt idx="538">
                  <c:v>0.21225843292633145</c:v>
                </c:pt>
                <c:pt idx="539">
                  <c:v>0.21224716894511941</c:v>
                </c:pt>
                <c:pt idx="540">
                  <c:v>0.21223596114324811</c:v>
                </c:pt>
                <c:pt idx="541">
                  <c:v>0.21222480924052178</c:v>
                </c:pt>
                <c:pt idx="542">
                  <c:v>0.21221371295814234</c:v>
                </c:pt>
                <c:pt idx="543">
                  <c:v>0.21220267201870219</c:v>
                </c:pt>
                <c:pt idx="544">
                  <c:v>0.21219168614617723</c:v>
                </c:pt>
                <c:pt idx="545">
                  <c:v>0.21218075506592005</c:v>
                </c:pt>
                <c:pt idx="546">
                  <c:v>0.21216987850465313</c:v>
                </c:pt>
                <c:pt idx="547">
                  <c:v>0.21215905619046183</c:v>
                </c:pt>
                <c:pt idx="548">
                  <c:v>0.21214828785278772</c:v>
                </c:pt>
                <c:pt idx="549">
                  <c:v>0.21213757322242183</c:v>
                </c:pt>
                <c:pt idx="550">
                  <c:v>0.21212691203149786</c:v>
                </c:pt>
                <c:pt idx="551">
                  <c:v>0.21211630401348541</c:v>
                </c:pt>
                <c:pt idx="552">
                  <c:v>0.21210574890318357</c:v>
                </c:pt>
                <c:pt idx="553">
                  <c:v>0.2120952464367139</c:v>
                </c:pt>
                <c:pt idx="554">
                  <c:v>0.21208479635151434</c:v>
                </c:pt>
                <c:pt idx="555">
                  <c:v>0.21207439838633219</c:v>
                </c:pt>
                <c:pt idx="556">
                  <c:v>0.21206405228121766</c:v>
                </c:pt>
                <c:pt idx="557">
                  <c:v>0.21205375777751767</c:v>
                </c:pt>
                <c:pt idx="558">
                  <c:v>0.21204351461786913</c:v>
                </c:pt>
                <c:pt idx="559">
                  <c:v>0.21203332254619245</c:v>
                </c:pt>
                <c:pt idx="560">
                  <c:v>0.21202318130768533</c:v>
                </c:pt>
                <c:pt idx="561">
                  <c:v>0.21201309064881629</c:v>
                </c:pt>
                <c:pt idx="562">
                  <c:v>0.21200305031731831</c:v>
                </c:pt>
                <c:pt idx="563">
                  <c:v>0.21199306006218255</c:v>
                </c:pt>
                <c:pt idx="564">
                  <c:v>0.21198311963365218</c:v>
                </c:pt>
                <c:pt idx="565">
                  <c:v>0.21197322878321595</c:v>
                </c:pt>
                <c:pt idx="566">
                  <c:v>0.21196338726360209</c:v>
                </c:pt>
                <c:pt idx="567">
                  <c:v>0.21195359482877202</c:v>
                </c:pt>
                <c:pt idx="568">
                  <c:v>0.21194385123391446</c:v>
                </c:pt>
                <c:pt idx="569">
                  <c:v>0.21193415623543899</c:v>
                </c:pt>
                <c:pt idx="570">
                  <c:v>0.21192450959097014</c:v>
                </c:pt>
                <c:pt idx="571">
                  <c:v>0.21191491105934129</c:v>
                </c:pt>
                <c:pt idx="572">
                  <c:v>0.21190536040058866</c:v>
                </c:pt>
                <c:pt idx="573">
                  <c:v>0.2118958573759453</c:v>
                </c:pt>
                <c:pt idx="574">
                  <c:v>0.21188640174783502</c:v>
                </c:pt>
                <c:pt idx="575">
                  <c:v>0.21187699327986675</c:v>
                </c:pt>
                <c:pt idx="576">
                  <c:v>0.21186763173682821</c:v>
                </c:pt>
                <c:pt idx="577">
                  <c:v>0.21185831688468038</c:v>
                </c:pt>
                <c:pt idx="578">
                  <c:v>0.21184904849055147</c:v>
                </c:pt>
                <c:pt idx="579">
                  <c:v>0.21183982632273107</c:v>
                </c:pt>
                <c:pt idx="580">
                  <c:v>0.2118306501506646</c:v>
                </c:pt>
                <c:pt idx="581">
                  <c:v>0.21182151974494723</c:v>
                </c:pt>
                <c:pt idx="582">
                  <c:v>0.21181243487731838</c:v>
                </c:pt>
                <c:pt idx="583">
                  <c:v>0.21180339532065584</c:v>
                </c:pt>
                <c:pt idx="584">
                  <c:v>0.21179440084897028</c:v>
                </c:pt>
                <c:pt idx="585">
                  <c:v>0.21178545123739934</c:v>
                </c:pt>
                <c:pt idx="586">
                  <c:v>0.21177654626220238</c:v>
                </c:pt>
                <c:pt idx="587">
                  <c:v>0.21176768570075449</c:v>
                </c:pt>
                <c:pt idx="588">
                  <c:v>0.21175886933154114</c:v>
                </c:pt>
                <c:pt idx="589">
                  <c:v>0.21175009693415275</c:v>
                </c:pt>
                <c:pt idx="590">
                  <c:v>0.21174136828927886</c:v>
                </c:pt>
                <c:pt idx="591">
                  <c:v>0.21173268317870286</c:v>
                </c:pt>
                <c:pt idx="592">
                  <c:v>0.2117240413852966</c:v>
                </c:pt>
                <c:pt idx="593">
                  <c:v>0.21171544269301473</c:v>
                </c:pt>
                <c:pt idx="594">
                  <c:v>0.2117068868868896</c:v>
                </c:pt>
                <c:pt idx="595">
                  <c:v>0.21169837375302547</c:v>
                </c:pt>
                <c:pt idx="596">
                  <c:v>0.2116899030785937</c:v>
                </c:pt>
                <c:pt idx="597">
                  <c:v>0.21168147465182685</c:v>
                </c:pt>
                <c:pt idx="598">
                  <c:v>0.21167308826201386</c:v>
                </c:pt>
                <c:pt idx="599">
                  <c:v>0.21166474369949462</c:v>
                </c:pt>
                <c:pt idx="600">
                  <c:v>0.21165644075565454</c:v>
                </c:pt>
                <c:pt idx="601">
                  <c:v>0.21164817922291962</c:v>
                </c:pt>
                <c:pt idx="602">
                  <c:v>0.21163995889475112</c:v>
                </c:pt>
                <c:pt idx="603">
                  <c:v>0.21163177956564039</c:v>
                </c:pt>
                <c:pt idx="604">
                  <c:v>0.21162364103110382</c:v>
                </c:pt>
                <c:pt idx="605">
                  <c:v>0.21161554308767755</c:v>
                </c:pt>
                <c:pt idx="606">
                  <c:v>0.21160748553291264</c:v>
                </c:pt>
                <c:pt idx="607">
                  <c:v>0.21159946816536979</c:v>
                </c:pt>
                <c:pt idx="608">
                  <c:v>0.21159149078461437</c:v>
                </c:pt>
                <c:pt idx="609">
                  <c:v>0.21158355319121147</c:v>
                </c:pt>
                <c:pt idx="610">
                  <c:v>0.21157565518672078</c:v>
                </c:pt>
                <c:pt idx="611">
                  <c:v>0.21156779657369185</c:v>
                </c:pt>
                <c:pt idx="612">
                  <c:v>0.21155997715565894</c:v>
                </c:pt>
                <c:pt idx="613">
                  <c:v>0.21155219673713616</c:v>
                </c:pt>
                <c:pt idx="614">
                  <c:v>0.21154445512361264</c:v>
                </c:pt>
                <c:pt idx="615">
                  <c:v>0.21153675212154766</c:v>
                </c:pt>
                <c:pt idx="616">
                  <c:v>0.21152908753836575</c:v>
                </c:pt>
                <c:pt idx="617">
                  <c:v>0.21152146118245191</c:v>
                </c:pt>
                <c:pt idx="618">
                  <c:v>0.21151387286314693</c:v>
                </c:pt>
                <c:pt idx="619">
                  <c:v>0.21150632239074235</c:v>
                </c:pt>
                <c:pt idx="620">
                  <c:v>0.21149880957647599</c:v>
                </c:pt>
                <c:pt idx="621">
                  <c:v>0.21149133423252708</c:v>
                </c:pt>
                <c:pt idx="622">
                  <c:v>0.21148389617201169</c:v>
                </c:pt>
                <c:pt idx="623">
                  <c:v>0.21147649520897788</c:v>
                </c:pt>
                <c:pt idx="624">
                  <c:v>0.21146913115840121</c:v>
                </c:pt>
                <c:pt idx="625">
                  <c:v>0.21146180383618002</c:v>
                </c:pt>
                <c:pt idx="626">
                  <c:v>0.21145451305913082</c:v>
                </c:pt>
                <c:pt idx="627">
                  <c:v>0.21144725864498393</c:v>
                </c:pt>
                <c:pt idx="628">
                  <c:v>0.21144004041237846</c:v>
                </c:pt>
                <c:pt idx="629">
                  <c:v>0.21143285818085839</c:v>
                </c:pt>
                <c:pt idx="630">
                  <c:v>0.21142571177086739</c:v>
                </c:pt>
                <c:pt idx="631">
                  <c:v>0.21141860100374499</c:v>
                </c:pt>
                <c:pt idx="632">
                  <c:v>0.2114115257017215</c:v>
                </c:pt>
                <c:pt idx="633">
                  <c:v>0.21140448568791409</c:v>
                </c:pt>
                <c:pt idx="634">
                  <c:v>0.21139748078632203</c:v>
                </c:pt>
                <c:pt idx="635">
                  <c:v>0.21139051082182242</c:v>
                </c:pt>
                <c:pt idx="636">
                  <c:v>0.2113835756201658</c:v>
                </c:pt>
                <c:pt idx="637">
                  <c:v>0.21137667500797175</c:v>
                </c:pt>
                <c:pt idx="638">
                  <c:v>0.21136980881272455</c:v>
                </c:pt>
                <c:pt idx="639">
                  <c:v>0.21136297686276906</c:v>
                </c:pt>
                <c:pt idx="640">
                  <c:v>0.21135617898730608</c:v>
                </c:pt>
                <c:pt idx="641">
                  <c:v>0.21134941501638843</c:v>
                </c:pt>
                <c:pt idx="642">
                  <c:v>0.2113426847809165</c:v>
                </c:pt>
                <c:pt idx="643">
                  <c:v>0.21133598811263404</c:v>
                </c:pt>
                <c:pt idx="644">
                  <c:v>0.21132932484412392</c:v>
                </c:pt>
                <c:pt idx="645">
                  <c:v>0.21132269480880417</c:v>
                </c:pt>
                <c:pt idx="646">
                  <c:v>0.21131609784092353</c:v>
                </c:pt>
                <c:pt idx="647">
                  <c:v>0.21130953377555745</c:v>
                </c:pt>
                <c:pt idx="648">
                  <c:v>0.211303002448604</c:v>
                </c:pt>
                <c:pt idx="649">
                  <c:v>0.2112965036967796</c:v>
                </c:pt>
                <c:pt idx="650">
                  <c:v>0.21129003735761515</c:v>
                </c:pt>
                <c:pt idx="651">
                  <c:v>0.21128360326945184</c:v>
                </c:pt>
                <c:pt idx="652">
                  <c:v>0.21127720127143707</c:v>
                </c:pt>
                <c:pt idx="653">
                  <c:v>0.21127083120352064</c:v>
                </c:pt>
                <c:pt idx="654">
                  <c:v>0.2112644929064505</c:v>
                </c:pt>
                <c:pt idx="655">
                  <c:v>0.2112581862217689</c:v>
                </c:pt>
                <c:pt idx="656">
                  <c:v>0.21125191099180834</c:v>
                </c:pt>
                <c:pt idx="657">
                  <c:v>0.21124566705968778</c:v>
                </c:pt>
                <c:pt idx="658">
                  <c:v>0.21123945426930857</c:v>
                </c:pt>
                <c:pt idx="659">
                  <c:v>0.21123327246535067</c:v>
                </c:pt>
                <c:pt idx="660">
                  <c:v>0.21122712149326867</c:v>
                </c:pt>
                <c:pt idx="661">
                  <c:v>0.21122100119928788</c:v>
                </c:pt>
                <c:pt idx="662">
                  <c:v>0.21121491143040066</c:v>
                </c:pt>
                <c:pt idx="663">
                  <c:v>0.21120885203436252</c:v>
                </c:pt>
                <c:pt idx="664">
                  <c:v>0.21120282285968817</c:v>
                </c:pt>
                <c:pt idx="665">
                  <c:v>0.21119682375564797</c:v>
                </c:pt>
                <c:pt idx="666">
                  <c:v>0.21119085457226394</c:v>
                </c:pt>
                <c:pt idx="667">
                  <c:v>0.2111849151603063</c:v>
                </c:pt>
                <c:pt idx="668">
                  <c:v>0.21117900537128936</c:v>
                </c:pt>
                <c:pt idx="669">
                  <c:v>0.2111731250574681</c:v>
                </c:pt>
                <c:pt idx="670">
                  <c:v>0.21116727407183439</c:v>
                </c:pt>
                <c:pt idx="671">
                  <c:v>0.21116145226811328</c:v>
                </c:pt>
                <c:pt idx="672">
                  <c:v>0.21115565950075937</c:v>
                </c:pt>
                <c:pt idx="673">
                  <c:v>0.21114989562495318</c:v>
                </c:pt>
                <c:pt idx="674">
                  <c:v>0.21114416049659746</c:v>
                </c:pt>
                <c:pt idx="675">
                  <c:v>0.21113845397231379</c:v>
                </c:pt>
                <c:pt idx="676">
                  <c:v>0.21113277590943869</c:v>
                </c:pt>
                <c:pt idx="677">
                  <c:v>0.21112712616602031</c:v>
                </c:pt>
                <c:pt idx="678">
                  <c:v>0.21112150460081486</c:v>
                </c:pt>
                <c:pt idx="679">
                  <c:v>0.21111591107328276</c:v>
                </c:pt>
                <c:pt idx="680">
                  <c:v>0.21111034544358565</c:v>
                </c:pt>
                <c:pt idx="681">
                  <c:v>0.21110480757258249</c:v>
                </c:pt>
                <c:pt idx="682">
                  <c:v>0.21109929732182614</c:v>
                </c:pt>
                <c:pt idx="683">
                  <c:v>0.21109381455356008</c:v>
                </c:pt>
                <c:pt idx="684">
                  <c:v>0.21108835913071483</c:v>
                </c:pt>
                <c:pt idx="685">
                  <c:v>0.21108293091690461</c:v>
                </c:pt>
                <c:pt idx="686">
                  <c:v>0.21107752977642363</c:v>
                </c:pt>
                <c:pt idx="687">
                  <c:v>0.21107215557424319</c:v>
                </c:pt>
                <c:pt idx="688">
                  <c:v>0.21106680817600798</c:v>
                </c:pt>
                <c:pt idx="689">
                  <c:v>0.21106148744803277</c:v>
                </c:pt>
                <c:pt idx="690">
                  <c:v>0.21105619325729896</c:v>
                </c:pt>
                <c:pt idx="691">
                  <c:v>0.21105092547145166</c:v>
                </c:pt>
                <c:pt idx="692">
                  <c:v>0.21104568395879586</c:v>
                </c:pt>
                <c:pt idx="693">
                  <c:v>0.21104046858829345</c:v>
                </c:pt>
                <c:pt idx="694">
                  <c:v>0.21103527922956</c:v>
                </c:pt>
                <c:pt idx="695">
                  <c:v>0.21103011575286118</c:v>
                </c:pt>
                <c:pt idx="696">
                  <c:v>0.21102497802910986</c:v>
                </c:pt>
                <c:pt idx="697">
                  <c:v>0.2110198659298626</c:v>
                </c:pt>
                <c:pt idx="698">
                  <c:v>0.21101477932731677</c:v>
                </c:pt>
                <c:pt idx="699">
                  <c:v>0.21100971809430691</c:v>
                </c:pt>
                <c:pt idx="700">
                  <c:v>0.21100468210430207</c:v>
                </c:pt>
                <c:pt idx="701">
                  <c:v>0.21099967123140212</c:v>
                </c:pt>
                <c:pt idx="702">
                  <c:v>0.210994685350335</c:v>
                </c:pt>
                <c:pt idx="703">
                  <c:v>0.21098972433645347</c:v>
                </c:pt>
                <c:pt idx="704">
                  <c:v>0.2109847880657319</c:v>
                </c:pt>
                <c:pt idx="705">
                  <c:v>0.21097987641476329</c:v>
                </c:pt>
                <c:pt idx="706">
                  <c:v>0.21097498926075603</c:v>
                </c:pt>
                <c:pt idx="707">
                  <c:v>0.21097012648153113</c:v>
                </c:pt>
                <c:pt idx="708">
                  <c:v>0.21096528795551872</c:v>
                </c:pt>
                <c:pt idx="709">
                  <c:v>0.21096047356175551</c:v>
                </c:pt>
                <c:pt idx="710">
                  <c:v>0.21095568317988139</c:v>
                </c:pt>
                <c:pt idx="711">
                  <c:v>0.21095091669013655</c:v>
                </c:pt>
                <c:pt idx="712">
                  <c:v>0.21094617397335846</c:v>
                </c:pt>
                <c:pt idx="713">
                  <c:v>0.21094145491097899</c:v>
                </c:pt>
                <c:pt idx="714">
                  <c:v>0.21093675938502132</c:v>
                </c:pt>
                <c:pt idx="715">
                  <c:v>0.21093208727809709</c:v>
                </c:pt>
                <c:pt idx="716">
                  <c:v>0.21092743847340334</c:v>
                </c:pt>
                <c:pt idx="717">
                  <c:v>0.21092281285471975</c:v>
                </c:pt>
                <c:pt idx="718">
                  <c:v>0.21091821030640556</c:v>
                </c:pt>
                <c:pt idx="719">
                  <c:v>0.21091363071339686</c:v>
                </c:pt>
                <c:pt idx="720">
                  <c:v>0.21090907396120362</c:v>
                </c:pt>
                <c:pt idx="721">
                  <c:v>0.21090453993590669</c:v>
                </c:pt>
                <c:pt idx="722">
                  <c:v>0.21090002852415535</c:v>
                </c:pt>
                <c:pt idx="723">
                  <c:v>0.21089553961316393</c:v>
                </c:pt>
                <c:pt idx="724">
                  <c:v>0.21089107309070948</c:v>
                </c:pt>
                <c:pt idx="725">
                  <c:v>0.21088662884512871</c:v>
                </c:pt>
                <c:pt idx="726">
                  <c:v>0.21088220676531527</c:v>
                </c:pt>
                <c:pt idx="727">
                  <c:v>0.21087780674071693</c:v>
                </c:pt>
                <c:pt idx="728">
                  <c:v>0.2108734286613328</c:v>
                </c:pt>
                <c:pt idx="729">
                  <c:v>0.21086907241771069</c:v>
                </c:pt>
                <c:pt idx="730">
                  <c:v>0.21086473790094429</c:v>
                </c:pt>
                <c:pt idx="731">
                  <c:v>0.21086042500267044</c:v>
                </c:pt>
                <c:pt idx="732">
                  <c:v>0.2108561336150665</c:v>
                </c:pt>
                <c:pt idx="733">
                  <c:v>0.21085186363084751</c:v>
                </c:pt>
                <c:pt idx="734">
                  <c:v>0.21084761494326365</c:v>
                </c:pt>
                <c:pt idx="735">
                  <c:v>0.21084338744609754</c:v>
                </c:pt>
                <c:pt idx="736">
                  <c:v>0.2108391810336615</c:v>
                </c:pt>
                <c:pt idx="737">
                  <c:v>0.21083499560079499</c:v>
                </c:pt>
                <c:pt idx="738">
                  <c:v>0.21083083104286199</c:v>
                </c:pt>
                <c:pt idx="739">
                  <c:v>0.21082668725574838</c:v>
                </c:pt>
                <c:pt idx="740">
                  <c:v>0.2108225641358592</c:v>
                </c:pt>
                <c:pt idx="741">
                  <c:v>0.21081846158011625</c:v>
                </c:pt>
                <c:pt idx="742">
                  <c:v>0.21081437948595544</c:v>
                </c:pt>
                <c:pt idx="743">
                  <c:v>0.21081031775132414</c:v>
                </c:pt>
                <c:pt idx="744">
                  <c:v>0.21080627627467891</c:v>
                </c:pt>
                <c:pt idx="745">
                  <c:v>0.2108022549549825</c:v>
                </c:pt>
                <c:pt idx="746">
                  <c:v>0.21079825369170174</c:v>
                </c:pt>
                <c:pt idx="747">
                  <c:v>0.21079427238480486</c:v>
                </c:pt>
                <c:pt idx="748">
                  <c:v>0.21079031093475897</c:v>
                </c:pt>
                <c:pt idx="749">
                  <c:v>0.21078636924252758</c:v>
                </c:pt>
                <c:pt idx="750">
                  <c:v>0.21078244720956824</c:v>
                </c:pt>
                <c:pt idx="751">
                  <c:v>0.21077854473782992</c:v>
                </c:pt>
                <c:pt idx="752">
                  <c:v>0.21077466172975057</c:v>
                </c:pt>
                <c:pt idx="753">
                  <c:v>0.21077079808825477</c:v>
                </c:pt>
                <c:pt idx="754">
                  <c:v>0.21076695371675136</c:v>
                </c:pt>
                <c:pt idx="755">
                  <c:v>0.21076312851913082</c:v>
                </c:pt>
                <c:pt idx="756">
                  <c:v>0.21075932239976303</c:v>
                </c:pt>
                <c:pt idx="757">
                  <c:v>0.21075553526349472</c:v>
                </c:pt>
                <c:pt idx="758">
                  <c:v>0.21075176701564741</c:v>
                </c:pt>
                <c:pt idx="759">
                  <c:v>0.21074801756201461</c:v>
                </c:pt>
                <c:pt idx="760">
                  <c:v>0.21074428680885982</c:v>
                </c:pt>
                <c:pt idx="761">
                  <c:v>0.21074057466291402</c:v>
                </c:pt>
                <c:pt idx="762">
                  <c:v>0.21073688103137334</c:v>
                </c:pt>
                <c:pt idx="763">
                  <c:v>0.21073320582189686</c:v>
                </c:pt>
                <c:pt idx="764">
                  <c:v>0.21072954894260409</c:v>
                </c:pt>
                <c:pt idx="765">
                  <c:v>0.21072591030207288</c:v>
                </c:pt>
                <c:pt idx="766">
                  <c:v>0.21072228980933705</c:v>
                </c:pt>
                <c:pt idx="767">
                  <c:v>0.21071868737388411</c:v>
                </c:pt>
                <c:pt idx="768">
                  <c:v>0.21071510290565287</c:v>
                </c:pt>
                <c:pt idx="769">
                  <c:v>0.21071153631503159</c:v>
                </c:pt>
                <c:pt idx="770">
                  <c:v>0.21070798751285519</c:v>
                </c:pt>
                <c:pt idx="771">
                  <c:v>0.21070445641040353</c:v>
                </c:pt>
                <c:pt idx="772">
                  <c:v>0.21070094291939878</c:v>
                </c:pt>
                <c:pt idx="773">
                  <c:v>0.21069744695200354</c:v>
                </c:pt>
                <c:pt idx="774">
                  <c:v>0.21069396842081839</c:v>
                </c:pt>
                <c:pt idx="775">
                  <c:v>0.21069050723887994</c:v>
                </c:pt>
                <c:pt idx="776">
                  <c:v>0.21068706331965842</c:v>
                </c:pt>
                <c:pt idx="777">
                  <c:v>0.21068363657705569</c:v>
                </c:pt>
                <c:pt idx="778">
                  <c:v>0.210680226925403</c:v>
                </c:pt>
                <c:pt idx="779">
                  <c:v>0.21067683427945882</c:v>
                </c:pt>
                <c:pt idx="780">
                  <c:v>0.21067345855440694</c:v>
                </c:pt>
                <c:pt idx="781">
                  <c:v>0.21067009966585398</c:v>
                </c:pt>
                <c:pt idx="782">
                  <c:v>0.21066675752982755</c:v>
                </c:pt>
                <c:pt idx="783">
                  <c:v>0.2106634320627741</c:v>
                </c:pt>
                <c:pt idx="784">
                  <c:v>0.21066012318155675</c:v>
                </c:pt>
                <c:pt idx="785">
                  <c:v>0.21065683080345338</c:v>
                </c:pt>
                <c:pt idx="786">
                  <c:v>0.21065355484615422</c:v>
                </c:pt>
                <c:pt idx="787">
                  <c:v>0.21065029522776035</c:v>
                </c:pt>
                <c:pt idx="788">
                  <c:v>0.21064705186678095</c:v>
                </c:pt>
                <c:pt idx="789">
                  <c:v>0.210643824682132</c:v>
                </c:pt>
                <c:pt idx="790">
                  <c:v>0.21064061359313357</c:v>
                </c:pt>
                <c:pt idx="791">
                  <c:v>0.2106374185195084</c:v>
                </c:pt>
                <c:pt idx="792">
                  <c:v>0.21063423938137937</c:v>
                </c:pt>
                <c:pt idx="793">
                  <c:v>0.2106310760992679</c:v>
                </c:pt>
                <c:pt idx="794">
                  <c:v>0.21062792859409185</c:v>
                </c:pt>
                <c:pt idx="795">
                  <c:v>0.21062479678716328</c:v>
                </c:pt>
                <c:pt idx="796">
                  <c:v>0.21062168060018693</c:v>
                </c:pt>
                <c:pt idx="797">
                  <c:v>0.21061857995525801</c:v>
                </c:pt>
                <c:pt idx="798">
                  <c:v>0.21061549477486019</c:v>
                </c:pt>
                <c:pt idx="799">
                  <c:v>0.21061242498186378</c:v>
                </c:pt>
                <c:pt idx="800">
                  <c:v>0.21060937049952383</c:v>
                </c:pt>
                <c:pt idx="801">
                  <c:v>0.21060633125147804</c:v>
                </c:pt>
                <c:pt idx="802">
                  <c:v>0.21060330716174519</c:v>
                </c:pt>
                <c:pt idx="803">
                  <c:v>0.21060029815472281</c:v>
                </c:pt>
                <c:pt idx="804">
                  <c:v>0.21059730415518552</c:v>
                </c:pt>
                <c:pt idx="805">
                  <c:v>0.21059432508828324</c:v>
                </c:pt>
                <c:pt idx="806">
                  <c:v>0.21059136087953911</c:v>
                </c:pt>
                <c:pt idx="807">
                  <c:v>0.21058841145484775</c:v>
                </c:pt>
                <c:pt idx="808">
                  <c:v>0.21058547674047345</c:v>
                </c:pt>
                <c:pt idx="809">
                  <c:v>0.21058255666304815</c:v>
                </c:pt>
                <c:pt idx="810">
                  <c:v>0.21057965114956972</c:v>
                </c:pt>
                <c:pt idx="811">
                  <c:v>0.21057676012740029</c:v>
                </c:pt>
                <c:pt idx="812">
                  <c:v>0.21057388352426404</c:v>
                </c:pt>
                <c:pt idx="813">
                  <c:v>0.21057102126824578</c:v>
                </c:pt>
                <c:pt idx="814">
                  <c:v>0.21056817328778898</c:v>
                </c:pt>
                <c:pt idx="815">
                  <c:v>0.21056533951169398</c:v>
                </c:pt>
                <c:pt idx="816">
                  <c:v>0.21056251986911623</c:v>
                </c:pt>
                <c:pt idx="817">
                  <c:v>0.21055971428956449</c:v>
                </c:pt>
                <c:pt idx="818">
                  <c:v>0.21055692270289911</c:v>
                </c:pt>
                <c:pt idx="819">
                  <c:v>0.21055414503933034</c:v>
                </c:pt>
                <c:pt idx="820">
                  <c:v>0.21055138122941641</c:v>
                </c:pt>
                <c:pt idx="821">
                  <c:v>0.21054863120406192</c:v>
                </c:pt>
                <c:pt idx="822">
                  <c:v>0.21054589489451614</c:v>
                </c:pt>
                <c:pt idx="823">
                  <c:v>0.21054317223237112</c:v>
                </c:pt>
                <c:pt idx="824">
                  <c:v>0.21054046314956021</c:v>
                </c:pt>
                <c:pt idx="825">
                  <c:v>0.21053776757835618</c:v>
                </c:pt>
                <c:pt idx="826">
                  <c:v>0.21053508545136962</c:v>
                </c:pt>
                <c:pt idx="827">
                  <c:v>0.21053241670154721</c:v>
                </c:pt>
                <c:pt idx="828">
                  <c:v>0.2105297612621701</c:v>
                </c:pt>
                <c:pt idx="829">
                  <c:v>0.21052711906685212</c:v>
                </c:pt>
                <c:pt idx="830">
                  <c:v>0.21052449004953827</c:v>
                </c:pt>
                <c:pt idx="831">
                  <c:v>0.21052187414450296</c:v>
                </c:pt>
                <c:pt idx="832">
                  <c:v>0.21051927128634845</c:v>
                </c:pt>
                <c:pt idx="833">
                  <c:v>0.21051668141000313</c:v>
                </c:pt>
                <c:pt idx="834">
                  <c:v>0.21051410445072</c:v>
                </c:pt>
                <c:pt idx="835">
                  <c:v>0.21051154034407488</c:v>
                </c:pt>
                <c:pt idx="836">
                  <c:v>0.21050898902596504</c:v>
                </c:pt>
                <c:pt idx="837">
                  <c:v>0.21050645043260735</c:v>
                </c:pt>
                <c:pt idx="838">
                  <c:v>0.21050392450053684</c:v>
                </c:pt>
                <c:pt idx="839">
                  <c:v>0.21050141116660509</c:v>
                </c:pt>
                <c:pt idx="840">
                  <c:v>0.21049891036797863</c:v>
                </c:pt>
                <c:pt idx="841">
                  <c:v>0.21049642204213737</c:v>
                </c:pt>
                <c:pt idx="842">
                  <c:v>0.210493946126873</c:v>
                </c:pt>
                <c:pt idx="843">
                  <c:v>0.21049148256028749</c:v>
                </c:pt>
                <c:pt idx="844">
                  <c:v>0.21048903128079166</c:v>
                </c:pt>
                <c:pt idx="845">
                  <c:v>0.21048659222710325</c:v>
                </c:pt>
                <c:pt idx="846">
                  <c:v>0.21048416533824593</c:v>
                </c:pt>
                <c:pt idx="847">
                  <c:v>0.21048175055354723</c:v>
                </c:pt>
                <c:pt idx="848">
                  <c:v>0.2104793478126375</c:v>
                </c:pt>
                <c:pt idx="849">
                  <c:v>0.210476957055448</c:v>
                </c:pt>
                <c:pt idx="850">
                  <c:v>0.21047457822220977</c:v>
                </c:pt>
                <c:pt idx="851">
                  <c:v>0.21047221125345178</c:v>
                </c:pt>
                <c:pt idx="852">
                  <c:v>0.21046985608999974</c:v>
                </c:pt>
                <c:pt idx="853">
                  <c:v>0.21046751267297442</c:v>
                </c:pt>
                <c:pt idx="854">
                  <c:v>0.2104651809437903</c:v>
                </c:pt>
                <c:pt idx="855">
                  <c:v>0.21046286084415394</c:v>
                </c:pt>
                <c:pt idx="856">
                  <c:v>0.21046055231606287</c:v>
                </c:pt>
                <c:pt idx="857">
                  <c:v>0.21045825530180362</c:v>
                </c:pt>
                <c:pt idx="858">
                  <c:v>0.21045596974395081</c:v>
                </c:pt>
                <c:pt idx="859">
                  <c:v>0.21045369558536536</c:v>
                </c:pt>
                <c:pt idx="860">
                  <c:v>0.21045143276919315</c:v>
                </c:pt>
                <c:pt idx="861">
                  <c:v>0.21044918123886369</c:v>
                </c:pt>
                <c:pt idx="862">
                  <c:v>0.21044694093808863</c:v>
                </c:pt>
                <c:pt idx="863">
                  <c:v>0.21044471181086027</c:v>
                </c:pt>
                <c:pt idx="864">
                  <c:v>0.2104424938014503</c:v>
                </c:pt>
                <c:pt idx="865">
                  <c:v>0.21044028685440846</c:v>
                </c:pt>
                <c:pt idx="866">
                  <c:v>0.21043809091456095</c:v>
                </c:pt>
                <c:pt idx="867">
                  <c:v>0.21043590592700906</c:v>
                </c:pt>
                <c:pt idx="868">
                  <c:v>0.21043373183712805</c:v>
                </c:pt>
                <c:pt idx="869">
                  <c:v>0.21043156859056561</c:v>
                </c:pt>
                <c:pt idx="870">
                  <c:v>0.21042941613324034</c:v>
                </c:pt>
                <c:pt idx="871">
                  <c:v>0.21042727441134085</c:v>
                </c:pt>
                <c:pt idx="872">
                  <c:v>0.21042514337132384</c:v>
                </c:pt>
                <c:pt idx="873">
                  <c:v>0.21042302295991328</c:v>
                </c:pt>
                <c:pt idx="874">
                  <c:v>0.21042091312409872</c:v>
                </c:pt>
                <c:pt idx="875">
                  <c:v>0.2104188138111342</c:v>
                </c:pt>
                <c:pt idx="876">
                  <c:v>0.21041672496853681</c:v>
                </c:pt>
                <c:pt idx="877">
                  <c:v>0.21041464654408526</c:v>
                </c:pt>
                <c:pt idx="878">
                  <c:v>0.21041257848581896</c:v>
                </c:pt>
                <c:pt idx="879">
                  <c:v>0.21041052074203631</c:v>
                </c:pt>
                <c:pt idx="880">
                  <c:v>0.21040847326129358</c:v>
                </c:pt>
                <c:pt idx="881">
                  <c:v>0.21040643599240361</c:v>
                </c:pt>
                <c:pt idx="882">
                  <c:v>0.21040440888443468</c:v>
                </c:pt>
                <c:pt idx="883">
                  <c:v>0.21040239188670889</c:v>
                </c:pt>
                <c:pt idx="884">
                  <c:v>0.21040038494880126</c:v>
                </c:pt>
                <c:pt idx="885">
                  <c:v>0.21039838802053817</c:v>
                </c:pt>
                <c:pt idx="886">
                  <c:v>0.21039640105199631</c:v>
                </c:pt>
                <c:pt idx="887">
                  <c:v>0.21039442399350144</c:v>
                </c:pt>
                <c:pt idx="888">
                  <c:v>0.21039245679562696</c:v>
                </c:pt>
                <c:pt idx="889">
                  <c:v>0.2103904994091928</c:v>
                </c:pt>
                <c:pt idx="890">
                  <c:v>0.21038855178526422</c:v>
                </c:pt>
                <c:pt idx="891">
                  <c:v>0.21038661387515051</c:v>
                </c:pt>
                <c:pt idx="892">
                  <c:v>0.21038468563040374</c:v>
                </c:pt>
                <c:pt idx="893">
                  <c:v>0.21038276700281783</c:v>
                </c:pt>
                <c:pt idx="894">
                  <c:v>0.21038085794442696</c:v>
                </c:pt>
                <c:pt idx="895">
                  <c:v>0.21037895840750448</c:v>
                </c:pt>
                <c:pt idx="896">
                  <c:v>0.21037706834456193</c:v>
                </c:pt>
                <c:pt idx="897">
                  <c:v>0.21037518770834768</c:v>
                </c:pt>
                <c:pt idx="898">
                  <c:v>0.21037331645184565</c:v>
                </c:pt>
                <c:pt idx="899">
                  <c:v>0.21037145452827433</c:v>
                </c:pt>
                <c:pt idx="900">
                  <c:v>0.21036960189108561</c:v>
                </c:pt>
                <c:pt idx="901">
                  <c:v>0.21036775849396339</c:v>
                </c:pt>
                <c:pt idx="902">
                  <c:v>0.21036592429082268</c:v>
                </c:pt>
                <c:pt idx="903">
                  <c:v>0.21036409923580829</c:v>
                </c:pt>
                <c:pt idx="904">
                  <c:v>0.21036228328329376</c:v>
                </c:pt>
                <c:pt idx="905">
                  <c:v>0.21036047638788019</c:v>
                </c:pt>
                <c:pt idx="906">
                  <c:v>0.2103586785043951</c:v>
                </c:pt>
                <c:pt idx="907">
                  <c:v>0.21035688958789128</c:v>
                </c:pt>
                <c:pt idx="908">
                  <c:v>0.21035510959364578</c:v>
                </c:pt>
                <c:pt idx="909">
                  <c:v>0.21035333847715859</c:v>
                </c:pt>
                <c:pt idx="910">
                  <c:v>0.21035157619415173</c:v>
                </c:pt>
                <c:pt idx="911">
                  <c:v>0.21034982270056801</c:v>
                </c:pt>
                <c:pt idx="912">
                  <c:v>0.2103480779525701</c:v>
                </c:pt>
                <c:pt idx="913">
                  <c:v>0.21034634190653906</c:v>
                </c:pt>
                <c:pt idx="914">
                  <c:v>0.21034461451907377</c:v>
                </c:pt>
                <c:pt idx="915">
                  <c:v>0.21034289574698939</c:v>
                </c:pt>
                <c:pt idx="916">
                  <c:v>0.21034118554731651</c:v>
                </c:pt>
                <c:pt idx="917">
                  <c:v>0.21033948387730012</c:v>
                </c:pt>
                <c:pt idx="918">
                  <c:v>0.21033779069439834</c:v>
                </c:pt>
                <c:pt idx="919">
                  <c:v>0.21033610595628149</c:v>
                </c:pt>
                <c:pt idx="920">
                  <c:v>0.2103344296208311</c:v>
                </c:pt>
                <c:pt idx="921">
                  <c:v>0.21033276164613862</c:v>
                </c:pt>
                <c:pt idx="922">
                  <c:v>0.21033110199050464</c:v>
                </c:pt>
                <c:pt idx="923">
                  <c:v>0.21032945061243763</c:v>
                </c:pt>
                <c:pt idx="924">
                  <c:v>0.21032780747065311</c:v>
                </c:pt>
                <c:pt idx="925">
                  <c:v>0.21032617252407243</c:v>
                </c:pt>
                <c:pt idx="926">
                  <c:v>0.21032454573182185</c:v>
                </c:pt>
                <c:pt idx="927">
                  <c:v>0.21032292705323147</c:v>
                </c:pt>
                <c:pt idx="928">
                  <c:v>0.21032131644783425</c:v>
                </c:pt>
                <c:pt idx="929">
                  <c:v>0.21031971387536491</c:v>
                </c:pt>
                <c:pt idx="930">
                  <c:v>0.21031811929575916</c:v>
                </c:pt>
                <c:pt idx="931">
                  <c:v>0.21031653266915235</c:v>
                </c:pt>
                <c:pt idx="932">
                  <c:v>0.21031495395587874</c:v>
                </c:pt>
                <c:pt idx="933">
                  <c:v>0.21031338311647046</c:v>
                </c:pt>
                <c:pt idx="934">
                  <c:v>0.21031182011165639</c:v>
                </c:pt>
                <c:pt idx="935">
                  <c:v>0.21031026490236138</c:v>
                </c:pt>
                <c:pt idx="936">
                  <c:v>0.21030871744970508</c:v>
                </c:pt>
                <c:pt idx="937">
                  <c:v>0.21030717771500107</c:v>
                </c:pt>
                <c:pt idx="938">
                  <c:v>0.21030564565975596</c:v>
                </c:pt>
                <c:pt idx="939">
                  <c:v>0.21030412124566827</c:v>
                </c:pt>
                <c:pt idx="940">
                  <c:v>0.21030260443462756</c:v>
                </c:pt>
                <c:pt idx="941">
                  <c:v>0.21030109518871348</c:v>
                </c:pt>
                <c:pt idx="942">
                  <c:v>0.21029959347019478</c:v>
                </c:pt>
                <c:pt idx="943">
                  <c:v>0.21029809924152842</c:v>
                </c:pt>
                <c:pt idx="944">
                  <c:v>0.21029661246535869</c:v>
                </c:pt>
                <c:pt idx="945">
                  <c:v>0.21029513310451597</c:v>
                </c:pt>
                <c:pt idx="946">
                  <c:v>0.21029366112201631</c:v>
                </c:pt>
                <c:pt idx="947">
                  <c:v>0.21029219648105996</c:v>
                </c:pt>
                <c:pt idx="948">
                  <c:v>0.21029073914503082</c:v>
                </c:pt>
                <c:pt idx="949">
                  <c:v>0.2102892890774955</c:v>
                </c:pt>
                <c:pt idx="950">
                  <c:v>0.21028784624220215</c:v>
                </c:pt>
                <c:pt idx="951">
                  <c:v>0.21028641060307984</c:v>
                </c:pt>
                <c:pt idx="952">
                  <c:v>0.21028498212423757</c:v>
                </c:pt>
                <c:pt idx="953">
                  <c:v>0.21028356076996318</c:v>
                </c:pt>
                <c:pt idx="954">
                  <c:v>0.21028214650472288</c:v>
                </c:pt>
                <c:pt idx="955">
                  <c:v>0.21028073929315982</c:v>
                </c:pt>
                <c:pt idx="956">
                  <c:v>0.21027933910009378</c:v>
                </c:pt>
                <c:pt idx="957">
                  <c:v>0.21027794589051979</c:v>
                </c:pt>
                <c:pt idx="958">
                  <c:v>0.21027655962960751</c:v>
                </c:pt>
                <c:pt idx="959">
                  <c:v>0.21027518028270037</c:v>
                </c:pt>
                <c:pt idx="960">
                  <c:v>0.21027380781531463</c:v>
                </c:pt>
                <c:pt idx="961">
                  <c:v>0.21027244219313856</c:v>
                </c:pt>
                <c:pt idx="962">
                  <c:v>0.21027108338203149</c:v>
                </c:pt>
                <c:pt idx="963">
                  <c:v>0.21026973134802307</c:v>
                </c:pt>
                <c:pt idx="964">
                  <c:v>0.21026838605731241</c:v>
                </c:pt>
                <c:pt idx="965">
                  <c:v>0.21026704747626718</c:v>
                </c:pt>
                <c:pt idx="966">
                  <c:v>0.21026571557142276</c:v>
                </c:pt>
                <c:pt idx="967">
                  <c:v>0.21026439030948146</c:v>
                </c:pt>
                <c:pt idx="968">
                  <c:v>0.21026307165731167</c:v>
                </c:pt>
                <c:pt idx="969">
                  <c:v>0.21026175958194698</c:v>
                </c:pt>
                <c:pt idx="970">
                  <c:v>0.21026045405058552</c:v>
                </c:pt>
                <c:pt idx="971">
                  <c:v>0.2102591550305889</c:v>
                </c:pt>
                <c:pt idx="972">
                  <c:v>0.21025786248948153</c:v>
                </c:pt>
                <c:pt idx="973">
                  <c:v>0.21025657639494977</c:v>
                </c:pt>
                <c:pt idx="974">
                  <c:v>0.21025529671484133</c:v>
                </c:pt>
                <c:pt idx="975">
                  <c:v>0.21025402341716398</c:v>
                </c:pt>
                <c:pt idx="976">
                  <c:v>0.21025275647008534</c:v>
                </c:pt>
                <c:pt idx="977">
                  <c:v>0.21025149584193159</c:v>
                </c:pt>
                <c:pt idx="978">
                  <c:v>0.21025024150118704</c:v>
                </c:pt>
                <c:pt idx="979">
                  <c:v>0.210248993416493</c:v>
                </c:pt>
                <c:pt idx="980">
                  <c:v>0.21024775155664738</c:v>
                </c:pt>
                <c:pt idx="981">
                  <c:v>0.21024651589060356</c:v>
                </c:pt>
                <c:pt idx="982">
                  <c:v>0.21024528638746981</c:v>
                </c:pt>
                <c:pt idx="983">
                  <c:v>0.21024406301650855</c:v>
                </c:pt>
                <c:pt idx="984">
                  <c:v>0.21024284574713542</c:v>
                </c:pt>
                <c:pt idx="985">
                  <c:v>0.21024163454891864</c:v>
                </c:pt>
                <c:pt idx="986">
                  <c:v>0.21024042939157811</c:v>
                </c:pt>
                <c:pt idx="987">
                  <c:v>0.21023923024498492</c:v>
                </c:pt>
                <c:pt idx="988">
                  <c:v>0.21023803707916033</c:v>
                </c:pt>
                <c:pt idx="989">
                  <c:v>0.2102368498642751</c:v>
                </c:pt>
                <c:pt idx="990">
                  <c:v>0.21023566857064885</c:v>
                </c:pt>
                <c:pt idx="991">
                  <c:v>0.21023449316874909</c:v>
                </c:pt>
                <c:pt idx="992">
                  <c:v>0.21023332362919078</c:v>
                </c:pt>
                <c:pt idx="993">
                  <c:v>0.21023215992273536</c:v>
                </c:pt>
                <c:pt idx="994">
                  <c:v>0.2102310020202901</c:v>
                </c:pt>
                <c:pt idx="995">
                  <c:v>0.21022984989290733</c:v>
                </c:pt>
                <c:pt idx="996">
                  <c:v>0.21022870351178391</c:v>
                </c:pt>
                <c:pt idx="997">
                  <c:v>0.21022756284826016</c:v>
                </c:pt>
                <c:pt idx="998">
                  <c:v>0.21022642787381951</c:v>
                </c:pt>
                <c:pt idx="999">
                  <c:v>0.21022529856008748</c:v>
                </c:pt>
                <c:pt idx="1000">
                  <c:v>0.21022417487883122</c:v>
                </c:pt>
                <c:pt idx="1001">
                  <c:v>0.21022305680195852</c:v>
                </c:pt>
                <c:pt idx="1002">
                  <c:v>0.21022194430151758</c:v>
                </c:pt>
                <c:pt idx="1003">
                  <c:v>0.21022083734969566</c:v>
                </c:pt>
                <c:pt idx="1004">
                  <c:v>0.21021973591881904</c:v>
                </c:pt>
                <c:pt idx="1005">
                  <c:v>0.21021863998135182</c:v>
                </c:pt>
                <c:pt idx="1006">
                  <c:v>0.21021754950989552</c:v>
                </c:pt>
                <c:pt idx="1007">
                  <c:v>0.21021646447718828</c:v>
                </c:pt>
                <c:pt idx="1008">
                  <c:v>0.21021538485610425</c:v>
                </c:pt>
                <c:pt idx="1009">
                  <c:v>0.21021431061965284</c:v>
                </c:pt>
                <c:pt idx="1010">
                  <c:v>0.21021324174097811</c:v>
                </c:pt>
                <c:pt idx="1011">
                  <c:v>0.21021217819335797</c:v>
                </c:pt>
                <c:pt idx="1012">
                  <c:v>0.21021111995020375</c:v>
                </c:pt>
                <c:pt idx="1013">
                  <c:v>0.21021006698505929</c:v>
                </c:pt>
                <c:pt idx="1014">
                  <c:v>0.21020901927160035</c:v>
                </c:pt>
                <c:pt idx="1015">
                  <c:v>0.21020797678363412</c:v>
                </c:pt>
                <c:pt idx="1016">
                  <c:v>0.21020693949509833</c:v>
                </c:pt>
                <c:pt idx="1017">
                  <c:v>0.21020590738006067</c:v>
                </c:pt>
                <c:pt idx="1018">
                  <c:v>0.21020488041271823</c:v>
                </c:pt>
                <c:pt idx="1019">
                  <c:v>0.21020385856739676</c:v>
                </c:pt>
                <c:pt idx="1020">
                  <c:v>0.21020284181855015</c:v>
                </c:pt>
                <c:pt idx="1021">
                  <c:v>0.21020183014075955</c:v>
                </c:pt>
                <c:pt idx="1022">
                  <c:v>0.21020082350873293</c:v>
                </c:pt>
                <c:pt idx="1023">
                  <c:v>0.21019982189730452</c:v>
                </c:pt>
                <c:pt idx="1024">
                  <c:v>0.21019882528143397</c:v>
                </c:pt>
                <c:pt idx="1025">
                  <c:v>0.21019783363620581</c:v>
                </c:pt>
                <c:pt idx="1026">
                  <c:v>0.21019684693682883</c:v>
                </c:pt>
                <c:pt idx="1027">
                  <c:v>0.21019586515863553</c:v>
                </c:pt>
                <c:pt idx="1028">
                  <c:v>0.21019488827708144</c:v>
                </c:pt>
                <c:pt idx="1029">
                  <c:v>0.21019391626774436</c:v>
                </c:pt>
                <c:pt idx="1030">
                  <c:v>0.21019294910632413</c:v>
                </c:pt>
                <c:pt idx="1031">
                  <c:v>0.21019198676864159</c:v>
                </c:pt>
                <c:pt idx="1032">
                  <c:v>0.21019102923063826</c:v>
                </c:pt>
                <c:pt idx="1033">
                  <c:v>0.21019007646837562</c:v>
                </c:pt>
                <c:pt idx="1034">
                  <c:v>0.21018912845803461</c:v>
                </c:pt>
                <c:pt idx="1035">
                  <c:v>0.21018818517591492</c:v>
                </c:pt>
                <c:pt idx="1036">
                  <c:v>0.21018724659843441</c:v>
                </c:pt>
                <c:pt idx="1037">
                  <c:v>0.21018631270212862</c:v>
                </c:pt>
                <c:pt idx="1038">
                  <c:v>0.21018538346365012</c:v>
                </c:pt>
                <c:pt idx="1039">
                  <c:v>0.21018445885976783</c:v>
                </c:pt>
                <c:pt idx="1040">
                  <c:v>0.21018353886736663</c:v>
                </c:pt>
                <c:pt idx="1041">
                  <c:v>0.21018262346344668</c:v>
                </c:pt>
                <c:pt idx="1042">
                  <c:v>0.21018171262512286</c:v>
                </c:pt>
                <c:pt idx="1043">
                  <c:v>0.2101808063296241</c:v>
                </c:pt>
                <c:pt idx="1044">
                  <c:v>0.21017990455429297</c:v>
                </c:pt>
                <c:pt idx="1045">
                  <c:v>0.21017900727658512</c:v>
                </c:pt>
                <c:pt idx="1046">
                  <c:v>0.21017811447406848</c:v>
                </c:pt>
                <c:pt idx="1047">
                  <c:v>0.21017722612442297</c:v>
                </c:pt>
                <c:pt idx="1048">
                  <c:v>0.21017634220543985</c:v>
                </c:pt>
                <c:pt idx="1049">
                  <c:v>0.21017546269502102</c:v>
                </c:pt>
                <c:pt idx="1050">
                  <c:v>0.21017458757117868</c:v>
                </c:pt>
                <c:pt idx="1051">
                  <c:v>0.21017371681203473</c:v>
                </c:pt>
                <c:pt idx="1052">
                  <c:v>0.21017285039582012</c:v>
                </c:pt>
                <c:pt idx="1053">
                  <c:v>0.21017198830087441</c:v>
                </c:pt>
                <c:pt idx="1054">
                  <c:v>0.21017113050564518</c:v>
                </c:pt>
                <c:pt idx="1055">
                  <c:v>0.21017027698868751</c:v>
                </c:pt>
                <c:pt idx="1056">
                  <c:v>0.21016942772866343</c:v>
                </c:pt>
                <c:pt idx="1057">
                  <c:v>0.21016858270434136</c:v>
                </c:pt>
                <c:pt idx="1058">
                  <c:v>0.21016774189459569</c:v>
                </c:pt>
                <c:pt idx="1059">
                  <c:v>0.21016690527840615</c:v>
                </c:pt>
                <c:pt idx="1060">
                  <c:v>0.21016607283485728</c:v>
                </c:pt>
                <c:pt idx="1061">
                  <c:v>0.2101652445431379</c:v>
                </c:pt>
                <c:pt idx="1062">
                  <c:v>0.21016442038254068</c:v>
                </c:pt>
                <c:pt idx="1063">
                  <c:v>0.21016360033246162</c:v>
                </c:pt>
                <c:pt idx="1064">
                  <c:v>0.21016278437239938</c:v>
                </c:pt>
                <c:pt idx="1065">
                  <c:v>0.21016197248195495</c:v>
                </c:pt>
                <c:pt idx="1066">
                  <c:v>0.21016116464083096</c:v>
                </c:pt>
                <c:pt idx="1067">
                  <c:v>0.21016036082883144</c:v>
                </c:pt>
                <c:pt idx="1068">
                  <c:v>0.21015956102586097</c:v>
                </c:pt>
                <c:pt idx="1069">
                  <c:v>0.21015876521192445</c:v>
                </c:pt>
                <c:pt idx="1070">
                  <c:v>0.21015797336712649</c:v>
                </c:pt>
                <c:pt idx="1071">
                  <c:v>0.21015718547167095</c:v>
                </c:pt>
                <c:pt idx="1072">
                  <c:v>0.21015640150586035</c:v>
                </c:pt>
                <c:pt idx="1073">
                  <c:v>0.21015562145009559</c:v>
                </c:pt>
                <c:pt idx="1074">
                  <c:v>0.21015484528487516</c:v>
                </c:pt>
                <c:pt idx="1075">
                  <c:v>0.21015407299079497</c:v>
                </c:pt>
                <c:pt idx="1076">
                  <c:v>0.21015330454854753</c:v>
                </c:pt>
                <c:pt idx="1077">
                  <c:v>0.21015253993892175</c:v>
                </c:pt>
                <c:pt idx="1078">
                  <c:v>0.21015177914280248</c:v>
                </c:pt>
                <c:pt idx="1079">
                  <c:v>0.2101510221411696</c:v>
                </c:pt>
                <c:pt idx="1080">
                  <c:v>0.21015026891509814</c:v>
                </c:pt>
                <c:pt idx="1081">
                  <c:v>0.21014951944575744</c:v>
                </c:pt>
                <c:pt idx="1082">
                  <c:v>0.2101487737144106</c:v>
                </c:pt>
                <c:pt idx="1083">
                  <c:v>0.21014803170241442</c:v>
                </c:pt>
                <c:pt idx="1084">
                  <c:v>0.21014729339121846</c:v>
                </c:pt>
                <c:pt idx="1085">
                  <c:v>0.21014655876236499</c:v>
                </c:pt>
                <c:pt idx="1086">
                  <c:v>0.21014582779748819</c:v>
                </c:pt>
                <c:pt idx="1087">
                  <c:v>0.21014510047831392</c:v>
                </c:pt>
                <c:pt idx="1088">
                  <c:v>0.2101443767866592</c:v>
                </c:pt>
                <c:pt idx="1089">
                  <c:v>0.21014365670443164</c:v>
                </c:pt>
                <c:pt idx="1090">
                  <c:v>0.21014294021362917</c:v>
                </c:pt>
                <c:pt idx="1091">
                  <c:v>0.21014222729633947</c:v>
                </c:pt>
                <c:pt idx="1092">
                  <c:v>0.21014151793473962</c:v>
                </c:pt>
                <c:pt idx="1093">
                  <c:v>0.21014081211109553</c:v>
                </c:pt>
                <c:pt idx="1094">
                  <c:v>0.21014010980776149</c:v>
                </c:pt>
                <c:pt idx="1095">
                  <c:v>0.21013941100717998</c:v>
                </c:pt>
                <c:pt idx="1096">
                  <c:v>0.21013871569188092</c:v>
                </c:pt>
                <c:pt idx="1097">
                  <c:v>0.21013802384448133</c:v>
                </c:pt>
                <c:pt idx="1098">
                  <c:v>0.21013733544768509</c:v>
                </c:pt>
                <c:pt idx="1099">
                  <c:v>0.21013665048428215</c:v>
                </c:pt>
                <c:pt idx="1100">
                  <c:v>0.21013596893714848</c:v>
                </c:pt>
                <c:pt idx="1101">
                  <c:v>0.21013529078924531</c:v>
                </c:pt>
                <c:pt idx="1102">
                  <c:v>0.21013461602361888</c:v>
                </c:pt>
                <c:pt idx="1103">
                  <c:v>0.21013394462340013</c:v>
                </c:pt>
                <c:pt idx="1104">
                  <c:v>0.21013327657180386</c:v>
                </c:pt>
                <c:pt idx="1105">
                  <c:v>0.21013261185212889</c:v>
                </c:pt>
                <c:pt idx="1106">
                  <c:v>0.21013195044775707</c:v>
                </c:pt>
                <c:pt idx="1107">
                  <c:v>0.21013129234215339</c:v>
                </c:pt>
                <c:pt idx="1108">
                  <c:v>0.21013063751886502</c:v>
                </c:pt>
                <c:pt idx="1109">
                  <c:v>0.21012998596152149</c:v>
                </c:pt>
                <c:pt idx="1110">
                  <c:v>0.21012933765383374</c:v>
                </c:pt>
                <c:pt idx="1111">
                  <c:v>0.21012869257959405</c:v>
                </c:pt>
                <c:pt idx="1112">
                  <c:v>0.2101280507226756</c:v>
                </c:pt>
                <c:pt idx="1113">
                  <c:v>0.21012741206703184</c:v>
                </c:pt>
                <c:pt idx="1114">
                  <c:v>0.21012677659669643</c:v>
                </c:pt>
                <c:pt idx="1115">
                  <c:v>0.21012614429578252</c:v>
                </c:pt>
                <c:pt idx="1116">
                  <c:v>0.2101255151484826</c:v>
                </c:pt>
                <c:pt idx="1117">
                  <c:v>0.21012488913906791</c:v>
                </c:pt>
                <c:pt idx="1118">
                  <c:v>0.21012426625188818</c:v>
                </c:pt>
                <c:pt idx="1119">
                  <c:v>0.21012364647137122</c:v>
                </c:pt>
                <c:pt idx="1120">
                  <c:v>0.21012302978202252</c:v>
                </c:pt>
                <c:pt idx="1121">
                  <c:v>0.21012241616842475</c:v>
                </c:pt>
                <c:pt idx="1122">
                  <c:v>0.21012180561523758</c:v>
                </c:pt>
                <c:pt idx="1123">
                  <c:v>0.21012119810719715</c:v>
                </c:pt>
                <c:pt idx="1124">
                  <c:v>0.21012059362911573</c:v>
                </c:pt>
                <c:pt idx="1125">
                  <c:v>0.21011999216588123</c:v>
                </c:pt>
                <c:pt idx="1126">
                  <c:v>0.21011939370245719</c:v>
                </c:pt>
                <c:pt idx="1127">
                  <c:v>0.21011879822388196</c:v>
                </c:pt>
                <c:pt idx="1128">
                  <c:v>0.21011820571526846</c:v>
                </c:pt>
                <c:pt idx="1129">
                  <c:v>0.21011761616180402</c:v>
                </c:pt>
                <c:pt idx="1130">
                  <c:v>0.21011702954874972</c:v>
                </c:pt>
                <c:pt idx="1131">
                  <c:v>0.21011644586144029</c:v>
                </c:pt>
                <c:pt idx="1132">
                  <c:v>0.2101158650852834</c:v>
                </c:pt>
                <c:pt idx="1133">
                  <c:v>0.21011528720575973</c:v>
                </c:pt>
                <c:pt idx="1134">
                  <c:v>0.21011471220842221</c:v>
                </c:pt>
                <c:pt idx="1135">
                  <c:v>0.21011414007889584</c:v>
                </c:pt>
                <c:pt idx="1136">
                  <c:v>0.2101135708028774</c:v>
                </c:pt>
                <c:pt idx="1137">
                  <c:v>0.21011300436613495</c:v>
                </c:pt>
                <c:pt idx="1138">
                  <c:v>0.21011244075450752</c:v>
                </c:pt>
                <c:pt idx="1139">
                  <c:v>0.21011187995390479</c:v>
                </c:pt>
                <c:pt idx="1140">
                  <c:v>0.2101113219503068</c:v>
                </c:pt>
                <c:pt idx="1141">
                  <c:v>0.21011076672976331</c:v>
                </c:pt>
                <c:pt idx="1142">
                  <c:v>0.21011021427839388</c:v>
                </c:pt>
                <c:pt idx="1143">
                  <c:v>0.21010966458238711</c:v>
                </c:pt>
                <c:pt idx="1144">
                  <c:v>0.21010911762800066</c:v>
                </c:pt>
                <c:pt idx="1145">
                  <c:v>0.21010857340156053</c:v>
                </c:pt>
                <c:pt idx="1146">
                  <c:v>0.21010803188946114</c:v>
                </c:pt>
                <c:pt idx="1147">
                  <c:v>0.21010749307816462</c:v>
                </c:pt>
                <c:pt idx="1148">
                  <c:v>0.21010695695420062</c:v>
                </c:pt>
                <c:pt idx="1149">
                  <c:v>0.21010642350416603</c:v>
                </c:pt>
                <c:pt idx="1150">
                  <c:v>0.21010589271472463</c:v>
                </c:pt>
                <c:pt idx="1151">
                  <c:v>0.21010536457260659</c:v>
                </c:pt>
                <c:pt idx="1152">
                  <c:v>0.21010483906460836</c:v>
                </c:pt>
                <c:pt idx="1153">
                  <c:v>0.21010431617759223</c:v>
                </c:pt>
                <c:pt idx="1154">
                  <c:v>0.21010379589848593</c:v>
                </c:pt>
                <c:pt idx="1155">
                  <c:v>0.21010327821428254</c:v>
                </c:pt>
                <c:pt idx="1156">
                  <c:v>0.21010276311203985</c:v>
                </c:pt>
                <c:pt idx="1157">
                  <c:v>0.21010225057888032</c:v>
                </c:pt>
                <c:pt idx="1158">
                  <c:v>0.21010174060199061</c:v>
                </c:pt>
                <c:pt idx="1159">
                  <c:v>0.21010123316862123</c:v>
                </c:pt>
                <c:pt idx="1160">
                  <c:v>0.21010072826608633</c:v>
                </c:pt>
                <c:pt idx="1161">
                  <c:v>0.21010022588176336</c:v>
                </c:pt>
                <c:pt idx="1162">
                  <c:v>0.21009972600309262</c:v>
                </c:pt>
                <c:pt idx="1163">
                  <c:v>0.21009922861757718</c:v>
                </c:pt>
                <c:pt idx="1164">
                  <c:v>0.21009873371278232</c:v>
                </c:pt>
                <c:pt idx="1165">
                  <c:v>0.21009824127633542</c:v>
                </c:pt>
                <c:pt idx="1166">
                  <c:v>0.21009775129592556</c:v>
                </c:pt>
                <c:pt idx="1167">
                  <c:v>0.21009726375930321</c:v>
                </c:pt>
                <c:pt idx="1168">
                  <c:v>0.21009677865427989</c:v>
                </c:pt>
                <c:pt idx="1169">
                  <c:v>0.21009629596872792</c:v>
                </c:pt>
                <c:pt idx="1170">
                  <c:v>0.21009581569058028</c:v>
                </c:pt>
                <c:pt idx="1171">
                  <c:v>0.2100953378078298</c:v>
                </c:pt>
                <c:pt idx="1172">
                  <c:v>0.21009486230852953</c:v>
                </c:pt>
                <c:pt idx="1173">
                  <c:v>0.21009438918079193</c:v>
                </c:pt>
                <c:pt idx="1174">
                  <c:v>0.21009391841278874</c:v>
                </c:pt>
                <c:pt idx="1175">
                  <c:v>0.21009344999275076</c:v>
                </c:pt>
                <c:pt idx="1176">
                  <c:v>0.21009298390896747</c:v>
                </c:pt>
                <c:pt idx="1177">
                  <c:v>0.21009252014978674</c:v>
                </c:pt>
                <c:pt idx="1178">
                  <c:v>0.21009205870361458</c:v>
                </c:pt>
                <c:pt idx="1179">
                  <c:v>0.21009159955891482</c:v>
                </c:pt>
                <c:pt idx="1180">
                  <c:v>0.21009114270420881</c:v>
                </c:pt>
                <c:pt idx="1181">
                  <c:v>0.21009068812807513</c:v>
                </c:pt>
                <c:pt idx="1182">
                  <c:v>0.21009023581914937</c:v>
                </c:pt>
                <c:pt idx="1183">
                  <c:v>0.2100897857661238</c:v>
                </c:pt>
                <c:pt idx="1184">
                  <c:v>0.21008933795774704</c:v>
                </c:pt>
                <c:pt idx="1185">
                  <c:v>0.21008889238282391</c:v>
                </c:pt>
                <c:pt idx="1186">
                  <c:v>0.21008844903021495</c:v>
                </c:pt>
                <c:pt idx="1187">
                  <c:v>0.21008800788883636</c:v>
                </c:pt>
                <c:pt idx="1188">
                  <c:v>0.21008756894765956</c:v>
                </c:pt>
                <c:pt idx="1189">
                  <c:v>0.21008713219571107</c:v>
                </c:pt>
                <c:pt idx="1190">
                  <c:v>0.21008669762207199</c:v>
                </c:pt>
                <c:pt idx="1191">
                  <c:v>0.21008626521587792</c:v>
                </c:pt>
                <c:pt idx="1192">
                  <c:v>0.21008583496631877</c:v>
                </c:pt>
                <c:pt idx="1193">
                  <c:v>0.21008540686263827</c:v>
                </c:pt>
                <c:pt idx="1194">
                  <c:v>0.2100849808941338</c:v>
                </c:pt>
                <c:pt idx="1195">
                  <c:v>0.21008455705015605</c:v>
                </c:pt>
                <c:pt idx="1196">
                  <c:v>0.210084135320109</c:v>
                </c:pt>
                <c:pt idx="1197">
                  <c:v>0.21008371569344936</c:v>
                </c:pt>
                <c:pt idx="1198">
                  <c:v>0.21008329815968635</c:v>
                </c:pt>
                <c:pt idx="1199">
                  <c:v>0.21008288270838171</c:v>
                </c:pt>
                <c:pt idx="1200">
                  <c:v>0.21008246932914909</c:v>
                </c:pt>
                <c:pt idx="1201">
                  <c:v>0.21008205801165403</c:v>
                </c:pt>
                <c:pt idx="1202">
                  <c:v>0.21008164874561347</c:v>
                </c:pt>
                <c:pt idx="1203">
                  <c:v>0.21008124152079583</c:v>
                </c:pt>
                <c:pt idx="1204">
                  <c:v>0.21008083632702046</c:v>
                </c:pt>
                <c:pt idx="1205">
                  <c:v>0.21008043315415742</c:v>
                </c:pt>
                <c:pt idx="1206">
                  <c:v>0.21008003199212749</c:v>
                </c:pt>
                <c:pt idx="1207">
                  <c:v>0.21007963283090147</c:v>
                </c:pt>
                <c:pt idx="1208">
                  <c:v>0.21007923566050041</c:v>
                </c:pt>
                <c:pt idx="1209">
                  <c:v>0.21007884047099501</c:v>
                </c:pt>
                <c:pt idx="1210">
                  <c:v>0.21007844725250546</c:v>
                </c:pt>
                <c:pt idx="1211">
                  <c:v>0.2100780559952013</c:v>
                </c:pt>
                <c:pt idx="1212">
                  <c:v>0.21007766668930111</c:v>
                </c:pt>
                <c:pt idx="1213">
                  <c:v>0.2100772793250722</c:v>
                </c:pt>
                <c:pt idx="1214">
                  <c:v>0.21007689389283041</c:v>
                </c:pt>
                <c:pt idx="1215">
                  <c:v>0.21007651038293995</c:v>
                </c:pt>
                <c:pt idx="1216">
                  <c:v>0.21007612878581305</c:v>
                </c:pt>
                <c:pt idx="1217">
                  <c:v>0.21007574909190979</c:v>
                </c:pt>
                <c:pt idx="1218">
                  <c:v>0.21007537129173776</c:v>
                </c:pt>
                <c:pt idx="1219">
                  <c:v>0.21007499537585195</c:v>
                </c:pt>
                <c:pt idx="1220">
                  <c:v>0.21007462133485444</c:v>
                </c:pt>
                <c:pt idx="1221">
                  <c:v>0.21007424915939416</c:v>
                </c:pt>
                <c:pt idx="1222">
                  <c:v>0.21007387884016676</c:v>
                </c:pt>
                <c:pt idx="1223">
                  <c:v>0.21007351036791422</c:v>
                </c:pt>
                <c:pt idx="1224">
                  <c:v>0.21007314373342467</c:v>
                </c:pt>
                <c:pt idx="1225">
                  <c:v>0.21007277892753229</c:v>
                </c:pt>
                <c:pt idx="1226">
                  <c:v>0.21007241594111692</c:v>
                </c:pt>
                <c:pt idx="1227">
                  <c:v>0.21007205476510382</c:v>
                </c:pt>
                <c:pt idx="1228">
                  <c:v>0.21007169539046361</c:v>
                </c:pt>
                <c:pt idx="1229">
                  <c:v>0.21007133780821186</c:v>
                </c:pt>
                <c:pt idx="1230">
                  <c:v>0.21007098200940905</c:v>
                </c:pt>
                <c:pt idx="1231">
                  <c:v>0.21007062798516019</c:v>
                </c:pt>
                <c:pt idx="1232">
                  <c:v>0.21007027572661463</c:v>
                </c:pt>
                <c:pt idx="1233">
                  <c:v>0.21006992522496587</c:v>
                </c:pt>
                <c:pt idx="1234">
                  <c:v>0.21006957647145141</c:v>
                </c:pt>
                <c:pt idx="1235">
                  <c:v>0.21006922945735235</c:v>
                </c:pt>
                <c:pt idx="1236">
                  <c:v>0.21006888417399333</c:v>
                </c:pt>
                <c:pt idx="1237">
                  <c:v>0.21006854061274222</c:v>
                </c:pt>
                <c:pt idx="1238">
                  <c:v>0.21006819876501004</c:v>
                </c:pt>
                <c:pt idx="1239">
                  <c:v>0.21006785862225053</c:v>
                </c:pt>
                <c:pt idx="1240">
                  <c:v>0.21006752017596009</c:v>
                </c:pt>
                <c:pt idx="1241">
                  <c:v>0.21006718341767755</c:v>
                </c:pt>
                <c:pt idx="1242">
                  <c:v>0.21006684833898398</c:v>
                </c:pt>
                <c:pt idx="1243">
                  <c:v>0.21006651493150236</c:v>
                </c:pt>
                <c:pt idx="1244">
                  <c:v>0.21006618318689751</c:v>
                </c:pt>
                <c:pt idx="1245">
                  <c:v>0.21006585309687575</c:v>
                </c:pt>
                <c:pt idx="1246">
                  <c:v>0.21006552465318484</c:v>
                </c:pt>
                <c:pt idx="1247">
                  <c:v>0.21006519784761374</c:v>
                </c:pt>
                <c:pt idx="1248">
                  <c:v>0.21006487267199214</c:v>
                </c:pt>
                <c:pt idx="1249">
                  <c:v>0.21006454911819078</c:v>
                </c:pt>
                <c:pt idx="1250">
                  <c:v>0.21006422717812068</c:v>
                </c:pt>
                <c:pt idx="1251">
                  <c:v>0.21006390684373344</c:v>
                </c:pt>
                <c:pt idx="1252">
                  <c:v>0.21006358810702058</c:v>
                </c:pt>
                <c:pt idx="1253">
                  <c:v>0.2100632709600137</c:v>
                </c:pt>
                <c:pt idx="1254">
                  <c:v>0.21006295539478415</c:v>
                </c:pt>
                <c:pt idx="1255">
                  <c:v>0.21006264140344272</c:v>
                </c:pt>
                <c:pt idx="1256">
                  <c:v>0.21006232897813965</c:v>
                </c:pt>
                <c:pt idx="1257">
                  <c:v>0.21006201811106429</c:v>
                </c:pt>
                <c:pt idx="1258">
                  <c:v>0.21006170879444491</c:v>
                </c:pt>
                <c:pt idx="1259">
                  <c:v>0.21006140102054865</c:v>
                </c:pt>
                <c:pt idx="1260">
                  <c:v>0.21006109478168106</c:v>
                </c:pt>
                <c:pt idx="1261">
                  <c:v>0.21006079007018619</c:v>
                </c:pt>
                <c:pt idx="1262">
                  <c:v>0.21006048687844625</c:v>
                </c:pt>
                <c:pt idx="1263">
                  <c:v>0.21006018519888142</c:v>
                </c:pt>
                <c:pt idx="1264">
                  <c:v>0.21005988502394973</c:v>
                </c:pt>
                <c:pt idx="1265">
                  <c:v>0.21005958634614674</c:v>
                </c:pt>
                <c:pt idx="1266">
                  <c:v>0.21005928915800548</c:v>
                </c:pt>
                <c:pt idx="1267">
                  <c:v>0.21005899345209628</c:v>
                </c:pt>
                <c:pt idx="1268">
                  <c:v>0.21005869922102649</c:v>
                </c:pt>
                <c:pt idx="1269">
                  <c:v>0.21005840645744023</c:v>
                </c:pt>
                <c:pt idx="1270">
                  <c:v>0.21005811515401845</c:v>
                </c:pt>
                <c:pt idx="1271">
                  <c:v>0.21005782530347855</c:v>
                </c:pt>
                <c:pt idx="1272">
                  <c:v>0.21005753689857432</c:v>
                </c:pt>
                <c:pt idx="1273">
                  <c:v>0.21005724993209546</c:v>
                </c:pt>
                <c:pt idx="1274">
                  <c:v>0.21005696439686794</c:v>
                </c:pt>
                <c:pt idx="1275">
                  <c:v>0.21005668028575325</c:v>
                </c:pt>
                <c:pt idx="1276">
                  <c:v>0.21005639759164868</c:v>
                </c:pt>
                <c:pt idx="1277">
                  <c:v>0.21005611630748688</c:v>
                </c:pt>
                <c:pt idx="1278">
                  <c:v>0.21005583642623565</c:v>
                </c:pt>
                <c:pt idx="1279">
                  <c:v>0.21005555794089797</c:v>
                </c:pt>
                <c:pt idx="1280">
                  <c:v>0.21005528084451175</c:v>
                </c:pt>
                <c:pt idx="1281">
                  <c:v>0.21005500513014952</c:v>
                </c:pt>
                <c:pt idx="1282">
                  <c:v>0.21005473079091835</c:v>
                </c:pt>
                <c:pt idx="1283">
                  <c:v>0.21005445781995985</c:v>
                </c:pt>
                <c:pt idx="1284">
                  <c:v>0.21005418621044969</c:v>
                </c:pt>
                <c:pt idx="1285">
                  <c:v>0.21005391595559764</c:v>
                </c:pt>
                <c:pt idx="1286">
                  <c:v>0.21005364704864721</c:v>
                </c:pt>
                <c:pt idx="1287">
                  <c:v>0.21005337948287583</c:v>
                </c:pt>
                <c:pt idx="1288">
                  <c:v>0.21005311325159431</c:v>
                </c:pt>
                <c:pt idx="1289">
                  <c:v>0.21005284834814686</c:v>
                </c:pt>
                <c:pt idx="1290">
                  <c:v>0.21005258476591082</c:v>
                </c:pt>
                <c:pt idx="1291">
                  <c:v>0.2100523224982967</c:v>
                </c:pt>
                <c:pt idx="1292">
                  <c:v>0.21005206153874778</c:v>
                </c:pt>
                <c:pt idx="1293">
                  <c:v>0.21005180188074002</c:v>
                </c:pt>
                <c:pt idx="1294">
                  <c:v>0.21005154351778194</c:v>
                </c:pt>
                <c:pt idx="1295">
                  <c:v>0.21005128644341453</c:v>
                </c:pt>
                <c:pt idx="1296">
                  <c:v>0.21005103065121083</c:v>
                </c:pt>
                <c:pt idx="1297">
                  <c:v>0.21005077613477613</c:v>
                </c:pt>
                <c:pt idx="1298">
                  <c:v>0.21005052288774745</c:v>
                </c:pt>
                <c:pt idx="1299">
                  <c:v>0.21005027090379352</c:v>
                </c:pt>
                <c:pt idx="1300">
                  <c:v>0.21005002017661484</c:v>
                </c:pt>
                <c:pt idx="1301">
                  <c:v>0.21004977069994324</c:v>
                </c:pt>
                <c:pt idx="1302">
                  <c:v>0.21004952246754166</c:v>
                </c:pt>
                <c:pt idx="1303">
                  <c:v>0.21004927547320434</c:v>
                </c:pt>
                <c:pt idx="1304">
                  <c:v>0.21004902971075645</c:v>
                </c:pt>
                <c:pt idx="1305">
                  <c:v>0.2100487851740539</c:v>
                </c:pt>
                <c:pt idx="1306">
                  <c:v>0.21004854185698318</c:v>
                </c:pt>
                <c:pt idx="1307">
                  <c:v>0.21004829975346145</c:v>
                </c:pt>
                <c:pt idx="1308">
                  <c:v>0.2100480588574361</c:v>
                </c:pt>
                <c:pt idx="1309">
                  <c:v>0.21004781916288467</c:v>
                </c:pt>
                <c:pt idx="1310">
                  <c:v>0.21004758066381479</c:v>
                </c:pt>
                <c:pt idx="1311">
                  <c:v>0.210047343354264</c:v>
                </c:pt>
                <c:pt idx="1312">
                  <c:v>0.2100471072282995</c:v>
                </c:pt>
                <c:pt idx="1313">
                  <c:v>0.21004687228001817</c:v>
                </c:pt>
                <c:pt idx="1314">
                  <c:v>0.21004663850354632</c:v>
                </c:pt>
                <c:pt idx="1315">
                  <c:v>0.21004640589303947</c:v>
                </c:pt>
                <c:pt idx="1316">
                  <c:v>0.21004617444268231</c:v>
                </c:pt>
                <c:pt idx="1317">
                  <c:v>0.2100459441466887</c:v>
                </c:pt>
                <c:pt idx="1318">
                  <c:v>0.21004571499930108</c:v>
                </c:pt>
                <c:pt idx="1319">
                  <c:v>0.21004548699479086</c:v>
                </c:pt>
                <c:pt idx="1320">
                  <c:v>0.21004526012745789</c:v>
                </c:pt>
                <c:pt idx="1321">
                  <c:v>0.21004503439163047</c:v>
                </c:pt>
                <c:pt idx="1322">
                  <c:v>0.21004480978166518</c:v>
                </c:pt>
                <c:pt idx="1323">
                  <c:v>0.21004458629194672</c:v>
                </c:pt>
                <c:pt idx="1324">
                  <c:v>0.21004436391688791</c:v>
                </c:pt>
                <c:pt idx="1325">
                  <c:v>0.21004414265092936</c:v>
                </c:pt>
                <c:pt idx="1326">
                  <c:v>0.21004392248853937</c:v>
                </c:pt>
                <c:pt idx="1327">
                  <c:v>0.21004370342421386</c:v>
                </c:pt>
                <c:pt idx="1328">
                  <c:v>0.21004348545247625</c:v>
                </c:pt>
                <c:pt idx="1329">
                  <c:v>0.21004326856787719</c:v>
                </c:pt>
                <c:pt idx="1330">
                  <c:v>0.21004305276499463</c:v>
                </c:pt>
                <c:pt idx="1331">
                  <c:v>0.21004283803843338</c:v>
                </c:pt>
                <c:pt idx="1332">
                  <c:v>0.21004262438282534</c:v>
                </c:pt>
                <c:pt idx="1333">
                  <c:v>0.21004241179282912</c:v>
                </c:pt>
                <c:pt idx="1334">
                  <c:v>0.21004220026312992</c:v>
                </c:pt>
                <c:pt idx="1335">
                  <c:v>0.21004198978843946</c:v>
                </c:pt>
                <c:pt idx="1336">
                  <c:v>0.21004178036349591</c:v>
                </c:pt>
                <c:pt idx="1337">
                  <c:v>0.21004157198306367</c:v>
                </c:pt>
                <c:pt idx="1338">
                  <c:v>0.21004136464193313</c:v>
                </c:pt>
                <c:pt idx="1339">
                  <c:v>0.21004115833492082</c:v>
                </c:pt>
                <c:pt idx="1340">
                  <c:v>0.21004095305686898</c:v>
                </c:pt>
                <c:pt idx="1341">
                  <c:v>0.21004074880264573</c:v>
                </c:pt>
                <c:pt idx="1342">
                  <c:v>0.21004054556714463</c:v>
                </c:pt>
                <c:pt idx="1343">
                  <c:v>0.21004034334528487</c:v>
                </c:pt>
                <c:pt idx="1344">
                  <c:v>0.21004014213201083</c:v>
                </c:pt>
                <c:pt idx="1345">
                  <c:v>0.21003994192229219</c:v>
                </c:pt>
                <c:pt idx="1346">
                  <c:v>0.21003974271112369</c:v>
                </c:pt>
                <c:pt idx="1347">
                  <c:v>0.21003954449352502</c:v>
                </c:pt>
                <c:pt idx="1348">
                  <c:v>0.21003934726454071</c:v>
                </c:pt>
                <c:pt idx="1349">
                  <c:v>0.21003915101924009</c:v>
                </c:pt>
                <c:pt idx="1350">
                  <c:v>0.21003895575271703</c:v>
                </c:pt>
                <c:pt idx="1351">
                  <c:v>0.21003876146008976</c:v>
                </c:pt>
                <c:pt idx="1352">
                  <c:v>0.21003856813650107</c:v>
                </c:pt>
                <c:pt idx="1353">
                  <c:v>0.21003837577711776</c:v>
                </c:pt>
                <c:pt idx="1354">
                  <c:v>0.2100381843771309</c:v>
                </c:pt>
                <c:pt idx="1355">
                  <c:v>0.21003799393175543</c:v>
                </c:pt>
                <c:pt idx="1356">
                  <c:v>0.21003780443623027</c:v>
                </c:pt>
                <c:pt idx="1357">
                  <c:v>0.21003761588581793</c:v>
                </c:pt>
                <c:pt idx="1358">
                  <c:v>0.21003742827580474</c:v>
                </c:pt>
                <c:pt idx="1359">
                  <c:v>0.21003724160150039</c:v>
                </c:pt>
                <c:pt idx="1360">
                  <c:v>0.21003705585823801</c:v>
                </c:pt>
                <c:pt idx="1361">
                  <c:v>0.21003687104137403</c:v>
                </c:pt>
                <c:pt idx="1362">
                  <c:v>0.21003668714628798</c:v>
                </c:pt>
                <c:pt idx="1363">
                  <c:v>0.21003650416838249</c:v>
                </c:pt>
                <c:pt idx="1364">
                  <c:v>0.21003632210308315</c:v>
                </c:pt>
                <c:pt idx="1365">
                  <c:v>0.21003614094583822</c:v>
                </c:pt>
                <c:pt idx="1366">
                  <c:v>0.21003596069211888</c:v>
                </c:pt>
                <c:pt idx="1367">
                  <c:v>0.21003578133741868</c:v>
                </c:pt>
                <c:pt idx="1368">
                  <c:v>0.21003560287725381</c:v>
                </c:pt>
                <c:pt idx="1369">
                  <c:v>0.21003542530716268</c:v>
                </c:pt>
                <c:pt idx="1370">
                  <c:v>0.21003524862270612</c:v>
                </c:pt>
                <c:pt idx="1371">
                  <c:v>0.21003507281946693</c:v>
                </c:pt>
                <c:pt idx="1372">
                  <c:v>0.21003489789305008</c:v>
                </c:pt>
                <c:pt idx="1373">
                  <c:v>0.21003472383908239</c:v>
                </c:pt>
                <c:pt idx="1374">
                  <c:v>0.21003455065321242</c:v>
                </c:pt>
                <c:pt idx="1375">
                  <c:v>0.2100343783311106</c:v>
                </c:pt>
                <c:pt idx="1376">
                  <c:v>0.21003420686846891</c:v>
                </c:pt>
                <c:pt idx="1377">
                  <c:v>0.21003403626100065</c:v>
                </c:pt>
                <c:pt idx="1378">
                  <c:v>0.21003386650444072</c:v>
                </c:pt>
                <c:pt idx="1379">
                  <c:v>0.21003369759454515</c:v>
                </c:pt>
                <c:pt idx="1380">
                  <c:v>0.2100335295270912</c:v>
                </c:pt>
                <c:pt idx="1381">
                  <c:v>0.21003336229787717</c:v>
                </c:pt>
                <c:pt idx="1382">
                  <c:v>0.21003319590272235</c:v>
                </c:pt>
                <c:pt idx="1383">
                  <c:v>0.21003303033746679</c:v>
                </c:pt>
                <c:pt idx="1384">
                  <c:v>0.21003286559797141</c:v>
                </c:pt>
                <c:pt idx="1385">
                  <c:v>0.21003270168011767</c:v>
                </c:pt>
                <c:pt idx="1386">
                  <c:v>0.21003253857980764</c:v>
                </c:pt>
                <c:pt idx="1387">
                  <c:v>0.21003237629296378</c:v>
                </c:pt>
                <c:pt idx="1388">
                  <c:v>0.21003221481552897</c:v>
                </c:pt>
                <c:pt idx="1389">
                  <c:v>0.21003205414346621</c:v>
                </c:pt>
                <c:pt idx="1390">
                  <c:v>0.21003189427275876</c:v>
                </c:pt>
                <c:pt idx="1391">
                  <c:v>0.21003173519940971</c:v>
                </c:pt>
                <c:pt idx="1392">
                  <c:v>0.21003157691944235</c:v>
                </c:pt>
                <c:pt idx="1393">
                  <c:v>0.21003141942889958</c:v>
                </c:pt>
                <c:pt idx="1394">
                  <c:v>0.2100312627238442</c:v>
                </c:pt>
                <c:pt idx="1395">
                  <c:v>0.21003110680035852</c:v>
                </c:pt>
                <c:pt idx="1396">
                  <c:v>0.2100309516545445</c:v>
                </c:pt>
                <c:pt idx="1397">
                  <c:v>0.21003079728252344</c:v>
                </c:pt>
                <c:pt idx="1398">
                  <c:v>0.21003064368043606</c:v>
                </c:pt>
                <c:pt idx="1399">
                  <c:v>0.21003049084444225</c:v>
                </c:pt>
                <c:pt idx="1400">
                  <c:v>0.21003033877072114</c:v>
                </c:pt>
                <c:pt idx="1401">
                  <c:v>0.21003018745547092</c:v>
                </c:pt>
                <c:pt idx="1402">
                  <c:v>0.21003003689490862</c:v>
                </c:pt>
                <c:pt idx="1403">
                  <c:v>0.21002988708527032</c:v>
                </c:pt>
                <c:pt idx="1404">
                  <c:v>0.21002973802281066</c:v>
                </c:pt>
                <c:pt idx="1405">
                  <c:v>0.21002958970380309</c:v>
                </c:pt>
                <c:pt idx="1406">
                  <c:v>0.21002944212453972</c:v>
                </c:pt>
                <c:pt idx="1407">
                  <c:v>0.21002929528133096</c:v>
                </c:pt>
                <c:pt idx="1408">
                  <c:v>0.21002914917050575</c:v>
                </c:pt>
                <c:pt idx="1409">
                  <c:v>0.21002900378841133</c:v>
                </c:pt>
                <c:pt idx="1410">
                  <c:v>0.21002885913141317</c:v>
                </c:pt>
                <c:pt idx="1411">
                  <c:v>0.21002871519589472</c:v>
                </c:pt>
                <c:pt idx="1412">
                  <c:v>0.21002857197825775</c:v>
                </c:pt>
                <c:pt idx="1413">
                  <c:v>0.21002842947492167</c:v>
                </c:pt>
                <c:pt idx="1414">
                  <c:v>0.21002828768232396</c:v>
                </c:pt>
                <c:pt idx="1415">
                  <c:v>0.21002814659691976</c:v>
                </c:pt>
                <c:pt idx="1416">
                  <c:v>0.21002800621518197</c:v>
                </c:pt>
                <c:pt idx="1417">
                  <c:v>0.210027866533601</c:v>
                </c:pt>
                <c:pt idx="1418">
                  <c:v>0.21002772754868487</c:v>
                </c:pt>
                <c:pt idx="1419">
                  <c:v>0.21002758925695886</c:v>
                </c:pt>
                <c:pt idx="1420">
                  <c:v>0.21002745165496572</c:v>
                </c:pt>
                <c:pt idx="1421">
                  <c:v>0.21002731473926539</c:v>
                </c:pt>
                <c:pt idx="1422">
                  <c:v>0.21002717850643493</c:v>
                </c:pt>
                <c:pt idx="1423">
                  <c:v>0.21002704295306862</c:v>
                </c:pt>
                <c:pt idx="1424">
                  <c:v>0.21002690807577745</c:v>
                </c:pt>
                <c:pt idx="1425">
                  <c:v>0.21002677387118962</c:v>
                </c:pt>
                <c:pt idx="1426">
                  <c:v>0.21002664033594998</c:v>
                </c:pt>
                <c:pt idx="1427">
                  <c:v>0.21002650746672014</c:v>
                </c:pt>
                <c:pt idx="1428">
                  <c:v>0.21002637526017831</c:v>
                </c:pt>
                <c:pt idx="1429">
                  <c:v>0.21002624371301937</c:v>
                </c:pt>
                <c:pt idx="1430">
                  <c:v>0.21002611282195466</c:v>
                </c:pt>
                <c:pt idx="1431">
                  <c:v>0.2100259825837118</c:v>
                </c:pt>
                <c:pt idx="1432">
                  <c:v>0.2100258529950349</c:v>
                </c:pt>
                <c:pt idx="1433">
                  <c:v>0.21002572405268422</c:v>
                </c:pt>
                <c:pt idx="1434">
                  <c:v>0.21002559575343621</c:v>
                </c:pt>
                <c:pt idx="1435">
                  <c:v>0.2100254680940834</c:v>
                </c:pt>
                <c:pt idx="1436">
                  <c:v>0.21002534107143422</c:v>
                </c:pt>
                <c:pt idx="1437">
                  <c:v>0.21002521468231317</c:v>
                </c:pt>
                <c:pt idx="1438">
                  <c:v>0.21002508892356048</c:v>
                </c:pt>
                <c:pt idx="1439">
                  <c:v>0.21002496379203217</c:v>
                </c:pt>
                <c:pt idx="1440">
                  <c:v>0.21002483928459997</c:v>
                </c:pt>
                <c:pt idx="1441">
                  <c:v>0.21002471539815121</c:v>
                </c:pt>
                <c:pt idx="1442">
                  <c:v>0.21002459212958868</c:v>
                </c:pt>
                <c:pt idx="1443">
                  <c:v>0.21002446947583064</c:v>
                </c:pt>
                <c:pt idx="1444">
                  <c:v>0.21002434743381082</c:v>
                </c:pt>
                <c:pt idx="1445">
                  <c:v>0.21002422600047804</c:v>
                </c:pt>
                <c:pt idx="1446">
                  <c:v>0.21002410517279663</c:v>
                </c:pt>
                <c:pt idx="1447">
                  <c:v>0.21002398494774571</c:v>
                </c:pt>
                <c:pt idx="1448">
                  <c:v>0.21002386532231976</c:v>
                </c:pt>
                <c:pt idx="1449">
                  <c:v>0.21002374629352816</c:v>
                </c:pt>
                <c:pt idx="1450">
                  <c:v>0.21002362785839507</c:v>
                </c:pt>
                <c:pt idx="1451">
                  <c:v>0.21002351001395969</c:v>
                </c:pt>
                <c:pt idx="1452">
                  <c:v>0.21002339275727588</c:v>
                </c:pt>
                <c:pt idx="1453">
                  <c:v>0.21002327608541221</c:v>
                </c:pt>
                <c:pt idx="1454">
                  <c:v>0.2100231599954519</c:v>
                </c:pt>
                <c:pt idx="1455">
                  <c:v>0.21002304448449272</c:v>
                </c:pt>
                <c:pt idx="1456">
                  <c:v>0.2100229295496468</c:v>
                </c:pt>
                <c:pt idx="1457">
                  <c:v>0.21002281518804083</c:v>
                </c:pt>
                <c:pt idx="1458">
                  <c:v>0.21002270139681578</c:v>
                </c:pt>
                <c:pt idx="1459">
                  <c:v>0.2100225881731268</c:v>
                </c:pt>
                <c:pt idx="1460">
                  <c:v>0.21002247551414333</c:v>
                </c:pt>
                <c:pt idx="1461">
                  <c:v>0.21002236341704889</c:v>
                </c:pt>
                <c:pt idx="1462">
                  <c:v>0.210022251879041</c:v>
                </c:pt>
                <c:pt idx="1463">
                  <c:v>0.21002214089733129</c:v>
                </c:pt>
                <c:pt idx="1464">
                  <c:v>0.21002203046914519</c:v>
                </c:pt>
                <c:pt idx="1465">
                  <c:v>0.21002192059172192</c:v>
                </c:pt>
                <c:pt idx="1466">
                  <c:v>0.21002181126231462</c:v>
                </c:pt>
                <c:pt idx="1467">
                  <c:v>0.21002170247818996</c:v>
                </c:pt>
                <c:pt idx="1468">
                  <c:v>0.21002159423662842</c:v>
                </c:pt>
                <c:pt idx="1469">
                  <c:v>0.21002148653492392</c:v>
                </c:pt>
                <c:pt idx="1470">
                  <c:v>0.2100213793703839</c:v>
                </c:pt>
                <c:pt idx="1471">
                  <c:v>0.21002127274032928</c:v>
                </c:pt>
                <c:pt idx="1472">
                  <c:v>0.21002116664209425</c:v>
                </c:pt>
                <c:pt idx="1473">
                  <c:v>0.21002106107302637</c:v>
                </c:pt>
                <c:pt idx="1474">
                  <c:v>0.21002095603048643</c:v>
                </c:pt>
                <c:pt idx="1475">
                  <c:v>0.21002085151184835</c:v>
                </c:pt>
                <c:pt idx="1476">
                  <c:v>0.21002074751449912</c:v>
                </c:pt>
                <c:pt idx="1477">
                  <c:v>0.21002064403583887</c:v>
                </c:pt>
                <c:pt idx="1478">
                  <c:v>0.21002054107328061</c:v>
                </c:pt>
                <c:pt idx="1479">
                  <c:v>0.21002043862425018</c:v>
                </c:pt>
                <c:pt idx="1480">
                  <c:v>0.21002033668618647</c:v>
                </c:pt>
                <c:pt idx="1481">
                  <c:v>0.21002023525654095</c:v>
                </c:pt>
                <c:pt idx="1482">
                  <c:v>0.21002013433277794</c:v>
                </c:pt>
                <c:pt idx="1483">
                  <c:v>0.21002003391237428</c:v>
                </c:pt>
                <c:pt idx="1484">
                  <c:v>0.21001993399281943</c:v>
                </c:pt>
                <c:pt idx="1485">
                  <c:v>0.21001983457161549</c:v>
                </c:pt>
                <c:pt idx="1486">
                  <c:v>0.21001973564627685</c:v>
                </c:pt>
                <c:pt idx="1487">
                  <c:v>0.21001963721433037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53-42A6-8B4C-703A7BBD647C}"/>
            </c:ext>
          </c:extLst>
        </c:ser>
        <c:ser>
          <c:idx val="5"/>
          <c:order val="1"/>
          <c:tx>
            <c:strRef>
              <c:f>Rocof!$M$6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Rocof!$A$7:$A$1494</c:f>
              <c:numCache>
                <c:formatCode>General</c:formatCode>
                <c:ptCount val="1488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</c:numCache>
            </c:numRef>
          </c:xVal>
          <c:yVal>
            <c:numRef>
              <c:f>Rocof!$M$7:$M$1494</c:f>
              <c:numCache>
                <c:formatCode>General</c:formatCode>
                <c:ptCount val="1488"/>
                <c:pt idx="0">
                  <c:v>0.08</c:v>
                </c:pt>
                <c:pt idx="1">
                  <c:v>8.0244754030977083E-2</c:v>
                </c:pt>
                <c:pt idx="2">
                  <c:v>8.0973040092560164E-2</c:v>
                </c:pt>
                <c:pt idx="3">
                  <c:v>8.2169424144196507E-2</c:v>
                </c:pt>
                <c:pt idx="4">
                  <c:v>8.3812408830701846E-2</c:v>
                </c:pt>
                <c:pt idx="5">
                  <c:v>8.5876632868573083E-2</c:v>
                </c:pt>
                <c:pt idx="6">
                  <c:v>8.8334273075735117E-2</c:v>
                </c:pt>
                <c:pt idx="7">
                  <c:v>9.1155960027943878E-2</c:v>
                </c:pt>
                <c:pt idx="8">
                  <c:v>9.4311395784639943E-2</c:v>
                </c:pt>
                <c:pt idx="9">
                  <c:v>9.7769787825220833E-2</c:v>
                </c:pt>
                <c:pt idx="10">
                  <c:v>0.10150016829270328</c:v>
                </c:pt>
                <c:pt idx="11">
                  <c:v>0.10547164034306436</c:v>
                </c:pt>
                <c:pt idx="12">
                  <c:v>0.1096535768624137</c:v>
                </c:pt>
                <c:pt idx="13">
                  <c:v>0.11401578680520889</c:v>
                </c:pt>
                <c:pt idx="14">
                  <c:v>0.11852865835605705</c:v>
                </c:pt>
                <c:pt idx="15">
                  <c:v>0.12316328446703806</c:v>
                </c:pt>
                <c:pt idx="16">
                  <c:v>0.12789157412679469</c:v>
                </c:pt>
                <c:pt idx="17">
                  <c:v>0.13268635140354246</c:v>
                </c:pt>
                <c:pt idx="18">
                  <c:v>0.13752144352388712</c:v>
                </c:pt>
                <c:pt idx="19">
                  <c:v>0.14237175879192293</c:v>
                </c:pt>
                <c:pt idx="20">
                  <c:v>0.14721335489053167</c:v>
                </c:pt>
                <c:pt idx="21">
                  <c:v>0.15202349796145276</c:v>
                </c:pt>
                <c:pt idx="22">
                  <c:v>0.15678071278543226</c:v>
                </c:pt>
                <c:pt idx="23">
                  <c:v>0.16146482434998738</c:v>
                </c:pt>
                <c:pt idx="24">
                  <c:v>0.1660569910827</c:v>
                </c:pt>
                <c:pt idx="25">
                  <c:v>0.17053973003194559</c:v>
                </c:pt>
                <c:pt idx="26">
                  <c:v>0.17489693428819919</c:v>
                </c:pt>
                <c:pt idx="27">
                  <c:v>0.17911388295367003</c:v>
                </c:pt>
                <c:pt idx="28">
                  <c:v>0.18317724398367258</c:v>
                </c:pt>
                <c:pt idx="29">
                  <c:v>0.18707507023844844</c:v>
                </c:pt>
                <c:pt idx="30">
                  <c:v>0.19079678909827996</c:v>
                </c:pt>
                <c:pt idx="31">
                  <c:v>0.19433318600720836</c:v>
                </c:pt>
                <c:pt idx="32">
                  <c:v>0.19767638232122201</c:v>
                </c:pt>
                <c:pt idx="33">
                  <c:v>0.20081980784528616</c:v>
                </c:pt>
                <c:pt idx="34">
                  <c:v>0.20375816844999778</c:v>
                </c:pt>
                <c:pt idx="35">
                  <c:v>0.20648740916297775</c:v>
                </c:pt>
                <c:pt idx="36">
                  <c:v>0.20900467313239884</c:v>
                </c:pt>
                <c:pt idx="37">
                  <c:v>0.21130825686035715</c:v>
                </c:pt>
                <c:pt idx="38">
                  <c:v>0.21339756210220956</c:v>
                </c:pt>
                <c:pt idx="39">
                  <c:v>0.21527304482460735</c:v>
                </c:pt>
                <c:pt idx="40">
                  <c:v>0.21693616160986223</c:v>
                </c:pt>
                <c:pt idx="41">
                  <c:v>0.21838931388758243</c:v>
                </c:pt>
                <c:pt idx="42">
                  <c:v>0.21963579036632896</c:v>
                </c:pt>
                <c:pt idx="43">
                  <c:v>0.22067970802846804</c:v>
                </c:pt>
                <c:pt idx="44">
                  <c:v>0.22152595204055781</c:v>
                </c:pt>
                <c:pt idx="45">
                  <c:v>0.2221801149196081</c:v>
                </c:pt>
                <c:pt idx="46">
                  <c:v>0.22264843528251371</c:v>
                </c:pt>
                <c:pt idx="47">
                  <c:v>0.22293773649199222</c:v>
                </c:pt>
                <c:pt idx="48">
                  <c:v>0.22305536549757116</c:v>
                </c:pt>
                <c:pt idx="49">
                  <c:v>0.22300913215467538</c:v>
                </c:pt>
                <c:pt idx="50">
                  <c:v>0.22280724928877493</c:v>
                </c:pt>
                <c:pt idx="51">
                  <c:v>0.22245827375496796</c:v>
                </c:pt>
                <c:pt idx="52">
                  <c:v>0.22197104872640261</c:v>
                </c:pt>
                <c:pt idx="53">
                  <c:v>0.22135464742767785</c:v>
                </c:pt>
                <c:pt idx="54">
                  <c:v>0.22061831851191255</c:v>
                </c:pt>
                <c:pt idx="55">
                  <c:v>0.2197714332626155</c:v>
                </c:pt>
                <c:pt idx="56">
                  <c:v>0.21882343478392963</c:v>
                </c:pt>
                <c:pt idx="57">
                  <c:v>0.21778378932533177</c:v>
                </c:pt>
                <c:pt idx="58">
                  <c:v>0.21666193986953558</c:v>
                </c:pt>
                <c:pt idx="59">
                  <c:v>0.2154672620952392</c:v>
                </c:pt>
                <c:pt idx="60">
                  <c:v>0.21420902280955445</c:v>
                </c:pt>
                <c:pt idx="61">
                  <c:v>0.21289634092851478</c:v>
                </c:pt>
                <c:pt idx="62">
                  <c:v>0.21153815106804597</c:v>
                </c:pt>
                <c:pt idx="63">
                  <c:v>0.21014316979225517</c:v>
                </c:pt>
                <c:pt idx="64">
                  <c:v>0.20871986455089486</c:v>
                </c:pt>
                <c:pt idx="65">
                  <c:v>0.2072764253234422</c:v>
                </c:pt>
                <c:pt idx="66">
                  <c:v>0.20582073897343539</c:v>
                </c:pt>
                <c:pt idx="67">
                  <c:v>0.20436036630356658</c:v>
                </c:pt>
                <c:pt idx="68">
                  <c:v>0.2029025217895738</c:v>
                </c:pt>
                <c:pt idx="69">
                  <c:v>0.20145405595923213</c:v>
                </c:pt>
                <c:pt idx="70">
                  <c:v>0.20002144037173347</c:v>
                </c:pt>
                <c:pt idx="71">
                  <c:v>0.19861075514248644</c:v>
                </c:pt>
                <c:pt idx="72">
                  <c:v>0.19722767894887094</c:v>
                </c:pt>
                <c:pt idx="73">
                  <c:v>0.19587748144376033</c:v>
                </c:pt>
                <c:pt idx="74">
                  <c:v>0.19456501799567238</c:v>
                </c:pt>
                <c:pt idx="75">
                  <c:v>0.19329472666724073</c:v>
                </c:pt>
                <c:pt idx="76">
                  <c:v>0.19207062733729569</c:v>
                </c:pt>
                <c:pt idx="77">
                  <c:v>0.19089632286620967</c:v>
                </c:pt>
                <c:pt idx="78">
                  <c:v>0.18977500219928067</c:v>
                </c:pt>
                <c:pt idx="79">
                  <c:v>0.18870944529879002</c:v>
                </c:pt>
                <c:pt idx="80">
                  <c:v>0.18770202979195455</c:v>
                </c:pt>
                <c:pt idx="81">
                  <c:v>0.18675473921928748</c:v>
                </c:pt>
                <c:pt idx="82">
                  <c:v>0.18586917276585735</c:v>
                </c:pt>
                <c:pt idx="83">
                  <c:v>0.18504655635657194</c:v>
                </c:pt>
                <c:pt idx="84">
                  <c:v>0.18428775499588773</c:v>
                </c:pt>
                <c:pt idx="85">
                  <c:v>0.18359328623222371</c:v>
                </c:pt>
                <c:pt idx="86">
                  <c:v>0.18296333462781836</c:v>
                </c:pt>
                <c:pt idx="87">
                  <c:v>0.1823977671157751</c:v>
                </c:pt>
                <c:pt idx="88">
                  <c:v>0.18189614912756422</c:v>
                </c:pt>
                <c:pt idx="89">
                  <c:v>0.18145776137625763</c:v>
                </c:pt>
                <c:pt idx="90">
                  <c:v>0.18108161718323068</c:v>
                </c:pt>
                <c:pt idx="91">
                  <c:v>0.18076648023894054</c:v>
                </c:pt>
                <c:pt idx="92">
                  <c:v>0.18051088269165017</c:v>
                </c:pt>
                <c:pt idx="93">
                  <c:v>0.18031314346157259</c:v>
                </c:pt>
                <c:pt idx="94">
                  <c:v>0.18017138668183416</c:v>
                </c:pt>
                <c:pt idx="95">
                  <c:v>0.18008356017185542</c:v>
                </c:pt>
                <c:pt idx="96">
                  <c:v>0.18004745385319909</c:v>
                </c:pt>
                <c:pt idx="97">
                  <c:v>0.18006071802259555</c:v>
                </c:pt>
                <c:pt idx="98">
                  <c:v>0.18012088140169963</c:v>
                </c:pt>
                <c:pt idx="99">
                  <c:v>0.18022536888812352</c:v>
                </c:pt>
                <c:pt idx="100">
                  <c:v>0.18037151893740072</c:v>
                </c:pt>
                <c:pt idx="101">
                  <c:v>0.18055660051073025</c:v>
                </c:pt>
                <c:pt idx="102">
                  <c:v>0.18077782952860683</c:v>
                </c:pt>
                <c:pt idx="103">
                  <c:v>0.1810323847757267</c:v>
                </c:pt>
                <c:pt idx="104">
                  <c:v>0.18131742320784675</c:v>
                </c:pt>
                <c:pt idx="105">
                  <c:v>0.18163009461654164</c:v>
                </c:pt>
                <c:pt idx="106">
                  <c:v>0.18196755561302302</c:v>
                </c:pt>
                <c:pt idx="107">
                  <c:v>0.18232698289733723</c:v>
                </c:pt>
                <c:pt idx="108">
                  <c:v>0.18270558578431861</c:v>
                </c:pt>
                <c:pt idx="109">
                  <c:v>0.18310061796262653</c:v>
                </c:pt>
                <c:pt idx="110">
                  <c:v>0.18350938846801862</c:v>
                </c:pt>
                <c:pt idx="111">
                  <c:v>0.18392927185668959</c:v>
                </c:pt>
                <c:pt idx="112">
                  <c:v>0.18435771756902306</c:v>
                </c:pt>
                <c:pt idx="113">
                  <c:v>0.18479225847844771</c:v>
                </c:pt>
                <c:pt idx="114">
                  <c:v>0.18523051862424572</c:v>
                </c:pt>
                <c:pt idx="115">
                  <c:v>0.18567022013112167</c:v>
                </c:pt>
                <c:pt idx="116">
                  <c:v>0.18610918932209267</c:v>
                </c:pt>
                <c:pt idx="117">
                  <c:v>0.18654536203480124</c:v>
                </c:pt>
                <c:pt idx="118">
                  <c:v>0.18697678815466728</c:v>
                </c:pt>
                <c:pt idx="119">
                  <c:v>0.18740163538139082</c:v>
                </c:pt>
                <c:pt idx="120">
                  <c:v>0.187818192248177</c:v>
                </c:pt>
                <c:pt idx="121">
                  <c:v>0.1882248704156857</c:v>
                </c:pt>
                <c:pt idx="122">
                  <c:v>0.18862020626510456</c:v>
                </c:pt>
                <c:pt idx="123">
                  <c:v>0.18900286181690673</c:v>
                </c:pt>
                <c:pt idx="124">
                  <c:v>0.1893716250037851</c:v>
                </c:pt>
                <c:pt idx="125">
                  <c:v>0.18972540932795445</c:v>
                </c:pt>
                <c:pt idx="126">
                  <c:v>0.19006325293448584</c:v>
                </c:pt>
                <c:pt idx="127">
                  <c:v>0.1903843171335865</c:v>
                </c:pt>
                <c:pt idx="128">
                  <c:v>0.19068788440576886</c:v>
                </c:pt>
                <c:pt idx="129">
                  <c:v>0.19097335592467204</c:v>
                </c:pt>
                <c:pt idx="130">
                  <c:v>0.19124024863290928</c:v>
                </c:pt>
                <c:pt idx="131">
                  <c:v>0.19148819190672908</c:v>
                </c:pt>
                <c:pt idx="132">
                  <c:v>0.19171692384549874</c:v>
                </c:pt>
                <c:pt idx="133">
                  <c:v>0.19192628722205807</c:v>
                </c:pt>
                <c:pt idx="134">
                  <c:v>0.19211622512985452</c:v>
                </c:pt>
                <c:pt idx="135">
                  <c:v>0.19228677636247093</c:v>
                </c:pt>
                <c:pt idx="136">
                  <c:v>0.19243807056069956</c:v>
                </c:pt>
                <c:pt idx="137">
                  <c:v>0.19257032316171446</c:v>
                </c:pt>
                <c:pt idx="138">
                  <c:v>0.19268383018415502</c:v>
                </c:pt>
                <c:pt idx="139">
                  <c:v>0.19277896288207019</c:v>
                </c:pt>
                <c:pt idx="140">
                  <c:v>0.19285616229969232</c:v>
                </c:pt>
                <c:pt idx="141">
                  <c:v>0.19291593375792562</c:v>
                </c:pt>
                <c:pt idx="142">
                  <c:v>0.19295884130225427</c:v>
                </c:pt>
                <c:pt idx="143">
                  <c:v>0.19298550214051108</c:v>
                </c:pt>
                <c:pt idx="144">
                  <c:v>0.19299658109760875</c:v>
                </c:pt>
                <c:pt idx="145">
                  <c:v>0.19299278511293361</c:v>
                </c:pt>
                <c:pt idx="146">
                  <c:v>0.19297485780464324</c:v>
                </c:pt>
                <c:pt idx="147">
                  <c:v>0.1929435741236078</c:v>
                </c:pt>
                <c:pt idx="148">
                  <c:v>0.19289973511819691</c:v>
                </c:pt>
                <c:pt idx="149">
                  <c:v>0.19284416282954941</c:v>
                </c:pt>
                <c:pt idx="150">
                  <c:v>0.19277769533538125</c:v>
                </c:pt>
                <c:pt idx="151">
                  <c:v>0.19270118195879671</c:v>
                </c:pt>
                <c:pt idx="152">
                  <c:v>0.19261547865697418</c:v>
                </c:pt>
                <c:pt idx="153">
                  <c:v>0.1925214436030136</c:v>
                </c:pt>
                <c:pt idx="154">
                  <c:v>0.19241993297265914</c:v>
                </c:pt>
                <c:pt idx="155">
                  <c:v>0.19231179694606093</c:v>
                </c:pt>
                <c:pt idx="156">
                  <c:v>0.19219787593321375</c:v>
                </c:pt>
                <c:pt idx="157">
                  <c:v>0.1920789970302203</c:v>
                </c:pt>
                <c:pt idx="158">
                  <c:v>0.19195597071207382</c:v>
                </c:pt>
                <c:pt idx="159">
                  <c:v>0.19182958776624526</c:v>
                </c:pt>
                <c:pt idx="160">
                  <c:v>0.19170061646999925</c:v>
                </c:pt>
                <c:pt idx="161">
                  <c:v>0.19156980001305546</c:v>
                </c:pt>
                <c:pt idx="162">
                  <c:v>0.19143785416595815</c:v>
                </c:pt>
                <c:pt idx="163">
                  <c:v>0.19130546519332486</c:v>
                </c:pt>
                <c:pt idx="164">
                  <c:v>0.19117328801001304</c:v>
                </c:pt>
                <c:pt idx="165">
                  <c:v>0.19104194457717827</c:v>
                </c:pt>
                <c:pt idx="166">
                  <c:v>0.19091202253419687</c:v>
                </c:pt>
                <c:pt idx="167">
                  <c:v>0.19078407406149361</c:v>
                </c:pt>
                <c:pt idx="168">
                  <c:v>0.19065861496845393</c:v>
                </c:pt>
                <c:pt idx="169">
                  <c:v>0.19053612399980557</c:v>
                </c:pt>
                <c:pt idx="170">
                  <c:v>0.19041704235313273</c:v>
                </c:pt>
                <c:pt idx="171">
                  <c:v>0.19030177339953419</c:v>
                </c:pt>
                <c:pt idx="172">
                  <c:v>0.1901906825988543</c:v>
                </c:pt>
                <c:pt idx="173">
                  <c:v>0.1900840976004019</c:v>
                </c:pt>
                <c:pt idx="174">
                  <c:v>0.18998230851963041</c:v>
                </c:pt>
                <c:pt idx="175">
                  <c:v>0.18988556838087284</c:v>
                </c:pt>
                <c:pt idx="176">
                  <c:v>0.18979409371591555</c:v>
                </c:pt>
                <c:pt idx="177">
                  <c:v>0.18970806530794701</c:v>
                </c:pt>
                <c:pt idx="178">
                  <c:v>0.18962762907023295</c:v>
                </c:pt>
                <c:pt idx="179">
                  <c:v>0.18955289704874353</c:v>
                </c:pt>
                <c:pt idx="180">
                  <c:v>0.18948394853789141</c:v>
                </c:pt>
                <c:pt idx="181">
                  <c:v>0.18942083129852677</c:v>
                </c:pt>
                <c:pt idx="182">
                  <c:v>0.18936356286737596</c:v>
                </c:pt>
                <c:pt idx="183">
                  <c:v>0.18931213194719959</c:v>
                </c:pt>
                <c:pt idx="184">
                  <c:v>0.18926649986708377</c:v>
                </c:pt>
                <c:pt idx="185">
                  <c:v>0.1892266021024584</c:v>
                </c:pt>
                <c:pt idx="186">
                  <c:v>0.18919234984465821</c:v>
                </c:pt>
                <c:pt idx="187">
                  <c:v>0.18916363161010213</c:v>
                </c:pt>
                <c:pt idx="188">
                  <c:v>0.18914031487946129</c:v>
                </c:pt>
                <c:pt idx="189">
                  <c:v>0.18912224775751135</c:v>
                </c:pt>
                <c:pt idx="190">
                  <c:v>0.18910926064472078</c:v>
                </c:pt>
                <c:pt idx="191">
                  <c:v>0.18910116791200587</c:v>
                </c:pt>
                <c:pt idx="192">
                  <c:v>0.1890977695704871</c:v>
                </c:pt>
                <c:pt idx="193">
                  <c:v>0.18909885292850281</c:v>
                </c:pt>
                <c:pt idx="194">
                  <c:v>0.18910419422857477</c:v>
                </c:pt>
                <c:pt idx="195">
                  <c:v>0.18911356025747372</c:v>
                </c:pt>
                <c:pt idx="196">
                  <c:v>0.18912670992299338</c:v>
                </c:pt>
                <c:pt idx="197">
                  <c:v>0.18914339579151535</c:v>
                </c:pt>
                <c:pt idx="198">
                  <c:v>0.18916336558092059</c:v>
                </c:pt>
                <c:pt idx="199">
                  <c:v>0.18918636360388477</c:v>
                </c:pt>
                <c:pt idx="200">
                  <c:v>0.18921213215707233</c:v>
                </c:pt>
                <c:pt idx="201">
                  <c:v>0.18924041285222273</c:v>
                </c:pt>
                <c:pt idx="202">
                  <c:v>0.18927094788559545</c:v>
                </c:pt>
                <c:pt idx="203">
                  <c:v>0.18930348124270696</c:v>
                </c:pt>
                <c:pt idx="204">
                  <c:v>0.18933775983575313</c:v>
                </c:pt>
                <c:pt idx="205">
                  <c:v>0.18937353457155848</c:v>
                </c:pt>
                <c:pt idx="206">
                  <c:v>0.18941056134833195</c:v>
                </c:pt>
                <c:pt idx="207">
                  <c:v>0.18944860197993341</c:v>
                </c:pt>
                <c:pt idx="208">
                  <c:v>0.18948742504676469</c:v>
                </c:pt>
                <c:pt idx="209">
                  <c:v>0.18952680667279306</c:v>
                </c:pt>
                <c:pt idx="210">
                  <c:v>0.1895665312285936</c:v>
                </c:pt>
                <c:pt idx="211">
                  <c:v>0.18960639196065418</c:v>
                </c:pt>
                <c:pt idx="212">
                  <c:v>0.18964619154753004</c:v>
                </c:pt>
                <c:pt idx="213">
                  <c:v>0.18968574258375437</c:v>
                </c:pt>
                <c:pt idx="214">
                  <c:v>0.18972486799271379</c:v>
                </c:pt>
                <c:pt idx="215">
                  <c:v>0.18976340136997791</c:v>
                </c:pt>
                <c:pt idx="216">
                  <c:v>0.18980118725883244</c:v>
                </c:pt>
                <c:pt idx="217">
                  <c:v>0.18983808136000424</c:v>
                </c:pt>
                <c:pt idx="218">
                  <c:v>0.18987395067778481</c:v>
                </c:pt>
                <c:pt idx="219">
                  <c:v>0.18990867360495456</c:v>
                </c:pt>
                <c:pt idx="220">
                  <c:v>0.18994213994908696</c:v>
                </c:pt>
                <c:pt idx="221">
                  <c:v>0.18997425090296505</c:v>
                </c:pt>
                <c:pt idx="222">
                  <c:v>0.19000491896197819</c:v>
                </c:pt>
                <c:pt idx="223">
                  <c:v>0.19003406779147936</c:v>
                </c:pt>
                <c:pt idx="224">
                  <c:v>0.19006163204717832</c:v>
                </c:pt>
                <c:pt idx="225">
                  <c:v>0.19008755715172027</c:v>
                </c:pt>
                <c:pt idx="226">
                  <c:v>0.19011179903065545</c:v>
                </c:pt>
                <c:pt idx="227">
                  <c:v>0.19013432381104356</c:v>
                </c:pt>
                <c:pt idx="228">
                  <c:v>0.19015510748595674</c:v>
                </c:pt>
                <c:pt idx="229">
                  <c:v>0.19017413554814933</c:v>
                </c:pt>
                <c:pt idx="230">
                  <c:v>0.1901914025961505</c:v>
                </c:pt>
                <c:pt idx="231">
                  <c:v>0.19020691191600944</c:v>
                </c:pt>
                <c:pt idx="232">
                  <c:v>0.19022067504188034</c:v>
                </c:pt>
                <c:pt idx="233">
                  <c:v>0.19023271129858235</c:v>
                </c:pt>
                <c:pt idx="234">
                  <c:v>0.190243047329201</c:v>
                </c:pt>
                <c:pt idx="235">
                  <c:v>0.19025171661072071</c:v>
                </c:pt>
                <c:pt idx="236">
                  <c:v>0.19025875896058936</c:v>
                </c:pt>
                <c:pt idx="237">
                  <c:v>0.19026422003701707</c:v>
                </c:pt>
                <c:pt idx="238">
                  <c:v>0.19026815083570583</c:v>
                </c:pt>
                <c:pt idx="239">
                  <c:v>0.19027060718559094</c:v>
                </c:pt>
                <c:pt idx="240">
                  <c:v>0.19027164924605497</c:v>
                </c:pt>
                <c:pt idx="241">
                  <c:v>0.19027134100794757</c:v>
                </c:pt>
                <c:pt idx="242">
                  <c:v>0.19026974980061245</c:v>
                </c:pt>
                <c:pt idx="243">
                  <c:v>0.19026694580698647</c:v>
                </c:pt>
                <c:pt idx="244">
                  <c:v>0.19026300158869736</c:v>
                </c:pt>
                <c:pt idx="245">
                  <c:v>0.1902579916229436</c:v>
                </c:pt>
                <c:pt idx="246">
                  <c:v>0.19025199185279762</c:v>
                </c:pt>
                <c:pt idx="247">
                  <c:v>0.19024507925242878</c:v>
                </c:pt>
                <c:pt idx="248">
                  <c:v>0.19023733140859814</c:v>
                </c:pt>
                <c:pt idx="249">
                  <c:v>0.19022882611963349</c:v>
                </c:pt>
                <c:pt idx="250">
                  <c:v>0.1902196410129508</c:v>
                </c:pt>
                <c:pt idx="251">
                  <c:v>0.19020985318204675</c:v>
                </c:pt>
                <c:pt idx="252">
                  <c:v>0.19019953884374952</c:v>
                </c:pt>
                <c:pt idx="253">
                  <c:v>0.19018877301637904</c:v>
                </c:pt>
                <c:pt idx="254">
                  <c:v>0.19017762921933751</c:v>
                </c:pt>
                <c:pt idx="255">
                  <c:v>0.19016617919452039</c:v>
                </c:pt>
                <c:pt idx="256">
                  <c:v>0.19015449264981832</c:v>
                </c:pt>
                <c:pt idx="257">
                  <c:v>0.19014263702485773</c:v>
                </c:pt>
                <c:pt idx="258">
                  <c:v>0.19013067727901761</c:v>
                </c:pt>
                <c:pt idx="259">
                  <c:v>0.19011867570164917</c:v>
                </c:pt>
                <c:pt idx="260">
                  <c:v>0.19010669174432376</c:v>
                </c:pt>
                <c:pt idx="261">
                  <c:v>0.19009478187483714</c:v>
                </c:pt>
                <c:pt idx="262">
                  <c:v>0.1900829994526074</c:v>
                </c:pt>
                <c:pt idx="263">
                  <c:v>0.19007139462501924</c:v>
                </c:pt>
                <c:pt idx="264">
                  <c:v>0.19006001424418878</c:v>
                </c:pt>
                <c:pt idx="265">
                  <c:v>0.19004890180355119</c:v>
                </c:pt>
                <c:pt idx="266">
                  <c:v>0.19003809739360808</c:v>
                </c:pt>
                <c:pt idx="267">
                  <c:v>0.19002763767611108</c:v>
                </c:pt>
                <c:pt idx="268">
                  <c:v>0.19001755587590688</c:v>
                </c:pt>
                <c:pt idx="269">
                  <c:v>0.19000788178962069</c:v>
                </c:pt>
                <c:pt idx="270">
                  <c:v>0.18999864181031595</c:v>
                </c:pt>
                <c:pt idx="271">
                  <c:v>0.18998985896723242</c:v>
                </c:pt>
                <c:pt idx="272">
                  <c:v>0.18998155297967798</c:v>
                </c:pt>
                <c:pt idx="273">
                  <c:v>0.1899737403241254</c:v>
                </c:pt>
                <c:pt idx="274">
                  <c:v>0.18996643431354959</c:v>
                </c:pt>
                <c:pt idx="275">
                  <c:v>0.18995964518802849</c:v>
                </c:pt>
                <c:pt idx="276">
                  <c:v>0.18995338021562497</c:v>
                </c:pt>
                <c:pt idx="277">
                  <c:v>0.18994764380256582</c:v>
                </c:pt>
                <c:pt idx="278">
                  <c:v>0.18994243761173729</c:v>
                </c:pt>
                <c:pt idx="279">
                  <c:v>0.18993776068852466</c:v>
                </c:pt>
                <c:pt idx="280">
                  <c:v>0.18993360959303587</c:v>
                </c:pt>
                <c:pt idx="281">
                  <c:v>0.18992997853776511</c:v>
                </c:pt>
                <c:pt idx="282">
                  <c:v>0.1899268595297729</c:v>
                </c:pt>
                <c:pt idx="283">
                  <c:v>0.1899242425164816</c:v>
                </c:pt>
                <c:pt idx="284">
                  <c:v>0.1899221155342134</c:v>
                </c:pt>
                <c:pt idx="285">
                  <c:v>0.18992046485862585</c:v>
                </c:pt>
                <c:pt idx="286">
                  <c:v>0.18991927515623308</c:v>
                </c:pt>
                <c:pt idx="287">
                  <c:v>0.18991852963623462</c:v>
                </c:pt>
                <c:pt idx="288">
                  <c:v>0.18991821020191113</c:v>
                </c:pt>
                <c:pt idx="289">
                  <c:v>0.18991829760088302</c:v>
                </c:pt>
                <c:pt idx="290">
                  <c:v>0.18991877157356979</c:v>
                </c:pt>
                <c:pt idx="291">
                  <c:v>0.18991961099922627</c:v>
                </c:pt>
                <c:pt idx="292">
                  <c:v>0.18992079403897685</c:v>
                </c:pt>
                <c:pt idx="293">
                  <c:v>0.18992229827530863</c:v>
                </c:pt>
                <c:pt idx="294">
                  <c:v>0.18992410084752953</c:v>
                </c:pt>
                <c:pt idx="295">
                  <c:v>0.18992617858274027</c:v>
                </c:pt>
                <c:pt idx="296">
                  <c:v>0.18992850812191192</c:v>
                </c:pt>
                <c:pt idx="297">
                  <c:v>0.18993106604070514</c:v>
                </c:pt>
                <c:pt idx="298">
                  <c:v>0.18993382896470951</c:v>
                </c:pt>
                <c:pt idx="299">
                  <c:v>0.1899367736788235</c:v>
                </c:pt>
                <c:pt idx="300">
                  <c:v>0.18993987723053807</c:v>
                </c:pt>
                <c:pt idx="301">
                  <c:v>0.18994311702692657</c:v>
                </c:pt>
                <c:pt idx="302">
                  <c:v>0.18994647092518491</c:v>
                </c:pt>
                <c:pt idx="303">
                  <c:v>0.18994991731660194</c:v>
                </c:pt>
                <c:pt idx="304">
                  <c:v>0.18995343520388036</c:v>
                </c:pt>
                <c:pt idx="305">
                  <c:v>0.18995700427176151</c:v>
                </c:pt>
                <c:pt idx="306">
                  <c:v>0.18996060495094316</c:v>
                </c:pt>
                <c:pt idx="307">
                  <c:v>0.18996421847531161</c:v>
                </c:pt>
                <c:pt idx="308">
                  <c:v>0.18996782693254036</c:v>
                </c:pt>
                <c:pt idx="309">
                  <c:v>0.18997141330813683</c:v>
                </c:pt>
                <c:pt idx="310">
                  <c:v>0.18997496152304594</c:v>
                </c:pt>
                <c:pt idx="311">
                  <c:v>0.18997845646494513</c:v>
                </c:pt>
                <c:pt idx="312">
                  <c:v>0.18998188401338814</c:v>
                </c:pt>
                <c:pt idx="313">
                  <c:v>0.18998523105897824</c:v>
                </c:pt>
                <c:pt idx="314">
                  <c:v>0.18998848551676945</c:v>
                </c:pt>
                <c:pt idx="315">
                  <c:v>0.18999163633411387</c:v>
                </c:pt>
                <c:pt idx="316">
                  <c:v>0.1899946734931878</c:v>
                </c:pt>
                <c:pt idx="317">
                  <c:v>0.1899975880084448</c:v>
                </c:pt>
                <c:pt idx="318">
                  <c:v>0.19000037191925451</c:v>
                </c:pt>
                <c:pt idx="319">
                  <c:v>0.19000301827799787</c:v>
                </c:pt>
                <c:pt idx="320">
                  <c:v>0.19000552113389724</c:v>
                </c:pt>
                <c:pt idx="321">
                  <c:v>0.19000787551286588</c:v>
                </c:pt>
                <c:pt idx="322">
                  <c:v>0.19001007739366893</c:v>
                </c:pt>
                <c:pt idx="323">
                  <c:v>0.19001212368068829</c:v>
                </c:pt>
                <c:pt idx="324">
                  <c:v>0.19001401217358807</c:v>
                </c:pt>
                <c:pt idx="325">
                  <c:v>0.190015741534177</c:v>
                </c:pt>
                <c:pt idx="326">
                  <c:v>0.19001731125076238</c:v>
                </c:pt>
                <c:pt idx="327">
                  <c:v>0.19001872160028921</c:v>
                </c:pt>
                <c:pt idx="328">
                  <c:v>0.19001997360855294</c:v>
                </c:pt>
                <c:pt idx="329">
                  <c:v>0.19002106900877067</c:v>
                </c:pt>
                <c:pt idx="330">
                  <c:v>0.1900220101987885</c:v>
                </c:pt>
                <c:pt idx="331">
                  <c:v>0.19002280019719694</c:v>
                </c:pt>
                <c:pt idx="332">
                  <c:v>0.1900234425986167</c:v>
                </c:pt>
                <c:pt idx="333">
                  <c:v>0.19002394152841018</c:v>
                </c:pt>
                <c:pt idx="334">
                  <c:v>0.19002430159706241</c:v>
                </c:pt>
                <c:pt idx="335">
                  <c:v>0.19002452785446633</c:v>
                </c:pt>
                <c:pt idx="336">
                  <c:v>0.19002462574433593</c:v>
                </c:pt>
                <c:pt idx="337">
                  <c:v>0.19002460105895816</c:v>
                </c:pt>
                <c:pt idx="338">
                  <c:v>0.19002445989448477</c:v>
                </c:pt>
                <c:pt idx="339">
                  <c:v>0.19002420860695063</c:v>
                </c:pt>
                <c:pt idx="340">
                  <c:v>0.19002385376919406</c:v>
                </c:pt>
                <c:pt idx="341">
                  <c:v>0.19002340212884089</c:v>
                </c:pt>
                <c:pt idx="342">
                  <c:v>0.19002286056750184</c:v>
                </c:pt>
                <c:pt idx="343">
                  <c:v>0.19002223606131852</c:v>
                </c:pt>
                <c:pt idx="344">
                  <c:v>0.1900215356429818</c:v>
                </c:pt>
                <c:pt idx="345">
                  <c:v>0.19002076636533183</c:v>
                </c:pt>
                <c:pt idx="346">
                  <c:v>0.19001993526663696</c:v>
                </c:pt>
                <c:pt idx="347">
                  <c:v>0.1900190493376358</c:v>
                </c:pt>
                <c:pt idx="348">
                  <c:v>0.19001811549041403</c:v>
                </c:pt>
                <c:pt idx="349">
                  <c:v>0.19001714052917512</c:v>
                </c:pt>
                <c:pt idx="350">
                  <c:v>0.19001613112295301</c:v>
                </c:pt>
                <c:pt idx="351">
                  <c:v>0.19001509378030207</c:v>
                </c:pt>
                <c:pt idx="352">
                  <c:v>0.19001403482598886</c:v>
                </c:pt>
                <c:pt idx="353">
                  <c:v>0.19001296037970031</c:v>
                </c:pt>
                <c:pt idx="354">
                  <c:v>0.19001187633677091</c:v>
                </c:pt>
                <c:pt idx="355">
                  <c:v>0.19001078835092344</c:v>
                </c:pt>
                <c:pt idx="356">
                  <c:v>0.19000970181900678</c:v>
                </c:pt>
                <c:pt idx="357">
                  <c:v>0.19000862186770745</c:v>
                </c:pt>
                <c:pt idx="358">
                  <c:v>0.1900075533422009</c:v>
                </c:pt>
                <c:pt idx="359">
                  <c:v>0.19000650079670373</c:v>
                </c:pt>
                <c:pt idx="360">
                  <c:v>0.19000546848687772</c:v>
                </c:pt>
                <c:pt idx="361">
                  <c:v>0.19000446036403323</c:v>
                </c:pt>
                <c:pt idx="362">
                  <c:v>0.1900034800710706</c:v>
                </c:pt>
                <c:pt idx="363">
                  <c:v>0.19000253094009528</c:v>
                </c:pt>
                <c:pt idx="364">
                  <c:v>0.19000161599163584</c:v>
                </c:pt>
                <c:pt idx="365">
                  <c:v>0.19000073793539041</c:v>
                </c:pt>
                <c:pt idx="366">
                  <c:v>0.18999989917242396</c:v>
                </c:pt>
                <c:pt idx="367">
                  <c:v>0.18999910179873458</c:v>
                </c:pt>
                <c:pt idx="368">
                  <c:v>0.18999834761010526</c:v>
                </c:pt>
                <c:pt idx="369">
                  <c:v>0.18999763810815506</c:v>
                </c:pt>
                <c:pt idx="370">
                  <c:v>0.18999697450750258</c:v>
                </c:pt>
                <c:pt idx="371">
                  <c:v>0.18999635774395271</c:v>
                </c:pt>
                <c:pt idx="372">
                  <c:v>0.18999578848361795</c:v>
                </c:pt>
                <c:pt idx="373">
                  <c:v>0.18999526713288506</c:v>
                </c:pt>
                <c:pt idx="374">
                  <c:v>0.18999479384913798</c:v>
                </c:pt>
                <c:pt idx="375">
                  <c:v>0.18999436855214907</c:v>
                </c:pt>
                <c:pt idx="376">
                  <c:v>0.18999399093605124</c:v>
                </c:pt>
                <c:pt idx="377">
                  <c:v>0.18999366048180563</c:v>
                </c:pt>
                <c:pt idx="378">
                  <c:v>0.18999337647008122</c:v>
                </c:pt>
                <c:pt idx="379">
                  <c:v>0.18999313799446402</c:v>
                </c:pt>
                <c:pt idx="380">
                  <c:v>0.18999294397491734</c:v>
                </c:pt>
                <c:pt idx="381">
                  <c:v>0.18999279317141587</c:v>
                </c:pt>
                <c:pt idx="382">
                  <c:v>0.18999268419768042</c:v>
                </c:pt>
                <c:pt idx="383">
                  <c:v>0.18999261553494212</c:v>
                </c:pt>
                <c:pt idx="384">
                  <c:v>0.18999258554566936</c:v>
                </c:pt>
                <c:pt idx="385">
                  <c:v>0.18999259248719341</c:v>
                </c:pt>
                <c:pt idx="386">
                  <c:v>0.18999263452517212</c:v>
                </c:pt>
                <c:pt idx="387">
                  <c:v>0.18999270974683602</c:v>
                </c:pt>
                <c:pt idx="388">
                  <c:v>0.18999281617396302</c:v>
                </c:pt>
                <c:pt idx="389">
                  <c:v>0.18999295177553394</c:v>
                </c:pt>
                <c:pt idx="390">
                  <c:v>0.18999311448002304</c:v>
                </c:pt>
                <c:pt idx="391">
                  <c:v>0.189993302187283</c:v>
                </c:pt>
                <c:pt idx="392">
                  <c:v>0.18999351277998722</c:v>
                </c:pt>
                <c:pt idx="393">
                  <c:v>0.1899937441345963</c:v>
                </c:pt>
                <c:pt idx="394">
                  <c:v>0.18999399413181914</c:v>
                </c:pt>
                <c:pt idx="395">
                  <c:v>0.18999426066654396</c:v>
                </c:pt>
                <c:pt idx="396">
                  <c:v>0.18999454165721669</c:v>
                </c:pt>
                <c:pt idx="397">
                  <c:v>0.18999483505464954</c:v>
                </c:pt>
                <c:pt idx="398">
                  <c:v>0.18999513885024516</c:v>
                </c:pt>
                <c:pt idx="399">
                  <c:v>0.18999545108362539</c:v>
                </c:pt>
                <c:pt idx="400">
                  <c:v>0.18999576984965738</c:v>
                </c:pt>
                <c:pt idx="401">
                  <c:v>0.18999609330487277</c:v>
                </c:pt>
                <c:pt idx="402">
                  <c:v>0.18999641967327868</c:v>
                </c:pt>
                <c:pt idx="403">
                  <c:v>0.18999674725156285</c:v>
                </c:pt>
                <c:pt idx="404">
                  <c:v>0.18999707441369679</c:v>
                </c:pt>
                <c:pt idx="405">
                  <c:v>0.18999739961494511</c:v>
                </c:pt>
                <c:pt idx="406">
                  <c:v>0.18999772139529031</c:v>
                </c:pt>
                <c:pt idx="407">
                  <c:v>0.1899980383822851</c:v>
                </c:pt>
                <c:pt idx="408">
                  <c:v>0.18999834929334708</c:v>
                </c:pt>
                <c:pt idx="409">
                  <c:v>0.18999865293751125</c:v>
                </c:pt>
                <c:pt idx="410">
                  <c:v>0.18999894821665902</c:v>
                </c:pt>
                <c:pt idx="411">
                  <c:v>0.18999923412624303</c:v>
                </c:pt>
                <c:pt idx="412">
                  <c:v>0.18999950975552909</c:v>
                </c:pt>
                <c:pt idx="413">
                  <c:v>0.18999977428737741</c:v>
                </c:pt>
                <c:pt idx="414">
                  <c:v>0.19000002699758689</c:v>
                </c:pt>
                <c:pt idx="415">
                  <c:v>0.19000026725382685</c:v>
                </c:pt>
                <c:pt idx="416">
                  <c:v>0.19000049451418116</c:v>
                </c:pt>
                <c:pt idx="417">
                  <c:v>0.19000070832533128</c:v>
                </c:pt>
                <c:pt idx="418">
                  <c:v>0.19000090832040345</c:v>
                </c:pt>
                <c:pt idx="419">
                  <c:v>0.19000109421650807</c:v>
                </c:pt>
                <c:pt idx="420">
                  <c:v>0.19000126581199675</c:v>
                </c:pt>
                <c:pt idx="421">
                  <c:v>0.1900014229834649</c:v>
                </c:pt>
                <c:pt idx="422">
                  <c:v>0.19000156568252602</c:v>
                </c:pt>
                <c:pt idx="423">
                  <c:v>0.19000169393238436</c:v>
                </c:pt>
                <c:pt idx="424">
                  <c:v>0.19000180782423265</c:v>
                </c:pt>
                <c:pt idx="425">
                  <c:v>0.19000190751349982</c:v>
                </c:pt>
                <c:pt idx="426">
                  <c:v>0.19000199321597469</c:v>
                </c:pt>
                <c:pt idx="427">
                  <c:v>0.19000206520382998</c:v>
                </c:pt>
                <c:pt idx="428">
                  <c:v>0.19000212380157039</c:v>
                </c:pt>
                <c:pt idx="429">
                  <c:v>0.1900021693819281</c:v>
                </c:pt>
                <c:pt idx="430">
                  <c:v>0.19000220236172755</c:v>
                </c:pt>
                <c:pt idx="431">
                  <c:v>0.19000222319774118</c:v>
                </c:pt>
                <c:pt idx="432">
                  <c:v>0.19000223238255615</c:v>
                </c:pt>
                <c:pt idx="433">
                  <c:v>0.19000223044047101</c:v>
                </c:pt>
                <c:pt idx="434">
                  <c:v>0.19000221792344146</c:v>
                </c:pt>
                <c:pt idx="435">
                  <c:v>0.19000219540709073</c:v>
                </c:pt>
                <c:pt idx="436">
                  <c:v>0.19000216348680193</c:v>
                </c:pt>
                <c:pt idx="437">
                  <c:v>0.19000212277390635</c:v>
                </c:pt>
                <c:pt idx="438">
                  <c:v>0.19000207389198087</c:v>
                </c:pt>
                <c:pt idx="439">
                  <c:v>0.19000201747326817</c:v>
                </c:pt>
                <c:pt idx="440">
                  <c:v>0.19000195415522944</c:v>
                </c:pt>
                <c:pt idx="441">
                  <c:v>0.19000188457724052</c:v>
                </c:pt>
                <c:pt idx="442">
                  <c:v>0.19000180937743999</c:v>
                </c:pt>
                <c:pt idx="443">
                  <c:v>0.19000172918973685</c:v>
                </c:pt>
                <c:pt idx="444">
                  <c:v>0.1900016446409844</c:v>
                </c:pt>
                <c:pt idx="445">
                  <c:v>0.19000155634832572</c:v>
                </c:pt>
                <c:pt idx="446">
                  <c:v>0.19000146491671505</c:v>
                </c:pt>
                <c:pt idx="447">
                  <c:v>0.19000137093661823</c:v>
                </c:pt>
                <c:pt idx="448">
                  <c:v>0.19000127498189498</c:v>
                </c:pt>
                <c:pt idx="449">
                  <c:v>0.19000117760786336</c:v>
                </c:pt>
                <c:pt idx="450">
                  <c:v>0.1900010793495478</c:v>
                </c:pt>
                <c:pt idx="451">
                  <c:v>0.19000098072010935</c:v>
                </c:pt>
                <c:pt idx="452">
                  <c:v>0.19000088220945721</c:v>
                </c:pt>
                <c:pt idx="453">
                  <c:v>0.19000078428303929</c:v>
                </c:pt>
                <c:pt idx="454">
                  <c:v>0.19000068738080844</c:v>
                </c:pt>
                <c:pt idx="455">
                  <c:v>0.19000059191636151</c:v>
                </c:pt>
                <c:pt idx="456">
                  <c:v>0.19000049827624604</c:v>
                </c:pt>
                <c:pt idx="457">
                  <c:v>0.19000040681943048</c:v>
                </c:pt>
                <c:pt idx="458">
                  <c:v>0.19000031787693206</c:v>
                </c:pt>
                <c:pt idx="459">
                  <c:v>0.19000023175159636</c:v>
                </c:pt>
                <c:pt idx="460">
                  <c:v>0.19000014871802287</c:v>
                </c:pt>
                <c:pt idx="461">
                  <c:v>0.19000006902262859</c:v>
                </c:pt>
                <c:pt idx="462">
                  <c:v>0.189999992883844</c:v>
                </c:pt>
                <c:pt idx="463">
                  <c:v>0.189999920492433</c:v>
                </c:pt>
                <c:pt idx="464">
                  <c:v>0.18999985201192965</c:v>
                </c:pt>
                <c:pt idx="465">
                  <c:v>0.18999978757918401</c:v>
                </c:pt>
                <c:pt idx="466">
                  <c:v>0.18999972730500864</c:v>
                </c:pt>
                <c:pt idx="467">
                  <c:v>0.18999967127491862</c:v>
                </c:pt>
                <c:pt idx="468">
                  <c:v>0.18999961954995626</c:v>
                </c:pt>
                <c:pt idx="469">
                  <c:v>0.18999957216759239</c:v>
                </c:pt>
                <c:pt idx="470">
                  <c:v>0.18999952914269697</c:v>
                </c:pt>
                <c:pt idx="471">
                  <c:v>0.18999949046857006</c:v>
                </c:pt>
                <c:pt idx="472">
                  <c:v>0.18999945611802588</c:v>
                </c:pt>
                <c:pt idx="473">
                  <c:v>0.18999942604452208</c:v>
                </c:pt>
                <c:pt idx="474">
                  <c:v>0.18999940018332623</c:v>
                </c:pt>
                <c:pt idx="475">
                  <c:v>0.1899993784527127</c:v>
                </c:pt>
                <c:pt idx="476">
                  <c:v>0.18999936075518242</c:v>
                </c:pt>
                <c:pt idx="477">
                  <c:v>0.18999934697869852</c:v>
                </c:pt>
                <c:pt idx="478">
                  <c:v>0.18999933699793126</c:v>
                </c:pt>
                <c:pt idx="479">
                  <c:v>0.18999933067550592</c:v>
                </c:pt>
                <c:pt idx="480">
                  <c:v>0.18999932786324739</c:v>
                </c:pt>
                <c:pt idx="481">
                  <c:v>0.18999932840341566</c:v>
                </c:pt>
                <c:pt idx="482">
                  <c:v>0.18999933212992698</c:v>
                </c:pt>
                <c:pt idx="483">
                  <c:v>0.18999933886955522</c:v>
                </c:pt>
                <c:pt idx="484">
                  <c:v>0.18999934844310887</c:v>
                </c:pt>
                <c:pt idx="485">
                  <c:v>0.18999936066657913</c:v>
                </c:pt>
                <c:pt idx="486">
                  <c:v>0.18999937535225522</c:v>
                </c:pt>
                <c:pt idx="487">
                  <c:v>0.18999939230980267</c:v>
                </c:pt>
                <c:pt idx="488">
                  <c:v>0.18999941134730194</c:v>
                </c:pt>
                <c:pt idx="489">
                  <c:v>0.18999943227224375</c:v>
                </c:pt>
                <c:pt idx="490">
                  <c:v>0.18999945489247863</c:v>
                </c:pt>
                <c:pt idx="491">
                  <c:v>0.18999947901711878</c:v>
                </c:pt>
                <c:pt idx="492">
                  <c:v>0.18999950445738956</c:v>
                </c:pt>
                <c:pt idx="493">
                  <c:v>0.18999953102742925</c:v>
                </c:pt>
                <c:pt idx="494">
                  <c:v>0.18999955854503653</c:v>
                </c:pt>
                <c:pt idx="495">
                  <c:v>0.18999958683236318</c:v>
                </c:pt>
                <c:pt idx="496">
                  <c:v>0.18999961571655269</c:v>
                </c:pt>
                <c:pt idx="497">
                  <c:v>0.18999964503032366</c:v>
                </c:pt>
                <c:pt idx="498">
                  <c:v>0.18999967461249814</c:v>
                </c:pt>
                <c:pt idx="499">
                  <c:v>0.18999970430847501</c:v>
                </c:pt>
                <c:pt idx="500">
                  <c:v>0.18999973397064865</c:v>
                </c:pt>
                <c:pt idx="501">
                  <c:v>0.18999976345877406</c:v>
                </c:pt>
                <c:pt idx="502">
                  <c:v>0.18999979264027861</c:v>
                </c:pt>
                <c:pt idx="503">
                  <c:v>0.18999982139052207</c:v>
                </c:pt>
                <c:pt idx="504">
                  <c:v>0.18999984959300598</c:v>
                </c:pt>
                <c:pt idx="505">
                  <c:v>0.18999987713953392</c:v>
                </c:pt>
                <c:pt idx="506">
                  <c:v>0.18999990393032412</c:v>
                </c:pt>
                <c:pt idx="507">
                  <c:v>0.18999992987407641</c:v>
                </c:pt>
                <c:pt idx="508">
                  <c:v>0.18999995488799526</c:v>
                </c:pt>
                <c:pt idx="509">
                  <c:v>0.18999997889777126</c:v>
                </c:pt>
                <c:pt idx="510">
                  <c:v>0.19000000183752247</c:v>
                </c:pt>
                <c:pt idx="511">
                  <c:v>0.19000002364969873</c:v>
                </c:pt>
                <c:pt idx="512">
                  <c:v>0.1900000442849506</c:v>
                </c:pt>
                <c:pt idx="513">
                  <c:v>0.19000006370196532</c:v>
                </c:pt>
                <c:pt idx="514">
                  <c:v>0.19000008186727274</c:v>
                </c:pt>
                <c:pt idx="515">
                  <c:v>0.19000009875502277</c:v>
                </c:pt>
                <c:pt idx="516">
                  <c:v>0.19000011434673741</c:v>
                </c:pt>
                <c:pt idx="517">
                  <c:v>0.19000012863103963</c:v>
                </c:pt>
                <c:pt idx="518">
                  <c:v>0.19000014160336148</c:v>
                </c:pt>
                <c:pt idx="519">
                  <c:v>0.19000015326563391</c:v>
                </c:pt>
                <c:pt idx="520">
                  <c:v>0.19000016362596048</c:v>
                </c:pt>
                <c:pt idx="521">
                  <c:v>0.19000017269827754</c:v>
                </c:pt>
                <c:pt idx="522">
                  <c:v>0.19000018050200324</c:v>
                </c:pt>
                <c:pt idx="523">
                  <c:v>0.19000018706167715</c:v>
                </c:pt>
                <c:pt idx="524">
                  <c:v>0.19000019240659322</c:v>
                </c:pt>
                <c:pt idx="525">
                  <c:v>0.19000019657042758</c:v>
                </c:pt>
                <c:pt idx="526">
                  <c:v>0.19000019959086395</c:v>
                </c:pt>
                <c:pt idx="527">
                  <c:v>0.19000020150921773</c:v>
                </c:pt>
                <c:pt idx="528">
                  <c:v>0.19000020237006143</c:v>
                </c:pt>
                <c:pt idx="529">
                  <c:v>0.19000020222085245</c:v>
                </c:pt>
                <c:pt idx="530">
                  <c:v>0.19000020111156535</c:v>
                </c:pt>
                <c:pt idx="531">
                  <c:v>0.19000019909433019</c:v>
                </c:pt>
                <c:pt idx="532">
                  <c:v>0.19000019622307787</c:v>
                </c:pt>
                <c:pt idx="533">
                  <c:v>0.19000019255319436</c:v>
                </c:pt>
                <c:pt idx="534">
                  <c:v>0.19000018814118486</c:v>
                </c:pt>
                <c:pt idx="535">
                  <c:v>0.19000018304434879</c:v>
                </c:pt>
                <c:pt idx="536">
                  <c:v>0.19000017732046703</c:v>
                </c:pt>
                <c:pt idx="537">
                  <c:v>0.19000017102750211</c:v>
                </c:pt>
                <c:pt idx="538">
                  <c:v>0.19000016422331187</c:v>
                </c:pt>
                <c:pt idx="539">
                  <c:v>0.19000015696537798</c:v>
                </c:pt>
                <c:pt idx="540">
                  <c:v>0.19000014931054926</c:v>
                </c:pt>
                <c:pt idx="541">
                  <c:v>0.19000014131480059</c:v>
                </c:pt>
                <c:pt idx="542">
                  <c:v>0.19000013303300767</c:v>
                </c:pt>
                <c:pt idx="543">
                  <c:v>0.19000012451873838</c:v>
                </c:pt>
                <c:pt idx="544">
                  <c:v>0.19000011582406001</c:v>
                </c:pt>
                <c:pt idx="545">
                  <c:v>0.19000010699936362</c:v>
                </c:pt>
                <c:pt idx="546">
                  <c:v>0.19000009809320453</c:v>
                </c:pt>
                <c:pt idx="547">
                  <c:v>0.19000008915215977</c:v>
                </c:pt>
                <c:pt idx="548">
                  <c:v>0.19000008022070156</c:v>
                </c:pt>
                <c:pt idx="549">
                  <c:v>0.19000007134108743</c:v>
                </c:pt>
                <c:pt idx="550">
                  <c:v>0.19000006255326596</c:v>
                </c:pt>
                <c:pt idx="551">
                  <c:v>0.19000005389479824</c:v>
                </c:pt>
                <c:pt idx="552">
                  <c:v>0.19000004540079479</c:v>
                </c:pt>
                <c:pt idx="553">
                  <c:v>0.19000003710386698</c:v>
                </c:pt>
                <c:pt idx="554">
                  <c:v>0.19000002903409291</c:v>
                </c:pt>
                <c:pt idx="555">
                  <c:v>0.19000002121899728</c:v>
                </c:pt>
                <c:pt idx="556">
                  <c:v>0.19000001368354397</c:v>
                </c:pt>
                <c:pt idx="557">
                  <c:v>0.19000000645014165</c:v>
                </c:pt>
                <c:pt idx="558">
                  <c:v>0.18999999953866128</c:v>
                </c:pt>
                <c:pt idx="559">
                  <c:v>0.18999999296646469</c:v>
                </c:pt>
                <c:pt idx="560">
                  <c:v>0.1899999867484439</c:v>
                </c:pt>
                <c:pt idx="561">
                  <c:v>0.18999998089707046</c:v>
                </c:pt>
                <c:pt idx="562">
                  <c:v>0.18999997542245373</c:v>
                </c:pt>
                <c:pt idx="563">
                  <c:v>0.18999997033240773</c:v>
                </c:pt>
                <c:pt idx="564">
                  <c:v>0.1899999656325258</c:v>
                </c:pt>
                <c:pt idx="565">
                  <c:v>0.18999996132626201</c:v>
                </c:pt>
                <c:pt idx="566">
                  <c:v>0.18999995741501902</c:v>
                </c:pt>
                <c:pt idx="567">
                  <c:v>0.18999995389824154</c:v>
                </c:pt>
                <c:pt idx="568">
                  <c:v>0.18999995077351434</c:v>
                </c:pt>
                <c:pt idx="569">
                  <c:v>0.18999994803666442</c:v>
                </c:pt>
                <c:pt idx="570">
                  <c:v>0.18999994568186704</c:v>
                </c:pt>
                <c:pt idx="571">
                  <c:v>0.18999994370175377</c:v>
                </c:pt>
                <c:pt idx="572">
                  <c:v>0.18999994208752319</c:v>
                </c:pt>
                <c:pt idx="573">
                  <c:v>0.18999994082905303</c:v>
                </c:pt>
                <c:pt idx="574">
                  <c:v>0.18999993991501263</c:v>
                </c:pt>
                <c:pt idx="575">
                  <c:v>0.18999993933297643</c:v>
                </c:pt>
                <c:pt idx="576">
                  <c:v>0.18999993906953672</c:v>
                </c:pt>
                <c:pt idx="577">
                  <c:v>0.18999993911041546</c:v>
                </c:pt>
                <c:pt idx="578">
                  <c:v>0.18999993944057542</c:v>
                </c:pt>
                <c:pt idx="579">
                  <c:v>0.1899999400443288</c:v>
                </c:pt>
                <c:pt idx="580">
                  <c:v>0.18999994090544406</c:v>
                </c:pt>
                <c:pt idx="581">
                  <c:v>0.18999994200725029</c:v>
                </c:pt>
                <c:pt idx="582">
                  <c:v>0.18999994333273823</c:v>
                </c:pt>
                <c:pt idx="583">
                  <c:v>0.18999994486465807</c:v>
                </c:pt>
                <c:pt idx="584">
                  <c:v>0.18999994658561381</c:v>
                </c:pt>
                <c:pt idx="585">
                  <c:v>0.18999994847815366</c:v>
                </c:pt>
                <c:pt idx="586">
                  <c:v>0.18999995052485602</c:v>
                </c:pt>
                <c:pt idx="587">
                  <c:v>0.18999995270841169</c:v>
                </c:pt>
                <c:pt idx="588">
                  <c:v>0.18999995501170075</c:v>
                </c:pt>
                <c:pt idx="589">
                  <c:v>0.18999995741786568</c:v>
                </c:pt>
                <c:pt idx="590">
                  <c:v>0.18999995991037882</c:v>
                </c:pt>
                <c:pt idx="591">
                  <c:v>0.18999996247310569</c:v>
                </c:pt>
                <c:pt idx="592">
                  <c:v>0.18999996509036265</c:v>
                </c:pt>
                <c:pt idx="593">
                  <c:v>0.18999996774697017</c:v>
                </c:pt>
                <c:pt idx="594">
                  <c:v>0.18999997042830086</c:v>
                </c:pt>
                <c:pt idx="595">
                  <c:v>0.18999997312032235</c:v>
                </c:pt>
                <c:pt idx="596">
                  <c:v>0.18999997580963551</c:v>
                </c:pt>
                <c:pt idx="597">
                  <c:v>0.18999997848350778</c:v>
                </c:pt>
                <c:pt idx="598">
                  <c:v>0.18999998112990124</c:v>
                </c:pt>
                <c:pt idx="599">
                  <c:v>0.18999998373749663</c:v>
                </c:pt>
                <c:pt idx="600">
                  <c:v>0.18999998629571233</c:v>
                </c:pt>
                <c:pt idx="601">
                  <c:v>0.18999998879471897</c:v>
                </c:pt>
                <c:pt idx="602">
                  <c:v>0.18999999122544986</c:v>
                </c:pt>
                <c:pt idx="603">
                  <c:v>0.18999999357960701</c:v>
                </c:pt>
                <c:pt idx="604">
                  <c:v>0.18999999584966354</c:v>
                </c:pt>
                <c:pt idx="605">
                  <c:v>0.18999999802886186</c:v>
                </c:pt>
                <c:pt idx="606">
                  <c:v>0.19000000011120871</c:v>
                </c:pt>
                <c:pt idx="607">
                  <c:v>0.19000000209146631</c:v>
                </c:pt>
                <c:pt idx="608">
                  <c:v>0.19000000396514075</c:v>
                </c:pt>
                <c:pt idx="609">
                  <c:v>0.19000000572846712</c:v>
                </c:pt>
                <c:pt idx="610">
                  <c:v>0.19000000737839207</c:v>
                </c:pt>
                <c:pt idx="611">
                  <c:v>0.19000000891255348</c:v>
                </c:pt>
                <c:pt idx="612">
                  <c:v>0.1900000103292584</c:v>
                </c:pt>
                <c:pt idx="613">
                  <c:v>0.19000001162745817</c:v>
                </c:pt>
                <c:pt idx="614">
                  <c:v>0.19000001280672224</c:v>
                </c:pt>
                <c:pt idx="615">
                  <c:v>0.19000001386720994</c:v>
                </c:pt>
                <c:pt idx="616">
                  <c:v>0.19000001480964107</c:v>
                </c:pt>
                <c:pt idx="617">
                  <c:v>0.19000001563526508</c:v>
                </c:pt>
                <c:pt idx="618">
                  <c:v>0.19000001634582919</c:v>
                </c:pt>
                <c:pt idx="619">
                  <c:v>0.19000001694354585</c:v>
                </c:pt>
                <c:pt idx="620">
                  <c:v>0.1900000174310594</c:v>
                </c:pt>
                <c:pt idx="621">
                  <c:v>0.19000001781141246</c:v>
                </c:pt>
                <c:pt idx="622">
                  <c:v>0.19000001808801176</c:v>
                </c:pt>
                <c:pt idx="623">
                  <c:v>0.19000001826459434</c:v>
                </c:pt>
                <c:pt idx="624">
                  <c:v>0.19000001834519337</c:v>
                </c:pt>
                <c:pt idx="625">
                  <c:v>0.1900000183341044</c:v>
                </c:pt>
                <c:pt idx="626">
                  <c:v>0.19000001823585222</c:v>
                </c:pt>
                <c:pt idx="627">
                  <c:v>0.19000001805515776</c:v>
                </c:pt>
                <c:pt idx="628">
                  <c:v>0.19000001779690623</c:v>
                </c:pt>
                <c:pt idx="629">
                  <c:v>0.1900000174661155</c:v>
                </c:pt>
                <c:pt idx="630">
                  <c:v>0.1900000170679057</c:v>
                </c:pt>
                <c:pt idx="631">
                  <c:v>0.19000001660746982</c:v>
                </c:pt>
                <c:pt idx="632">
                  <c:v>0.19000001609004524</c:v>
                </c:pt>
                <c:pt idx="633">
                  <c:v>0.19000001552088652</c:v>
                </c:pt>
                <c:pt idx="634">
                  <c:v>0.19000001490523938</c:v>
                </c:pt>
                <c:pt idx="635">
                  <c:v>0.1900000142483162</c:v>
                </c:pt>
                <c:pt idx="636">
                  <c:v>0.19000001355527246</c:v>
                </c:pt>
                <c:pt idx="637">
                  <c:v>0.19000001283118512</c:v>
                </c:pt>
                <c:pt idx="638">
                  <c:v>0.19000001208103193</c:v>
                </c:pt>
                <c:pt idx="639">
                  <c:v>0.19000001130967265</c:v>
                </c:pt>
                <c:pt idx="640">
                  <c:v>0.19000001052183141</c:v>
                </c:pt>
                <c:pt idx="641">
                  <c:v>0.19000000972208081</c:v>
                </c:pt>
                <c:pt idx="642">
                  <c:v>0.19000000891482743</c:v>
                </c:pt>
                <c:pt idx="643">
                  <c:v>0.19000000810429873</c:v>
                </c:pt>
                <c:pt idx="644">
                  <c:v>0.19000000729453187</c:v>
                </c:pt>
                <c:pt idx="645">
                  <c:v>0.19000000648936327</c:v>
                </c:pt>
                <c:pt idx="646">
                  <c:v>0.19000000569242026</c:v>
                </c:pt>
                <c:pt idx="647">
                  <c:v>0.19000000490711411</c:v>
                </c:pt>
                <c:pt idx="648">
                  <c:v>0.19000000413663379</c:v>
                </c:pt>
                <c:pt idx="649">
                  <c:v>0.19000000338394202</c:v>
                </c:pt>
                <c:pt idx="650">
                  <c:v>0.19000000265177186</c:v>
                </c:pt>
                <c:pt idx="651">
                  <c:v>0.19000000194262487</c:v>
                </c:pt>
                <c:pt idx="652">
                  <c:v>0.19000000125877053</c:v>
                </c:pt>
                <c:pt idx="653">
                  <c:v>0.19000000060224667</c:v>
                </c:pt>
                <c:pt idx="654">
                  <c:v>0.18999999997486089</c:v>
                </c:pt>
                <c:pt idx="655">
                  <c:v>0.18999999937819334</c:v>
                </c:pt>
                <c:pt idx="656">
                  <c:v>0.18999999881360013</c:v>
                </c:pt>
                <c:pt idx="657">
                  <c:v>0.18999999828221775</c:v>
                </c:pt>
                <c:pt idx="658">
                  <c:v>0.18999999778496851</c:v>
                </c:pt>
                <c:pt idx="659">
                  <c:v>0.18999999732256634</c:v>
                </c:pt>
                <c:pt idx="660">
                  <c:v>0.18999999689552372</c:v>
                </c:pt>
                <c:pt idx="661">
                  <c:v>0.18999999650415894</c:v>
                </c:pt>
                <c:pt idx="662">
                  <c:v>0.18999999614860416</c:v>
                </c:pt>
                <c:pt idx="663">
                  <c:v>0.18999999582881377</c:v>
                </c:pt>
                <c:pt idx="664">
                  <c:v>0.18999999554457325</c:v>
                </c:pt>
                <c:pt idx="665">
                  <c:v>0.18999999529550851</c:v>
                </c:pt>
                <c:pt idx="666">
                  <c:v>0.1899999950810955</c:v>
                </c:pt>
                <c:pt idx="667">
                  <c:v>0.18999999490066988</c:v>
                </c:pt>
                <c:pt idx="668">
                  <c:v>0.18999999475343715</c:v>
                </c:pt>
                <c:pt idx="669">
                  <c:v>0.18999999463848283</c:v>
                </c:pt>
                <c:pt idx="670">
                  <c:v>0.1899999945547825</c:v>
                </c:pt>
                <c:pt idx="671">
                  <c:v>0.18999999450121238</c:v>
                </c:pt>
                <c:pt idx="672">
                  <c:v>0.18999999447655921</c:v>
                </c:pt>
                <c:pt idx="673">
                  <c:v>0.18999999447953064</c:v>
                </c:pt>
                <c:pt idx="674">
                  <c:v>0.18999999450876515</c:v>
                </c:pt>
                <c:pt idx="675">
                  <c:v>0.18999999456284206</c:v>
                </c:pt>
                <c:pt idx="676">
                  <c:v>0.18999999464029116</c:v>
                </c:pt>
                <c:pt idx="677">
                  <c:v>0.18999999473960197</c:v>
                </c:pt>
                <c:pt idx="678">
                  <c:v>0.1899999948592333</c:v>
                </c:pt>
                <c:pt idx="679">
                  <c:v>0.18999999499762177</c:v>
                </c:pt>
                <c:pt idx="680">
                  <c:v>0.18999999515319066</c:v>
                </c:pt>
                <c:pt idx="681">
                  <c:v>0.1899999953243578</c:v>
                </c:pt>
                <c:pt idx="682">
                  <c:v>0.18999999550954372</c:v>
                </c:pt>
                <c:pt idx="683">
                  <c:v>0.18999999570717879</c:v>
                </c:pt>
                <c:pt idx="684">
                  <c:v>0.18999999591571048</c:v>
                </c:pt>
                <c:pt idx="685">
                  <c:v>0.18999999613360979</c:v>
                </c:pt>
                <c:pt idx="686">
                  <c:v>0.18999999635937748</c:v>
                </c:pt>
                <c:pt idx="687">
                  <c:v>0.1899999965915499</c:v>
                </c:pt>
                <c:pt idx="688">
                  <c:v>0.18999999682870394</c:v>
                </c:pt>
                <c:pt idx="689">
                  <c:v>0.18999999706946225</c:v>
                </c:pt>
                <c:pt idx="690">
                  <c:v>0.18999999731249734</c:v>
                </c:pt>
                <c:pt idx="691">
                  <c:v>0.18999999755653552</c:v>
                </c:pt>
                <c:pt idx="692">
                  <c:v>0.18999999780036053</c:v>
                </c:pt>
                <c:pt idx="693">
                  <c:v>0.18999999804281639</c:v>
                </c:pt>
                <c:pt idx="694">
                  <c:v>0.18999999828281003</c:v>
                </c:pt>
                <c:pt idx="695">
                  <c:v>0.18999999851931348</c:v>
                </c:pt>
                <c:pt idx="696">
                  <c:v>0.18999999875136561</c:v>
                </c:pt>
                <c:pt idx="697">
                  <c:v>0.18999999897807349</c:v>
                </c:pt>
                <c:pt idx="698">
                  <c:v>0.18999999919861321</c:v>
                </c:pt>
                <c:pt idx="699">
                  <c:v>0.18999999941223064</c:v>
                </c:pt>
                <c:pt idx="700">
                  <c:v>0.18999999961824154</c:v>
                </c:pt>
                <c:pt idx="701">
                  <c:v>0.18999999981603133</c:v>
                </c:pt>
                <c:pt idx="702">
                  <c:v>0.19000000000505488</c:v>
                </c:pt>
                <c:pt idx="703">
                  <c:v>0.19000000018483545</c:v>
                </c:pt>
                <c:pt idx="704">
                  <c:v>0.19000000035496381</c:v>
                </c:pt>
                <c:pt idx="705">
                  <c:v>0.19000000051509691</c:v>
                </c:pt>
                <c:pt idx="706">
                  <c:v>0.19000000066495618</c:v>
                </c:pt>
                <c:pt idx="707">
                  <c:v>0.19000000080432577</c:v>
                </c:pt>
                <c:pt idx="708">
                  <c:v>0.19000000093305067</c:v>
                </c:pt>
                <c:pt idx="709">
                  <c:v>0.19000000105103415</c:v>
                </c:pt>
                <c:pt idx="710">
                  <c:v>0.19000000115823573</c:v>
                </c:pt>
                <c:pt idx="711">
                  <c:v>0.1900000012546684</c:v>
                </c:pt>
                <c:pt idx="712">
                  <c:v>0.19000000134039613</c:v>
                </c:pt>
                <c:pt idx="713">
                  <c:v>0.19000000141553083</c:v>
                </c:pt>
                <c:pt idx="714">
                  <c:v>0.19000000148022977</c:v>
                </c:pt>
                <c:pt idx="715">
                  <c:v>0.19000000153469243</c:v>
                </c:pt>
                <c:pt idx="716">
                  <c:v>0.19000000157915745</c:v>
                </c:pt>
                <c:pt idx="717">
                  <c:v>0.19000000161389974</c:v>
                </c:pt>
                <c:pt idx="718">
                  <c:v>0.19000000163922726</c:v>
                </c:pt>
                <c:pt idx="719">
                  <c:v>0.19000000165547809</c:v>
                </c:pt>
                <c:pt idx="720">
                  <c:v>0.19000000166301709</c:v>
                </c:pt>
                <c:pt idx="721">
                  <c:v>0.1900000016622331</c:v>
                </c:pt>
                <c:pt idx="722">
                  <c:v>0.19000000165353581</c:v>
                </c:pt>
                <c:pt idx="723">
                  <c:v>0.19000000163735273</c:v>
                </c:pt>
                <c:pt idx="724">
                  <c:v>0.19000000161412639</c:v>
                </c:pt>
                <c:pt idx="725">
                  <c:v>0.19000000158431138</c:v>
                </c:pt>
                <c:pt idx="726">
                  <c:v>0.19000000154837166</c:v>
                </c:pt>
                <c:pt idx="727">
                  <c:v>0.19000000150677787</c:v>
                </c:pt>
                <c:pt idx="728">
                  <c:v>0.19000000146000473</c:v>
                </c:pt>
                <c:pt idx="729">
                  <c:v>0.19000000140852857</c:v>
                </c:pt>
                <c:pt idx="730">
                  <c:v>0.19000000135282502</c:v>
                </c:pt>
                <c:pt idx="731">
                  <c:v>0.19000000129336669</c:v>
                </c:pt>
                <c:pt idx="732">
                  <c:v>0.19000000123062119</c:v>
                </c:pt>
                <c:pt idx="733">
                  <c:v>0.19000000116504895</c:v>
                </c:pt>
                <c:pt idx="734">
                  <c:v>0.19000000109710147</c:v>
                </c:pt>
                <c:pt idx="735">
                  <c:v>0.19000000102721973</c:v>
                </c:pt>
                <c:pt idx="736">
                  <c:v>0.19000000095583225</c:v>
                </c:pt>
                <c:pt idx="737">
                  <c:v>0.19000000088335406</c:v>
                </c:pt>
                <c:pt idx="738">
                  <c:v>0.19000000081018498</c:v>
                </c:pt>
                <c:pt idx="739">
                  <c:v>0.19000000073670875</c:v>
                </c:pt>
                <c:pt idx="740">
                  <c:v>0.19000000066329181</c:v>
                </c:pt>
                <c:pt idx="741">
                  <c:v>0.19000000059028252</c:v>
                </c:pt>
                <c:pt idx="742">
                  <c:v>0.19000000051801025</c:v>
                </c:pt>
                <c:pt idx="743">
                  <c:v>0.19000000044678472</c:v>
                </c:pt>
                <c:pt idx="744">
                  <c:v>0.19000000037689566</c:v>
                </c:pt>
                <c:pt idx="745">
                  <c:v>0.19000000030861217</c:v>
                </c:pt>
                <c:pt idx="746">
                  <c:v>0.19000000024218261</c:v>
                </c:pt>
                <c:pt idx="747">
                  <c:v>0.19000000017783436</c:v>
                </c:pt>
                <c:pt idx="748">
                  <c:v>0.19000000011577373</c:v>
                </c:pt>
                <c:pt idx="749">
                  <c:v>0.19000000005618595</c:v>
                </c:pt>
                <c:pt idx="750">
                  <c:v>0.18999999999923559</c:v>
                </c:pt>
                <c:pt idx="751">
                  <c:v>0.18999999994506633</c:v>
                </c:pt>
                <c:pt idx="752">
                  <c:v>0.18999999989380176</c:v>
                </c:pt>
                <c:pt idx="753">
                  <c:v>0.18999999984554539</c:v>
                </c:pt>
                <c:pt idx="754">
                  <c:v>0.1899999998003814</c:v>
                </c:pt>
                <c:pt idx="755">
                  <c:v>0.18999999975837495</c:v>
                </c:pt>
                <c:pt idx="756">
                  <c:v>0.18999999971957304</c:v>
                </c:pt>
                <c:pt idx="757">
                  <c:v>0.18999999968400499</c:v>
                </c:pt>
                <c:pt idx="758">
                  <c:v>0.18999999965168324</c:v>
                </c:pt>
                <c:pt idx="759">
                  <c:v>0.18999999962260405</c:v>
                </c:pt>
                <c:pt idx="760">
                  <c:v>0.1899999995967484</c:v>
                </c:pt>
                <c:pt idx="761">
                  <c:v>0.18999999957408281</c:v>
                </c:pt>
                <c:pt idx="762">
                  <c:v>0.18999999955456004</c:v>
                </c:pt>
                <c:pt idx="763">
                  <c:v>0.18999999953812022</c:v>
                </c:pt>
                <c:pt idx="764">
                  <c:v>0.18999999952469165</c:v>
                </c:pt>
                <c:pt idx="765">
                  <c:v>0.18999999951419172</c:v>
                </c:pt>
                <c:pt idx="766">
                  <c:v>0.18999999950652785</c:v>
                </c:pt>
                <c:pt idx="767">
                  <c:v>0.18999999950159835</c:v>
                </c:pt>
                <c:pt idx="768">
                  <c:v>0.18999999949929341</c:v>
                </c:pt>
                <c:pt idx="769">
                  <c:v>0.18999999949949611</c:v>
                </c:pt>
                <c:pt idx="770">
                  <c:v>0.18999999950208318</c:v>
                </c:pt>
                <c:pt idx="771">
                  <c:v>0.18999999950692592</c:v>
                </c:pt>
                <c:pt idx="772">
                  <c:v>0.18999999951389118</c:v>
                </c:pt>
                <c:pt idx="773">
                  <c:v>0.18999999952284208</c:v>
                </c:pt>
                <c:pt idx="774">
                  <c:v>0.18999999953363905</c:v>
                </c:pt>
                <c:pt idx="775">
                  <c:v>0.18999999954614033</c:v>
                </c:pt>
                <c:pt idx="776">
                  <c:v>0.18999999956020303</c:v>
                </c:pt>
                <c:pt idx="777">
                  <c:v>0.18999999957568375</c:v>
                </c:pt>
                <c:pt idx="778">
                  <c:v>0.18999999959243921</c:v>
                </c:pt>
                <c:pt idx="779">
                  <c:v>0.18999999961032715</c:v>
                </c:pt>
                <c:pt idx="780">
                  <c:v>0.18999999962920672</c:v>
                </c:pt>
                <c:pt idx="781">
                  <c:v>0.18999999964893929</c:v>
                </c:pt>
                <c:pt idx="782">
                  <c:v>0.18999999966938885</c:v>
                </c:pt>
                <c:pt idx="783">
                  <c:v>0.18999999969042258</c:v>
                </c:pt>
                <c:pt idx="784">
                  <c:v>0.18999999971191145</c:v>
                </c:pt>
                <c:pt idx="785">
                  <c:v>0.18999999973373033</c:v>
                </c:pt>
                <c:pt idx="786">
                  <c:v>0.1899999997557589</c:v>
                </c:pt>
                <c:pt idx="787">
                  <c:v>0.18999999977788146</c:v>
                </c:pt>
                <c:pt idx="788">
                  <c:v>0.18999999979998766</c:v>
                </c:pt>
                <c:pt idx="789">
                  <c:v>0.18999999982197247</c:v>
                </c:pt>
                <c:pt idx="790">
                  <c:v>0.18999999984373672</c:v>
                </c:pt>
                <c:pt idx="791">
                  <c:v>0.18999999986518701</c:v>
                </c:pt>
                <c:pt idx="792">
                  <c:v>0.18999999988623606</c:v>
                </c:pt>
                <c:pt idx="793">
                  <c:v>0.18999999990680277</c:v>
                </c:pt>
                <c:pt idx="794">
                  <c:v>0.18999999992681221</c:v>
                </c:pt>
                <c:pt idx="795">
                  <c:v>0.18999999994619593</c:v>
                </c:pt>
                <c:pt idx="796">
                  <c:v>0.18999999996489164</c:v>
                </c:pt>
                <c:pt idx="797">
                  <c:v>0.1899999999828435</c:v>
                </c:pt>
                <c:pt idx="798">
                  <c:v>0.19000000000000192</c:v>
                </c:pt>
                <c:pt idx="799">
                  <c:v>0.1900000000163235</c:v>
                </c:pt>
                <c:pt idx="800">
                  <c:v>0.19000000003177098</c:v>
                </c:pt>
                <c:pt idx="801">
                  <c:v>0.19000000004631309</c:v>
                </c:pt>
                <c:pt idx="802">
                  <c:v>0.19000000005992443</c:v>
                </c:pt>
                <c:pt idx="803">
                  <c:v>0.19000000007258527</c:v>
                </c:pt>
                <c:pt idx="804">
                  <c:v>0.19000000008428145</c:v>
                </c:pt>
                <c:pt idx="805">
                  <c:v>0.19000000009500398</c:v>
                </c:pt>
                <c:pt idx="806">
                  <c:v>0.19000000010474913</c:v>
                </c:pt>
                <c:pt idx="807">
                  <c:v>0.19000000011351792</c:v>
                </c:pt>
                <c:pt idx="808">
                  <c:v>0.19000000012131599</c:v>
                </c:pt>
                <c:pt idx="809">
                  <c:v>0.19000000012815343</c:v>
                </c:pt>
                <c:pt idx="810">
                  <c:v>0.19000000013404439</c:v>
                </c:pt>
                <c:pt idx="811">
                  <c:v>0.19000000013900678</c:v>
                </c:pt>
                <c:pt idx="812">
                  <c:v>0.1900000001430622</c:v>
                </c:pt>
                <c:pt idx="813">
                  <c:v>0.19000000014623547</c:v>
                </c:pt>
                <c:pt idx="814">
                  <c:v>0.19000000014855445</c:v>
                </c:pt>
                <c:pt idx="815">
                  <c:v>0.1900000001500497</c:v>
                </c:pt>
                <c:pt idx="816">
                  <c:v>0.19000000015075424</c:v>
                </c:pt>
                <c:pt idx="817">
                  <c:v>0.19000000015070326</c:v>
                </c:pt>
                <c:pt idx="818">
                  <c:v>0.19000000014993385</c:v>
                </c:pt>
                <c:pt idx="819">
                  <c:v>0.19000000014848473</c:v>
                </c:pt>
                <c:pt idx="820">
                  <c:v>0.19000000014639598</c:v>
                </c:pt>
                <c:pt idx="821">
                  <c:v>0.1900000001437088</c:v>
                </c:pt>
                <c:pt idx="822">
                  <c:v>0.19000000014046523</c:v>
                </c:pt>
                <c:pt idx="823">
                  <c:v>0.1900000001367079</c:v>
                </c:pt>
                <c:pt idx="824">
                  <c:v>0.19000000013247986</c:v>
                </c:pt>
                <c:pt idx="825">
                  <c:v>0.19000000012782428</c:v>
                </c:pt>
                <c:pt idx="826">
                  <c:v>0.19000000012278428</c:v>
                </c:pt>
                <c:pt idx="827">
                  <c:v>0.19000000011740276</c:v>
                </c:pt>
                <c:pt idx="828">
                  <c:v>0.19000000011172205</c:v>
                </c:pt>
                <c:pt idx="829">
                  <c:v>0.19000000010578397</c:v>
                </c:pt>
                <c:pt idx="830">
                  <c:v>0.19000000009962947</c:v>
                </c:pt>
                <c:pt idx="831">
                  <c:v>0.19000000009329848</c:v>
                </c:pt>
                <c:pt idx="832">
                  <c:v>0.19000000008682999</c:v>
                </c:pt>
                <c:pt idx="833">
                  <c:v>0.19000000008026163</c:v>
                </c:pt>
                <c:pt idx="834">
                  <c:v>0.19000000007362963</c:v>
                </c:pt>
                <c:pt idx="835">
                  <c:v>0.19000000006696888</c:v>
                </c:pt>
                <c:pt idx="836">
                  <c:v>0.19000000006031259</c:v>
                </c:pt>
                <c:pt idx="837">
                  <c:v>0.19000000005369244</c:v>
                </c:pt>
                <c:pt idx="838">
                  <c:v>0.19000000004713832</c:v>
                </c:pt>
                <c:pt idx="839">
                  <c:v>0.19000000004067835</c:v>
                </c:pt>
                <c:pt idx="840">
                  <c:v>0.19000000003433884</c:v>
                </c:pt>
                <c:pt idx="841">
                  <c:v>0.19000000002814427</c:v>
                </c:pt>
                <c:pt idx="842">
                  <c:v>0.19000000002211714</c:v>
                </c:pt>
                <c:pt idx="843">
                  <c:v>0.19000000001627818</c:v>
                </c:pt>
                <c:pt idx="844">
                  <c:v>0.1900000000106461</c:v>
                </c:pt>
                <c:pt idx="845">
                  <c:v>0.19000000000523781</c:v>
                </c:pt>
                <c:pt idx="846">
                  <c:v>0.1900000000000682</c:v>
                </c:pt>
                <c:pt idx="847">
                  <c:v>0.18999999999515038</c:v>
                </c:pt>
                <c:pt idx="848">
                  <c:v>0.18999999999049563</c:v>
                </c:pt>
                <c:pt idx="849">
                  <c:v>0.18999999998611333</c:v>
                </c:pt>
                <c:pt idx="850">
                  <c:v>0.18999999998201123</c:v>
                </c:pt>
                <c:pt idx="851">
                  <c:v>0.18999999997819522</c:v>
                </c:pt>
                <c:pt idx="852">
                  <c:v>0.1899999999746696</c:v>
                </c:pt>
                <c:pt idx="853">
                  <c:v>0.18999999997143713</c:v>
                </c:pt>
                <c:pt idx="854">
                  <c:v>0.18999999996849895</c:v>
                </c:pt>
                <c:pt idx="855">
                  <c:v>0.18999999996585476</c:v>
                </c:pt>
                <c:pt idx="856">
                  <c:v>0.18999999996350284</c:v>
                </c:pt>
                <c:pt idx="857">
                  <c:v>0.18999999996144024</c:v>
                </c:pt>
                <c:pt idx="858">
                  <c:v>0.18999999995966266</c:v>
                </c:pt>
                <c:pt idx="859">
                  <c:v>0.18999999995816474</c:v>
                </c:pt>
                <c:pt idx="860">
                  <c:v>0.18999999995694003</c:v>
                </c:pt>
                <c:pt idx="861">
                  <c:v>0.18999999995598102</c:v>
                </c:pt>
                <c:pt idx="862">
                  <c:v>0.18999999995527933</c:v>
                </c:pt>
                <c:pt idx="863">
                  <c:v>0.1899999999548258</c:v>
                </c:pt>
                <c:pt idx="864">
                  <c:v>0.1899999999546105</c:v>
                </c:pt>
                <c:pt idx="865">
                  <c:v>0.18999999995462283</c:v>
                </c:pt>
                <c:pt idx="866">
                  <c:v>0.18999999995485162</c:v>
                </c:pt>
                <c:pt idx="867">
                  <c:v>0.18999999995528524</c:v>
                </c:pt>
                <c:pt idx="868">
                  <c:v>0.1899999999559116</c:v>
                </c:pt>
                <c:pt idx="869">
                  <c:v>0.18999999995671829</c:v>
                </c:pt>
                <c:pt idx="870">
                  <c:v>0.18999999995769273</c:v>
                </c:pt>
                <c:pt idx="871">
                  <c:v>0.189999999958822</c:v>
                </c:pt>
                <c:pt idx="872">
                  <c:v>0.18999999996009317</c:v>
                </c:pt>
                <c:pt idx="873">
                  <c:v>0.18999999996149325</c:v>
                </c:pt>
                <c:pt idx="874">
                  <c:v>0.18999999996300926</c:v>
                </c:pt>
                <c:pt idx="875">
                  <c:v>0.1899999999646283</c:v>
                </c:pt>
                <c:pt idx="876">
                  <c:v>0.18999999996633757</c:v>
                </c:pt>
                <c:pt idx="877">
                  <c:v>0.1899999999681245</c:v>
                </c:pt>
                <c:pt idx="878">
                  <c:v>0.18999999996997677</c:v>
                </c:pt>
                <c:pt idx="879">
                  <c:v>0.18999999997188233</c:v>
                </c:pt>
                <c:pt idx="880">
                  <c:v>0.18999999997382944</c:v>
                </c:pt>
                <c:pt idx="881">
                  <c:v>0.1899999999758068</c:v>
                </c:pt>
                <c:pt idx="882">
                  <c:v>0.18999999997780342</c:v>
                </c:pt>
                <c:pt idx="883">
                  <c:v>0.18999999997980888</c:v>
                </c:pt>
                <c:pt idx="884">
                  <c:v>0.18999999998181311</c:v>
                </c:pt>
                <c:pt idx="885">
                  <c:v>0.18999999998380657</c:v>
                </c:pt>
                <c:pt idx="886">
                  <c:v>0.18999999998578032</c:v>
                </c:pt>
                <c:pt idx="887">
                  <c:v>0.18999999998772579</c:v>
                </c:pt>
                <c:pt idx="888">
                  <c:v>0.18999999998963513</c:v>
                </c:pt>
                <c:pt idx="889">
                  <c:v>0.18999999999150091</c:v>
                </c:pt>
                <c:pt idx="890">
                  <c:v>0.18999999999331635</c:v>
                </c:pt>
                <c:pt idx="891">
                  <c:v>0.18999999999507522</c:v>
                </c:pt>
                <c:pt idx="892">
                  <c:v>0.18999999999677186</c:v>
                </c:pt>
                <c:pt idx="893">
                  <c:v>0.18999999999840123</c:v>
                </c:pt>
                <c:pt idx="894">
                  <c:v>0.18999999999995876</c:v>
                </c:pt>
                <c:pt idx="895">
                  <c:v>0.19000000000144052</c:v>
                </c:pt>
                <c:pt idx="896">
                  <c:v>0.19000000000284312</c:v>
                </c:pt>
                <c:pt idx="897">
                  <c:v>0.19000000000416373</c:v>
                </c:pt>
                <c:pt idx="898">
                  <c:v>0.19000000000540002</c:v>
                </c:pt>
                <c:pt idx="899">
                  <c:v>0.19000000000655015</c:v>
                </c:pt>
                <c:pt idx="900">
                  <c:v>0.19000000000761288</c:v>
                </c:pt>
                <c:pt idx="901">
                  <c:v>0.19000000000858736</c:v>
                </c:pt>
                <c:pt idx="902">
                  <c:v>0.19000000000947323</c:v>
                </c:pt>
                <c:pt idx="903">
                  <c:v>0.19000000001027059</c:v>
                </c:pt>
                <c:pt idx="904">
                  <c:v>0.19000000001097994</c:v>
                </c:pt>
                <c:pt idx="905">
                  <c:v>0.19000000001160217</c:v>
                </c:pt>
                <c:pt idx="906">
                  <c:v>0.19000000001213851</c:v>
                </c:pt>
                <c:pt idx="907">
                  <c:v>0.19000000001259065</c:v>
                </c:pt>
                <c:pt idx="908">
                  <c:v>0.19000000001296052</c:v>
                </c:pt>
                <c:pt idx="909">
                  <c:v>0.19000000001325035</c:v>
                </c:pt>
                <c:pt idx="910">
                  <c:v>0.19000000001346265</c:v>
                </c:pt>
                <c:pt idx="911">
                  <c:v>0.19000000001360018</c:v>
                </c:pt>
                <c:pt idx="912">
                  <c:v>0.19000000001366596</c:v>
                </c:pt>
                <c:pt idx="913">
                  <c:v>0.19000000001366318</c:v>
                </c:pt>
                <c:pt idx="914">
                  <c:v>0.19000000001359516</c:v>
                </c:pt>
                <c:pt idx="915">
                  <c:v>0.1900000000134654</c:v>
                </c:pt>
                <c:pt idx="916">
                  <c:v>0.1900000000132776</c:v>
                </c:pt>
                <c:pt idx="917">
                  <c:v>0.19000000001303541</c:v>
                </c:pt>
                <c:pt idx="918">
                  <c:v>0.1900000000127427</c:v>
                </c:pt>
                <c:pt idx="919">
                  <c:v>0.19000000001240328</c:v>
                </c:pt>
                <c:pt idx="920">
                  <c:v>0.19000000001202111</c:v>
                </c:pt>
                <c:pt idx="921">
                  <c:v>0.19000000001160006</c:v>
                </c:pt>
                <c:pt idx="922">
                  <c:v>0.19000000001114403</c:v>
                </c:pt>
                <c:pt idx="923">
                  <c:v>0.19000000001065698</c:v>
                </c:pt>
                <c:pt idx="924">
                  <c:v>0.19000000001014267</c:v>
                </c:pt>
                <c:pt idx="925">
                  <c:v>0.19000000000960493</c:v>
                </c:pt>
                <c:pt idx="926">
                  <c:v>0.19000000000904746</c:v>
                </c:pt>
                <c:pt idx="927">
                  <c:v>0.19000000000847392</c:v>
                </c:pt>
                <c:pt idx="928">
                  <c:v>0.1900000000078878</c:v>
                </c:pt>
                <c:pt idx="929">
                  <c:v>0.19000000000729256</c:v>
                </c:pt>
                <c:pt idx="930">
                  <c:v>0.19000000000669143</c:v>
                </c:pt>
                <c:pt idx="931">
                  <c:v>0.1900000000060876</c:v>
                </c:pt>
                <c:pt idx="932">
                  <c:v>0.19000000000548414</c:v>
                </c:pt>
                <c:pt idx="933">
                  <c:v>0.19000000000488385</c:v>
                </c:pt>
                <c:pt idx="934">
                  <c:v>0.19000000000428949</c:v>
                </c:pt>
                <c:pt idx="935">
                  <c:v>0.1900000000037036</c:v>
                </c:pt>
                <c:pt idx="936">
                  <c:v>0.19000000000312856</c:v>
                </c:pt>
                <c:pt idx="937">
                  <c:v>0.19000000000256656</c:v>
                </c:pt>
                <c:pt idx="938">
                  <c:v>0.19000000000201975</c:v>
                </c:pt>
                <c:pt idx="939">
                  <c:v>0.19000000000148992</c:v>
                </c:pt>
                <c:pt idx="940">
                  <c:v>0.19000000000097877</c:v>
                </c:pt>
                <c:pt idx="941">
                  <c:v>0.19000000000048795</c:v>
                </c:pt>
                <c:pt idx="942">
                  <c:v>0.19000000000001865</c:v>
                </c:pt>
                <c:pt idx="943">
                  <c:v>0.18999999999957221</c:v>
                </c:pt>
                <c:pt idx="944">
                  <c:v>0.18999999999914957</c:v>
                </c:pt>
                <c:pt idx="945">
                  <c:v>0.18999999999875158</c:v>
                </c:pt>
                <c:pt idx="946">
                  <c:v>0.18999999999837902</c:v>
                </c:pt>
                <c:pt idx="947">
                  <c:v>0.18999999999803235</c:v>
                </c:pt>
                <c:pt idx="948">
                  <c:v>0.189999999997712</c:v>
                </c:pt>
                <c:pt idx="949">
                  <c:v>0.18999999999741823</c:v>
                </c:pt>
                <c:pt idx="950">
                  <c:v>0.18999999999715114</c:v>
                </c:pt>
                <c:pt idx="951">
                  <c:v>0.1899999999969107</c:v>
                </c:pt>
                <c:pt idx="952">
                  <c:v>0.18999999999669676</c:v>
                </c:pt>
                <c:pt idx="953">
                  <c:v>0.18999999999650907</c:v>
                </c:pt>
                <c:pt idx="954">
                  <c:v>0.18999999999634723</c:v>
                </c:pt>
                <c:pt idx="955">
                  <c:v>0.18999999999621076</c:v>
                </c:pt>
                <c:pt idx="956">
                  <c:v>0.18999999999609907</c:v>
                </c:pt>
                <c:pt idx="957">
                  <c:v>0.18999999999601147</c:v>
                </c:pt>
                <c:pt idx="958">
                  <c:v>0.18999999999594724</c:v>
                </c:pt>
                <c:pt idx="959">
                  <c:v>0.1899999999959055</c:v>
                </c:pt>
                <c:pt idx="960">
                  <c:v>0.1899999999958854</c:v>
                </c:pt>
                <c:pt idx="961">
                  <c:v>0.18999999999588599</c:v>
                </c:pt>
                <c:pt idx="962">
                  <c:v>0.18999999999590622</c:v>
                </c:pt>
                <c:pt idx="963">
                  <c:v>0.18999999999594502</c:v>
                </c:pt>
                <c:pt idx="964">
                  <c:v>0.18999999999600137</c:v>
                </c:pt>
                <c:pt idx="965">
                  <c:v>0.18999999999607406</c:v>
                </c:pt>
                <c:pt idx="966">
                  <c:v>0.18999999999616199</c:v>
                </c:pt>
                <c:pt idx="967">
                  <c:v>0.18999999999626399</c:v>
                </c:pt>
                <c:pt idx="968">
                  <c:v>0.1899999999963789</c:v>
                </c:pt>
                <c:pt idx="969">
                  <c:v>0.18999999999650552</c:v>
                </c:pt>
                <c:pt idx="970">
                  <c:v>0.18999999999664269</c:v>
                </c:pt>
                <c:pt idx="971">
                  <c:v>0.18999999999678924</c:v>
                </c:pt>
                <c:pt idx="972">
                  <c:v>0.18999999999694397</c:v>
                </c:pt>
                <c:pt idx="973">
                  <c:v>0.18999999999710582</c:v>
                </c:pt>
                <c:pt idx="974">
                  <c:v>0.18999999999727357</c:v>
                </c:pt>
                <c:pt idx="975">
                  <c:v>0.18999999999744621</c:v>
                </c:pt>
                <c:pt idx="976">
                  <c:v>0.18999999999762263</c:v>
                </c:pt>
                <c:pt idx="977">
                  <c:v>0.18999999999780182</c:v>
                </c:pt>
                <c:pt idx="978">
                  <c:v>0.18999999999798278</c:v>
                </c:pt>
                <c:pt idx="979">
                  <c:v>0.18999999999816458</c:v>
                </c:pt>
                <c:pt idx="980">
                  <c:v>0.18999999999834633</c:v>
                </c:pt>
                <c:pt idx="981">
                  <c:v>0.18999999999852707</c:v>
                </c:pt>
                <c:pt idx="982">
                  <c:v>0.18999999999870604</c:v>
                </c:pt>
                <c:pt idx="983">
                  <c:v>0.18999999999888251</c:v>
                </c:pt>
                <c:pt idx="984">
                  <c:v>0.1899999999990557</c:v>
                </c:pt>
                <c:pt idx="985">
                  <c:v>0.18999999999922496</c:v>
                </c:pt>
                <c:pt idx="986">
                  <c:v>0.18999999999938966</c:v>
                </c:pt>
                <c:pt idx="987">
                  <c:v>0.18999999999954925</c:v>
                </c:pt>
                <c:pt idx="988">
                  <c:v>0.18999999999970324</c:v>
                </c:pt>
                <c:pt idx="989">
                  <c:v>0.18999999999985112</c:v>
                </c:pt>
                <c:pt idx="990">
                  <c:v>0.18999999999999251</c:v>
                </c:pt>
                <c:pt idx="991">
                  <c:v>0.19000000000012701</c:v>
                </c:pt>
                <c:pt idx="992">
                  <c:v>0.19000000000025438</c:v>
                </c:pt>
                <c:pt idx="993">
                  <c:v>0.19000000000037431</c:v>
                </c:pt>
                <c:pt idx="994">
                  <c:v>0.19000000000048661</c:v>
                </c:pt>
                <c:pt idx="995">
                  <c:v>0.19000000000059108</c:v>
                </c:pt>
                <c:pt idx="996">
                  <c:v>0.19000000000068762</c:v>
                </c:pt>
                <c:pt idx="997">
                  <c:v>0.19000000000077621</c:v>
                </c:pt>
                <c:pt idx="998">
                  <c:v>0.19000000000085671</c:v>
                </c:pt>
                <c:pt idx="999">
                  <c:v>0.19000000000092923</c:v>
                </c:pt>
                <c:pt idx="1000">
                  <c:v>0.19000000000099376</c:v>
                </c:pt>
                <c:pt idx="1001">
                  <c:v>0.19000000000105038</c:v>
                </c:pt>
                <c:pt idx="1002">
                  <c:v>0.19000000000109921</c:v>
                </c:pt>
                <c:pt idx="1003">
                  <c:v>0.19000000000114042</c:v>
                </c:pt>
                <c:pt idx="1004">
                  <c:v>0.19000000000117415</c:v>
                </c:pt>
                <c:pt idx="1005">
                  <c:v>0.1900000000012006</c:v>
                </c:pt>
                <c:pt idx="1006">
                  <c:v>0.19000000000122003</c:v>
                </c:pt>
                <c:pt idx="1007">
                  <c:v>0.19000000000123268</c:v>
                </c:pt>
                <c:pt idx="1008">
                  <c:v>0.19000000000123884</c:v>
                </c:pt>
                <c:pt idx="1009">
                  <c:v>0.19000000000123873</c:v>
                </c:pt>
                <c:pt idx="1010">
                  <c:v>0.19000000000123274</c:v>
                </c:pt>
                <c:pt idx="1011">
                  <c:v>0.19000000000122114</c:v>
                </c:pt>
                <c:pt idx="1012">
                  <c:v>0.19000000000120421</c:v>
                </c:pt>
                <c:pt idx="1013">
                  <c:v>0.19000000000118239</c:v>
                </c:pt>
                <c:pt idx="1014">
                  <c:v>0.19000000000115597</c:v>
                </c:pt>
                <c:pt idx="1015">
                  <c:v>0.19000000000112532</c:v>
                </c:pt>
                <c:pt idx="1016">
                  <c:v>0.1900000000010908</c:v>
                </c:pt>
                <c:pt idx="1017">
                  <c:v>0.19000000000105272</c:v>
                </c:pt>
                <c:pt idx="1018">
                  <c:v>0.19000000000101144</c:v>
                </c:pt>
                <c:pt idx="1019">
                  <c:v>0.19000000000096734</c:v>
                </c:pt>
                <c:pt idx="1020">
                  <c:v>0.19000000000092082</c:v>
                </c:pt>
                <c:pt idx="1021">
                  <c:v>0.19000000000087208</c:v>
                </c:pt>
                <c:pt idx="1022">
                  <c:v>0.19000000000082162</c:v>
                </c:pt>
                <c:pt idx="1023">
                  <c:v>0.19000000000076966</c:v>
                </c:pt>
                <c:pt idx="1024">
                  <c:v>0.19000000000071654</c:v>
                </c:pt>
                <c:pt idx="1025">
                  <c:v>0.19000000000066258</c:v>
                </c:pt>
                <c:pt idx="1026">
                  <c:v>0.1900000000006081</c:v>
                </c:pt>
                <c:pt idx="1027">
                  <c:v>0.19000000000055339</c:v>
                </c:pt>
                <c:pt idx="1028">
                  <c:v>0.19000000000049866</c:v>
                </c:pt>
                <c:pt idx="1029">
                  <c:v>0.19000000000044423</c:v>
                </c:pt>
                <c:pt idx="1030">
                  <c:v>0.19000000000039033</c:v>
                </c:pt>
                <c:pt idx="1031">
                  <c:v>0.19000000000033718</c:v>
                </c:pt>
                <c:pt idx="1032">
                  <c:v>0.19000000000028505</c:v>
                </c:pt>
                <c:pt idx="1033">
                  <c:v>0.19000000000023404</c:v>
                </c:pt>
                <c:pt idx="1034">
                  <c:v>0.19000000000018441</c:v>
                </c:pt>
                <c:pt idx="1035">
                  <c:v>0.19000000000013637</c:v>
                </c:pt>
                <c:pt idx="1036">
                  <c:v>0.19000000000008999</c:v>
                </c:pt>
                <c:pt idx="1037">
                  <c:v>0.19000000000004541</c:v>
                </c:pt>
                <c:pt idx="1038">
                  <c:v>0.19000000000000283</c:v>
                </c:pt>
                <c:pt idx="1039">
                  <c:v>0.18999999999996231</c:v>
                </c:pt>
                <c:pt idx="1040">
                  <c:v>0.1899999999999239</c:v>
                </c:pt>
                <c:pt idx="1041">
                  <c:v>0.18999999999988779</c:v>
                </c:pt>
                <c:pt idx="1042">
                  <c:v>0.18999999999985395</c:v>
                </c:pt>
                <c:pt idx="1043">
                  <c:v>0.18999999999982242</c:v>
                </c:pt>
                <c:pt idx="1044">
                  <c:v>0.18999999999979333</c:v>
                </c:pt>
                <c:pt idx="1045">
                  <c:v>0.18999999999976663</c:v>
                </c:pt>
                <c:pt idx="1046">
                  <c:v>0.18999999999974237</c:v>
                </c:pt>
                <c:pt idx="1047">
                  <c:v>0.1899999999997205</c:v>
                </c:pt>
                <c:pt idx="1048">
                  <c:v>0.18999999999970105</c:v>
                </c:pt>
                <c:pt idx="1049">
                  <c:v>0.18999999999968398</c:v>
                </c:pt>
                <c:pt idx="1050">
                  <c:v>0.18999999999966921</c:v>
                </c:pt>
                <c:pt idx="1051">
                  <c:v>0.18999999999965678</c:v>
                </c:pt>
                <c:pt idx="1052">
                  <c:v>0.18999999999964662</c:v>
                </c:pt>
                <c:pt idx="1053">
                  <c:v>0.1899999999996386</c:v>
                </c:pt>
                <c:pt idx="1054">
                  <c:v>0.18999999999963274</c:v>
                </c:pt>
                <c:pt idx="1055">
                  <c:v>0.18999999999962891</c:v>
                </c:pt>
                <c:pt idx="1056">
                  <c:v>0.18999999999962702</c:v>
                </c:pt>
                <c:pt idx="1057">
                  <c:v>0.18999999999962702</c:v>
                </c:pt>
                <c:pt idx="1058">
                  <c:v>0.1899999999996288</c:v>
                </c:pt>
                <c:pt idx="1059">
                  <c:v>0.1899999999996323</c:v>
                </c:pt>
                <c:pt idx="1060">
                  <c:v>0.18999999999963735</c:v>
                </c:pt>
                <c:pt idx="1061">
                  <c:v>0.1899999999996439</c:v>
                </c:pt>
                <c:pt idx="1062">
                  <c:v>0.18999999999965184</c:v>
                </c:pt>
                <c:pt idx="1063">
                  <c:v>0.18999999999966105</c:v>
                </c:pt>
                <c:pt idx="1064">
                  <c:v>0.18999999999967143</c:v>
                </c:pt>
                <c:pt idx="1065">
                  <c:v>0.18999999999968287</c:v>
                </c:pt>
                <c:pt idx="1066">
                  <c:v>0.1899999999996953</c:v>
                </c:pt>
                <c:pt idx="1067">
                  <c:v>0.18999999999970857</c:v>
                </c:pt>
                <c:pt idx="1068">
                  <c:v>0.18999999999972256</c:v>
                </c:pt>
                <c:pt idx="1069">
                  <c:v>0.18999999999973721</c:v>
                </c:pt>
                <c:pt idx="1070">
                  <c:v>0.18999999999975242</c:v>
                </c:pt>
                <c:pt idx="1071">
                  <c:v>0.18999999999976805</c:v>
                </c:pt>
                <c:pt idx="1072">
                  <c:v>0.18999999999978404</c:v>
                </c:pt>
                <c:pt idx="1073">
                  <c:v>0.18999999999980027</c:v>
                </c:pt>
                <c:pt idx="1074">
                  <c:v>0.1899999999998167</c:v>
                </c:pt>
                <c:pt idx="1075">
                  <c:v>0.18999999999983316</c:v>
                </c:pt>
                <c:pt idx="1076">
                  <c:v>0.18999999999984962</c:v>
                </c:pt>
                <c:pt idx="1077">
                  <c:v>0.18999999999986603</c:v>
                </c:pt>
                <c:pt idx="1078">
                  <c:v>0.18999999999988226</c:v>
                </c:pt>
                <c:pt idx="1079">
                  <c:v>0.18999999999989825</c:v>
                </c:pt>
                <c:pt idx="1080">
                  <c:v>0.18999999999991396</c:v>
                </c:pt>
                <c:pt idx="1081">
                  <c:v>0.18999999999992934</c:v>
                </c:pt>
                <c:pt idx="1082">
                  <c:v>0.18999999999994427</c:v>
                </c:pt>
                <c:pt idx="1083">
                  <c:v>0.18999999999995876</c:v>
                </c:pt>
                <c:pt idx="1084">
                  <c:v>0.18999999999997275</c:v>
                </c:pt>
                <c:pt idx="1085">
                  <c:v>0.18999999999998612</c:v>
                </c:pt>
                <c:pt idx="1086">
                  <c:v>0.189999999999999</c:v>
                </c:pt>
                <c:pt idx="1087">
                  <c:v>0.19000000000001119</c:v>
                </c:pt>
                <c:pt idx="1088">
                  <c:v>0.19000000000002276</c:v>
                </c:pt>
                <c:pt idx="1089">
                  <c:v>0.19000000000003364</c:v>
                </c:pt>
                <c:pt idx="1090">
                  <c:v>0.19000000000004386</c:v>
                </c:pt>
                <c:pt idx="1091">
                  <c:v>0.19000000000005335</c:v>
                </c:pt>
                <c:pt idx="1092">
                  <c:v>0.19000000000006212</c:v>
                </c:pt>
                <c:pt idx="1093">
                  <c:v>0.19000000000007017</c:v>
                </c:pt>
                <c:pt idx="1094">
                  <c:v>0.1900000000000775</c:v>
                </c:pt>
                <c:pt idx="1095">
                  <c:v>0.19000000000008407</c:v>
                </c:pt>
                <c:pt idx="1096">
                  <c:v>0.19000000000008993</c:v>
                </c:pt>
                <c:pt idx="1097">
                  <c:v>0.19000000000009509</c:v>
                </c:pt>
                <c:pt idx="1098">
                  <c:v>0.19000000000009953</c:v>
                </c:pt>
                <c:pt idx="1099">
                  <c:v>0.19000000000010328</c:v>
                </c:pt>
                <c:pt idx="1100">
                  <c:v>0.19000000000010636</c:v>
                </c:pt>
                <c:pt idx="1101">
                  <c:v>0.1900000000001088</c:v>
                </c:pt>
                <c:pt idx="1102">
                  <c:v>0.19000000000011055</c:v>
                </c:pt>
                <c:pt idx="1103">
                  <c:v>0.19000000000011175</c:v>
                </c:pt>
                <c:pt idx="1104">
                  <c:v>0.1900000000001123</c:v>
                </c:pt>
                <c:pt idx="1105">
                  <c:v>0.1900000000001123</c:v>
                </c:pt>
                <c:pt idx="1106">
                  <c:v>0.19000000000011177</c:v>
                </c:pt>
                <c:pt idx="1107">
                  <c:v>0.19000000000011075</c:v>
                </c:pt>
                <c:pt idx="1108">
                  <c:v>0.19000000000010922</c:v>
                </c:pt>
                <c:pt idx="1109">
                  <c:v>0.19000000000010725</c:v>
                </c:pt>
                <c:pt idx="1110">
                  <c:v>0.19000000000010486</c:v>
                </c:pt>
                <c:pt idx="1111">
                  <c:v>0.19000000000010209</c:v>
                </c:pt>
                <c:pt idx="1112">
                  <c:v>0.19000000000009898</c:v>
                </c:pt>
                <c:pt idx="1113">
                  <c:v>0.19000000000009554</c:v>
                </c:pt>
                <c:pt idx="1114">
                  <c:v>0.19000000000009182</c:v>
                </c:pt>
                <c:pt idx="1115">
                  <c:v>0.19000000000008782</c:v>
                </c:pt>
                <c:pt idx="1116">
                  <c:v>0.1900000000000836</c:v>
                </c:pt>
                <c:pt idx="1117">
                  <c:v>0.19000000000007919</c:v>
                </c:pt>
                <c:pt idx="1118">
                  <c:v>0.19000000000007461</c:v>
                </c:pt>
                <c:pt idx="1119">
                  <c:v>0.19000000000006989</c:v>
                </c:pt>
                <c:pt idx="1120">
                  <c:v>0.19000000000006509</c:v>
                </c:pt>
                <c:pt idx="1121">
                  <c:v>0.1900000000000602</c:v>
                </c:pt>
                <c:pt idx="1122">
                  <c:v>0.19000000000005526</c:v>
                </c:pt>
                <c:pt idx="1123">
                  <c:v>0.1900000000000503</c:v>
                </c:pt>
                <c:pt idx="1124">
                  <c:v>0.19000000000004535</c:v>
                </c:pt>
                <c:pt idx="1125">
                  <c:v>0.19000000000004041</c:v>
                </c:pt>
                <c:pt idx="1126">
                  <c:v>0.19000000000003553</c:v>
                </c:pt>
                <c:pt idx="1127">
                  <c:v>0.1900000000000307</c:v>
                </c:pt>
                <c:pt idx="1128">
                  <c:v>0.19000000000002598</c:v>
                </c:pt>
                <c:pt idx="1129">
                  <c:v>0.19000000000002135</c:v>
                </c:pt>
                <c:pt idx="1130">
                  <c:v>0.19000000000001685</c:v>
                </c:pt>
                <c:pt idx="1131">
                  <c:v>0.19000000000001249</c:v>
                </c:pt>
                <c:pt idx="1132">
                  <c:v>0.19000000000000827</c:v>
                </c:pt>
                <c:pt idx="1133">
                  <c:v>0.19000000000000422</c:v>
                </c:pt>
                <c:pt idx="1134">
                  <c:v>0.19000000000000036</c:v>
                </c:pt>
                <c:pt idx="1135">
                  <c:v>0.18999999999999667</c:v>
                </c:pt>
                <c:pt idx="1136">
                  <c:v>0.1899999999999932</c:v>
                </c:pt>
                <c:pt idx="1137">
                  <c:v>0.18999999999998993</c:v>
                </c:pt>
                <c:pt idx="1138">
                  <c:v>0.18999999999998685</c:v>
                </c:pt>
                <c:pt idx="1139">
                  <c:v>0.18999999999998399</c:v>
                </c:pt>
                <c:pt idx="1140">
                  <c:v>0.18999999999998135</c:v>
                </c:pt>
                <c:pt idx="1141">
                  <c:v>0.18999999999997891</c:v>
                </c:pt>
                <c:pt idx="1142">
                  <c:v>0.18999999999997672</c:v>
                </c:pt>
                <c:pt idx="1143">
                  <c:v>0.18999999999997472</c:v>
                </c:pt>
                <c:pt idx="1144">
                  <c:v>0.18999999999997297</c:v>
                </c:pt>
                <c:pt idx="1145">
                  <c:v>0.18999999999997139</c:v>
                </c:pt>
                <c:pt idx="1146">
                  <c:v>0.18999999999997005</c:v>
                </c:pt>
                <c:pt idx="1147">
                  <c:v>0.18999999999996892</c:v>
                </c:pt>
                <c:pt idx="1148">
                  <c:v>0.18999999999996797</c:v>
                </c:pt>
                <c:pt idx="1149">
                  <c:v>0.18999999999996725</c:v>
                </c:pt>
                <c:pt idx="1150">
                  <c:v>0.18999999999996672</c:v>
                </c:pt>
                <c:pt idx="1151">
                  <c:v>0.18999999999996636</c:v>
                </c:pt>
                <c:pt idx="1152">
                  <c:v>0.1899999999999662</c:v>
                </c:pt>
                <c:pt idx="1153">
                  <c:v>0.1899999999999662</c:v>
                </c:pt>
                <c:pt idx="1154">
                  <c:v>0.18999999999996636</c:v>
                </c:pt>
                <c:pt idx="1155">
                  <c:v>0.18999999999996667</c:v>
                </c:pt>
                <c:pt idx="1156">
                  <c:v>0.18999999999996711</c:v>
                </c:pt>
                <c:pt idx="1157">
                  <c:v>0.18999999999996769</c:v>
                </c:pt>
                <c:pt idx="1158">
                  <c:v>0.18999999999996842</c:v>
                </c:pt>
                <c:pt idx="1159">
                  <c:v>0.18999999999996925</c:v>
                </c:pt>
                <c:pt idx="1160">
                  <c:v>0.18999999999997019</c:v>
                </c:pt>
                <c:pt idx="1161">
                  <c:v>0.18999999999997122</c:v>
                </c:pt>
                <c:pt idx="1162">
                  <c:v>0.18999999999997236</c:v>
                </c:pt>
                <c:pt idx="1163">
                  <c:v>0.18999999999997355</c:v>
                </c:pt>
                <c:pt idx="1164">
                  <c:v>0.1899999999999748</c:v>
                </c:pt>
                <c:pt idx="1165">
                  <c:v>0.18999999999997613</c:v>
                </c:pt>
                <c:pt idx="1166">
                  <c:v>0.18999999999997752</c:v>
                </c:pt>
                <c:pt idx="1167">
                  <c:v>0.18999999999997894</c:v>
                </c:pt>
                <c:pt idx="1168">
                  <c:v>0.18999999999998038</c:v>
                </c:pt>
                <c:pt idx="1169">
                  <c:v>0.18999999999998185</c:v>
                </c:pt>
                <c:pt idx="1170">
                  <c:v>0.18999999999998335</c:v>
                </c:pt>
                <c:pt idx="1171">
                  <c:v>0.18999999999998485</c:v>
                </c:pt>
                <c:pt idx="1172">
                  <c:v>0.18999999999998635</c:v>
                </c:pt>
                <c:pt idx="1173">
                  <c:v>0.18999999999998782</c:v>
                </c:pt>
                <c:pt idx="1174">
                  <c:v>0.18999999999998929</c:v>
                </c:pt>
                <c:pt idx="1175">
                  <c:v>0.18999999999999073</c:v>
                </c:pt>
                <c:pt idx="1176">
                  <c:v>0.18999999999999218</c:v>
                </c:pt>
                <c:pt idx="1177">
                  <c:v>0.18999999999999356</c:v>
                </c:pt>
                <c:pt idx="1178">
                  <c:v>0.18999999999999492</c:v>
                </c:pt>
                <c:pt idx="1179">
                  <c:v>0.18999999999999623</c:v>
                </c:pt>
                <c:pt idx="1180">
                  <c:v>0.1899999999999975</c:v>
                </c:pt>
                <c:pt idx="1181">
                  <c:v>0.18999999999999873</c:v>
                </c:pt>
                <c:pt idx="1182">
                  <c:v>0.18999999999999989</c:v>
                </c:pt>
                <c:pt idx="1183">
                  <c:v>0.190000000000001</c:v>
                </c:pt>
                <c:pt idx="1184">
                  <c:v>0.19000000000000206</c:v>
                </c:pt>
                <c:pt idx="1185">
                  <c:v>0.19000000000000303</c:v>
                </c:pt>
                <c:pt idx="1186">
                  <c:v>0.19000000000000394</c:v>
                </c:pt>
                <c:pt idx="1187">
                  <c:v>0.1900000000000048</c:v>
                </c:pt>
                <c:pt idx="1188">
                  <c:v>0.19000000000000561</c:v>
                </c:pt>
                <c:pt idx="1189">
                  <c:v>0.19000000000000633</c:v>
                </c:pt>
                <c:pt idx="1190">
                  <c:v>0.190000000000007</c:v>
                </c:pt>
                <c:pt idx="1191">
                  <c:v>0.19000000000000761</c:v>
                </c:pt>
                <c:pt idx="1192">
                  <c:v>0.19000000000000816</c:v>
                </c:pt>
                <c:pt idx="1193">
                  <c:v>0.19000000000000861</c:v>
                </c:pt>
                <c:pt idx="1194">
                  <c:v>0.190000000000009</c:v>
                </c:pt>
                <c:pt idx="1195">
                  <c:v>0.19000000000000936</c:v>
                </c:pt>
                <c:pt idx="1196">
                  <c:v>0.19000000000000963</c:v>
                </c:pt>
                <c:pt idx="1197">
                  <c:v>0.19000000000000986</c:v>
                </c:pt>
                <c:pt idx="1198">
                  <c:v>0.19000000000001002</c:v>
                </c:pt>
                <c:pt idx="1199">
                  <c:v>0.19000000000001013</c:v>
                </c:pt>
                <c:pt idx="1200">
                  <c:v>0.19000000000001016</c:v>
                </c:pt>
                <c:pt idx="1201">
                  <c:v>0.19000000000001016</c:v>
                </c:pt>
                <c:pt idx="1202">
                  <c:v>0.19000000000001013</c:v>
                </c:pt>
                <c:pt idx="1203">
                  <c:v>0.19000000000001005</c:v>
                </c:pt>
                <c:pt idx="1204">
                  <c:v>0.19000000000000991</c:v>
                </c:pt>
                <c:pt idx="1205">
                  <c:v>0.19000000000000972</c:v>
                </c:pt>
                <c:pt idx="1206">
                  <c:v>0.19000000000000952</c:v>
                </c:pt>
                <c:pt idx="1207">
                  <c:v>0.19000000000000927</c:v>
                </c:pt>
                <c:pt idx="1208">
                  <c:v>0.190000000000009</c:v>
                </c:pt>
                <c:pt idx="1209">
                  <c:v>0.19000000000000866</c:v>
                </c:pt>
                <c:pt idx="1210">
                  <c:v>0.19000000000000833</c:v>
                </c:pt>
                <c:pt idx="1211">
                  <c:v>0.19000000000000797</c:v>
                </c:pt>
                <c:pt idx="1212">
                  <c:v>0.19000000000000758</c:v>
                </c:pt>
                <c:pt idx="1213">
                  <c:v>0.19000000000000719</c:v>
                </c:pt>
                <c:pt idx="1214">
                  <c:v>0.19000000000000677</c:v>
                </c:pt>
                <c:pt idx="1215">
                  <c:v>0.19000000000000633</c:v>
                </c:pt>
                <c:pt idx="1216">
                  <c:v>0.19000000000000591</c:v>
                </c:pt>
                <c:pt idx="1217">
                  <c:v>0.19000000000000547</c:v>
                </c:pt>
                <c:pt idx="1218">
                  <c:v>0.190000000000005</c:v>
                </c:pt>
                <c:pt idx="1219">
                  <c:v>0.19000000000000458</c:v>
                </c:pt>
                <c:pt idx="1220">
                  <c:v>0.19000000000000411</c:v>
                </c:pt>
                <c:pt idx="1221">
                  <c:v>0.19000000000000367</c:v>
                </c:pt>
                <c:pt idx="1222">
                  <c:v>0.19000000000000322</c:v>
                </c:pt>
                <c:pt idx="1223">
                  <c:v>0.19000000000000281</c:v>
                </c:pt>
                <c:pt idx="1224">
                  <c:v>0.19000000000000236</c:v>
                </c:pt>
                <c:pt idx="1225">
                  <c:v>0.19000000000000195</c:v>
                </c:pt>
                <c:pt idx="1226">
                  <c:v>0.19000000000000156</c:v>
                </c:pt>
                <c:pt idx="1227">
                  <c:v>0.19000000000000114</c:v>
                </c:pt>
                <c:pt idx="1228">
                  <c:v>0.19000000000000078</c:v>
                </c:pt>
                <c:pt idx="1229">
                  <c:v>0.19000000000000039</c:v>
                </c:pt>
                <c:pt idx="1230">
                  <c:v>0.19000000000000006</c:v>
                </c:pt>
                <c:pt idx="1231">
                  <c:v>0.18999999999999972</c:v>
                </c:pt>
                <c:pt idx="1232">
                  <c:v>0.18999999999999939</c:v>
                </c:pt>
                <c:pt idx="1233">
                  <c:v>0.18999999999999911</c:v>
                </c:pt>
                <c:pt idx="1234">
                  <c:v>0.18999999999999881</c:v>
                </c:pt>
                <c:pt idx="1235">
                  <c:v>0.18999999999999856</c:v>
                </c:pt>
                <c:pt idx="1236">
                  <c:v>0.18999999999999831</c:v>
                </c:pt>
                <c:pt idx="1237">
                  <c:v>0.18999999999999811</c:v>
                </c:pt>
                <c:pt idx="1238">
                  <c:v>0.18999999999999789</c:v>
                </c:pt>
                <c:pt idx="1239">
                  <c:v>0.18999999999999773</c:v>
                </c:pt>
                <c:pt idx="1240">
                  <c:v>0.18999999999999756</c:v>
                </c:pt>
                <c:pt idx="1241">
                  <c:v>0.18999999999999742</c:v>
                </c:pt>
                <c:pt idx="1242">
                  <c:v>0.18999999999999728</c:v>
                </c:pt>
                <c:pt idx="1243">
                  <c:v>0.18999999999999717</c:v>
                </c:pt>
                <c:pt idx="1244">
                  <c:v>0.18999999999999712</c:v>
                </c:pt>
                <c:pt idx="1245">
                  <c:v>0.18999999999999703</c:v>
                </c:pt>
                <c:pt idx="1246">
                  <c:v>0.18999999999999698</c:v>
                </c:pt>
                <c:pt idx="1247">
                  <c:v>0.18999999999999695</c:v>
                </c:pt>
                <c:pt idx="1248">
                  <c:v>0.18999999999999695</c:v>
                </c:pt>
                <c:pt idx="1249">
                  <c:v>0.18999999999999695</c:v>
                </c:pt>
                <c:pt idx="1250">
                  <c:v>0.18999999999999695</c:v>
                </c:pt>
                <c:pt idx="1251">
                  <c:v>0.18999999999999698</c:v>
                </c:pt>
                <c:pt idx="1252">
                  <c:v>0.189999999999997</c:v>
                </c:pt>
                <c:pt idx="1253">
                  <c:v>0.18999999999999706</c:v>
                </c:pt>
                <c:pt idx="1254">
                  <c:v>0.18999999999999712</c:v>
                </c:pt>
                <c:pt idx="1255">
                  <c:v>0.18999999999999723</c:v>
                </c:pt>
                <c:pt idx="1256">
                  <c:v>0.18999999999999728</c:v>
                </c:pt>
                <c:pt idx="1257">
                  <c:v>0.18999999999999739</c:v>
                </c:pt>
                <c:pt idx="1258">
                  <c:v>0.1899999999999975</c:v>
                </c:pt>
                <c:pt idx="1259">
                  <c:v>0.18999999999999762</c:v>
                </c:pt>
                <c:pt idx="1260">
                  <c:v>0.18999999999999773</c:v>
                </c:pt>
                <c:pt idx="1261">
                  <c:v>0.18999999999999784</c:v>
                </c:pt>
                <c:pt idx="1262">
                  <c:v>0.18999999999999795</c:v>
                </c:pt>
                <c:pt idx="1263">
                  <c:v>0.18999999999999809</c:v>
                </c:pt>
                <c:pt idx="1264">
                  <c:v>0.18999999999999823</c:v>
                </c:pt>
                <c:pt idx="1265">
                  <c:v>0.18999999999999834</c:v>
                </c:pt>
                <c:pt idx="1266">
                  <c:v>0.1899999999999985</c:v>
                </c:pt>
                <c:pt idx="1267">
                  <c:v>0.18999999999999861</c:v>
                </c:pt>
                <c:pt idx="1268">
                  <c:v>0.18999999999999875</c:v>
                </c:pt>
                <c:pt idx="1269">
                  <c:v>0.18999999999999889</c:v>
                </c:pt>
                <c:pt idx="1270">
                  <c:v>0.18999999999999903</c:v>
                </c:pt>
                <c:pt idx="1271">
                  <c:v>0.18999999999999917</c:v>
                </c:pt>
                <c:pt idx="1272">
                  <c:v>0.18999999999999928</c:v>
                </c:pt>
                <c:pt idx="1273">
                  <c:v>0.18999999999999942</c:v>
                </c:pt>
                <c:pt idx="1274">
                  <c:v>0.18999999999999953</c:v>
                </c:pt>
                <c:pt idx="1275">
                  <c:v>0.18999999999999967</c:v>
                </c:pt>
                <c:pt idx="1276">
                  <c:v>0.18999999999999978</c:v>
                </c:pt>
                <c:pt idx="1277">
                  <c:v>0.18999999999999989</c:v>
                </c:pt>
                <c:pt idx="1278">
                  <c:v>0.19</c:v>
                </c:pt>
                <c:pt idx="1279">
                  <c:v>0.19000000000000009</c:v>
                </c:pt>
                <c:pt idx="1280">
                  <c:v>0.19000000000000017</c:v>
                </c:pt>
                <c:pt idx="1281">
                  <c:v>0.19000000000000028</c:v>
                </c:pt>
                <c:pt idx="1282">
                  <c:v>0.19000000000000034</c:v>
                </c:pt>
                <c:pt idx="1283">
                  <c:v>0.19000000000000045</c:v>
                </c:pt>
                <c:pt idx="1284">
                  <c:v>0.1900000000000005</c:v>
                </c:pt>
                <c:pt idx="1285">
                  <c:v>0.19000000000000056</c:v>
                </c:pt>
                <c:pt idx="1286">
                  <c:v>0.19000000000000064</c:v>
                </c:pt>
                <c:pt idx="1287">
                  <c:v>0.1900000000000007</c:v>
                </c:pt>
                <c:pt idx="1288">
                  <c:v>0.19000000000000072</c:v>
                </c:pt>
                <c:pt idx="1289">
                  <c:v>0.19000000000000078</c:v>
                </c:pt>
                <c:pt idx="1290">
                  <c:v>0.19000000000000081</c:v>
                </c:pt>
                <c:pt idx="1291">
                  <c:v>0.19000000000000083</c:v>
                </c:pt>
                <c:pt idx="1292">
                  <c:v>0.19000000000000089</c:v>
                </c:pt>
                <c:pt idx="1293">
                  <c:v>0.19000000000000089</c:v>
                </c:pt>
                <c:pt idx="1294">
                  <c:v>0.19000000000000092</c:v>
                </c:pt>
                <c:pt idx="1295">
                  <c:v>0.19000000000000095</c:v>
                </c:pt>
                <c:pt idx="1296">
                  <c:v>0.19000000000000092</c:v>
                </c:pt>
                <c:pt idx="1297">
                  <c:v>0.19000000000000092</c:v>
                </c:pt>
                <c:pt idx="1298">
                  <c:v>0.19000000000000095</c:v>
                </c:pt>
                <c:pt idx="1299">
                  <c:v>0.19000000000000089</c:v>
                </c:pt>
                <c:pt idx="1300">
                  <c:v>0.19000000000000089</c:v>
                </c:pt>
                <c:pt idx="1301">
                  <c:v>0.19000000000000089</c:v>
                </c:pt>
                <c:pt idx="1302">
                  <c:v>0.19000000000000086</c:v>
                </c:pt>
                <c:pt idx="1303">
                  <c:v>0.19000000000000083</c:v>
                </c:pt>
                <c:pt idx="1304">
                  <c:v>0.19000000000000081</c:v>
                </c:pt>
                <c:pt idx="1305">
                  <c:v>0.19000000000000078</c:v>
                </c:pt>
                <c:pt idx="1306">
                  <c:v>0.19000000000000075</c:v>
                </c:pt>
                <c:pt idx="1307">
                  <c:v>0.19000000000000072</c:v>
                </c:pt>
                <c:pt idx="1308">
                  <c:v>0.1900000000000007</c:v>
                </c:pt>
                <c:pt idx="1309">
                  <c:v>0.19000000000000067</c:v>
                </c:pt>
                <c:pt idx="1310">
                  <c:v>0.19000000000000061</c:v>
                </c:pt>
                <c:pt idx="1311">
                  <c:v>0.19000000000000059</c:v>
                </c:pt>
                <c:pt idx="1312">
                  <c:v>0.19000000000000053</c:v>
                </c:pt>
                <c:pt idx="1313">
                  <c:v>0.1900000000000005</c:v>
                </c:pt>
                <c:pt idx="1314">
                  <c:v>0.19000000000000045</c:v>
                </c:pt>
                <c:pt idx="1315">
                  <c:v>0.19000000000000042</c:v>
                </c:pt>
                <c:pt idx="1316">
                  <c:v>0.19000000000000039</c:v>
                </c:pt>
                <c:pt idx="1317">
                  <c:v>0.19000000000000034</c:v>
                </c:pt>
                <c:pt idx="1318">
                  <c:v>0.19000000000000028</c:v>
                </c:pt>
                <c:pt idx="1319">
                  <c:v>0.19000000000000025</c:v>
                </c:pt>
                <c:pt idx="1320">
                  <c:v>0.19000000000000022</c:v>
                </c:pt>
                <c:pt idx="1321">
                  <c:v>0.19000000000000017</c:v>
                </c:pt>
                <c:pt idx="1322">
                  <c:v>0.19000000000000014</c:v>
                </c:pt>
                <c:pt idx="1323">
                  <c:v>0.19000000000000011</c:v>
                </c:pt>
                <c:pt idx="1324">
                  <c:v>0.19000000000000006</c:v>
                </c:pt>
                <c:pt idx="1325">
                  <c:v>0.19000000000000003</c:v>
                </c:pt>
                <c:pt idx="1326">
                  <c:v>0.19</c:v>
                </c:pt>
                <c:pt idx="1327">
                  <c:v>0.18999999999999997</c:v>
                </c:pt>
                <c:pt idx="1328">
                  <c:v>0.18999999999999995</c:v>
                </c:pt>
                <c:pt idx="1329">
                  <c:v>0.18999999999999992</c:v>
                </c:pt>
                <c:pt idx="1330">
                  <c:v>0.18999999999999989</c:v>
                </c:pt>
                <c:pt idx="1331">
                  <c:v>0.18999999999999989</c:v>
                </c:pt>
                <c:pt idx="1332">
                  <c:v>0.18999999999999984</c:v>
                </c:pt>
                <c:pt idx="1333">
                  <c:v>0.18999999999999984</c:v>
                </c:pt>
                <c:pt idx="1334">
                  <c:v>0.18999999999999981</c:v>
                </c:pt>
                <c:pt idx="1335">
                  <c:v>0.18999999999999978</c:v>
                </c:pt>
                <c:pt idx="1336">
                  <c:v>0.18999999999999978</c:v>
                </c:pt>
                <c:pt idx="1337">
                  <c:v>0.18999999999999978</c:v>
                </c:pt>
                <c:pt idx="1338">
                  <c:v>0.18999999999999978</c:v>
                </c:pt>
                <c:pt idx="1339">
                  <c:v>0.18999999999999972</c:v>
                </c:pt>
                <c:pt idx="1340">
                  <c:v>0.18999999999999975</c:v>
                </c:pt>
                <c:pt idx="1341">
                  <c:v>0.18999999999999972</c:v>
                </c:pt>
                <c:pt idx="1342">
                  <c:v>0.18999999999999972</c:v>
                </c:pt>
                <c:pt idx="1343">
                  <c:v>0.18999999999999972</c:v>
                </c:pt>
                <c:pt idx="1344">
                  <c:v>0.18999999999999972</c:v>
                </c:pt>
                <c:pt idx="1345">
                  <c:v>0.18999999999999972</c:v>
                </c:pt>
                <c:pt idx="1346">
                  <c:v>0.18999999999999972</c:v>
                </c:pt>
                <c:pt idx="1347">
                  <c:v>0.18999999999999972</c:v>
                </c:pt>
                <c:pt idx="1348">
                  <c:v>0.18999999999999972</c:v>
                </c:pt>
                <c:pt idx="1349">
                  <c:v>0.18999999999999972</c:v>
                </c:pt>
                <c:pt idx="1350">
                  <c:v>0.18999999999999975</c:v>
                </c:pt>
                <c:pt idx="1351">
                  <c:v>0.18999999999999975</c:v>
                </c:pt>
                <c:pt idx="1352">
                  <c:v>0.18999999999999975</c:v>
                </c:pt>
                <c:pt idx="1353">
                  <c:v>0.18999999999999978</c:v>
                </c:pt>
                <c:pt idx="1354">
                  <c:v>0.18999999999999978</c:v>
                </c:pt>
                <c:pt idx="1355">
                  <c:v>0.18999999999999978</c:v>
                </c:pt>
                <c:pt idx="1356">
                  <c:v>0.18999999999999978</c:v>
                </c:pt>
                <c:pt idx="1357">
                  <c:v>0.18999999999999981</c:v>
                </c:pt>
                <c:pt idx="1358">
                  <c:v>0.18999999999999984</c:v>
                </c:pt>
                <c:pt idx="1359">
                  <c:v>0.18999999999999984</c:v>
                </c:pt>
                <c:pt idx="1360">
                  <c:v>0.18999999999999984</c:v>
                </c:pt>
                <c:pt idx="1361">
                  <c:v>0.18999999999999984</c:v>
                </c:pt>
                <c:pt idx="1362">
                  <c:v>0.18999999999999986</c:v>
                </c:pt>
                <c:pt idx="1363">
                  <c:v>0.18999999999999989</c:v>
                </c:pt>
                <c:pt idx="1364">
                  <c:v>0.18999999999999989</c:v>
                </c:pt>
                <c:pt idx="1365">
                  <c:v>0.18999999999999989</c:v>
                </c:pt>
                <c:pt idx="1366">
                  <c:v>0.18999999999999989</c:v>
                </c:pt>
                <c:pt idx="1367">
                  <c:v>0.18999999999999995</c:v>
                </c:pt>
                <c:pt idx="1368">
                  <c:v>0.18999999999999995</c:v>
                </c:pt>
                <c:pt idx="1369">
                  <c:v>0.18999999999999995</c:v>
                </c:pt>
                <c:pt idx="1370">
                  <c:v>0.18999999999999995</c:v>
                </c:pt>
                <c:pt idx="1371">
                  <c:v>0.18999999999999997</c:v>
                </c:pt>
                <c:pt idx="1372">
                  <c:v>0.18999999999999997</c:v>
                </c:pt>
                <c:pt idx="1373">
                  <c:v>0.19</c:v>
                </c:pt>
                <c:pt idx="1374">
                  <c:v>0.19</c:v>
                </c:pt>
                <c:pt idx="1375">
                  <c:v>0.19</c:v>
                </c:pt>
                <c:pt idx="1376">
                  <c:v>0.19</c:v>
                </c:pt>
                <c:pt idx="1377">
                  <c:v>0.19000000000000003</c:v>
                </c:pt>
                <c:pt idx="1378">
                  <c:v>0.19000000000000003</c:v>
                </c:pt>
                <c:pt idx="1379">
                  <c:v>0.19000000000000003</c:v>
                </c:pt>
                <c:pt idx="1380">
                  <c:v>0.19000000000000006</c:v>
                </c:pt>
                <c:pt idx="1381">
                  <c:v>0.19000000000000006</c:v>
                </c:pt>
                <c:pt idx="1382">
                  <c:v>0.19000000000000006</c:v>
                </c:pt>
                <c:pt idx="1383">
                  <c:v>0.19000000000000006</c:v>
                </c:pt>
                <c:pt idx="1384">
                  <c:v>0.19000000000000006</c:v>
                </c:pt>
                <c:pt idx="1385">
                  <c:v>0.19000000000000006</c:v>
                </c:pt>
                <c:pt idx="1386">
                  <c:v>0.19000000000000006</c:v>
                </c:pt>
                <c:pt idx="1387">
                  <c:v>0.19000000000000006</c:v>
                </c:pt>
                <c:pt idx="1388">
                  <c:v>0.19000000000000006</c:v>
                </c:pt>
                <c:pt idx="1389">
                  <c:v>0.19000000000000006</c:v>
                </c:pt>
                <c:pt idx="1390">
                  <c:v>0.19000000000000009</c:v>
                </c:pt>
                <c:pt idx="1391">
                  <c:v>0.19000000000000009</c:v>
                </c:pt>
                <c:pt idx="1392">
                  <c:v>0.19000000000000009</c:v>
                </c:pt>
                <c:pt idx="1393">
                  <c:v>0.19000000000000009</c:v>
                </c:pt>
                <c:pt idx="1394">
                  <c:v>0.19000000000000009</c:v>
                </c:pt>
                <c:pt idx="1395">
                  <c:v>0.19000000000000009</c:v>
                </c:pt>
                <c:pt idx="1396">
                  <c:v>0.19000000000000009</c:v>
                </c:pt>
                <c:pt idx="1397">
                  <c:v>0.19000000000000009</c:v>
                </c:pt>
                <c:pt idx="1398">
                  <c:v>0.19000000000000009</c:v>
                </c:pt>
                <c:pt idx="1399">
                  <c:v>0.19000000000000009</c:v>
                </c:pt>
                <c:pt idx="1400">
                  <c:v>0.19000000000000006</c:v>
                </c:pt>
                <c:pt idx="1401">
                  <c:v>0.19000000000000006</c:v>
                </c:pt>
                <c:pt idx="1402">
                  <c:v>0.19000000000000006</c:v>
                </c:pt>
                <c:pt idx="1403">
                  <c:v>0.19000000000000006</c:v>
                </c:pt>
                <c:pt idx="1404">
                  <c:v>0.19000000000000006</c:v>
                </c:pt>
                <c:pt idx="1405">
                  <c:v>0.19000000000000006</c:v>
                </c:pt>
                <c:pt idx="1406">
                  <c:v>0.19000000000000006</c:v>
                </c:pt>
                <c:pt idx="1407">
                  <c:v>0.19000000000000006</c:v>
                </c:pt>
                <c:pt idx="1408">
                  <c:v>0.19000000000000006</c:v>
                </c:pt>
                <c:pt idx="1409">
                  <c:v>0.19000000000000006</c:v>
                </c:pt>
                <c:pt idx="1410">
                  <c:v>0.19000000000000006</c:v>
                </c:pt>
                <c:pt idx="1411">
                  <c:v>0.19000000000000003</c:v>
                </c:pt>
                <c:pt idx="1412">
                  <c:v>0.19000000000000003</c:v>
                </c:pt>
                <c:pt idx="1413">
                  <c:v>0.19000000000000003</c:v>
                </c:pt>
                <c:pt idx="1414">
                  <c:v>0.19000000000000003</c:v>
                </c:pt>
                <c:pt idx="1415">
                  <c:v>0.19</c:v>
                </c:pt>
                <c:pt idx="1416">
                  <c:v>0.19</c:v>
                </c:pt>
                <c:pt idx="1417">
                  <c:v>0.19</c:v>
                </c:pt>
                <c:pt idx="1418">
                  <c:v>0.19</c:v>
                </c:pt>
                <c:pt idx="1419">
                  <c:v>0.19</c:v>
                </c:pt>
                <c:pt idx="1420">
                  <c:v>0.19</c:v>
                </c:pt>
                <c:pt idx="1421">
                  <c:v>0.19</c:v>
                </c:pt>
                <c:pt idx="1422">
                  <c:v>0.19</c:v>
                </c:pt>
                <c:pt idx="1423">
                  <c:v>0.19</c:v>
                </c:pt>
                <c:pt idx="1424">
                  <c:v>0.19</c:v>
                </c:pt>
                <c:pt idx="1425">
                  <c:v>0.19</c:v>
                </c:pt>
                <c:pt idx="1426">
                  <c:v>0.19</c:v>
                </c:pt>
                <c:pt idx="1427">
                  <c:v>0.19</c:v>
                </c:pt>
                <c:pt idx="1428">
                  <c:v>0.19</c:v>
                </c:pt>
                <c:pt idx="1429">
                  <c:v>0.19</c:v>
                </c:pt>
                <c:pt idx="1430">
                  <c:v>0.19</c:v>
                </c:pt>
                <c:pt idx="1431">
                  <c:v>0.19</c:v>
                </c:pt>
                <c:pt idx="1432">
                  <c:v>0.18999999999999997</c:v>
                </c:pt>
                <c:pt idx="1433">
                  <c:v>0.18999999999999997</c:v>
                </c:pt>
                <c:pt idx="1434">
                  <c:v>0.18999999999999997</c:v>
                </c:pt>
                <c:pt idx="1435">
                  <c:v>0.18999999999999997</c:v>
                </c:pt>
                <c:pt idx="1436">
                  <c:v>0.18999999999999997</c:v>
                </c:pt>
                <c:pt idx="1437">
                  <c:v>0.18999999999999997</c:v>
                </c:pt>
                <c:pt idx="1438">
                  <c:v>0.18999999999999997</c:v>
                </c:pt>
                <c:pt idx="1439">
                  <c:v>0.18999999999999997</c:v>
                </c:pt>
                <c:pt idx="1440">
                  <c:v>0.18999999999999997</c:v>
                </c:pt>
                <c:pt idx="1441">
                  <c:v>0.18999999999999997</c:v>
                </c:pt>
                <c:pt idx="1442">
                  <c:v>0.18999999999999997</c:v>
                </c:pt>
                <c:pt idx="1443">
                  <c:v>0.18999999999999997</c:v>
                </c:pt>
                <c:pt idx="1444">
                  <c:v>0.18999999999999997</c:v>
                </c:pt>
                <c:pt idx="1445">
                  <c:v>0.18999999999999997</c:v>
                </c:pt>
                <c:pt idx="1446">
                  <c:v>0.19</c:v>
                </c:pt>
                <c:pt idx="1447">
                  <c:v>0.19</c:v>
                </c:pt>
                <c:pt idx="1448">
                  <c:v>0.19</c:v>
                </c:pt>
                <c:pt idx="1449">
                  <c:v>0.19</c:v>
                </c:pt>
                <c:pt idx="1450">
                  <c:v>0.19</c:v>
                </c:pt>
                <c:pt idx="1451">
                  <c:v>0.19</c:v>
                </c:pt>
                <c:pt idx="1452">
                  <c:v>0.19</c:v>
                </c:pt>
                <c:pt idx="1453">
                  <c:v>0.19</c:v>
                </c:pt>
                <c:pt idx="1454">
                  <c:v>0.19</c:v>
                </c:pt>
                <c:pt idx="1455">
                  <c:v>0.19</c:v>
                </c:pt>
                <c:pt idx="1456">
                  <c:v>0.19</c:v>
                </c:pt>
                <c:pt idx="1457">
                  <c:v>0.19</c:v>
                </c:pt>
                <c:pt idx="1458">
                  <c:v>0.19</c:v>
                </c:pt>
                <c:pt idx="1459">
                  <c:v>0.19</c:v>
                </c:pt>
                <c:pt idx="1460">
                  <c:v>0.19</c:v>
                </c:pt>
                <c:pt idx="1461">
                  <c:v>0.19</c:v>
                </c:pt>
                <c:pt idx="1462">
                  <c:v>0.19</c:v>
                </c:pt>
                <c:pt idx="1463">
                  <c:v>0.19</c:v>
                </c:pt>
                <c:pt idx="1464">
                  <c:v>0.19</c:v>
                </c:pt>
                <c:pt idx="1465">
                  <c:v>0.19</c:v>
                </c:pt>
                <c:pt idx="1466">
                  <c:v>0.19</c:v>
                </c:pt>
                <c:pt idx="1467">
                  <c:v>0.19</c:v>
                </c:pt>
                <c:pt idx="1468">
                  <c:v>0.19</c:v>
                </c:pt>
                <c:pt idx="1469">
                  <c:v>0.19</c:v>
                </c:pt>
                <c:pt idx="1470">
                  <c:v>0.19</c:v>
                </c:pt>
                <c:pt idx="1471">
                  <c:v>0.19</c:v>
                </c:pt>
                <c:pt idx="1472">
                  <c:v>0.19</c:v>
                </c:pt>
                <c:pt idx="1473">
                  <c:v>0.19</c:v>
                </c:pt>
                <c:pt idx="1474">
                  <c:v>0.19</c:v>
                </c:pt>
                <c:pt idx="1475">
                  <c:v>0.19</c:v>
                </c:pt>
                <c:pt idx="1476">
                  <c:v>0.19</c:v>
                </c:pt>
                <c:pt idx="1477">
                  <c:v>0.19</c:v>
                </c:pt>
                <c:pt idx="1478">
                  <c:v>0.19</c:v>
                </c:pt>
                <c:pt idx="1479">
                  <c:v>0.19</c:v>
                </c:pt>
                <c:pt idx="1480">
                  <c:v>0.19</c:v>
                </c:pt>
                <c:pt idx="1481">
                  <c:v>0.19</c:v>
                </c:pt>
                <c:pt idx="1482">
                  <c:v>0.19</c:v>
                </c:pt>
                <c:pt idx="1483">
                  <c:v>0.19</c:v>
                </c:pt>
                <c:pt idx="1484">
                  <c:v>0.19</c:v>
                </c:pt>
                <c:pt idx="1485">
                  <c:v>0.19</c:v>
                </c:pt>
                <c:pt idx="1486">
                  <c:v>0.19</c:v>
                </c:pt>
                <c:pt idx="1487">
                  <c:v>0.19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53-42A6-8B4C-703A7BBD647C}"/>
            </c:ext>
          </c:extLst>
        </c:ser>
        <c:ser>
          <c:idx val="14"/>
          <c:order val="2"/>
          <c:tx>
            <c:strRef>
              <c:f>Rocof!$V$6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Rocof!$V$7:$V$270</c:f>
            </c:numRef>
          </c:yVal>
          <c:smooth val="1"/>
          <c:extLst>
            <c:ext xmlns:c16="http://schemas.microsoft.com/office/drawing/2014/chart" uri="{C3380CC4-5D6E-409C-BE32-E72D297353CC}">
              <c16:uniqueId val="{00000005-AD53-42A6-8B4C-703A7BBD647C}"/>
            </c:ext>
          </c:extLst>
        </c:ser>
        <c:ser>
          <c:idx val="1"/>
          <c:order val="3"/>
          <c:tx>
            <c:strRef>
              <c:f>Rocof!$T$6</c:f>
              <c:strCache>
                <c:ptCount val="1"/>
                <c:pt idx="0">
                  <c:v>Expected second order response with margin +tunnel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Rocof!$A$7:$A$270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  <c:extLst xmlns:c15="http://schemas.microsoft.com/office/drawing/2012/chart"/>
            </c:numRef>
          </c:xVal>
          <c:yVal>
            <c:numRef>
              <c:f>Rocof!$T$7:$T$270</c:f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AD53-42A6-8B4C-703A7BBD647C}"/>
            </c:ext>
          </c:extLst>
        </c:ser>
        <c:ser>
          <c:idx val="8"/>
          <c:order val="4"/>
          <c:tx>
            <c:strRef>
              <c:f>Rocof!$W$6</c:f>
              <c:strCache>
                <c:ptCount val="1"/>
                <c:pt idx="0">
                  <c:v>Pup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Rocof!$A$7:$A$1495</c:f>
              <c:numCache>
                <c:formatCode>General</c:formatCode>
                <c:ptCount val="1489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1.5499999999999901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1.5699999999999901</c:v>
                </c:pt>
                <c:pt idx="315">
                  <c:v>1.57499999999999</c:v>
                </c:pt>
                <c:pt idx="316">
                  <c:v>1.5799999999999901</c:v>
                </c:pt>
                <c:pt idx="317">
                  <c:v>1.58499999999999</c:v>
                </c:pt>
                <c:pt idx="318">
                  <c:v>1.5899999999999901</c:v>
                </c:pt>
                <c:pt idx="319">
                  <c:v>1.59499999999999</c:v>
                </c:pt>
                <c:pt idx="320">
                  <c:v>1.5999999999999901</c:v>
                </c:pt>
                <c:pt idx="321">
                  <c:v>1.60499999999999</c:v>
                </c:pt>
                <c:pt idx="322">
                  <c:v>1.6099999999999901</c:v>
                </c:pt>
                <c:pt idx="323">
                  <c:v>1.61499999999999</c:v>
                </c:pt>
                <c:pt idx="324">
                  <c:v>1.6199999999999899</c:v>
                </c:pt>
                <c:pt idx="325">
                  <c:v>1.62499999999999</c:v>
                </c:pt>
                <c:pt idx="326">
                  <c:v>1.6299999999999899</c:v>
                </c:pt>
                <c:pt idx="327">
                  <c:v>1.63499999999999</c:v>
                </c:pt>
                <c:pt idx="328">
                  <c:v>1.6399999999999899</c:v>
                </c:pt>
                <c:pt idx="329">
                  <c:v>1.64499999999999</c:v>
                </c:pt>
                <c:pt idx="330">
                  <c:v>1.6499999999999899</c:v>
                </c:pt>
                <c:pt idx="331">
                  <c:v>1.65499999999999</c:v>
                </c:pt>
                <c:pt idx="332">
                  <c:v>1.6599999999999899</c:v>
                </c:pt>
                <c:pt idx="333">
                  <c:v>1.66499999999999</c:v>
                </c:pt>
                <c:pt idx="334">
                  <c:v>1.6699999999999899</c:v>
                </c:pt>
                <c:pt idx="335">
                  <c:v>1.6749999999999901</c:v>
                </c:pt>
                <c:pt idx="336">
                  <c:v>1.6799999999999899</c:v>
                </c:pt>
                <c:pt idx="337">
                  <c:v>1.6849999999999901</c:v>
                </c:pt>
                <c:pt idx="338">
                  <c:v>1.68999999999999</c:v>
                </c:pt>
                <c:pt idx="339">
                  <c:v>1.6949999999999901</c:v>
                </c:pt>
                <c:pt idx="340">
                  <c:v>1.69999999999999</c:v>
                </c:pt>
                <c:pt idx="341">
                  <c:v>1.7049999999999901</c:v>
                </c:pt>
                <c:pt idx="342">
                  <c:v>1.70999999999999</c:v>
                </c:pt>
                <c:pt idx="343">
                  <c:v>1.7149999999999901</c:v>
                </c:pt>
                <c:pt idx="344">
                  <c:v>1.71999999999999</c:v>
                </c:pt>
                <c:pt idx="345">
                  <c:v>1.7249999999999901</c:v>
                </c:pt>
                <c:pt idx="346">
                  <c:v>1.72999999999999</c:v>
                </c:pt>
                <c:pt idx="347">
                  <c:v>1.7349999999999901</c:v>
                </c:pt>
                <c:pt idx="348">
                  <c:v>1.73999999999999</c:v>
                </c:pt>
                <c:pt idx="349">
                  <c:v>1.7449999999999899</c:v>
                </c:pt>
                <c:pt idx="350">
                  <c:v>1.74999999999999</c:v>
                </c:pt>
                <c:pt idx="351">
                  <c:v>1.7549999999999899</c:v>
                </c:pt>
                <c:pt idx="352">
                  <c:v>1.75999999999999</c:v>
                </c:pt>
                <c:pt idx="353">
                  <c:v>1.7649999999999899</c:v>
                </c:pt>
                <c:pt idx="354">
                  <c:v>1.76999999999999</c:v>
                </c:pt>
                <c:pt idx="355">
                  <c:v>1.7749999999999899</c:v>
                </c:pt>
                <c:pt idx="356">
                  <c:v>1.77999999999999</c:v>
                </c:pt>
                <c:pt idx="357">
                  <c:v>1.7849999999999899</c:v>
                </c:pt>
                <c:pt idx="358">
                  <c:v>1.78999999999999</c:v>
                </c:pt>
                <c:pt idx="359">
                  <c:v>1.7949999999999899</c:v>
                </c:pt>
                <c:pt idx="360">
                  <c:v>1.7999999999999901</c:v>
                </c:pt>
                <c:pt idx="361">
                  <c:v>1.8049999999999899</c:v>
                </c:pt>
                <c:pt idx="362">
                  <c:v>1.8099999999999901</c:v>
                </c:pt>
                <c:pt idx="363">
                  <c:v>1.81499999999999</c:v>
                </c:pt>
                <c:pt idx="364">
                  <c:v>1.8199999999999901</c:v>
                </c:pt>
                <c:pt idx="365">
                  <c:v>1.82499999999999</c:v>
                </c:pt>
                <c:pt idx="366">
                  <c:v>1.8299999999999901</c:v>
                </c:pt>
                <c:pt idx="367">
                  <c:v>1.83499999999999</c:v>
                </c:pt>
                <c:pt idx="368">
                  <c:v>1.8399999999999901</c:v>
                </c:pt>
                <c:pt idx="369">
                  <c:v>1.84499999999999</c:v>
                </c:pt>
                <c:pt idx="370">
                  <c:v>1.8499999999999901</c:v>
                </c:pt>
                <c:pt idx="371">
                  <c:v>1.85499999999999</c:v>
                </c:pt>
                <c:pt idx="372">
                  <c:v>1.8599999999999901</c:v>
                </c:pt>
                <c:pt idx="373">
                  <c:v>1.86499999999999</c:v>
                </c:pt>
                <c:pt idx="374">
                  <c:v>1.8699999999999899</c:v>
                </c:pt>
                <c:pt idx="375">
                  <c:v>1.87499999999999</c:v>
                </c:pt>
                <c:pt idx="376">
                  <c:v>1.8799999999999899</c:v>
                </c:pt>
                <c:pt idx="377">
                  <c:v>1.88499999999999</c:v>
                </c:pt>
                <c:pt idx="378">
                  <c:v>1.8899999999999899</c:v>
                </c:pt>
                <c:pt idx="379">
                  <c:v>1.89499999999999</c:v>
                </c:pt>
                <c:pt idx="380">
                  <c:v>1.8999999999999899</c:v>
                </c:pt>
                <c:pt idx="381">
                  <c:v>1.90499999999999</c:v>
                </c:pt>
                <c:pt idx="382">
                  <c:v>1.9099999999999899</c:v>
                </c:pt>
                <c:pt idx="383">
                  <c:v>1.91499999999999</c:v>
                </c:pt>
                <c:pt idx="384">
                  <c:v>1.9199999999999899</c:v>
                </c:pt>
                <c:pt idx="385">
                  <c:v>1.9249999999999901</c:v>
                </c:pt>
                <c:pt idx="386">
                  <c:v>1.9299999999999899</c:v>
                </c:pt>
                <c:pt idx="387">
                  <c:v>1.9349999999999901</c:v>
                </c:pt>
                <c:pt idx="388">
                  <c:v>1.93999999999999</c:v>
                </c:pt>
                <c:pt idx="389">
                  <c:v>1.9449999999999901</c:v>
                </c:pt>
                <c:pt idx="390">
                  <c:v>1.94999999999999</c:v>
                </c:pt>
                <c:pt idx="391">
                  <c:v>1.9549999999999901</c:v>
                </c:pt>
                <c:pt idx="392">
                  <c:v>1.95999999999999</c:v>
                </c:pt>
                <c:pt idx="393">
                  <c:v>1.9649999999999901</c:v>
                </c:pt>
                <c:pt idx="394">
                  <c:v>1.96999999999999</c:v>
                </c:pt>
                <c:pt idx="395">
                  <c:v>1.9749999999999901</c:v>
                </c:pt>
                <c:pt idx="396">
                  <c:v>1.97999999999999</c:v>
                </c:pt>
                <c:pt idx="397">
                  <c:v>1.9849999999999901</c:v>
                </c:pt>
                <c:pt idx="398">
                  <c:v>1.98999999999999</c:v>
                </c:pt>
                <c:pt idx="399">
                  <c:v>1.9949999999999899</c:v>
                </c:pt>
                <c:pt idx="400">
                  <c:v>1.99999999999998</c:v>
                </c:pt>
                <c:pt idx="401">
                  <c:v>2.0049999999999799</c:v>
                </c:pt>
                <c:pt idx="402">
                  <c:v>2.00999999999999</c:v>
                </c:pt>
                <c:pt idx="403">
                  <c:v>2.0149999999999899</c:v>
                </c:pt>
                <c:pt idx="404">
                  <c:v>2.01999999999998</c:v>
                </c:pt>
                <c:pt idx="405">
                  <c:v>2.0249999999999901</c:v>
                </c:pt>
                <c:pt idx="406">
                  <c:v>2.02999999999999</c:v>
                </c:pt>
                <c:pt idx="407">
                  <c:v>2.0349999999999899</c:v>
                </c:pt>
                <c:pt idx="408">
                  <c:v>2.0399999999999801</c:v>
                </c:pt>
                <c:pt idx="409">
                  <c:v>2.0449999999999799</c:v>
                </c:pt>
                <c:pt idx="410">
                  <c:v>2.0499999999999798</c:v>
                </c:pt>
                <c:pt idx="411">
                  <c:v>2.0549999999999802</c:v>
                </c:pt>
                <c:pt idx="412">
                  <c:v>2.0599999999999801</c:v>
                </c:pt>
                <c:pt idx="413">
                  <c:v>2.06499999999998</c:v>
                </c:pt>
                <c:pt idx="414">
                  <c:v>2.0699999999999799</c:v>
                </c:pt>
                <c:pt idx="415">
                  <c:v>2.0749999999999802</c:v>
                </c:pt>
                <c:pt idx="416">
                  <c:v>2.0799999999999801</c:v>
                </c:pt>
                <c:pt idx="417">
                  <c:v>2.08499999999998</c:v>
                </c:pt>
                <c:pt idx="418">
                  <c:v>2.0899999999999799</c:v>
                </c:pt>
                <c:pt idx="419">
                  <c:v>2.0949999999999802</c:v>
                </c:pt>
                <c:pt idx="420">
                  <c:v>2.0999999999999801</c:v>
                </c:pt>
                <c:pt idx="421">
                  <c:v>2.10499999999998</c:v>
                </c:pt>
                <c:pt idx="422">
                  <c:v>2.1099999999999799</c:v>
                </c:pt>
                <c:pt idx="423">
                  <c:v>2.1149999999999798</c:v>
                </c:pt>
                <c:pt idx="424">
                  <c:v>2.1199999999999801</c:v>
                </c:pt>
                <c:pt idx="425">
                  <c:v>2.12499999999998</c:v>
                </c:pt>
                <c:pt idx="426">
                  <c:v>2.1299999999999799</c:v>
                </c:pt>
                <c:pt idx="427">
                  <c:v>2.1349999999999798</c:v>
                </c:pt>
                <c:pt idx="428">
                  <c:v>2.1399999999999801</c:v>
                </c:pt>
                <c:pt idx="429">
                  <c:v>2.14499999999998</c:v>
                </c:pt>
                <c:pt idx="430">
                  <c:v>2.1499999999999799</c:v>
                </c:pt>
                <c:pt idx="431">
                  <c:v>2.1549999999999798</c:v>
                </c:pt>
                <c:pt idx="432">
                  <c:v>2.1599999999999802</c:v>
                </c:pt>
                <c:pt idx="433">
                  <c:v>2.1649999999999801</c:v>
                </c:pt>
                <c:pt idx="434">
                  <c:v>2.1699999999999799</c:v>
                </c:pt>
                <c:pt idx="435">
                  <c:v>2.1749999999999798</c:v>
                </c:pt>
                <c:pt idx="436">
                  <c:v>2.1799999999999802</c:v>
                </c:pt>
                <c:pt idx="437">
                  <c:v>2.1849999999999801</c:v>
                </c:pt>
                <c:pt idx="438">
                  <c:v>2.18999999999998</c:v>
                </c:pt>
                <c:pt idx="439">
                  <c:v>2.1949999999999799</c:v>
                </c:pt>
                <c:pt idx="440">
                  <c:v>2.1999999999999802</c:v>
                </c:pt>
                <c:pt idx="441">
                  <c:v>2.2049999999999801</c:v>
                </c:pt>
                <c:pt idx="442">
                  <c:v>2.20999999999998</c:v>
                </c:pt>
                <c:pt idx="443">
                  <c:v>2.2149999999999799</c:v>
                </c:pt>
                <c:pt idx="444">
                  <c:v>2.2199999999999802</c:v>
                </c:pt>
                <c:pt idx="445">
                  <c:v>2.2249999999999801</c:v>
                </c:pt>
                <c:pt idx="446">
                  <c:v>2.22999999999998</c:v>
                </c:pt>
                <c:pt idx="447">
                  <c:v>2.2349999999999799</c:v>
                </c:pt>
                <c:pt idx="448">
                  <c:v>2.2399999999999798</c:v>
                </c:pt>
                <c:pt idx="449">
                  <c:v>2.2449999999999801</c:v>
                </c:pt>
                <c:pt idx="450">
                  <c:v>2.24999999999998</c:v>
                </c:pt>
                <c:pt idx="451">
                  <c:v>2.2549999999999799</c:v>
                </c:pt>
                <c:pt idx="452">
                  <c:v>2.2599999999999798</c:v>
                </c:pt>
                <c:pt idx="453">
                  <c:v>2.2649999999999801</c:v>
                </c:pt>
                <c:pt idx="454">
                  <c:v>2.26999999999998</c:v>
                </c:pt>
                <c:pt idx="455">
                  <c:v>2.2749999999999799</c:v>
                </c:pt>
                <c:pt idx="456">
                  <c:v>2.2799999999999798</c:v>
                </c:pt>
                <c:pt idx="457">
                  <c:v>2.2849999999999802</c:v>
                </c:pt>
                <c:pt idx="458">
                  <c:v>2.2899999999999801</c:v>
                </c:pt>
                <c:pt idx="459">
                  <c:v>2.2949999999999799</c:v>
                </c:pt>
                <c:pt idx="460">
                  <c:v>2.2999999999999798</c:v>
                </c:pt>
                <c:pt idx="461">
                  <c:v>2.3049999999999802</c:v>
                </c:pt>
                <c:pt idx="462">
                  <c:v>2.3099999999999801</c:v>
                </c:pt>
                <c:pt idx="463">
                  <c:v>2.31499999999998</c:v>
                </c:pt>
                <c:pt idx="464">
                  <c:v>2.3199999999999799</c:v>
                </c:pt>
                <c:pt idx="465">
                  <c:v>2.3249999999999802</c:v>
                </c:pt>
                <c:pt idx="466">
                  <c:v>2.3299999999999801</c:v>
                </c:pt>
                <c:pt idx="467">
                  <c:v>2.33499999999998</c:v>
                </c:pt>
                <c:pt idx="468">
                  <c:v>2.3399999999999799</c:v>
                </c:pt>
                <c:pt idx="469">
                  <c:v>2.3449999999999802</c:v>
                </c:pt>
                <c:pt idx="470">
                  <c:v>2.3499999999999801</c:v>
                </c:pt>
                <c:pt idx="471">
                  <c:v>2.35499999999998</c:v>
                </c:pt>
                <c:pt idx="472">
                  <c:v>2.3599999999999799</c:v>
                </c:pt>
                <c:pt idx="473">
                  <c:v>2.3649999999999798</c:v>
                </c:pt>
                <c:pt idx="474">
                  <c:v>2.3699999999999801</c:v>
                </c:pt>
                <c:pt idx="475">
                  <c:v>2.37499999999998</c:v>
                </c:pt>
                <c:pt idx="476">
                  <c:v>2.3799999999999799</c:v>
                </c:pt>
                <c:pt idx="477">
                  <c:v>2.3849999999999798</c:v>
                </c:pt>
                <c:pt idx="478">
                  <c:v>2.3899999999999801</c:v>
                </c:pt>
                <c:pt idx="479">
                  <c:v>2.39499999999998</c:v>
                </c:pt>
                <c:pt idx="480">
                  <c:v>2.3999999999999799</c:v>
                </c:pt>
                <c:pt idx="481">
                  <c:v>2.4049999999999798</c:v>
                </c:pt>
                <c:pt idx="482">
                  <c:v>2.4099999999999802</c:v>
                </c:pt>
                <c:pt idx="483">
                  <c:v>2.4149999999999801</c:v>
                </c:pt>
                <c:pt idx="484">
                  <c:v>2.4199999999999799</c:v>
                </c:pt>
                <c:pt idx="485">
                  <c:v>2.4249999999999798</c:v>
                </c:pt>
                <c:pt idx="486">
                  <c:v>2.4299999999999802</c:v>
                </c:pt>
                <c:pt idx="487">
                  <c:v>2.4349999999999801</c:v>
                </c:pt>
                <c:pt idx="488">
                  <c:v>2.43999999999998</c:v>
                </c:pt>
                <c:pt idx="489">
                  <c:v>2.4449999999999799</c:v>
                </c:pt>
                <c:pt idx="490">
                  <c:v>2.4499999999999802</c:v>
                </c:pt>
                <c:pt idx="491">
                  <c:v>2.4549999999999801</c:v>
                </c:pt>
                <c:pt idx="492">
                  <c:v>2.45999999999998</c:v>
                </c:pt>
                <c:pt idx="493">
                  <c:v>2.4649999999999799</c:v>
                </c:pt>
                <c:pt idx="494">
                  <c:v>2.4699999999999802</c:v>
                </c:pt>
                <c:pt idx="495">
                  <c:v>2.4749999999999801</c:v>
                </c:pt>
                <c:pt idx="496">
                  <c:v>2.47999999999998</c:v>
                </c:pt>
                <c:pt idx="497">
                  <c:v>2.4849999999999701</c:v>
                </c:pt>
                <c:pt idx="498">
                  <c:v>2.48999999999997</c:v>
                </c:pt>
                <c:pt idx="499">
                  <c:v>2.4949999999999699</c:v>
                </c:pt>
                <c:pt idx="500">
                  <c:v>2.4999999999999698</c:v>
                </c:pt>
                <c:pt idx="501">
                  <c:v>2.5049999999999701</c:v>
                </c:pt>
                <c:pt idx="502">
                  <c:v>2.50999999999997</c:v>
                </c:pt>
                <c:pt idx="503">
                  <c:v>2.5149999999999699</c:v>
                </c:pt>
                <c:pt idx="504">
                  <c:v>2.5199999999999698</c:v>
                </c:pt>
                <c:pt idx="505">
                  <c:v>2.5249999999999702</c:v>
                </c:pt>
                <c:pt idx="506">
                  <c:v>2.5299999999999701</c:v>
                </c:pt>
                <c:pt idx="507">
                  <c:v>2.5349999999999699</c:v>
                </c:pt>
                <c:pt idx="508">
                  <c:v>2.5399999999999698</c:v>
                </c:pt>
                <c:pt idx="509">
                  <c:v>2.5449999999999702</c:v>
                </c:pt>
                <c:pt idx="510">
                  <c:v>2.5499999999999701</c:v>
                </c:pt>
                <c:pt idx="511">
                  <c:v>2.55499999999997</c:v>
                </c:pt>
                <c:pt idx="512">
                  <c:v>2.5599999999999699</c:v>
                </c:pt>
                <c:pt idx="513">
                  <c:v>2.5649999999999702</c:v>
                </c:pt>
                <c:pt idx="514">
                  <c:v>2.5699999999999701</c:v>
                </c:pt>
                <c:pt idx="515">
                  <c:v>2.57499999999997</c:v>
                </c:pt>
                <c:pt idx="516">
                  <c:v>2.5799999999999699</c:v>
                </c:pt>
                <c:pt idx="517">
                  <c:v>2.5849999999999702</c:v>
                </c:pt>
                <c:pt idx="518">
                  <c:v>2.5899999999999701</c:v>
                </c:pt>
                <c:pt idx="519">
                  <c:v>2.59499999999997</c:v>
                </c:pt>
                <c:pt idx="520">
                  <c:v>2.5999999999999699</c:v>
                </c:pt>
                <c:pt idx="521">
                  <c:v>2.6049999999999698</c:v>
                </c:pt>
                <c:pt idx="522">
                  <c:v>2.6099999999999701</c:v>
                </c:pt>
                <c:pt idx="523">
                  <c:v>2.61499999999997</c:v>
                </c:pt>
                <c:pt idx="524">
                  <c:v>2.6199999999999699</c:v>
                </c:pt>
                <c:pt idx="525">
                  <c:v>2.6249999999999698</c:v>
                </c:pt>
                <c:pt idx="526">
                  <c:v>2.6299999999999701</c:v>
                </c:pt>
                <c:pt idx="527">
                  <c:v>2.63499999999997</c:v>
                </c:pt>
                <c:pt idx="528">
                  <c:v>2.6399999999999699</c:v>
                </c:pt>
                <c:pt idx="529">
                  <c:v>2.6449999999999698</c:v>
                </c:pt>
                <c:pt idx="530">
                  <c:v>2.6499999999999702</c:v>
                </c:pt>
                <c:pt idx="531">
                  <c:v>2.6549999999999701</c:v>
                </c:pt>
                <c:pt idx="532">
                  <c:v>2.6599999999999699</c:v>
                </c:pt>
                <c:pt idx="533">
                  <c:v>2.6649999999999698</c:v>
                </c:pt>
                <c:pt idx="534">
                  <c:v>2.6699999999999702</c:v>
                </c:pt>
                <c:pt idx="535">
                  <c:v>2.6749999999999701</c:v>
                </c:pt>
                <c:pt idx="536">
                  <c:v>2.67999999999997</c:v>
                </c:pt>
                <c:pt idx="537">
                  <c:v>2.6849999999999699</c:v>
                </c:pt>
                <c:pt idx="538">
                  <c:v>2.6899999999999702</c:v>
                </c:pt>
                <c:pt idx="539">
                  <c:v>2.6949999999999701</c:v>
                </c:pt>
                <c:pt idx="540">
                  <c:v>2.69999999999997</c:v>
                </c:pt>
                <c:pt idx="541">
                  <c:v>2.7049999999999699</c:v>
                </c:pt>
                <c:pt idx="542">
                  <c:v>2.7099999999999702</c:v>
                </c:pt>
                <c:pt idx="543">
                  <c:v>2.7149999999999701</c:v>
                </c:pt>
                <c:pt idx="544">
                  <c:v>2.71999999999997</c:v>
                </c:pt>
                <c:pt idx="545">
                  <c:v>2.7249999999999699</c:v>
                </c:pt>
                <c:pt idx="546">
                  <c:v>2.7299999999999698</c:v>
                </c:pt>
                <c:pt idx="547">
                  <c:v>2.7349999999999701</c:v>
                </c:pt>
                <c:pt idx="548">
                  <c:v>2.73999999999997</c:v>
                </c:pt>
                <c:pt idx="549">
                  <c:v>2.7449999999999699</c:v>
                </c:pt>
                <c:pt idx="550">
                  <c:v>2.7499999999999698</c:v>
                </c:pt>
                <c:pt idx="551">
                  <c:v>2.7549999999999701</c:v>
                </c:pt>
                <c:pt idx="552">
                  <c:v>2.75999999999997</c:v>
                </c:pt>
                <c:pt idx="553">
                  <c:v>2.7649999999999699</c:v>
                </c:pt>
                <c:pt idx="554">
                  <c:v>2.7699999999999698</c:v>
                </c:pt>
                <c:pt idx="555">
                  <c:v>2.7749999999999702</c:v>
                </c:pt>
                <c:pt idx="556">
                  <c:v>2.7799999999999701</c:v>
                </c:pt>
                <c:pt idx="557">
                  <c:v>2.7849999999999699</c:v>
                </c:pt>
                <c:pt idx="558">
                  <c:v>2.7899999999999698</c:v>
                </c:pt>
                <c:pt idx="559">
                  <c:v>2.7949999999999702</c:v>
                </c:pt>
                <c:pt idx="560">
                  <c:v>2.7999999999999701</c:v>
                </c:pt>
                <c:pt idx="561">
                  <c:v>2.80499999999997</c:v>
                </c:pt>
                <c:pt idx="562">
                  <c:v>2.8099999999999699</c:v>
                </c:pt>
                <c:pt idx="563">
                  <c:v>2.8149999999999702</c:v>
                </c:pt>
                <c:pt idx="564">
                  <c:v>2.8199999999999701</c:v>
                </c:pt>
                <c:pt idx="565">
                  <c:v>2.82499999999997</c:v>
                </c:pt>
                <c:pt idx="566">
                  <c:v>2.8299999999999699</c:v>
                </c:pt>
                <c:pt idx="567">
                  <c:v>2.8349999999999702</c:v>
                </c:pt>
                <c:pt idx="568">
                  <c:v>2.8399999999999701</c:v>
                </c:pt>
                <c:pt idx="569">
                  <c:v>2.84499999999997</c:v>
                </c:pt>
                <c:pt idx="570">
                  <c:v>2.8499999999999699</c:v>
                </c:pt>
                <c:pt idx="571">
                  <c:v>2.8549999999999698</c:v>
                </c:pt>
                <c:pt idx="572">
                  <c:v>2.8599999999999701</c:v>
                </c:pt>
                <c:pt idx="573">
                  <c:v>2.86499999999997</c:v>
                </c:pt>
                <c:pt idx="574">
                  <c:v>2.8699999999999699</c:v>
                </c:pt>
                <c:pt idx="575">
                  <c:v>2.8749999999999698</c:v>
                </c:pt>
                <c:pt idx="576">
                  <c:v>2.8799999999999701</c:v>
                </c:pt>
                <c:pt idx="577">
                  <c:v>2.88499999999997</c:v>
                </c:pt>
                <c:pt idx="578">
                  <c:v>2.8899999999999699</c:v>
                </c:pt>
                <c:pt idx="579">
                  <c:v>2.8949999999999698</c:v>
                </c:pt>
                <c:pt idx="580">
                  <c:v>2.8999999999999702</c:v>
                </c:pt>
                <c:pt idx="581">
                  <c:v>2.9049999999999701</c:v>
                </c:pt>
                <c:pt idx="582">
                  <c:v>2.9099999999999699</c:v>
                </c:pt>
                <c:pt idx="583">
                  <c:v>2.9149999999999698</c:v>
                </c:pt>
                <c:pt idx="584">
                  <c:v>2.9199999999999702</c:v>
                </c:pt>
                <c:pt idx="585">
                  <c:v>2.9249999999999701</c:v>
                </c:pt>
                <c:pt idx="586">
                  <c:v>2.92999999999997</c:v>
                </c:pt>
                <c:pt idx="587">
                  <c:v>2.9349999999999699</c:v>
                </c:pt>
                <c:pt idx="588">
                  <c:v>2.9399999999999702</c:v>
                </c:pt>
                <c:pt idx="589">
                  <c:v>2.9449999999999701</c:v>
                </c:pt>
                <c:pt idx="590">
                  <c:v>2.94999999999997</c:v>
                </c:pt>
                <c:pt idx="591">
                  <c:v>2.9549999999999601</c:v>
                </c:pt>
                <c:pt idx="592">
                  <c:v>2.95999999999996</c:v>
                </c:pt>
                <c:pt idx="593">
                  <c:v>2.9649999999999599</c:v>
                </c:pt>
                <c:pt idx="594">
                  <c:v>2.9699999999999598</c:v>
                </c:pt>
                <c:pt idx="595">
                  <c:v>2.9749999999999601</c:v>
                </c:pt>
                <c:pt idx="596">
                  <c:v>2.97999999999996</c:v>
                </c:pt>
                <c:pt idx="597">
                  <c:v>2.9849999999999599</c:v>
                </c:pt>
                <c:pt idx="598">
                  <c:v>2.9899999999999598</c:v>
                </c:pt>
                <c:pt idx="599">
                  <c:v>2.9949999999999601</c:v>
                </c:pt>
                <c:pt idx="600">
                  <c:v>2.99999999999996</c:v>
                </c:pt>
                <c:pt idx="601">
                  <c:v>3.0049999999999599</c:v>
                </c:pt>
                <c:pt idx="602">
                  <c:v>3.0099999999999598</c:v>
                </c:pt>
                <c:pt idx="603">
                  <c:v>3.0149999999999602</c:v>
                </c:pt>
                <c:pt idx="604">
                  <c:v>3.01999999999996</c:v>
                </c:pt>
                <c:pt idx="605">
                  <c:v>3.0249999999999599</c:v>
                </c:pt>
                <c:pt idx="606">
                  <c:v>3.0299999999999598</c:v>
                </c:pt>
                <c:pt idx="607">
                  <c:v>3.0349999999999602</c:v>
                </c:pt>
                <c:pt idx="608">
                  <c:v>3.0399999999999601</c:v>
                </c:pt>
                <c:pt idx="609">
                  <c:v>3.04499999999996</c:v>
                </c:pt>
                <c:pt idx="610">
                  <c:v>3.0499999999999599</c:v>
                </c:pt>
                <c:pt idx="611">
                  <c:v>3.0549999999999602</c:v>
                </c:pt>
                <c:pt idx="612">
                  <c:v>3.0599999999999601</c:v>
                </c:pt>
                <c:pt idx="613">
                  <c:v>3.06499999999996</c:v>
                </c:pt>
                <c:pt idx="614">
                  <c:v>3.0699999999999599</c:v>
                </c:pt>
                <c:pt idx="615">
                  <c:v>3.0749999999999602</c:v>
                </c:pt>
                <c:pt idx="616">
                  <c:v>3.0799999999999601</c:v>
                </c:pt>
                <c:pt idx="617">
                  <c:v>3.08499999999996</c:v>
                </c:pt>
                <c:pt idx="618">
                  <c:v>3.0899999999999599</c:v>
                </c:pt>
                <c:pt idx="619">
                  <c:v>3.0949999999999598</c:v>
                </c:pt>
                <c:pt idx="620">
                  <c:v>3.0999999999999601</c:v>
                </c:pt>
                <c:pt idx="621">
                  <c:v>3.10499999999996</c:v>
                </c:pt>
                <c:pt idx="622">
                  <c:v>3.1099999999999599</c:v>
                </c:pt>
                <c:pt idx="623">
                  <c:v>3.1149999999999598</c:v>
                </c:pt>
                <c:pt idx="624">
                  <c:v>3.1199999999999601</c:v>
                </c:pt>
                <c:pt idx="625">
                  <c:v>3.12499999999996</c:v>
                </c:pt>
                <c:pt idx="626">
                  <c:v>3.1299999999999599</c:v>
                </c:pt>
                <c:pt idx="627">
                  <c:v>3.1349999999999598</c:v>
                </c:pt>
                <c:pt idx="628">
                  <c:v>3.1399999999999602</c:v>
                </c:pt>
                <c:pt idx="629">
                  <c:v>3.14499999999996</c:v>
                </c:pt>
                <c:pt idx="630">
                  <c:v>3.1499999999999599</c:v>
                </c:pt>
                <c:pt idx="631">
                  <c:v>3.1549999999999598</c:v>
                </c:pt>
                <c:pt idx="632">
                  <c:v>3.1599999999999602</c:v>
                </c:pt>
                <c:pt idx="633">
                  <c:v>3.1649999999999601</c:v>
                </c:pt>
                <c:pt idx="634">
                  <c:v>3.16999999999996</c:v>
                </c:pt>
                <c:pt idx="635">
                  <c:v>3.1749999999999599</c:v>
                </c:pt>
                <c:pt idx="636">
                  <c:v>3.1799999999999602</c:v>
                </c:pt>
                <c:pt idx="637">
                  <c:v>3.1849999999999601</c:v>
                </c:pt>
                <c:pt idx="638">
                  <c:v>3.18999999999996</c:v>
                </c:pt>
                <c:pt idx="639">
                  <c:v>3.1949999999999599</c:v>
                </c:pt>
                <c:pt idx="640">
                  <c:v>3.1999999999999602</c:v>
                </c:pt>
                <c:pt idx="641">
                  <c:v>3.2049999999999601</c:v>
                </c:pt>
                <c:pt idx="642">
                  <c:v>3.20999999999996</c:v>
                </c:pt>
                <c:pt idx="643">
                  <c:v>3.2149999999999599</c:v>
                </c:pt>
                <c:pt idx="644">
                  <c:v>3.2199999999999598</c:v>
                </c:pt>
                <c:pt idx="645">
                  <c:v>3.2249999999999601</c:v>
                </c:pt>
                <c:pt idx="646">
                  <c:v>3.22999999999996</c:v>
                </c:pt>
                <c:pt idx="647">
                  <c:v>3.2349999999999599</c:v>
                </c:pt>
                <c:pt idx="648">
                  <c:v>3.2399999999999598</c:v>
                </c:pt>
                <c:pt idx="649">
                  <c:v>3.2449999999999601</c:v>
                </c:pt>
                <c:pt idx="650">
                  <c:v>3.24999999999996</c:v>
                </c:pt>
                <c:pt idx="651">
                  <c:v>3.2549999999999599</c:v>
                </c:pt>
                <c:pt idx="652">
                  <c:v>3.2599999999999598</c:v>
                </c:pt>
                <c:pt idx="653">
                  <c:v>3.2649999999999602</c:v>
                </c:pt>
                <c:pt idx="654">
                  <c:v>3.26999999999996</c:v>
                </c:pt>
                <c:pt idx="655">
                  <c:v>3.2749999999999599</c:v>
                </c:pt>
                <c:pt idx="656">
                  <c:v>3.2799999999999598</c:v>
                </c:pt>
                <c:pt idx="657">
                  <c:v>3.2849999999999602</c:v>
                </c:pt>
                <c:pt idx="658">
                  <c:v>3.2899999999999601</c:v>
                </c:pt>
                <c:pt idx="659">
                  <c:v>3.29499999999996</c:v>
                </c:pt>
                <c:pt idx="660">
                  <c:v>3.2999999999999599</c:v>
                </c:pt>
                <c:pt idx="661">
                  <c:v>3.3049999999999602</c:v>
                </c:pt>
                <c:pt idx="662">
                  <c:v>3.3099999999999601</c:v>
                </c:pt>
                <c:pt idx="663">
                  <c:v>3.31499999999996</c:v>
                </c:pt>
                <c:pt idx="664">
                  <c:v>3.3199999999999599</c:v>
                </c:pt>
                <c:pt idx="665">
                  <c:v>3.3249999999999602</c:v>
                </c:pt>
                <c:pt idx="666">
                  <c:v>3.3299999999999601</c:v>
                </c:pt>
                <c:pt idx="667">
                  <c:v>3.33499999999996</c:v>
                </c:pt>
                <c:pt idx="668">
                  <c:v>3.3399999999999599</c:v>
                </c:pt>
                <c:pt idx="669">
                  <c:v>3.3449999999999598</c:v>
                </c:pt>
                <c:pt idx="670">
                  <c:v>3.3499999999999601</c:v>
                </c:pt>
                <c:pt idx="671">
                  <c:v>3.35499999999996</c:v>
                </c:pt>
                <c:pt idx="672">
                  <c:v>3.3599999999999599</c:v>
                </c:pt>
                <c:pt idx="673">
                  <c:v>3.3649999999999598</c:v>
                </c:pt>
                <c:pt idx="674">
                  <c:v>3.3699999999999601</c:v>
                </c:pt>
                <c:pt idx="675">
                  <c:v>3.37499999999996</c:v>
                </c:pt>
                <c:pt idx="676">
                  <c:v>3.3799999999999599</c:v>
                </c:pt>
                <c:pt idx="677">
                  <c:v>3.3849999999999598</c:v>
                </c:pt>
                <c:pt idx="678">
                  <c:v>3.3899999999999602</c:v>
                </c:pt>
                <c:pt idx="679">
                  <c:v>3.39499999999996</c:v>
                </c:pt>
                <c:pt idx="680">
                  <c:v>3.3999999999999599</c:v>
                </c:pt>
                <c:pt idx="681">
                  <c:v>3.4049999999999598</c:v>
                </c:pt>
                <c:pt idx="682">
                  <c:v>3.4099999999999602</c:v>
                </c:pt>
                <c:pt idx="683">
                  <c:v>3.4149999999999601</c:v>
                </c:pt>
                <c:pt idx="684">
                  <c:v>3.41999999999996</c:v>
                </c:pt>
                <c:pt idx="685">
                  <c:v>3.4249999999999501</c:v>
                </c:pt>
                <c:pt idx="686">
                  <c:v>3.42999999999995</c:v>
                </c:pt>
                <c:pt idx="687">
                  <c:v>3.4349999999999499</c:v>
                </c:pt>
                <c:pt idx="688">
                  <c:v>3.4399999999999502</c:v>
                </c:pt>
                <c:pt idx="689">
                  <c:v>3.4449999999999501</c:v>
                </c:pt>
                <c:pt idx="690">
                  <c:v>3.44999999999995</c:v>
                </c:pt>
                <c:pt idx="691">
                  <c:v>3.4549999999999499</c:v>
                </c:pt>
                <c:pt idx="692">
                  <c:v>3.4599999999999498</c:v>
                </c:pt>
                <c:pt idx="693">
                  <c:v>3.4649999999999501</c:v>
                </c:pt>
                <c:pt idx="694">
                  <c:v>3.46999999999995</c:v>
                </c:pt>
                <c:pt idx="695">
                  <c:v>3.4749999999999499</c:v>
                </c:pt>
                <c:pt idx="696">
                  <c:v>3.4799999999999498</c:v>
                </c:pt>
                <c:pt idx="697">
                  <c:v>3.4849999999999501</c:v>
                </c:pt>
                <c:pt idx="698">
                  <c:v>3.48999999999995</c:v>
                </c:pt>
                <c:pt idx="699">
                  <c:v>3.4949999999999499</c:v>
                </c:pt>
                <c:pt idx="700">
                  <c:v>3.4999999999999498</c:v>
                </c:pt>
                <c:pt idx="701">
                  <c:v>3.5049999999999502</c:v>
                </c:pt>
                <c:pt idx="702">
                  <c:v>3.50999999999995</c:v>
                </c:pt>
                <c:pt idx="703">
                  <c:v>3.5149999999999499</c:v>
                </c:pt>
                <c:pt idx="704">
                  <c:v>3.5199999999999498</c:v>
                </c:pt>
                <c:pt idx="705">
                  <c:v>3.5249999999999502</c:v>
                </c:pt>
                <c:pt idx="706">
                  <c:v>3.5299999999999501</c:v>
                </c:pt>
                <c:pt idx="707">
                  <c:v>3.53499999999995</c:v>
                </c:pt>
                <c:pt idx="708">
                  <c:v>3.5399999999999499</c:v>
                </c:pt>
                <c:pt idx="709">
                  <c:v>3.5449999999999502</c:v>
                </c:pt>
                <c:pt idx="710">
                  <c:v>3.5499999999999501</c:v>
                </c:pt>
                <c:pt idx="711">
                  <c:v>3.55499999999995</c:v>
                </c:pt>
                <c:pt idx="712">
                  <c:v>3.5599999999999499</c:v>
                </c:pt>
                <c:pt idx="713">
                  <c:v>3.5649999999999502</c:v>
                </c:pt>
                <c:pt idx="714">
                  <c:v>3.5699999999999501</c:v>
                </c:pt>
                <c:pt idx="715">
                  <c:v>3.57499999999995</c:v>
                </c:pt>
                <c:pt idx="716">
                  <c:v>3.5799999999999499</c:v>
                </c:pt>
                <c:pt idx="717">
                  <c:v>3.5849999999999498</c:v>
                </c:pt>
                <c:pt idx="718">
                  <c:v>3.5899999999999501</c:v>
                </c:pt>
                <c:pt idx="719">
                  <c:v>3.59499999999995</c:v>
                </c:pt>
                <c:pt idx="720">
                  <c:v>3.5999999999999499</c:v>
                </c:pt>
                <c:pt idx="721">
                  <c:v>3.6049999999999498</c:v>
                </c:pt>
                <c:pt idx="722">
                  <c:v>3.6099999999999501</c:v>
                </c:pt>
                <c:pt idx="723">
                  <c:v>3.61499999999995</c:v>
                </c:pt>
                <c:pt idx="724">
                  <c:v>3.6199999999999499</c:v>
                </c:pt>
                <c:pt idx="725">
                  <c:v>3.6249999999999498</c:v>
                </c:pt>
                <c:pt idx="726">
                  <c:v>3.6299999999999502</c:v>
                </c:pt>
                <c:pt idx="727">
                  <c:v>3.63499999999995</c:v>
                </c:pt>
                <c:pt idx="728">
                  <c:v>3.6399999999999499</c:v>
                </c:pt>
                <c:pt idx="729">
                  <c:v>3.6449999999999498</c:v>
                </c:pt>
                <c:pt idx="730">
                  <c:v>3.6499999999999502</c:v>
                </c:pt>
                <c:pt idx="731">
                  <c:v>3.6549999999999501</c:v>
                </c:pt>
                <c:pt idx="732">
                  <c:v>3.65999999999995</c:v>
                </c:pt>
                <c:pt idx="733">
                  <c:v>3.6649999999999499</c:v>
                </c:pt>
                <c:pt idx="734">
                  <c:v>3.6699999999999502</c:v>
                </c:pt>
                <c:pt idx="735">
                  <c:v>3.6749999999999501</c:v>
                </c:pt>
                <c:pt idx="736">
                  <c:v>3.67999999999995</c:v>
                </c:pt>
                <c:pt idx="737">
                  <c:v>3.6849999999999499</c:v>
                </c:pt>
                <c:pt idx="738">
                  <c:v>3.6899999999999502</c:v>
                </c:pt>
                <c:pt idx="739">
                  <c:v>3.6949999999999501</c:v>
                </c:pt>
                <c:pt idx="740">
                  <c:v>3.69999999999995</c:v>
                </c:pt>
                <c:pt idx="741">
                  <c:v>3.7049999999999499</c:v>
                </c:pt>
                <c:pt idx="742">
                  <c:v>3.7099999999999498</c:v>
                </c:pt>
                <c:pt idx="743">
                  <c:v>3.7149999999999501</c:v>
                </c:pt>
                <c:pt idx="744">
                  <c:v>3.71999999999995</c:v>
                </c:pt>
                <c:pt idx="745">
                  <c:v>3.7249999999999499</c:v>
                </c:pt>
                <c:pt idx="746">
                  <c:v>3.7299999999999498</c:v>
                </c:pt>
                <c:pt idx="747">
                  <c:v>3.7349999999999501</c:v>
                </c:pt>
                <c:pt idx="748">
                  <c:v>3.73999999999995</c:v>
                </c:pt>
                <c:pt idx="749">
                  <c:v>3.7449999999999499</c:v>
                </c:pt>
                <c:pt idx="750">
                  <c:v>3.7499999999999498</c:v>
                </c:pt>
                <c:pt idx="751">
                  <c:v>3.7549999999999502</c:v>
                </c:pt>
                <c:pt idx="752">
                  <c:v>3.75999999999995</c:v>
                </c:pt>
                <c:pt idx="753">
                  <c:v>3.7649999999999499</c:v>
                </c:pt>
                <c:pt idx="754">
                  <c:v>3.7699999999999498</c:v>
                </c:pt>
                <c:pt idx="755">
                  <c:v>3.7749999999999502</c:v>
                </c:pt>
                <c:pt idx="756">
                  <c:v>3.7799999999999501</c:v>
                </c:pt>
                <c:pt idx="757">
                  <c:v>3.78499999999995</c:v>
                </c:pt>
                <c:pt idx="758">
                  <c:v>3.7899999999999499</c:v>
                </c:pt>
                <c:pt idx="759">
                  <c:v>3.7949999999999502</c:v>
                </c:pt>
                <c:pt idx="760">
                  <c:v>3.7999999999999501</c:v>
                </c:pt>
                <c:pt idx="761">
                  <c:v>3.80499999999995</c:v>
                </c:pt>
                <c:pt idx="762">
                  <c:v>3.8099999999999499</c:v>
                </c:pt>
                <c:pt idx="763">
                  <c:v>3.8149999999999502</c:v>
                </c:pt>
                <c:pt idx="764">
                  <c:v>3.8199999999999501</c:v>
                </c:pt>
                <c:pt idx="765">
                  <c:v>3.82499999999995</c:v>
                </c:pt>
                <c:pt idx="766">
                  <c:v>3.8299999999999499</c:v>
                </c:pt>
                <c:pt idx="767">
                  <c:v>3.8349999999999498</c:v>
                </c:pt>
                <c:pt idx="768">
                  <c:v>3.8399999999999501</c:v>
                </c:pt>
                <c:pt idx="769">
                  <c:v>3.84499999999995</c:v>
                </c:pt>
                <c:pt idx="770">
                  <c:v>3.8499999999999499</c:v>
                </c:pt>
                <c:pt idx="771">
                  <c:v>3.8549999999999498</c:v>
                </c:pt>
                <c:pt idx="772">
                  <c:v>3.8599999999999501</c:v>
                </c:pt>
                <c:pt idx="773">
                  <c:v>3.86499999999995</c:v>
                </c:pt>
                <c:pt idx="774">
                  <c:v>3.8699999999999499</c:v>
                </c:pt>
                <c:pt idx="775">
                  <c:v>3.8749999999999498</c:v>
                </c:pt>
                <c:pt idx="776">
                  <c:v>3.8799999999999502</c:v>
                </c:pt>
                <c:pt idx="777">
                  <c:v>3.88499999999995</c:v>
                </c:pt>
                <c:pt idx="778">
                  <c:v>3.8899999999999499</c:v>
                </c:pt>
                <c:pt idx="779">
                  <c:v>3.8949999999999401</c:v>
                </c:pt>
                <c:pt idx="780">
                  <c:v>3.89999999999994</c:v>
                </c:pt>
                <c:pt idx="781">
                  <c:v>3.9049999999999399</c:v>
                </c:pt>
                <c:pt idx="782">
                  <c:v>3.9099999999999402</c:v>
                </c:pt>
                <c:pt idx="783">
                  <c:v>3.9149999999999401</c:v>
                </c:pt>
                <c:pt idx="784">
                  <c:v>3.91999999999994</c:v>
                </c:pt>
                <c:pt idx="785">
                  <c:v>3.9249999999999399</c:v>
                </c:pt>
                <c:pt idx="786">
                  <c:v>3.9299999999999402</c:v>
                </c:pt>
                <c:pt idx="787">
                  <c:v>3.9349999999999401</c:v>
                </c:pt>
                <c:pt idx="788">
                  <c:v>3.93999999999994</c:v>
                </c:pt>
                <c:pt idx="789">
                  <c:v>3.9449999999999399</c:v>
                </c:pt>
                <c:pt idx="790">
                  <c:v>3.9499999999999398</c:v>
                </c:pt>
                <c:pt idx="791">
                  <c:v>3.9549999999999401</c:v>
                </c:pt>
                <c:pt idx="792">
                  <c:v>3.95999999999994</c:v>
                </c:pt>
                <c:pt idx="793">
                  <c:v>3.9649999999999399</c:v>
                </c:pt>
                <c:pt idx="794">
                  <c:v>3.9699999999999398</c:v>
                </c:pt>
                <c:pt idx="795">
                  <c:v>3.9749999999999401</c:v>
                </c:pt>
                <c:pt idx="796">
                  <c:v>3.97999999999994</c:v>
                </c:pt>
                <c:pt idx="797">
                  <c:v>3.9849999999999399</c:v>
                </c:pt>
                <c:pt idx="798">
                  <c:v>3.9899999999999398</c:v>
                </c:pt>
                <c:pt idx="799">
                  <c:v>3.9949999999999402</c:v>
                </c:pt>
                <c:pt idx="800">
                  <c:v>3.99999999999994</c:v>
                </c:pt>
                <c:pt idx="801">
                  <c:v>4.0049999999999404</c:v>
                </c:pt>
                <c:pt idx="802">
                  <c:v>4.0099999999999403</c:v>
                </c:pt>
                <c:pt idx="803">
                  <c:v>4.0149999999999402</c:v>
                </c:pt>
                <c:pt idx="804">
                  <c:v>4.0199999999999401</c:v>
                </c:pt>
                <c:pt idx="805">
                  <c:v>4.02499999999994</c:v>
                </c:pt>
                <c:pt idx="806">
                  <c:v>4.0299999999999399</c:v>
                </c:pt>
                <c:pt idx="807">
                  <c:v>4.0349999999999397</c:v>
                </c:pt>
                <c:pt idx="808">
                  <c:v>4.0399999999999396</c:v>
                </c:pt>
                <c:pt idx="809">
                  <c:v>4.0449999999999404</c:v>
                </c:pt>
                <c:pt idx="810">
                  <c:v>4.0499999999999403</c:v>
                </c:pt>
                <c:pt idx="811">
                  <c:v>4.0549999999999402</c:v>
                </c:pt>
                <c:pt idx="812">
                  <c:v>4.0599999999999401</c:v>
                </c:pt>
                <c:pt idx="813">
                  <c:v>4.06499999999994</c:v>
                </c:pt>
                <c:pt idx="814">
                  <c:v>4.0699999999999399</c:v>
                </c:pt>
                <c:pt idx="815">
                  <c:v>4.0749999999999398</c:v>
                </c:pt>
                <c:pt idx="816">
                  <c:v>4.0799999999999397</c:v>
                </c:pt>
                <c:pt idx="817">
                  <c:v>4.0849999999999396</c:v>
                </c:pt>
                <c:pt idx="818">
                  <c:v>4.0899999999999403</c:v>
                </c:pt>
                <c:pt idx="819">
                  <c:v>4.0949999999999402</c:v>
                </c:pt>
                <c:pt idx="820">
                  <c:v>4.0999999999999401</c:v>
                </c:pt>
                <c:pt idx="821">
                  <c:v>4.10499999999994</c:v>
                </c:pt>
                <c:pt idx="822">
                  <c:v>4.1099999999999399</c:v>
                </c:pt>
                <c:pt idx="823">
                  <c:v>4.1149999999999398</c:v>
                </c:pt>
                <c:pt idx="824">
                  <c:v>4.1199999999999397</c:v>
                </c:pt>
                <c:pt idx="825">
                  <c:v>4.1249999999999396</c:v>
                </c:pt>
                <c:pt idx="826">
                  <c:v>4.1299999999999404</c:v>
                </c:pt>
                <c:pt idx="827">
                  <c:v>4.1349999999999403</c:v>
                </c:pt>
                <c:pt idx="828">
                  <c:v>4.1399999999999402</c:v>
                </c:pt>
                <c:pt idx="829">
                  <c:v>4.1449999999999401</c:v>
                </c:pt>
                <c:pt idx="830">
                  <c:v>4.14999999999994</c:v>
                </c:pt>
                <c:pt idx="831">
                  <c:v>4.1549999999999399</c:v>
                </c:pt>
                <c:pt idx="832">
                  <c:v>4.1599999999999397</c:v>
                </c:pt>
                <c:pt idx="833">
                  <c:v>4.1649999999999396</c:v>
                </c:pt>
                <c:pt idx="834">
                  <c:v>4.1699999999999404</c:v>
                </c:pt>
                <c:pt idx="835">
                  <c:v>4.1749999999999403</c:v>
                </c:pt>
                <c:pt idx="836">
                  <c:v>4.1799999999999402</c:v>
                </c:pt>
                <c:pt idx="837">
                  <c:v>4.1849999999999401</c:v>
                </c:pt>
                <c:pt idx="838">
                  <c:v>4.18999999999994</c:v>
                </c:pt>
                <c:pt idx="839">
                  <c:v>4.1949999999999399</c:v>
                </c:pt>
                <c:pt idx="840">
                  <c:v>4.1999999999999398</c:v>
                </c:pt>
                <c:pt idx="841">
                  <c:v>4.2049999999999397</c:v>
                </c:pt>
                <c:pt idx="842">
                  <c:v>4.2099999999999396</c:v>
                </c:pt>
                <c:pt idx="843">
                  <c:v>4.2149999999999403</c:v>
                </c:pt>
                <c:pt idx="844">
                  <c:v>4.2199999999999402</c:v>
                </c:pt>
                <c:pt idx="845">
                  <c:v>4.2249999999999401</c:v>
                </c:pt>
                <c:pt idx="846">
                  <c:v>4.22999999999994</c:v>
                </c:pt>
                <c:pt idx="847">
                  <c:v>4.2349999999999399</c:v>
                </c:pt>
                <c:pt idx="848">
                  <c:v>4.2399999999999398</c:v>
                </c:pt>
                <c:pt idx="849">
                  <c:v>4.2449999999999397</c:v>
                </c:pt>
                <c:pt idx="850">
                  <c:v>4.2499999999999396</c:v>
                </c:pt>
                <c:pt idx="851">
                  <c:v>4.2549999999999404</c:v>
                </c:pt>
                <c:pt idx="852">
                  <c:v>4.2599999999999403</c:v>
                </c:pt>
                <c:pt idx="853">
                  <c:v>4.2649999999999402</c:v>
                </c:pt>
                <c:pt idx="854">
                  <c:v>4.2699999999999401</c:v>
                </c:pt>
                <c:pt idx="855">
                  <c:v>4.27499999999994</c:v>
                </c:pt>
                <c:pt idx="856">
                  <c:v>4.2799999999999399</c:v>
                </c:pt>
                <c:pt idx="857">
                  <c:v>4.2849999999999397</c:v>
                </c:pt>
                <c:pt idx="858">
                  <c:v>4.2899999999999396</c:v>
                </c:pt>
                <c:pt idx="859">
                  <c:v>4.2949999999999404</c:v>
                </c:pt>
                <c:pt idx="860">
                  <c:v>4.2999999999999403</c:v>
                </c:pt>
                <c:pt idx="861">
                  <c:v>4.3049999999999402</c:v>
                </c:pt>
                <c:pt idx="862">
                  <c:v>4.3099999999999401</c:v>
                </c:pt>
                <c:pt idx="863">
                  <c:v>4.31499999999994</c:v>
                </c:pt>
                <c:pt idx="864">
                  <c:v>4.3199999999999399</c:v>
                </c:pt>
                <c:pt idx="865">
                  <c:v>4.3249999999999398</c:v>
                </c:pt>
                <c:pt idx="866">
                  <c:v>4.3299999999999397</c:v>
                </c:pt>
                <c:pt idx="867">
                  <c:v>4.3349999999999396</c:v>
                </c:pt>
                <c:pt idx="868">
                  <c:v>4.3399999999999403</c:v>
                </c:pt>
                <c:pt idx="869">
                  <c:v>4.3449999999999402</c:v>
                </c:pt>
                <c:pt idx="870">
                  <c:v>4.3499999999999401</c:v>
                </c:pt>
                <c:pt idx="871">
                  <c:v>4.35499999999994</c:v>
                </c:pt>
                <c:pt idx="872">
                  <c:v>4.3599999999999302</c:v>
                </c:pt>
                <c:pt idx="873">
                  <c:v>4.36499999999993</c:v>
                </c:pt>
                <c:pt idx="874">
                  <c:v>4.3699999999999299</c:v>
                </c:pt>
                <c:pt idx="875">
                  <c:v>4.3749999999999298</c:v>
                </c:pt>
                <c:pt idx="876">
                  <c:v>4.3799999999999297</c:v>
                </c:pt>
                <c:pt idx="877">
                  <c:v>4.3849999999999296</c:v>
                </c:pt>
                <c:pt idx="878">
                  <c:v>4.3899999999999304</c:v>
                </c:pt>
                <c:pt idx="879">
                  <c:v>4.3949999999999303</c:v>
                </c:pt>
                <c:pt idx="880">
                  <c:v>4.3999999999999302</c:v>
                </c:pt>
                <c:pt idx="881">
                  <c:v>4.4049999999999301</c:v>
                </c:pt>
                <c:pt idx="882">
                  <c:v>4.40999999999993</c:v>
                </c:pt>
                <c:pt idx="883">
                  <c:v>4.4149999999999299</c:v>
                </c:pt>
                <c:pt idx="884">
                  <c:v>4.4199999999999298</c:v>
                </c:pt>
                <c:pt idx="885">
                  <c:v>4.4249999999999297</c:v>
                </c:pt>
                <c:pt idx="886">
                  <c:v>4.4299999999999304</c:v>
                </c:pt>
                <c:pt idx="887">
                  <c:v>4.4349999999999303</c:v>
                </c:pt>
                <c:pt idx="888">
                  <c:v>4.4399999999999302</c:v>
                </c:pt>
                <c:pt idx="889">
                  <c:v>4.4449999999999301</c:v>
                </c:pt>
                <c:pt idx="890">
                  <c:v>4.44999999999993</c:v>
                </c:pt>
                <c:pt idx="891">
                  <c:v>4.4549999999999299</c:v>
                </c:pt>
                <c:pt idx="892">
                  <c:v>4.4599999999999298</c:v>
                </c:pt>
                <c:pt idx="893">
                  <c:v>4.4649999999999297</c:v>
                </c:pt>
                <c:pt idx="894">
                  <c:v>4.4699999999999296</c:v>
                </c:pt>
                <c:pt idx="895">
                  <c:v>4.4749999999999304</c:v>
                </c:pt>
                <c:pt idx="896">
                  <c:v>4.4799999999999303</c:v>
                </c:pt>
                <c:pt idx="897">
                  <c:v>4.4849999999999302</c:v>
                </c:pt>
                <c:pt idx="898">
                  <c:v>4.48999999999993</c:v>
                </c:pt>
                <c:pt idx="899">
                  <c:v>4.4949999999999299</c:v>
                </c:pt>
                <c:pt idx="900">
                  <c:v>4.4999999999999298</c:v>
                </c:pt>
                <c:pt idx="901">
                  <c:v>4.5049999999999297</c:v>
                </c:pt>
                <c:pt idx="902">
                  <c:v>4.5099999999999296</c:v>
                </c:pt>
                <c:pt idx="903">
                  <c:v>4.5149999999999304</c:v>
                </c:pt>
                <c:pt idx="904">
                  <c:v>4.5199999999999303</c:v>
                </c:pt>
                <c:pt idx="905">
                  <c:v>4.5249999999999302</c:v>
                </c:pt>
                <c:pt idx="906">
                  <c:v>4.5299999999999301</c:v>
                </c:pt>
                <c:pt idx="907">
                  <c:v>4.53499999999993</c:v>
                </c:pt>
                <c:pt idx="908">
                  <c:v>4.5399999999999299</c:v>
                </c:pt>
                <c:pt idx="909">
                  <c:v>4.5449999999999298</c:v>
                </c:pt>
                <c:pt idx="910">
                  <c:v>4.5499999999999297</c:v>
                </c:pt>
                <c:pt idx="911">
                  <c:v>4.5549999999999304</c:v>
                </c:pt>
                <c:pt idx="912">
                  <c:v>4.5599999999999303</c:v>
                </c:pt>
                <c:pt idx="913">
                  <c:v>4.5649999999999302</c:v>
                </c:pt>
                <c:pt idx="914">
                  <c:v>4.5699999999999301</c:v>
                </c:pt>
                <c:pt idx="915">
                  <c:v>4.57499999999993</c:v>
                </c:pt>
                <c:pt idx="916">
                  <c:v>4.5799999999999299</c:v>
                </c:pt>
                <c:pt idx="917">
                  <c:v>4.5849999999999298</c:v>
                </c:pt>
                <c:pt idx="918">
                  <c:v>4.5899999999999297</c:v>
                </c:pt>
                <c:pt idx="919">
                  <c:v>4.5949999999999296</c:v>
                </c:pt>
                <c:pt idx="920">
                  <c:v>4.5999999999999304</c:v>
                </c:pt>
                <c:pt idx="921">
                  <c:v>4.6049999999999303</c:v>
                </c:pt>
                <c:pt idx="922">
                  <c:v>4.6099999999999302</c:v>
                </c:pt>
                <c:pt idx="923">
                  <c:v>4.61499999999993</c:v>
                </c:pt>
                <c:pt idx="924">
                  <c:v>4.6199999999999299</c:v>
                </c:pt>
                <c:pt idx="925">
                  <c:v>4.6249999999999298</c:v>
                </c:pt>
                <c:pt idx="926">
                  <c:v>4.6299999999999297</c:v>
                </c:pt>
                <c:pt idx="927">
                  <c:v>4.6349999999999296</c:v>
                </c:pt>
                <c:pt idx="928">
                  <c:v>4.6399999999999304</c:v>
                </c:pt>
                <c:pt idx="929">
                  <c:v>4.6449999999999303</c:v>
                </c:pt>
                <c:pt idx="930">
                  <c:v>4.6499999999999302</c:v>
                </c:pt>
                <c:pt idx="931">
                  <c:v>4.6549999999999301</c:v>
                </c:pt>
                <c:pt idx="932">
                  <c:v>4.65999999999993</c:v>
                </c:pt>
                <c:pt idx="933">
                  <c:v>4.6649999999999299</c:v>
                </c:pt>
                <c:pt idx="934">
                  <c:v>4.6699999999999298</c:v>
                </c:pt>
                <c:pt idx="935">
                  <c:v>4.6749999999999297</c:v>
                </c:pt>
                <c:pt idx="936">
                  <c:v>4.6799999999999304</c:v>
                </c:pt>
                <c:pt idx="937">
                  <c:v>4.6849999999999303</c:v>
                </c:pt>
                <c:pt idx="938">
                  <c:v>4.6899999999999302</c:v>
                </c:pt>
                <c:pt idx="939">
                  <c:v>4.6949999999999301</c:v>
                </c:pt>
                <c:pt idx="940">
                  <c:v>4.69999999999993</c:v>
                </c:pt>
                <c:pt idx="941">
                  <c:v>4.7049999999999299</c:v>
                </c:pt>
                <c:pt idx="942">
                  <c:v>4.7099999999999298</c:v>
                </c:pt>
                <c:pt idx="943">
                  <c:v>4.7149999999999297</c:v>
                </c:pt>
                <c:pt idx="944">
                  <c:v>4.7199999999999296</c:v>
                </c:pt>
                <c:pt idx="945">
                  <c:v>4.7249999999999304</c:v>
                </c:pt>
                <c:pt idx="946">
                  <c:v>4.7299999999999303</c:v>
                </c:pt>
                <c:pt idx="947">
                  <c:v>4.7349999999999302</c:v>
                </c:pt>
                <c:pt idx="948">
                  <c:v>4.73999999999993</c:v>
                </c:pt>
                <c:pt idx="949">
                  <c:v>4.7449999999999299</c:v>
                </c:pt>
                <c:pt idx="950">
                  <c:v>4.7499999999999298</c:v>
                </c:pt>
                <c:pt idx="951">
                  <c:v>4.7549999999999297</c:v>
                </c:pt>
                <c:pt idx="952">
                  <c:v>4.7599999999999296</c:v>
                </c:pt>
                <c:pt idx="953">
                  <c:v>4.7649999999999304</c:v>
                </c:pt>
                <c:pt idx="954">
                  <c:v>4.7699999999999303</c:v>
                </c:pt>
                <c:pt idx="955">
                  <c:v>4.7749999999999302</c:v>
                </c:pt>
                <c:pt idx="956">
                  <c:v>4.7799999999999301</c:v>
                </c:pt>
                <c:pt idx="957">
                  <c:v>4.78499999999993</c:v>
                </c:pt>
                <c:pt idx="958">
                  <c:v>4.7899999999999299</c:v>
                </c:pt>
                <c:pt idx="959">
                  <c:v>4.7949999999999298</c:v>
                </c:pt>
                <c:pt idx="960">
                  <c:v>4.7999999999999297</c:v>
                </c:pt>
                <c:pt idx="961">
                  <c:v>4.8049999999999304</c:v>
                </c:pt>
                <c:pt idx="962">
                  <c:v>4.8099999999999303</c:v>
                </c:pt>
                <c:pt idx="963">
                  <c:v>4.8149999999999302</c:v>
                </c:pt>
                <c:pt idx="964">
                  <c:v>4.8199999999999301</c:v>
                </c:pt>
                <c:pt idx="965">
                  <c:v>4.82499999999993</c:v>
                </c:pt>
                <c:pt idx="966">
                  <c:v>4.8299999999999201</c:v>
                </c:pt>
                <c:pt idx="967">
                  <c:v>4.83499999999992</c:v>
                </c:pt>
                <c:pt idx="968">
                  <c:v>4.8399999999999199</c:v>
                </c:pt>
                <c:pt idx="969">
                  <c:v>4.8449999999999198</c:v>
                </c:pt>
                <c:pt idx="970">
                  <c:v>4.8499999999999197</c:v>
                </c:pt>
                <c:pt idx="971">
                  <c:v>4.8549999999999196</c:v>
                </c:pt>
                <c:pt idx="972">
                  <c:v>4.8599999999999204</c:v>
                </c:pt>
                <c:pt idx="973">
                  <c:v>4.8649999999999203</c:v>
                </c:pt>
                <c:pt idx="974">
                  <c:v>4.8699999999999202</c:v>
                </c:pt>
                <c:pt idx="975">
                  <c:v>4.8749999999999201</c:v>
                </c:pt>
                <c:pt idx="976">
                  <c:v>4.87999999999992</c:v>
                </c:pt>
                <c:pt idx="977">
                  <c:v>4.8849999999999199</c:v>
                </c:pt>
                <c:pt idx="978">
                  <c:v>4.8899999999999197</c:v>
                </c:pt>
                <c:pt idx="979">
                  <c:v>4.8949999999999196</c:v>
                </c:pt>
                <c:pt idx="980">
                  <c:v>4.8999999999999204</c:v>
                </c:pt>
                <c:pt idx="981">
                  <c:v>4.9049999999999203</c:v>
                </c:pt>
                <c:pt idx="982">
                  <c:v>4.9099999999999202</c:v>
                </c:pt>
                <c:pt idx="983">
                  <c:v>4.9149999999999201</c:v>
                </c:pt>
                <c:pt idx="984">
                  <c:v>4.91999999999992</c:v>
                </c:pt>
                <c:pt idx="985">
                  <c:v>4.9249999999999199</c:v>
                </c:pt>
                <c:pt idx="986">
                  <c:v>4.9299999999999198</c:v>
                </c:pt>
                <c:pt idx="987">
                  <c:v>4.9349999999999197</c:v>
                </c:pt>
                <c:pt idx="988">
                  <c:v>4.9399999999999196</c:v>
                </c:pt>
                <c:pt idx="989">
                  <c:v>4.9449999999999203</c:v>
                </c:pt>
                <c:pt idx="990">
                  <c:v>4.9499999999999202</c:v>
                </c:pt>
                <c:pt idx="991">
                  <c:v>4.9549999999999201</c:v>
                </c:pt>
                <c:pt idx="992">
                  <c:v>4.95999999999992</c:v>
                </c:pt>
                <c:pt idx="993">
                  <c:v>4.9649999999999199</c:v>
                </c:pt>
                <c:pt idx="994">
                  <c:v>4.9699999999999198</c:v>
                </c:pt>
                <c:pt idx="995">
                  <c:v>4.9749999999999197</c:v>
                </c:pt>
                <c:pt idx="996">
                  <c:v>4.9799999999999196</c:v>
                </c:pt>
                <c:pt idx="997">
                  <c:v>4.9849999999999204</c:v>
                </c:pt>
                <c:pt idx="998">
                  <c:v>4.9899999999999203</c:v>
                </c:pt>
                <c:pt idx="999">
                  <c:v>4.9949999999999202</c:v>
                </c:pt>
                <c:pt idx="1000">
                  <c:v>4.9999999999999201</c:v>
                </c:pt>
                <c:pt idx="1001">
                  <c:v>5.00499999999992</c:v>
                </c:pt>
                <c:pt idx="1002">
                  <c:v>5.0099999999999199</c:v>
                </c:pt>
                <c:pt idx="1003">
                  <c:v>5.0149999999999197</c:v>
                </c:pt>
                <c:pt idx="1004">
                  <c:v>5.0199999999999196</c:v>
                </c:pt>
                <c:pt idx="1005">
                  <c:v>5.0249999999999204</c:v>
                </c:pt>
                <c:pt idx="1006">
                  <c:v>5.0299999999999203</c:v>
                </c:pt>
                <c:pt idx="1007">
                  <c:v>5.0349999999999202</c:v>
                </c:pt>
                <c:pt idx="1008">
                  <c:v>5.0399999999999201</c:v>
                </c:pt>
                <c:pt idx="1009">
                  <c:v>5.04499999999992</c:v>
                </c:pt>
                <c:pt idx="1010">
                  <c:v>5.0499999999999199</c:v>
                </c:pt>
                <c:pt idx="1011">
                  <c:v>5.0549999999999198</c:v>
                </c:pt>
                <c:pt idx="1012">
                  <c:v>5.0599999999999197</c:v>
                </c:pt>
                <c:pt idx="1013">
                  <c:v>5.0649999999999196</c:v>
                </c:pt>
                <c:pt idx="1014">
                  <c:v>5.0699999999999203</c:v>
                </c:pt>
                <c:pt idx="1015">
                  <c:v>5.0749999999999202</c:v>
                </c:pt>
                <c:pt idx="1016">
                  <c:v>5.0799999999999201</c:v>
                </c:pt>
                <c:pt idx="1017">
                  <c:v>5.08499999999992</c:v>
                </c:pt>
                <c:pt idx="1018">
                  <c:v>5.0899999999999199</c:v>
                </c:pt>
                <c:pt idx="1019">
                  <c:v>5.0949999999999198</c:v>
                </c:pt>
                <c:pt idx="1020">
                  <c:v>5.0999999999999197</c:v>
                </c:pt>
                <c:pt idx="1021">
                  <c:v>5.1049999999999196</c:v>
                </c:pt>
                <c:pt idx="1022">
                  <c:v>5.1099999999999204</c:v>
                </c:pt>
                <c:pt idx="1023">
                  <c:v>5.1149999999999203</c:v>
                </c:pt>
                <c:pt idx="1024">
                  <c:v>5.1199999999999202</c:v>
                </c:pt>
                <c:pt idx="1025">
                  <c:v>5.1249999999999201</c:v>
                </c:pt>
                <c:pt idx="1026">
                  <c:v>5.12999999999992</c:v>
                </c:pt>
                <c:pt idx="1027">
                  <c:v>5.1349999999999199</c:v>
                </c:pt>
                <c:pt idx="1028">
                  <c:v>5.1399999999999197</c:v>
                </c:pt>
                <c:pt idx="1029">
                  <c:v>5.1449999999999196</c:v>
                </c:pt>
                <c:pt idx="1030">
                  <c:v>5.1499999999999204</c:v>
                </c:pt>
                <c:pt idx="1031">
                  <c:v>5.1549999999999203</c:v>
                </c:pt>
                <c:pt idx="1032">
                  <c:v>5.1599999999999202</c:v>
                </c:pt>
                <c:pt idx="1033">
                  <c:v>5.1649999999999201</c:v>
                </c:pt>
                <c:pt idx="1034">
                  <c:v>5.16999999999992</c:v>
                </c:pt>
                <c:pt idx="1035">
                  <c:v>5.1749999999999199</c:v>
                </c:pt>
                <c:pt idx="1036">
                  <c:v>5.1799999999999198</c:v>
                </c:pt>
                <c:pt idx="1037">
                  <c:v>5.1849999999999197</c:v>
                </c:pt>
                <c:pt idx="1038">
                  <c:v>5.1899999999999196</c:v>
                </c:pt>
                <c:pt idx="1039">
                  <c:v>5.1949999999999203</c:v>
                </c:pt>
                <c:pt idx="1040">
                  <c:v>5.1999999999999202</c:v>
                </c:pt>
                <c:pt idx="1041">
                  <c:v>5.2049999999999201</c:v>
                </c:pt>
                <c:pt idx="1042">
                  <c:v>5.20999999999992</c:v>
                </c:pt>
                <c:pt idx="1043">
                  <c:v>5.2149999999999199</c:v>
                </c:pt>
                <c:pt idx="1044">
                  <c:v>5.2199999999999198</c:v>
                </c:pt>
                <c:pt idx="1045">
                  <c:v>5.2249999999999197</c:v>
                </c:pt>
                <c:pt idx="1046">
                  <c:v>5.2299999999999196</c:v>
                </c:pt>
                <c:pt idx="1047">
                  <c:v>5.2349999999999204</c:v>
                </c:pt>
                <c:pt idx="1048">
                  <c:v>5.2399999999999203</c:v>
                </c:pt>
                <c:pt idx="1049">
                  <c:v>5.2449999999999202</c:v>
                </c:pt>
                <c:pt idx="1050">
                  <c:v>5.2499999999999201</c:v>
                </c:pt>
                <c:pt idx="1051">
                  <c:v>5.25499999999992</c:v>
                </c:pt>
                <c:pt idx="1052">
                  <c:v>5.2599999999999199</c:v>
                </c:pt>
                <c:pt idx="1053">
                  <c:v>5.2649999999999197</c:v>
                </c:pt>
                <c:pt idx="1054">
                  <c:v>5.2699999999999196</c:v>
                </c:pt>
                <c:pt idx="1055">
                  <c:v>5.2749999999999204</c:v>
                </c:pt>
                <c:pt idx="1056">
                  <c:v>5.2799999999999203</c:v>
                </c:pt>
                <c:pt idx="1057">
                  <c:v>5.2849999999999202</c:v>
                </c:pt>
                <c:pt idx="1058">
                  <c:v>5.2899999999999201</c:v>
                </c:pt>
                <c:pt idx="1059">
                  <c:v>5.29499999999992</c:v>
                </c:pt>
                <c:pt idx="1060">
                  <c:v>5.2999999999999101</c:v>
                </c:pt>
                <c:pt idx="1061">
                  <c:v>5.30499999999991</c:v>
                </c:pt>
                <c:pt idx="1062">
                  <c:v>5.3099999999999099</c:v>
                </c:pt>
                <c:pt idx="1063">
                  <c:v>5.3149999999999098</c:v>
                </c:pt>
                <c:pt idx="1064">
                  <c:v>5.3199999999999097</c:v>
                </c:pt>
                <c:pt idx="1065">
                  <c:v>5.3249999999999096</c:v>
                </c:pt>
                <c:pt idx="1066">
                  <c:v>5.3299999999999104</c:v>
                </c:pt>
                <c:pt idx="1067">
                  <c:v>5.3349999999999103</c:v>
                </c:pt>
                <c:pt idx="1068">
                  <c:v>5.3399999999999102</c:v>
                </c:pt>
                <c:pt idx="1069">
                  <c:v>5.34499999999991</c:v>
                </c:pt>
                <c:pt idx="1070">
                  <c:v>5.3499999999999099</c:v>
                </c:pt>
                <c:pt idx="1071">
                  <c:v>5.3549999999999098</c:v>
                </c:pt>
                <c:pt idx="1072">
                  <c:v>5.3599999999999097</c:v>
                </c:pt>
                <c:pt idx="1073">
                  <c:v>5.3649999999999096</c:v>
                </c:pt>
                <c:pt idx="1074">
                  <c:v>5.3699999999999104</c:v>
                </c:pt>
                <c:pt idx="1075">
                  <c:v>5.3749999999999103</c:v>
                </c:pt>
                <c:pt idx="1076">
                  <c:v>5.3799999999999102</c:v>
                </c:pt>
                <c:pt idx="1077">
                  <c:v>5.3849999999999101</c:v>
                </c:pt>
                <c:pt idx="1078">
                  <c:v>5.38999999999991</c:v>
                </c:pt>
                <c:pt idx="1079">
                  <c:v>5.3949999999999099</c:v>
                </c:pt>
                <c:pt idx="1080">
                  <c:v>5.3999999999999098</c:v>
                </c:pt>
                <c:pt idx="1081">
                  <c:v>5.4049999999999097</c:v>
                </c:pt>
                <c:pt idx="1082">
                  <c:v>5.4099999999999104</c:v>
                </c:pt>
                <c:pt idx="1083">
                  <c:v>5.4149999999999103</c:v>
                </c:pt>
                <c:pt idx="1084">
                  <c:v>5.4199999999999102</c:v>
                </c:pt>
                <c:pt idx="1085">
                  <c:v>5.4249999999999101</c:v>
                </c:pt>
                <c:pt idx="1086">
                  <c:v>5.42999999999991</c:v>
                </c:pt>
                <c:pt idx="1087">
                  <c:v>5.4349999999999099</c:v>
                </c:pt>
                <c:pt idx="1088">
                  <c:v>5.4399999999999098</c:v>
                </c:pt>
                <c:pt idx="1089">
                  <c:v>5.4449999999999097</c:v>
                </c:pt>
                <c:pt idx="1090">
                  <c:v>5.4499999999999096</c:v>
                </c:pt>
                <c:pt idx="1091">
                  <c:v>5.4549999999999104</c:v>
                </c:pt>
                <c:pt idx="1092">
                  <c:v>5.4599999999999103</c:v>
                </c:pt>
                <c:pt idx="1093">
                  <c:v>5.4649999999999102</c:v>
                </c:pt>
                <c:pt idx="1094">
                  <c:v>5.46999999999991</c:v>
                </c:pt>
                <c:pt idx="1095">
                  <c:v>5.4749999999999099</c:v>
                </c:pt>
                <c:pt idx="1096">
                  <c:v>5.4799999999999098</c:v>
                </c:pt>
                <c:pt idx="1097">
                  <c:v>5.4849999999999097</c:v>
                </c:pt>
                <c:pt idx="1098">
                  <c:v>5.4899999999999096</c:v>
                </c:pt>
                <c:pt idx="1099">
                  <c:v>5.4949999999999104</c:v>
                </c:pt>
                <c:pt idx="1100">
                  <c:v>5.4999999999999103</c:v>
                </c:pt>
                <c:pt idx="1101">
                  <c:v>5.5049999999999102</c:v>
                </c:pt>
                <c:pt idx="1102">
                  <c:v>5.5099999999999101</c:v>
                </c:pt>
                <c:pt idx="1103">
                  <c:v>5.51499999999991</c:v>
                </c:pt>
                <c:pt idx="1104">
                  <c:v>5.5199999999999099</c:v>
                </c:pt>
                <c:pt idx="1105">
                  <c:v>5.5249999999999098</c:v>
                </c:pt>
                <c:pt idx="1106">
                  <c:v>5.5299999999999097</c:v>
                </c:pt>
                <c:pt idx="1107">
                  <c:v>5.5349999999999104</c:v>
                </c:pt>
                <c:pt idx="1108">
                  <c:v>5.5399999999999103</c:v>
                </c:pt>
                <c:pt idx="1109">
                  <c:v>5.5449999999999102</c:v>
                </c:pt>
                <c:pt idx="1110">
                  <c:v>5.5499999999999101</c:v>
                </c:pt>
                <c:pt idx="1111">
                  <c:v>5.55499999999991</c:v>
                </c:pt>
                <c:pt idx="1112">
                  <c:v>5.5599999999999099</c:v>
                </c:pt>
                <c:pt idx="1113">
                  <c:v>5.5649999999999098</c:v>
                </c:pt>
                <c:pt idx="1114">
                  <c:v>5.5699999999999097</c:v>
                </c:pt>
                <c:pt idx="1115">
                  <c:v>5.5749999999999096</c:v>
                </c:pt>
                <c:pt idx="1116">
                  <c:v>5.5799999999999104</c:v>
                </c:pt>
                <c:pt idx="1117">
                  <c:v>5.5849999999999103</c:v>
                </c:pt>
                <c:pt idx="1118">
                  <c:v>5.5899999999999102</c:v>
                </c:pt>
                <c:pt idx="1119">
                  <c:v>5.59499999999991</c:v>
                </c:pt>
                <c:pt idx="1120">
                  <c:v>5.5999999999999099</c:v>
                </c:pt>
                <c:pt idx="1121">
                  <c:v>5.6049999999999098</c:v>
                </c:pt>
                <c:pt idx="1122">
                  <c:v>5.6099999999999097</c:v>
                </c:pt>
                <c:pt idx="1123">
                  <c:v>5.6149999999999096</c:v>
                </c:pt>
                <c:pt idx="1124">
                  <c:v>5.6199999999999104</c:v>
                </c:pt>
                <c:pt idx="1125">
                  <c:v>5.6249999999999103</c:v>
                </c:pt>
                <c:pt idx="1126">
                  <c:v>5.6299999999999102</c:v>
                </c:pt>
                <c:pt idx="1127">
                  <c:v>5.6349999999999101</c:v>
                </c:pt>
                <c:pt idx="1128">
                  <c:v>5.63999999999991</c:v>
                </c:pt>
                <c:pt idx="1129">
                  <c:v>5.6449999999999099</c:v>
                </c:pt>
                <c:pt idx="1130">
                  <c:v>5.6499999999999098</c:v>
                </c:pt>
                <c:pt idx="1131">
                  <c:v>5.6549999999999097</c:v>
                </c:pt>
                <c:pt idx="1132">
                  <c:v>5.6599999999999104</c:v>
                </c:pt>
                <c:pt idx="1133">
                  <c:v>5.6649999999999103</c:v>
                </c:pt>
                <c:pt idx="1134">
                  <c:v>5.6699999999999102</c:v>
                </c:pt>
                <c:pt idx="1135">
                  <c:v>5.6749999999999101</c:v>
                </c:pt>
                <c:pt idx="1136">
                  <c:v>5.67999999999991</c:v>
                </c:pt>
                <c:pt idx="1137">
                  <c:v>5.6849999999999099</c:v>
                </c:pt>
                <c:pt idx="1138">
                  <c:v>5.6899999999999098</c:v>
                </c:pt>
                <c:pt idx="1139">
                  <c:v>5.6949999999999097</c:v>
                </c:pt>
                <c:pt idx="1140">
                  <c:v>5.6999999999999096</c:v>
                </c:pt>
                <c:pt idx="1141">
                  <c:v>5.7049999999999104</c:v>
                </c:pt>
                <c:pt idx="1142">
                  <c:v>5.7099999999999103</c:v>
                </c:pt>
                <c:pt idx="1143">
                  <c:v>5.7149999999999102</c:v>
                </c:pt>
                <c:pt idx="1144">
                  <c:v>5.71999999999991</c:v>
                </c:pt>
                <c:pt idx="1145">
                  <c:v>5.7249999999999099</c:v>
                </c:pt>
                <c:pt idx="1146">
                  <c:v>5.7299999999999098</c:v>
                </c:pt>
                <c:pt idx="1147">
                  <c:v>5.7349999999999097</c:v>
                </c:pt>
                <c:pt idx="1148">
                  <c:v>5.7399999999999096</c:v>
                </c:pt>
                <c:pt idx="1149">
                  <c:v>5.7449999999999104</c:v>
                </c:pt>
                <c:pt idx="1150">
                  <c:v>5.7499999999999103</c:v>
                </c:pt>
                <c:pt idx="1151">
                  <c:v>5.7549999999999102</c:v>
                </c:pt>
                <c:pt idx="1152">
                  <c:v>5.7599999999999101</c:v>
                </c:pt>
                <c:pt idx="1153">
                  <c:v>5.76499999999991</c:v>
                </c:pt>
                <c:pt idx="1154">
                  <c:v>5.7699999999999001</c:v>
                </c:pt>
                <c:pt idx="1155">
                  <c:v>5.7749999999999</c:v>
                </c:pt>
                <c:pt idx="1156">
                  <c:v>5.7799999999998999</c:v>
                </c:pt>
                <c:pt idx="1157">
                  <c:v>5.7849999999998998</c:v>
                </c:pt>
                <c:pt idx="1158">
                  <c:v>5.7899999999998997</c:v>
                </c:pt>
                <c:pt idx="1159">
                  <c:v>5.7949999999998996</c:v>
                </c:pt>
                <c:pt idx="1160">
                  <c:v>5.7999999999999003</c:v>
                </c:pt>
                <c:pt idx="1161">
                  <c:v>5.8049999999999002</c:v>
                </c:pt>
                <c:pt idx="1162">
                  <c:v>5.8099999999999001</c:v>
                </c:pt>
                <c:pt idx="1163">
                  <c:v>5.8149999999999</c:v>
                </c:pt>
                <c:pt idx="1164">
                  <c:v>5.8199999999998999</c:v>
                </c:pt>
                <c:pt idx="1165">
                  <c:v>5.8249999999998998</c:v>
                </c:pt>
                <c:pt idx="1166">
                  <c:v>5.8299999999998997</c:v>
                </c:pt>
                <c:pt idx="1167">
                  <c:v>5.8349999999998996</c:v>
                </c:pt>
                <c:pt idx="1168">
                  <c:v>5.8399999999999004</c:v>
                </c:pt>
                <c:pt idx="1169">
                  <c:v>5.8449999999999003</c:v>
                </c:pt>
                <c:pt idx="1170">
                  <c:v>5.8499999999999002</c:v>
                </c:pt>
                <c:pt idx="1171">
                  <c:v>5.8549999999999001</c:v>
                </c:pt>
                <c:pt idx="1172">
                  <c:v>5.8599999999999</c:v>
                </c:pt>
                <c:pt idx="1173">
                  <c:v>5.8649999999998998</c:v>
                </c:pt>
                <c:pt idx="1174">
                  <c:v>5.8699999999998997</c:v>
                </c:pt>
                <c:pt idx="1175">
                  <c:v>5.8749999999998996</c:v>
                </c:pt>
                <c:pt idx="1176">
                  <c:v>5.8799999999999004</c:v>
                </c:pt>
                <c:pt idx="1177">
                  <c:v>5.8849999999999003</c:v>
                </c:pt>
                <c:pt idx="1178">
                  <c:v>5.8899999999999002</c:v>
                </c:pt>
                <c:pt idx="1179">
                  <c:v>5.8949999999999001</c:v>
                </c:pt>
                <c:pt idx="1180">
                  <c:v>5.8999999999999</c:v>
                </c:pt>
                <c:pt idx="1181">
                  <c:v>5.9049999999998999</c:v>
                </c:pt>
                <c:pt idx="1182">
                  <c:v>5.9099999999998998</c:v>
                </c:pt>
                <c:pt idx="1183">
                  <c:v>5.9149999999998997</c:v>
                </c:pt>
                <c:pt idx="1184">
                  <c:v>5.9199999999998996</c:v>
                </c:pt>
                <c:pt idx="1185">
                  <c:v>5.9249999999999003</c:v>
                </c:pt>
                <c:pt idx="1186">
                  <c:v>5.9299999999999002</c:v>
                </c:pt>
                <c:pt idx="1187">
                  <c:v>5.9349999999999001</c:v>
                </c:pt>
                <c:pt idx="1188">
                  <c:v>5.9399999999999</c:v>
                </c:pt>
                <c:pt idx="1189">
                  <c:v>5.9449999999998999</c:v>
                </c:pt>
                <c:pt idx="1190">
                  <c:v>5.9499999999998998</c:v>
                </c:pt>
                <c:pt idx="1191">
                  <c:v>5.9549999999998997</c:v>
                </c:pt>
                <c:pt idx="1192">
                  <c:v>5.9599999999998996</c:v>
                </c:pt>
                <c:pt idx="1193">
                  <c:v>5.9649999999999004</c:v>
                </c:pt>
                <c:pt idx="1194">
                  <c:v>5.9699999999999003</c:v>
                </c:pt>
                <c:pt idx="1195">
                  <c:v>5.9749999999999002</c:v>
                </c:pt>
                <c:pt idx="1196">
                  <c:v>5.9799999999999001</c:v>
                </c:pt>
                <c:pt idx="1197">
                  <c:v>5.9849999999999</c:v>
                </c:pt>
                <c:pt idx="1198">
                  <c:v>5.9899999999998998</c:v>
                </c:pt>
                <c:pt idx="1199">
                  <c:v>5.9949999999998997</c:v>
                </c:pt>
                <c:pt idx="1200">
                  <c:v>5.9999999999998996</c:v>
                </c:pt>
                <c:pt idx="1201">
                  <c:v>6.0049999999999004</c:v>
                </c:pt>
                <c:pt idx="1202">
                  <c:v>6.0099999999999003</c:v>
                </c:pt>
                <c:pt idx="1203">
                  <c:v>6.0149999999999002</c:v>
                </c:pt>
                <c:pt idx="1204">
                  <c:v>6.0199999999999001</c:v>
                </c:pt>
                <c:pt idx="1205">
                  <c:v>6.0249999999999</c:v>
                </c:pt>
                <c:pt idx="1206">
                  <c:v>6.0299999999998999</c:v>
                </c:pt>
                <c:pt idx="1207">
                  <c:v>6.0349999999998998</c:v>
                </c:pt>
                <c:pt idx="1208">
                  <c:v>6.0399999999998997</c:v>
                </c:pt>
                <c:pt idx="1209">
                  <c:v>6.0449999999998996</c:v>
                </c:pt>
                <c:pt idx="1210">
                  <c:v>6.0499999999999003</c:v>
                </c:pt>
                <c:pt idx="1211">
                  <c:v>6.0549999999999002</c:v>
                </c:pt>
                <c:pt idx="1212">
                  <c:v>6.0599999999999001</c:v>
                </c:pt>
                <c:pt idx="1213">
                  <c:v>6.0649999999999</c:v>
                </c:pt>
                <c:pt idx="1214">
                  <c:v>6.0699999999998999</c:v>
                </c:pt>
                <c:pt idx="1215">
                  <c:v>6.0749999999998998</c:v>
                </c:pt>
                <c:pt idx="1216">
                  <c:v>6.0799999999998997</c:v>
                </c:pt>
                <c:pt idx="1217">
                  <c:v>6.0849999999998996</c:v>
                </c:pt>
                <c:pt idx="1218">
                  <c:v>6.0899999999999004</c:v>
                </c:pt>
                <c:pt idx="1219">
                  <c:v>6.0949999999999003</c:v>
                </c:pt>
                <c:pt idx="1220">
                  <c:v>6.0999999999999002</c:v>
                </c:pt>
                <c:pt idx="1221">
                  <c:v>6.1049999999999001</c:v>
                </c:pt>
                <c:pt idx="1222">
                  <c:v>6.1099999999999</c:v>
                </c:pt>
                <c:pt idx="1223">
                  <c:v>6.1149999999998998</c:v>
                </c:pt>
                <c:pt idx="1224">
                  <c:v>6.1199999999998997</c:v>
                </c:pt>
                <c:pt idx="1225">
                  <c:v>6.1249999999998996</c:v>
                </c:pt>
                <c:pt idx="1226">
                  <c:v>6.1299999999999004</c:v>
                </c:pt>
                <c:pt idx="1227">
                  <c:v>6.1349999999999003</c:v>
                </c:pt>
                <c:pt idx="1228">
                  <c:v>6.1399999999999002</c:v>
                </c:pt>
                <c:pt idx="1229">
                  <c:v>6.1449999999999001</c:v>
                </c:pt>
                <c:pt idx="1230">
                  <c:v>6.1499999999999</c:v>
                </c:pt>
                <c:pt idx="1231">
                  <c:v>6.1549999999998999</c:v>
                </c:pt>
                <c:pt idx="1232">
                  <c:v>6.1599999999998998</c:v>
                </c:pt>
                <c:pt idx="1233">
                  <c:v>6.1649999999998997</c:v>
                </c:pt>
                <c:pt idx="1234">
                  <c:v>6.1699999999998996</c:v>
                </c:pt>
                <c:pt idx="1235">
                  <c:v>6.1749999999999003</c:v>
                </c:pt>
                <c:pt idx="1236">
                  <c:v>6.1799999999999002</c:v>
                </c:pt>
                <c:pt idx="1237">
                  <c:v>6.1849999999999001</c:v>
                </c:pt>
                <c:pt idx="1238">
                  <c:v>6.1899999999999</c:v>
                </c:pt>
                <c:pt idx="1239">
                  <c:v>6.1949999999998999</c:v>
                </c:pt>
                <c:pt idx="1240">
                  <c:v>6.1999999999998998</c:v>
                </c:pt>
                <c:pt idx="1241">
                  <c:v>6.2049999999998997</c:v>
                </c:pt>
                <c:pt idx="1242">
                  <c:v>6.2099999999998996</c:v>
                </c:pt>
                <c:pt idx="1243">
                  <c:v>6.2149999999999004</c:v>
                </c:pt>
                <c:pt idx="1244">
                  <c:v>6.2199999999999003</c:v>
                </c:pt>
                <c:pt idx="1245">
                  <c:v>6.2249999999999002</c:v>
                </c:pt>
                <c:pt idx="1246">
                  <c:v>6.2299999999999001</c:v>
                </c:pt>
                <c:pt idx="1247">
                  <c:v>6.2349999999999</c:v>
                </c:pt>
                <c:pt idx="1248">
                  <c:v>6.2399999999998901</c:v>
                </c:pt>
                <c:pt idx="1249">
                  <c:v>6.24499999999989</c:v>
                </c:pt>
                <c:pt idx="1250">
                  <c:v>6.2499999999998899</c:v>
                </c:pt>
                <c:pt idx="1251">
                  <c:v>6.2549999999998898</c:v>
                </c:pt>
                <c:pt idx="1252">
                  <c:v>6.2599999999998897</c:v>
                </c:pt>
                <c:pt idx="1253">
                  <c:v>6.2649999999998904</c:v>
                </c:pt>
                <c:pt idx="1254">
                  <c:v>6.2699999999998903</c:v>
                </c:pt>
                <c:pt idx="1255">
                  <c:v>6.2749999999998902</c:v>
                </c:pt>
                <c:pt idx="1256">
                  <c:v>6.2799999999998901</c:v>
                </c:pt>
                <c:pt idx="1257">
                  <c:v>6.28499999999989</c:v>
                </c:pt>
                <c:pt idx="1258">
                  <c:v>6.2899999999998899</c:v>
                </c:pt>
                <c:pt idx="1259">
                  <c:v>6.2949999999998898</c:v>
                </c:pt>
                <c:pt idx="1260">
                  <c:v>6.2999999999998897</c:v>
                </c:pt>
                <c:pt idx="1261">
                  <c:v>6.3049999999998896</c:v>
                </c:pt>
                <c:pt idx="1262">
                  <c:v>6.3099999999998904</c:v>
                </c:pt>
                <c:pt idx="1263">
                  <c:v>6.3149999999998903</c:v>
                </c:pt>
                <c:pt idx="1264">
                  <c:v>6.3199999999998902</c:v>
                </c:pt>
                <c:pt idx="1265">
                  <c:v>6.32499999999989</c:v>
                </c:pt>
                <c:pt idx="1266">
                  <c:v>6.3299999999998899</c:v>
                </c:pt>
                <c:pt idx="1267">
                  <c:v>6.3349999999998898</c:v>
                </c:pt>
                <c:pt idx="1268">
                  <c:v>6.3399999999998897</c:v>
                </c:pt>
                <c:pt idx="1269">
                  <c:v>6.3449999999998896</c:v>
                </c:pt>
                <c:pt idx="1270">
                  <c:v>6.3499999999998904</c:v>
                </c:pt>
                <c:pt idx="1271">
                  <c:v>6.3549999999998903</c:v>
                </c:pt>
                <c:pt idx="1272">
                  <c:v>6.3599999999998902</c:v>
                </c:pt>
                <c:pt idx="1273">
                  <c:v>6.3649999999998901</c:v>
                </c:pt>
                <c:pt idx="1274">
                  <c:v>6.36999999999989</c:v>
                </c:pt>
                <c:pt idx="1275">
                  <c:v>6.3749999999998899</c:v>
                </c:pt>
                <c:pt idx="1276">
                  <c:v>6.3799999999998898</c:v>
                </c:pt>
                <c:pt idx="1277">
                  <c:v>6.3849999999998897</c:v>
                </c:pt>
                <c:pt idx="1278">
                  <c:v>6.3899999999998904</c:v>
                </c:pt>
                <c:pt idx="1279">
                  <c:v>6.3949999999998903</c:v>
                </c:pt>
                <c:pt idx="1280">
                  <c:v>6.3999999999998902</c:v>
                </c:pt>
                <c:pt idx="1281">
                  <c:v>6.4049999999998901</c:v>
                </c:pt>
                <c:pt idx="1282">
                  <c:v>6.40999999999989</c:v>
                </c:pt>
                <c:pt idx="1283">
                  <c:v>6.4149999999998899</c:v>
                </c:pt>
                <c:pt idx="1284">
                  <c:v>6.4199999999998898</c:v>
                </c:pt>
                <c:pt idx="1285">
                  <c:v>6.4249999999998897</c:v>
                </c:pt>
                <c:pt idx="1286">
                  <c:v>6.4299999999998896</c:v>
                </c:pt>
                <c:pt idx="1287">
                  <c:v>6.4349999999998904</c:v>
                </c:pt>
                <c:pt idx="1288">
                  <c:v>6.4399999999998903</c:v>
                </c:pt>
                <c:pt idx="1289">
                  <c:v>6.4449999999998902</c:v>
                </c:pt>
                <c:pt idx="1290">
                  <c:v>6.44999999999989</c:v>
                </c:pt>
                <c:pt idx="1291">
                  <c:v>6.4549999999998899</c:v>
                </c:pt>
                <c:pt idx="1292">
                  <c:v>6.4599999999998898</c:v>
                </c:pt>
                <c:pt idx="1293">
                  <c:v>6.4649999999998897</c:v>
                </c:pt>
                <c:pt idx="1294">
                  <c:v>6.4699999999998896</c:v>
                </c:pt>
                <c:pt idx="1295">
                  <c:v>6.4749999999998904</c:v>
                </c:pt>
                <c:pt idx="1296">
                  <c:v>6.4799999999998903</c:v>
                </c:pt>
                <c:pt idx="1297">
                  <c:v>6.4849999999998902</c:v>
                </c:pt>
                <c:pt idx="1298">
                  <c:v>6.4899999999998901</c:v>
                </c:pt>
                <c:pt idx="1299">
                  <c:v>6.49499999999989</c:v>
                </c:pt>
                <c:pt idx="1300">
                  <c:v>6.4999999999998899</c:v>
                </c:pt>
                <c:pt idx="1301">
                  <c:v>6.5049999999998898</c:v>
                </c:pt>
                <c:pt idx="1302">
                  <c:v>6.5099999999998897</c:v>
                </c:pt>
                <c:pt idx="1303">
                  <c:v>6.5149999999998904</c:v>
                </c:pt>
                <c:pt idx="1304">
                  <c:v>6.5199999999998903</c:v>
                </c:pt>
                <c:pt idx="1305">
                  <c:v>6.5249999999998902</c:v>
                </c:pt>
                <c:pt idx="1306">
                  <c:v>6.5299999999998901</c:v>
                </c:pt>
                <c:pt idx="1307">
                  <c:v>6.53499999999989</c:v>
                </c:pt>
                <c:pt idx="1308">
                  <c:v>6.5399999999998899</c:v>
                </c:pt>
                <c:pt idx="1309">
                  <c:v>6.5449999999998898</c:v>
                </c:pt>
                <c:pt idx="1310">
                  <c:v>6.5499999999998897</c:v>
                </c:pt>
                <c:pt idx="1311">
                  <c:v>6.5549999999998896</c:v>
                </c:pt>
                <c:pt idx="1312">
                  <c:v>6.5599999999998904</c:v>
                </c:pt>
                <c:pt idx="1313">
                  <c:v>6.5649999999998903</c:v>
                </c:pt>
                <c:pt idx="1314">
                  <c:v>6.5699999999998902</c:v>
                </c:pt>
                <c:pt idx="1315">
                  <c:v>6.57499999999989</c:v>
                </c:pt>
                <c:pt idx="1316">
                  <c:v>6.5799999999998899</c:v>
                </c:pt>
                <c:pt idx="1317">
                  <c:v>6.5849999999998898</c:v>
                </c:pt>
                <c:pt idx="1318">
                  <c:v>6.5899999999998897</c:v>
                </c:pt>
                <c:pt idx="1319">
                  <c:v>6.5949999999998896</c:v>
                </c:pt>
                <c:pt idx="1320">
                  <c:v>6.5999999999998904</c:v>
                </c:pt>
                <c:pt idx="1321">
                  <c:v>6.6049999999998903</c:v>
                </c:pt>
                <c:pt idx="1322">
                  <c:v>6.6099999999998902</c:v>
                </c:pt>
                <c:pt idx="1323">
                  <c:v>6.6149999999998901</c:v>
                </c:pt>
                <c:pt idx="1324">
                  <c:v>6.61999999999989</c:v>
                </c:pt>
                <c:pt idx="1325">
                  <c:v>6.6249999999998899</c:v>
                </c:pt>
                <c:pt idx="1326">
                  <c:v>6.6299999999998898</c:v>
                </c:pt>
                <c:pt idx="1327">
                  <c:v>6.6349999999998897</c:v>
                </c:pt>
                <c:pt idx="1328">
                  <c:v>6.6399999999998904</c:v>
                </c:pt>
                <c:pt idx="1329">
                  <c:v>6.6449999999998903</c:v>
                </c:pt>
                <c:pt idx="1330">
                  <c:v>6.6499999999998902</c:v>
                </c:pt>
                <c:pt idx="1331">
                  <c:v>6.6549999999998901</c:v>
                </c:pt>
                <c:pt idx="1332">
                  <c:v>6.65999999999989</c:v>
                </c:pt>
                <c:pt idx="1333">
                  <c:v>6.6649999999998899</c:v>
                </c:pt>
                <c:pt idx="1334">
                  <c:v>6.6699999999998898</c:v>
                </c:pt>
                <c:pt idx="1335">
                  <c:v>6.6749999999998897</c:v>
                </c:pt>
                <c:pt idx="1336">
                  <c:v>6.6799999999998896</c:v>
                </c:pt>
                <c:pt idx="1337">
                  <c:v>6.6849999999998904</c:v>
                </c:pt>
                <c:pt idx="1338">
                  <c:v>6.6899999999998903</c:v>
                </c:pt>
                <c:pt idx="1339">
                  <c:v>6.6949999999998902</c:v>
                </c:pt>
                <c:pt idx="1340">
                  <c:v>6.69999999999989</c:v>
                </c:pt>
                <c:pt idx="1341">
                  <c:v>6.7049999999998802</c:v>
                </c:pt>
                <c:pt idx="1342">
                  <c:v>6.7099999999998801</c:v>
                </c:pt>
                <c:pt idx="1343">
                  <c:v>6.71499999999988</c:v>
                </c:pt>
                <c:pt idx="1344">
                  <c:v>6.7199999999998798</c:v>
                </c:pt>
                <c:pt idx="1345">
                  <c:v>6.7249999999998797</c:v>
                </c:pt>
                <c:pt idx="1346">
                  <c:v>6.7299999999998796</c:v>
                </c:pt>
                <c:pt idx="1347">
                  <c:v>6.7349999999998804</c:v>
                </c:pt>
                <c:pt idx="1348">
                  <c:v>6.7399999999998803</c:v>
                </c:pt>
                <c:pt idx="1349">
                  <c:v>6.7449999999998802</c:v>
                </c:pt>
                <c:pt idx="1350">
                  <c:v>6.7499999999998801</c:v>
                </c:pt>
                <c:pt idx="1351">
                  <c:v>6.75499999999988</c:v>
                </c:pt>
                <c:pt idx="1352">
                  <c:v>6.7599999999998799</c:v>
                </c:pt>
                <c:pt idx="1353">
                  <c:v>6.7649999999998798</c:v>
                </c:pt>
                <c:pt idx="1354">
                  <c:v>6.7699999999998797</c:v>
                </c:pt>
                <c:pt idx="1355">
                  <c:v>6.7749999999998796</c:v>
                </c:pt>
                <c:pt idx="1356">
                  <c:v>6.7799999999998803</c:v>
                </c:pt>
                <c:pt idx="1357">
                  <c:v>6.7849999999998802</c:v>
                </c:pt>
                <c:pt idx="1358">
                  <c:v>6.7899999999998801</c:v>
                </c:pt>
                <c:pt idx="1359">
                  <c:v>6.79499999999988</c:v>
                </c:pt>
                <c:pt idx="1360">
                  <c:v>6.7999999999998799</c:v>
                </c:pt>
                <c:pt idx="1361">
                  <c:v>6.8049999999998798</c:v>
                </c:pt>
                <c:pt idx="1362">
                  <c:v>6.8099999999998797</c:v>
                </c:pt>
                <c:pt idx="1363">
                  <c:v>6.8149999999998796</c:v>
                </c:pt>
                <c:pt idx="1364">
                  <c:v>6.8199999999998804</c:v>
                </c:pt>
                <c:pt idx="1365">
                  <c:v>6.8249999999998803</c:v>
                </c:pt>
                <c:pt idx="1366">
                  <c:v>6.8299999999998802</c:v>
                </c:pt>
                <c:pt idx="1367">
                  <c:v>6.8349999999998801</c:v>
                </c:pt>
                <c:pt idx="1368">
                  <c:v>6.83999999999988</c:v>
                </c:pt>
                <c:pt idx="1369">
                  <c:v>6.8449999999998798</c:v>
                </c:pt>
                <c:pt idx="1370">
                  <c:v>6.8499999999998797</c:v>
                </c:pt>
                <c:pt idx="1371">
                  <c:v>6.8549999999998796</c:v>
                </c:pt>
                <c:pt idx="1372">
                  <c:v>6.8599999999998804</c:v>
                </c:pt>
                <c:pt idx="1373">
                  <c:v>6.8649999999998803</c:v>
                </c:pt>
                <c:pt idx="1374">
                  <c:v>6.8699999999998802</c:v>
                </c:pt>
                <c:pt idx="1375">
                  <c:v>6.8749999999998801</c:v>
                </c:pt>
                <c:pt idx="1376">
                  <c:v>6.87999999999988</c:v>
                </c:pt>
                <c:pt idx="1377">
                  <c:v>6.8849999999998799</c:v>
                </c:pt>
                <c:pt idx="1378">
                  <c:v>6.8899999999998798</c:v>
                </c:pt>
                <c:pt idx="1379">
                  <c:v>6.8949999999998797</c:v>
                </c:pt>
                <c:pt idx="1380">
                  <c:v>6.8999999999998796</c:v>
                </c:pt>
                <c:pt idx="1381">
                  <c:v>6.9049999999998803</c:v>
                </c:pt>
                <c:pt idx="1382">
                  <c:v>6.9099999999998802</c:v>
                </c:pt>
                <c:pt idx="1383">
                  <c:v>6.9149999999998801</c:v>
                </c:pt>
                <c:pt idx="1384">
                  <c:v>6.91999999999988</c:v>
                </c:pt>
                <c:pt idx="1385">
                  <c:v>6.9249999999998799</c:v>
                </c:pt>
                <c:pt idx="1386">
                  <c:v>6.9299999999998798</c:v>
                </c:pt>
                <c:pt idx="1387">
                  <c:v>6.9349999999998797</c:v>
                </c:pt>
                <c:pt idx="1388">
                  <c:v>6.9399999999998796</c:v>
                </c:pt>
                <c:pt idx="1389">
                  <c:v>6.9449999999998804</c:v>
                </c:pt>
                <c:pt idx="1390">
                  <c:v>6.9499999999998803</c:v>
                </c:pt>
                <c:pt idx="1391">
                  <c:v>6.9549999999998802</c:v>
                </c:pt>
                <c:pt idx="1392">
                  <c:v>6.9599999999998801</c:v>
                </c:pt>
                <c:pt idx="1393">
                  <c:v>6.96499999999988</c:v>
                </c:pt>
                <c:pt idx="1394">
                  <c:v>6.9699999999998798</c:v>
                </c:pt>
                <c:pt idx="1395">
                  <c:v>6.9749999999998797</c:v>
                </c:pt>
                <c:pt idx="1396">
                  <c:v>6.9799999999998796</c:v>
                </c:pt>
                <c:pt idx="1397">
                  <c:v>6.9849999999998804</c:v>
                </c:pt>
                <c:pt idx="1398">
                  <c:v>6.9899999999998803</c:v>
                </c:pt>
                <c:pt idx="1399">
                  <c:v>6.9949999999998802</c:v>
                </c:pt>
                <c:pt idx="1400">
                  <c:v>6.9999999999998801</c:v>
                </c:pt>
                <c:pt idx="1401">
                  <c:v>7.00499999999988</c:v>
                </c:pt>
                <c:pt idx="1402">
                  <c:v>7.0099999999998799</c:v>
                </c:pt>
                <c:pt idx="1403">
                  <c:v>7.0149999999998798</c:v>
                </c:pt>
                <c:pt idx="1404">
                  <c:v>7.0199999999998797</c:v>
                </c:pt>
                <c:pt idx="1405">
                  <c:v>7.0249999999998796</c:v>
                </c:pt>
                <c:pt idx="1406">
                  <c:v>7.0299999999998803</c:v>
                </c:pt>
                <c:pt idx="1407">
                  <c:v>7.0349999999998802</c:v>
                </c:pt>
                <c:pt idx="1408">
                  <c:v>7.0399999999998801</c:v>
                </c:pt>
                <c:pt idx="1409">
                  <c:v>7.04499999999988</c:v>
                </c:pt>
                <c:pt idx="1410">
                  <c:v>7.0499999999998799</c:v>
                </c:pt>
                <c:pt idx="1411">
                  <c:v>7.0549999999998798</c:v>
                </c:pt>
                <c:pt idx="1412">
                  <c:v>7.0599999999998797</c:v>
                </c:pt>
                <c:pt idx="1413">
                  <c:v>7.0649999999998796</c:v>
                </c:pt>
                <c:pt idx="1414">
                  <c:v>7.0699999999998804</c:v>
                </c:pt>
                <c:pt idx="1415">
                  <c:v>7.0749999999998803</c:v>
                </c:pt>
                <c:pt idx="1416">
                  <c:v>7.0799999999998802</c:v>
                </c:pt>
                <c:pt idx="1417">
                  <c:v>7.0849999999998801</c:v>
                </c:pt>
                <c:pt idx="1418">
                  <c:v>7.08999999999988</c:v>
                </c:pt>
                <c:pt idx="1419">
                  <c:v>7.0949999999998798</c:v>
                </c:pt>
                <c:pt idx="1420">
                  <c:v>7.0999999999998797</c:v>
                </c:pt>
                <c:pt idx="1421">
                  <c:v>7.1049999999998796</c:v>
                </c:pt>
                <c:pt idx="1422">
                  <c:v>7.1099999999998804</c:v>
                </c:pt>
                <c:pt idx="1423">
                  <c:v>7.1149999999998803</c:v>
                </c:pt>
                <c:pt idx="1424">
                  <c:v>7.1199999999998802</c:v>
                </c:pt>
                <c:pt idx="1425">
                  <c:v>7.1249999999998801</c:v>
                </c:pt>
                <c:pt idx="1426">
                  <c:v>7.12999999999988</c:v>
                </c:pt>
                <c:pt idx="1427">
                  <c:v>7.1349999999998799</c:v>
                </c:pt>
                <c:pt idx="1428">
                  <c:v>7.1399999999998798</c:v>
                </c:pt>
                <c:pt idx="1429">
                  <c:v>7.1449999999998797</c:v>
                </c:pt>
                <c:pt idx="1430">
                  <c:v>7.1499999999998796</c:v>
                </c:pt>
                <c:pt idx="1431">
                  <c:v>7.1549999999998803</c:v>
                </c:pt>
                <c:pt idx="1432">
                  <c:v>7.1599999999998802</c:v>
                </c:pt>
                <c:pt idx="1433">
                  <c:v>7.1649999999998801</c:v>
                </c:pt>
                <c:pt idx="1434">
                  <c:v>7.16999999999988</c:v>
                </c:pt>
                <c:pt idx="1435">
                  <c:v>7.1749999999998701</c:v>
                </c:pt>
                <c:pt idx="1436">
                  <c:v>7.17999999999987</c:v>
                </c:pt>
                <c:pt idx="1437">
                  <c:v>7.1849999999998699</c:v>
                </c:pt>
                <c:pt idx="1438">
                  <c:v>7.1899999999998698</c:v>
                </c:pt>
                <c:pt idx="1439">
                  <c:v>7.1949999999998697</c:v>
                </c:pt>
                <c:pt idx="1440">
                  <c:v>7.1999999999998696</c:v>
                </c:pt>
                <c:pt idx="1441">
                  <c:v>7.2049999999998704</c:v>
                </c:pt>
                <c:pt idx="1442">
                  <c:v>7.2099999999998703</c:v>
                </c:pt>
                <c:pt idx="1443">
                  <c:v>7.2149999999998702</c:v>
                </c:pt>
                <c:pt idx="1444">
                  <c:v>7.2199999999998701</c:v>
                </c:pt>
                <c:pt idx="1445">
                  <c:v>7.22499999999987</c:v>
                </c:pt>
                <c:pt idx="1446">
                  <c:v>7.2299999999998699</c:v>
                </c:pt>
                <c:pt idx="1447">
                  <c:v>7.2349999999998698</c:v>
                </c:pt>
                <c:pt idx="1448">
                  <c:v>7.2399999999998697</c:v>
                </c:pt>
                <c:pt idx="1449">
                  <c:v>7.2449999999998704</c:v>
                </c:pt>
                <c:pt idx="1450">
                  <c:v>7.2499999999998703</c:v>
                </c:pt>
                <c:pt idx="1451">
                  <c:v>7.2549999999998702</c:v>
                </c:pt>
                <c:pt idx="1452">
                  <c:v>7.2599999999998701</c:v>
                </c:pt>
                <c:pt idx="1453">
                  <c:v>7.26499999999987</c:v>
                </c:pt>
                <c:pt idx="1454">
                  <c:v>7.2699999999998699</c:v>
                </c:pt>
                <c:pt idx="1455">
                  <c:v>7.2749999999998698</c:v>
                </c:pt>
                <c:pt idx="1456">
                  <c:v>7.2799999999998697</c:v>
                </c:pt>
                <c:pt idx="1457">
                  <c:v>7.2849999999998696</c:v>
                </c:pt>
                <c:pt idx="1458">
                  <c:v>7.2899999999998704</c:v>
                </c:pt>
                <c:pt idx="1459">
                  <c:v>7.2949999999998703</c:v>
                </c:pt>
                <c:pt idx="1460">
                  <c:v>7.2999999999998701</c:v>
                </c:pt>
                <c:pt idx="1461">
                  <c:v>7.30499999999987</c:v>
                </c:pt>
                <c:pt idx="1462">
                  <c:v>7.3099999999998699</c:v>
                </c:pt>
                <c:pt idx="1463">
                  <c:v>7.3149999999998698</c:v>
                </c:pt>
                <c:pt idx="1464">
                  <c:v>7.3199999999998697</c:v>
                </c:pt>
                <c:pt idx="1465">
                  <c:v>7.3249999999998696</c:v>
                </c:pt>
                <c:pt idx="1466">
                  <c:v>7.3299999999998704</c:v>
                </c:pt>
                <c:pt idx="1467">
                  <c:v>7.3349999999998703</c:v>
                </c:pt>
                <c:pt idx="1468">
                  <c:v>7.3399999999998702</c:v>
                </c:pt>
                <c:pt idx="1469">
                  <c:v>7.3449999999998701</c:v>
                </c:pt>
                <c:pt idx="1470">
                  <c:v>7.34999999999987</c:v>
                </c:pt>
                <c:pt idx="1471">
                  <c:v>7.3549999999998699</c:v>
                </c:pt>
                <c:pt idx="1472">
                  <c:v>7.3599999999998698</c:v>
                </c:pt>
                <c:pt idx="1473">
                  <c:v>7.3649999999998697</c:v>
                </c:pt>
                <c:pt idx="1474">
                  <c:v>7.3699999999998704</c:v>
                </c:pt>
                <c:pt idx="1475">
                  <c:v>7.3749999999998703</c:v>
                </c:pt>
                <c:pt idx="1476">
                  <c:v>7.3799999999998702</c:v>
                </c:pt>
                <c:pt idx="1477">
                  <c:v>7.3849999999998701</c:v>
                </c:pt>
                <c:pt idx="1478">
                  <c:v>7.38999999999987</c:v>
                </c:pt>
                <c:pt idx="1479">
                  <c:v>7.3949999999998699</c:v>
                </c:pt>
                <c:pt idx="1480">
                  <c:v>7.3999999999998698</c:v>
                </c:pt>
                <c:pt idx="1481">
                  <c:v>7.4049999999998697</c:v>
                </c:pt>
                <c:pt idx="1482">
                  <c:v>7.4099999999998696</c:v>
                </c:pt>
                <c:pt idx="1483">
                  <c:v>7.4149999999998704</c:v>
                </c:pt>
                <c:pt idx="1484">
                  <c:v>7.4199999999998703</c:v>
                </c:pt>
                <c:pt idx="1485">
                  <c:v>7.4249999999998701</c:v>
                </c:pt>
                <c:pt idx="1486">
                  <c:v>7.42999999999987</c:v>
                </c:pt>
                <c:pt idx="1487">
                  <c:v>7.4349999999998699</c:v>
                </c:pt>
                <c:pt idx="1488">
                  <c:v>7.4399999999998698</c:v>
                </c:pt>
              </c:numCache>
            </c:numRef>
          </c:xVal>
          <c:yVal>
            <c:numRef>
              <c:f>Rocof!$W$7:$W$1495</c:f>
              <c:numCache>
                <c:formatCode>General</c:formatCode>
                <c:ptCount val="1489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6.0122377015488546E-2</c:v>
                </c:pt>
                <c:pt idx="6">
                  <c:v>6.0486520046280079E-2</c:v>
                </c:pt>
                <c:pt idx="7">
                  <c:v>6.1084712072098257E-2</c:v>
                </c:pt>
                <c:pt idx="8">
                  <c:v>6.190620441535092E-2</c:v>
                </c:pt>
                <c:pt idx="9">
                  <c:v>6.2938316434286545E-2</c:v>
                </c:pt>
                <c:pt idx="10">
                  <c:v>6.416713653786757E-2</c:v>
                </c:pt>
                <c:pt idx="11">
                  <c:v>6.5577980013971943E-2</c:v>
                </c:pt>
                <c:pt idx="12">
                  <c:v>6.7155697892319968E-2</c:v>
                </c:pt>
                <c:pt idx="13">
                  <c:v>6.888489391261042E-2</c:v>
                </c:pt>
                <c:pt idx="14">
                  <c:v>7.0750084146351644E-2</c:v>
                </c:pt>
                <c:pt idx="15">
                  <c:v>7.2735820171532184E-2</c:v>
                </c:pt>
                <c:pt idx="16">
                  <c:v>7.4826788431206853E-2</c:v>
                </c:pt>
                <c:pt idx="17">
                  <c:v>7.7007893402604444E-2</c:v>
                </c:pt>
                <c:pt idx="18">
                  <c:v>7.9264329178028531E-2</c:v>
                </c:pt>
                <c:pt idx="19">
                  <c:v>8.1581642233519033E-2</c:v>
                </c:pt>
                <c:pt idx="20">
                  <c:v>8.3945787063397337E-2</c:v>
                </c:pt>
                <c:pt idx="21">
                  <c:v>8.6343175701771219E-2</c:v>
                </c:pt>
                <c:pt idx="22">
                  <c:v>8.8760721761943551E-2</c:v>
                </c:pt>
                <c:pt idx="23">
                  <c:v>9.1185879395961469E-2</c:v>
                </c:pt>
                <c:pt idx="24">
                  <c:v>9.3606677445265823E-2</c:v>
                </c:pt>
                <c:pt idx="25">
                  <c:v>9.6011748980726369E-2</c:v>
                </c:pt>
                <c:pt idx="26">
                  <c:v>9.8390356392716122E-2</c:v>
                </c:pt>
                <c:pt idx="27">
                  <c:v>0.10073241217499369</c:v>
                </c:pt>
                <c:pt idx="28">
                  <c:v>0.10302849554135</c:v>
                </c:pt>
                <c:pt idx="29">
                  <c:v>0.1052698650159728</c:v>
                </c:pt>
                <c:pt idx="30">
                  <c:v>0.1074484671440996</c:v>
                </c:pt>
                <c:pt idx="31">
                  <c:v>0.10955694147683501</c:v>
                </c:pt>
                <c:pt idx="32">
                  <c:v>0.11158862199183629</c:v>
                </c:pt>
                <c:pt idx="33">
                  <c:v>0.11353753511922421</c:v>
                </c:pt>
                <c:pt idx="34">
                  <c:v>0.11539839454913998</c:v>
                </c:pt>
                <c:pt idx="35">
                  <c:v>0.11716659300360419</c:v>
                </c:pt>
                <c:pt idx="36">
                  <c:v>0.11883819116061101</c:v>
                </c:pt>
                <c:pt idx="37">
                  <c:v>0.12040990392264309</c:v>
                </c:pt>
                <c:pt idx="38">
                  <c:v>0.12187908422499889</c:v>
                </c:pt>
                <c:pt idx="39">
                  <c:v>0.12324370458148888</c:v>
                </c:pt>
                <c:pt idx="40">
                  <c:v>0.12450233656619941</c:v>
                </c:pt>
                <c:pt idx="41">
                  <c:v>0.12565412843017856</c:v>
                </c:pt>
                <c:pt idx="42">
                  <c:v>0.12669878105110477</c:v>
                </c:pt>
                <c:pt idx="43">
                  <c:v>0.12763652241230367</c:v>
                </c:pt>
                <c:pt idx="44">
                  <c:v>0.12846808080493111</c:v>
                </c:pt>
                <c:pt idx="45">
                  <c:v>0.12919465694379123</c:v>
                </c:pt>
                <c:pt idx="46">
                  <c:v>0.1298178951831645</c:v>
                </c:pt>
                <c:pt idx="47">
                  <c:v>0.13033985401423404</c:v>
                </c:pt>
                <c:pt idx="48">
                  <c:v>0.13076297602027892</c:v>
                </c:pt>
                <c:pt idx="49">
                  <c:v>0.13109005745980407</c:v>
                </c:pt>
                <c:pt idx="50">
                  <c:v>0.13132421764125685</c:v>
                </c:pt>
                <c:pt idx="51">
                  <c:v>0.13146886824599613</c:v>
                </c:pt>
                <c:pt idx="52">
                  <c:v>0.13152768274878557</c:v>
                </c:pt>
                <c:pt idx="53">
                  <c:v>0.13150456607733768</c:v>
                </c:pt>
                <c:pt idx="54">
                  <c:v>0.13169656285501369</c:v>
                </c:pt>
                <c:pt idx="55">
                  <c:v>0.1318876020447661</c:v>
                </c:pt>
                <c:pt idx="56">
                  <c:v>0.1320776884225846</c:v>
                </c:pt>
                <c:pt idx="57">
                  <c:v>0.13226682674063855</c:v>
                </c:pt>
                <c:pt idx="58">
                  <c:v>0.13245502172739573</c:v>
                </c:pt>
                <c:pt idx="59">
                  <c:v>0.13264227808774065</c:v>
                </c:pt>
                <c:pt idx="60">
                  <c:v>0.13282860050309203</c:v>
                </c:pt>
                <c:pt idx="61">
                  <c:v>0.13301399363151997</c:v>
                </c:pt>
                <c:pt idx="62">
                  <c:v>0.13319846210786235</c:v>
                </c:pt>
                <c:pt idx="63">
                  <c:v>0.13338201054384066</c:v>
                </c:pt>
                <c:pt idx="64">
                  <c:v>0.1335646435281754</c:v>
                </c:pt>
                <c:pt idx="65">
                  <c:v>0.13374636562670067</c:v>
                </c:pt>
                <c:pt idx="66">
                  <c:v>0.13392718138247839</c:v>
                </c:pt>
                <c:pt idx="67">
                  <c:v>0.13410709531591186</c:v>
                </c:pt>
                <c:pt idx="68">
                  <c:v>0.13428611192485884</c:v>
                </c:pt>
                <c:pt idx="69">
                  <c:v>0.1344642356847438</c:v>
                </c:pt>
                <c:pt idx="70">
                  <c:v>0.13464147104867008</c:v>
                </c:pt>
                <c:pt idx="71">
                  <c:v>0.13481782244753099</c:v>
                </c:pt>
                <c:pt idx="72">
                  <c:v>0.13499329429012069</c:v>
                </c:pt>
                <c:pt idx="73">
                  <c:v>0.13516789096324433</c:v>
                </c:pt>
                <c:pt idx="74">
                  <c:v>0.13534161683182794</c:v>
                </c:pt>
                <c:pt idx="75">
                  <c:v>0.13551447623902718</c:v>
                </c:pt>
                <c:pt idx="76">
                  <c:v>0.13568647350633628</c:v>
                </c:pt>
                <c:pt idx="77">
                  <c:v>0.13585761293369586</c:v>
                </c:pt>
                <c:pt idx="78">
                  <c:v>0.13602789879960056</c:v>
                </c:pt>
                <c:pt idx="79">
                  <c:v>0.13619733536120585</c:v>
                </c:pt>
                <c:pt idx="80">
                  <c:v>0.1363659268544346</c:v>
                </c:pt>
                <c:pt idx="81">
                  <c:v>0.13653367749408296</c:v>
                </c:pt>
                <c:pt idx="82">
                  <c:v>0.13670059147392563</c:v>
                </c:pt>
                <c:pt idx="83">
                  <c:v>0.13686667296682081</c:v>
                </c:pt>
                <c:pt idx="84">
                  <c:v>0.13703192612481446</c:v>
                </c:pt>
                <c:pt idx="85">
                  <c:v>0.1371963550792441</c:v>
                </c:pt>
                <c:pt idx="86">
                  <c:v>0.13735996394084224</c:v>
                </c:pt>
                <c:pt idx="87">
                  <c:v>0.13752275679983889</c:v>
                </c:pt>
                <c:pt idx="88">
                  <c:v>0.13768473772606402</c:v>
                </c:pt>
                <c:pt idx="89">
                  <c:v>0.1378459107690492</c:v>
                </c:pt>
                <c:pt idx="90">
                  <c:v>0.13800627995812892</c:v>
                </c:pt>
                <c:pt idx="91">
                  <c:v>0.13816584930254125</c:v>
                </c:pt>
                <c:pt idx="92">
                  <c:v>0.1383246227915281</c:v>
                </c:pt>
                <c:pt idx="93">
                  <c:v>0.13848260439443499</c:v>
                </c:pt>
                <c:pt idx="94">
                  <c:v>0.13863979806081023</c:v>
                </c:pt>
                <c:pt idx="95">
                  <c:v>0.13879620772050361</c:v>
                </c:pt>
                <c:pt idx="96">
                  <c:v>0.13895183728376481</c:v>
                </c:pt>
                <c:pt idx="97">
                  <c:v>0.13910669064134101</c:v>
                </c:pt>
                <c:pt idx="98">
                  <c:v>0.13926077166457423</c:v>
                </c:pt>
                <c:pt idx="99">
                  <c:v>0.13941408420549806</c:v>
                </c:pt>
                <c:pt idx="100">
                  <c:v>0.13956663209693401</c:v>
                </c:pt>
                <c:pt idx="101">
                  <c:v>0.13971841915258731</c:v>
                </c:pt>
                <c:pt idx="102">
                  <c:v>0.13986944916714225</c:v>
                </c:pt>
                <c:pt idx="103">
                  <c:v>0.14001972591635709</c:v>
                </c:pt>
                <c:pt idx="104">
                  <c:v>0.14016925315715834</c:v>
                </c:pt>
                <c:pt idx="105">
                  <c:v>0.14031803462773484</c:v>
                </c:pt>
                <c:pt idx="106">
                  <c:v>0.14046607404763109</c:v>
                </c:pt>
                <c:pt idx="107">
                  <c:v>0.14061337511784031</c:v>
                </c:pt>
                <c:pt idx="108">
                  <c:v>0.14075994152089691</c:v>
                </c:pt>
                <c:pt idx="109">
                  <c:v>0.14090577692096862</c:v>
                </c:pt>
                <c:pt idx="110">
                  <c:v>0.14105088496394805</c:v>
                </c:pt>
                <c:pt idx="111">
                  <c:v>0.14119526927754378</c:v>
                </c:pt>
                <c:pt idx="112">
                  <c:v>0.14133893347137122</c:v>
                </c:pt>
                <c:pt idx="113">
                  <c:v>0.14148188113704269</c:v>
                </c:pt>
                <c:pt idx="114">
                  <c:v>0.14162411584825724</c:v>
                </c:pt>
                <c:pt idx="115">
                  <c:v>0.14176564116089008</c:v>
                </c:pt>
                <c:pt idx="116">
                  <c:v>0.14190646061308143</c:v>
                </c:pt>
                <c:pt idx="117">
                  <c:v>0.14204657772532486</c:v>
                </c:pt>
                <c:pt idx="118">
                  <c:v>0.14218599600055554</c:v>
                </c:pt>
                <c:pt idx="119">
                  <c:v>0.14232471892423759</c:v>
                </c:pt>
                <c:pt idx="120">
                  <c:v>0.14246274996445132</c:v>
                </c:pt>
                <c:pt idx="121">
                  <c:v>0.14260009257197992</c:v>
                </c:pt>
                <c:pt idx="122">
                  <c:v>0.14273675018039578</c:v>
                </c:pt>
                <c:pt idx="123">
                  <c:v>0.14287272620614616</c:v>
                </c:pt>
                <c:pt idx="124">
                  <c:v>0.14300802404863877</c:v>
                </c:pt>
                <c:pt idx="125">
                  <c:v>0.14314264709032681</c:v>
                </c:pt>
                <c:pt idx="126">
                  <c:v>0.14327659869679329</c:v>
                </c:pt>
                <c:pt idx="127">
                  <c:v>0.14340988221683532</c:v>
                </c:pt>
                <c:pt idx="128">
                  <c:v>0.14354250098254789</c:v>
                </c:pt>
                <c:pt idx="129">
                  <c:v>0.14367445830940703</c:v>
                </c:pt>
                <c:pt idx="130">
                  <c:v>0.14380575749635277</c:v>
                </c:pt>
                <c:pt idx="131">
                  <c:v>0.14393640182587164</c:v>
                </c:pt>
                <c:pt idx="132">
                  <c:v>0.14406639456407866</c:v>
                </c:pt>
                <c:pt idx="133">
                  <c:v>0.14419573896079907</c:v>
                </c:pt>
                <c:pt idx="134">
                  <c:v>0.14432443824964958</c:v>
                </c:pt>
                <c:pt idx="135">
                  <c:v>0.14445249564811902</c:v>
                </c:pt>
                <c:pt idx="136">
                  <c:v>0.14457991435764905</c:v>
                </c:pt>
                <c:pt idx="137">
                  <c:v>0.14470669756371407</c:v>
                </c:pt>
                <c:pt idx="138">
                  <c:v>0.14483284843590083</c:v>
                </c:pt>
                <c:pt idx="139">
                  <c:v>0.14495837012798768</c:v>
                </c:pt>
                <c:pt idx="140">
                  <c:v>0.1450832657780235</c:v>
                </c:pt>
                <c:pt idx="141">
                  <c:v>0.14520753850840601</c:v>
                </c:pt>
                <c:pt idx="142">
                  <c:v>0.14533119142595996</c:v>
                </c:pt>
                <c:pt idx="143">
                  <c:v>0.14545422762201471</c:v>
                </c:pt>
                <c:pt idx="144">
                  <c:v>0.14557665017248161</c:v>
                </c:pt>
                <c:pt idx="145">
                  <c:v>0.14569846213793075</c:v>
                </c:pt>
                <c:pt idx="146">
                  <c:v>0.14581966656366763</c:v>
                </c:pt>
                <c:pt idx="147">
                  <c:v>0.14594026647980923</c:v>
                </c:pt>
                <c:pt idx="148">
                  <c:v>0.1460602649013597</c:v>
                </c:pt>
                <c:pt idx="149">
                  <c:v>0.14617966482828584</c:v>
                </c:pt>
                <c:pt idx="150">
                  <c:v>0.14629846924559203</c:v>
                </c:pt>
                <c:pt idx="151">
                  <c:v>0.14641668112339495</c:v>
                </c:pt>
                <c:pt idx="152">
                  <c:v>0.14653430341699764</c:v>
                </c:pt>
                <c:pt idx="153">
                  <c:v>0.14665133906696354</c:v>
                </c:pt>
                <c:pt idx="154">
                  <c:v>0.14676779099919007</c:v>
                </c:pt>
                <c:pt idx="155">
                  <c:v>0.14688366212498155</c:v>
                </c:pt>
                <c:pt idx="156">
                  <c:v>0.1469989553411222</c:v>
                </c:pt>
                <c:pt idx="157">
                  <c:v>0.14711367352994842</c:v>
                </c:pt>
                <c:pt idx="158">
                  <c:v>0.14722781955942082</c:v>
                </c:pt>
                <c:pt idx="159">
                  <c:v>0.14734139628319623</c:v>
                </c:pt>
                <c:pt idx="160">
                  <c:v>0.14745440654069855</c:v>
                </c:pt>
                <c:pt idx="161">
                  <c:v>0.14756685315719015</c:v>
                </c:pt>
                <c:pt idx="162">
                  <c:v>0.14767873894384226</c:v>
                </c:pt>
                <c:pt idx="163">
                  <c:v>0.14779006669780542</c:v>
                </c:pt>
                <c:pt idx="164">
                  <c:v>0.14790083920227926</c:v>
                </c:pt>
                <c:pt idx="165">
                  <c:v>0.14801105922658214</c:v>
                </c:pt>
                <c:pt idx="166">
                  <c:v>0.14812072952622046</c:v>
                </c:pt>
                <c:pt idx="167">
                  <c:v>0.14822985284295737</c:v>
                </c:pt>
                <c:pt idx="168">
                  <c:v>0.1483384319048815</c:v>
                </c:pt>
                <c:pt idx="169">
                  <c:v>0.14844646942647499</c:v>
                </c:pt>
                <c:pt idx="170">
                  <c:v>0.1485539681086816</c:v>
                </c:pt>
                <c:pt idx="171">
                  <c:v>0.14866093063897395</c:v>
                </c:pt>
                <c:pt idx="172">
                  <c:v>0.14876735969142091</c:v>
                </c:pt>
                <c:pt idx="173">
                  <c:v>0.14887325792675424</c:v>
                </c:pt>
                <c:pt idx="174">
                  <c:v>0.14897862799243539</c:v>
                </c:pt>
                <c:pt idx="175">
                  <c:v>0.14908347252272147</c:v>
                </c:pt>
                <c:pt idx="176">
                  <c:v>0.14918779413873123</c:v>
                </c:pt>
                <c:pt idx="177">
                  <c:v>0.14929159544851051</c:v>
                </c:pt>
                <c:pt idx="178">
                  <c:v>0.14939487904709742</c:v>
                </c:pt>
                <c:pt idx="179">
                  <c:v>0.14949764751658728</c:v>
                </c:pt>
                <c:pt idx="180">
                  <c:v>0.14959990342619728</c:v>
                </c:pt>
                <c:pt idx="181">
                  <c:v>0.14970164933233043</c:v>
                </c:pt>
                <c:pt idx="182">
                  <c:v>0.14980288777863965</c:v>
                </c:pt>
                <c:pt idx="183">
                  <c:v>0.14990362129609142</c:v>
                </c:pt>
                <c:pt idx="184">
                  <c:v>0.15000385240302888</c:v>
                </c:pt>
                <c:pt idx="185">
                  <c:v>0.15010358360523496</c:v>
                </c:pt>
                <c:pt idx="186">
                  <c:v>0.15020281739599492</c:v>
                </c:pt>
                <c:pt idx="187">
                  <c:v>0.15030155625615865</c:v>
                </c:pt>
                <c:pt idx="188">
                  <c:v>0.15039980265420286</c:v>
                </c:pt>
                <c:pt idx="189">
                  <c:v>0.15049755904629253</c:v>
                </c:pt>
                <c:pt idx="190">
                  <c:v>0.15059482787634265</c:v>
                </c:pt>
                <c:pt idx="191">
                  <c:v>0.15069161157607897</c:v>
                </c:pt>
                <c:pt idx="192">
                  <c:v>0.15078791256509905</c:v>
                </c:pt>
                <c:pt idx="193">
                  <c:v>0.15088373325093263</c:v>
                </c:pt>
                <c:pt idx="194">
                  <c:v>0.15097907602910182</c:v>
                </c:pt>
                <c:pt idx="195">
                  <c:v>0.15107394328318108</c:v>
                </c:pt>
                <c:pt idx="196">
                  <c:v>0.15116833738485669</c:v>
                </c:pt>
                <c:pt idx="197">
                  <c:v>0.15126226069398613</c:v>
                </c:pt>
                <c:pt idx="198">
                  <c:v>0.15135571555865696</c:v>
                </c:pt>
                <c:pt idx="199">
                  <c:v>0.15144870431524571</c:v>
                </c:pt>
                <c:pt idx="200">
                  <c:v>0.15154122928847613</c:v>
                </c:pt>
                <c:pt idx="201">
                  <c:v>0.15163329279147736</c:v>
                </c:pt>
                <c:pt idx="202">
                  <c:v>0.15172489712584175</c:v>
                </c:pt>
                <c:pt idx="203">
                  <c:v>0.15181604458168252</c:v>
                </c:pt>
                <c:pt idx="204">
                  <c:v>0.15190673743769068</c:v>
                </c:pt>
                <c:pt idx="205">
                  <c:v>0.15199697796119246</c:v>
                </c:pt>
                <c:pt idx="206">
                  <c:v>0.15208676840820562</c:v>
                </c:pt>
                <c:pt idx="207">
                  <c:v>0.15217611102349599</c:v>
                </c:pt>
                <c:pt idx="208">
                  <c:v>0.15226500804063364</c:v>
                </c:pt>
                <c:pt idx="209">
                  <c:v>0.15235346168204858</c:v>
                </c:pt>
                <c:pt idx="210">
                  <c:v>0.15244147415908649</c:v>
                </c:pt>
                <c:pt idx="211">
                  <c:v>0.15252904767206388</c:v>
                </c:pt>
                <c:pt idx="212">
                  <c:v>0.1526161844103231</c:v>
                </c:pt>
                <c:pt idx="213">
                  <c:v>0.1527028865522872</c:v>
                </c:pt>
                <c:pt idx="214">
                  <c:v>0.1527891562655142</c:v>
                </c:pt>
                <c:pt idx="215">
                  <c:v>0.15287499570675145</c:v>
                </c:pt>
                <c:pt idx="216">
                  <c:v>0.15296040702198943</c:v>
                </c:pt>
                <c:pt idx="217">
                  <c:v>0.15304539234651549</c:v>
                </c:pt>
                <c:pt idx="218">
                  <c:v>0.15312995380496713</c:v>
                </c:pt>
                <c:pt idx="219">
                  <c:v>0.15321409351138526</c:v>
                </c:pt>
                <c:pt idx="220">
                  <c:v>0.15329781356926692</c:v>
                </c:pt>
                <c:pt idx="221">
                  <c:v>0.15338111607161792</c:v>
                </c:pt>
                <c:pt idx="222">
                  <c:v>0.15346400310100511</c:v>
                </c:pt>
                <c:pt idx="223">
                  <c:v>0.15354647672960858</c:v>
                </c:pt>
                <c:pt idx="224">
                  <c:v>0.15362853901927337</c:v>
                </c:pt>
                <c:pt idx="225">
                  <c:v>0.15371019202156092</c:v>
                </c:pt>
                <c:pt idx="226">
                  <c:v>0.15379143777780058</c:v>
                </c:pt>
                <c:pt idx="227">
                  <c:v>0.15387227831914052</c:v>
                </c:pt>
                <c:pt idx="228">
                  <c:v>0.15395271566659843</c:v>
                </c:pt>
                <c:pt idx="229">
                  <c:v>0.1540327518311122</c:v>
                </c:pt>
                <c:pt idx="230">
                  <c:v>0.15411238881359013</c:v>
                </c:pt>
                <c:pt idx="231">
                  <c:v>0.15419162860496094</c:v>
                </c:pt>
                <c:pt idx="232">
                  <c:v>0.1542704731862235</c:v>
                </c:pt>
                <c:pt idx="233">
                  <c:v>0.15434892452849647</c:v>
                </c:pt>
                <c:pt idx="234">
                  <c:v>0.15442698459306747</c:v>
                </c:pt>
                <c:pt idx="235">
                  <c:v>0.15450465533144225</c:v>
                </c:pt>
                <c:pt idx="236">
                  <c:v>0.15458193868539322</c:v>
                </c:pt>
                <c:pt idx="237">
                  <c:v>0.15465883658700835</c:v>
                </c:pt>
                <c:pt idx="238">
                  <c:v>0.15473535095873908</c:v>
                </c:pt>
                <c:pt idx="239">
                  <c:v>0.15481148371344877</c:v>
                </c:pt>
                <c:pt idx="240">
                  <c:v>0.15488723675446026</c:v>
                </c:pt>
                <c:pt idx="241">
                  <c:v>0.15496261197560346</c:v>
                </c:pt>
                <c:pt idx="242">
                  <c:v>0.15503761126126281</c:v>
                </c:pt>
                <c:pt idx="243">
                  <c:v>0.15511223648642447</c:v>
                </c:pt>
                <c:pt idx="244">
                  <c:v>0.15518648951672284</c:v>
                </c:pt>
                <c:pt idx="245">
                  <c:v>0.1552603722084876</c:v>
                </c:pt>
                <c:pt idx="246">
                  <c:v>0.15533388640878987</c:v>
                </c:pt>
                <c:pt idx="247">
                  <c:v>0.15540703395548855</c:v>
                </c:pt>
                <c:pt idx="248">
                  <c:v>0.15547981667727601</c:v>
                </c:pt>
                <c:pt idx="249">
                  <c:v>0.15555223639372417</c:v>
                </c:pt>
                <c:pt idx="250">
                  <c:v>0.15562429491532967</c:v>
                </c:pt>
                <c:pt idx="251">
                  <c:v>0.15569599404355933</c:v>
                </c:pt>
                <c:pt idx="252">
                  <c:v>0.15576733557089506</c:v>
                </c:pt>
                <c:pt idx="253">
                  <c:v>0.15583832128087882</c:v>
                </c:pt>
                <c:pt idx="254">
                  <c:v>0.15590895294815699</c:v>
                </c:pt>
                <c:pt idx="255">
                  <c:v>0.15597923233852493</c:v>
                </c:pt>
                <c:pt idx="256">
                  <c:v>0.15604916120897111</c:v>
                </c:pt>
                <c:pt idx="257">
                  <c:v>0.15611874130772091</c:v>
                </c:pt>
                <c:pt idx="258">
                  <c:v>0.15618797437428039</c:v>
                </c:pt>
                <c:pt idx="259">
                  <c:v>0.15625686213947987</c:v>
                </c:pt>
                <c:pt idx="260">
                  <c:v>0.15632540632551706</c:v>
                </c:pt>
                <c:pt idx="261">
                  <c:v>0.15639360864600016</c:v>
                </c:pt>
                <c:pt idx="262">
                  <c:v>0.15646147080599074</c:v>
                </c:pt>
                <c:pt idx="263">
                  <c:v>0.15652899450204633</c:v>
                </c:pt>
                <c:pt idx="264">
                  <c:v>0.15659618142226289</c:v>
                </c:pt>
                <c:pt idx="265">
                  <c:v>0.15666303324631686</c:v>
                </c:pt>
                <c:pt idx="266">
                  <c:v>0.15672955164550734</c:v>
                </c:pt>
                <c:pt idx="267">
                  <c:v>0.1567957382827978</c:v>
                </c:pt>
                <c:pt idx="268">
                  <c:v>0.15686159481285764</c:v>
                </c:pt>
                <c:pt idx="269">
                  <c:v>0.15692712288210348</c:v>
                </c:pt>
                <c:pt idx="270">
                  <c:v>0.15699232412874048</c:v>
                </c:pt>
                <c:pt idx="271">
                  <c:v>0.15705720018280322</c:v>
                </c:pt>
                <c:pt idx="272">
                  <c:v>0.15712175266619646</c:v>
                </c:pt>
                <c:pt idx="273">
                  <c:v>0.15718598319273558</c:v>
                </c:pt>
                <c:pt idx="274">
                  <c:v>0.15724989336818712</c:v>
                </c:pt>
                <c:pt idx="275">
                  <c:v>0.15731348479030882</c:v>
                </c:pt>
                <c:pt idx="276">
                  <c:v>0.15737675904888951</c:v>
                </c:pt>
                <c:pt idx="277">
                  <c:v>0.15743971772578896</c:v>
                </c:pt>
                <c:pt idx="278">
                  <c:v>0.15750236239497736</c:v>
                </c:pt>
                <c:pt idx="279">
                  <c:v>0.15756469462257472</c:v>
                </c:pt>
                <c:pt idx="280">
                  <c:v>0.15762671596688999</c:v>
                </c:pt>
                <c:pt idx="281">
                  <c:v>0.15768842797846</c:v>
                </c:pt>
                <c:pt idx="282">
                  <c:v>0.1577498322000882</c:v>
                </c:pt>
                <c:pt idx="283">
                  <c:v>0.15781093016688341</c:v>
                </c:pt>
                <c:pt idx="284">
                  <c:v>0.1578717234062979</c:v>
                </c:pt>
                <c:pt idx="285">
                  <c:v>0.15793221343816591</c:v>
                </c:pt>
                <c:pt idx="286">
                  <c:v>0.15799240177474133</c:v>
                </c:pt>
                <c:pt idx="287">
                  <c:v>0.15805228992073572</c:v>
                </c:pt>
                <c:pt idx="288">
                  <c:v>0.15811187937335586</c:v>
                </c:pt>
                <c:pt idx="289">
                  <c:v>0.15817117162234112</c:v>
                </c:pt>
                <c:pt idx="290">
                  <c:v>0.1582301681500009</c:v>
                </c:pt>
                <c:pt idx="291">
                  <c:v>0.15828887043125139</c:v>
                </c:pt>
                <c:pt idx="292">
                  <c:v>0.15834727993365272</c:v>
                </c:pt>
                <c:pt idx="293">
                  <c:v>0.15840539811744547</c:v>
                </c:pt>
                <c:pt idx="294">
                  <c:v>0.1584632264355873</c:v>
                </c:pt>
                <c:pt idx="295">
                  <c:v>0.15852076633378909</c:v>
                </c:pt>
                <c:pt idx="296">
                  <c:v>0.15857801925055137</c:v>
                </c:pt>
                <c:pt idx="297">
                  <c:v>0.15863498661720005</c:v>
                </c:pt>
                <c:pt idx="298">
                  <c:v>0.15869166985792221</c:v>
                </c:pt>
                <c:pt idx="299">
                  <c:v>0.15874807038980182</c:v>
                </c:pt>
                <c:pt idx="300">
                  <c:v>0.15880418962285517</c:v>
                </c:pt>
                <c:pt idx="301">
                  <c:v>0.15886002896006596</c:v>
                </c:pt>
                <c:pt idx="302">
                  <c:v>0.15891558979742054</c:v>
                </c:pt>
                <c:pt idx="303">
                  <c:v>0.15897087352394276</c:v>
                </c:pt>
                <c:pt idx="304">
                  <c:v>0.15902588152172864</c:v>
                </c:pt>
                <c:pt idx="305">
                  <c:v>0.15908061516598099</c:v>
                </c:pt>
                <c:pt idx="306">
                  <c:v>0.15913507582504377</c:v>
                </c:pt>
                <c:pt idx="307">
                  <c:v>0.15918926486043627</c:v>
                </c:pt>
                <c:pt idx="308">
                  <c:v>0.15924318362688727</c:v>
                </c:pt>
                <c:pt idx="309">
                  <c:v>0.15929683347236867</c:v>
                </c:pt>
                <c:pt idx="310">
                  <c:v>0.15935021573812941</c:v>
                </c:pt>
                <c:pt idx="311">
                  <c:v>0.15940333175872895</c:v>
                </c:pt>
                <c:pt idx="312">
                  <c:v>0.15945618286207053</c:v>
                </c:pt>
                <c:pt idx="313">
                  <c:v>0.1595087703694345</c:v>
                </c:pt>
                <c:pt idx="314">
                  <c:v>0.15956109559551118</c:v>
                </c:pt>
                <c:pt idx="315">
                  <c:v>0.15961315984843427</c:v>
                </c:pt>
                <c:pt idx="316">
                  <c:v>0.15966496442981248</c:v>
                </c:pt>
                <c:pt idx="317">
                  <c:v>0.15971651063476316</c:v>
                </c:pt>
                <c:pt idx="318">
                  <c:v>0.159767799751944</c:v>
                </c:pt>
                <c:pt idx="319">
                  <c:v>0.15981883306358582</c:v>
                </c:pt>
                <c:pt idx="320">
                  <c:v>0.15986961184552398</c:v>
                </c:pt>
                <c:pt idx="321">
                  <c:v>0.15992013736723062</c:v>
                </c:pt>
                <c:pt idx="322">
                  <c:v>0.15997041089184647</c:v>
                </c:pt>
                <c:pt idx="323">
                  <c:v>0.16002043367621221</c:v>
                </c:pt>
                <c:pt idx="324">
                  <c:v>0.16007020697090013</c:v>
                </c:pt>
                <c:pt idx="325">
                  <c:v>0.16011973202024513</c:v>
                </c:pt>
                <c:pt idx="326">
                  <c:v>0.16016901006237602</c:v>
                </c:pt>
                <c:pt idx="327">
                  <c:v>0.16021804232924647</c:v>
                </c:pt>
                <c:pt idx="328">
                  <c:v>0.16026683004666564</c:v>
                </c:pt>
                <c:pt idx="329">
                  <c:v>0.16031537443432906</c:v>
                </c:pt>
                <c:pt idx="330">
                  <c:v>0.16036367670584892</c:v>
                </c:pt>
                <c:pt idx="331">
                  <c:v>0.16041173806878453</c:v>
                </c:pt>
                <c:pt idx="332">
                  <c:v>0.16045955972467246</c:v>
                </c:pt>
                <c:pt idx="333">
                  <c:v>0.16050714286905665</c:v>
                </c:pt>
                <c:pt idx="334">
                  <c:v>0.16055448869151812</c:v>
                </c:pt>
                <c:pt idx="335">
                  <c:v>0.16060159837570492</c:v>
                </c:pt>
                <c:pt idx="336">
                  <c:v>0.16064847309936164</c:v>
                </c:pt>
                <c:pt idx="337">
                  <c:v>0.16069511403435877</c:v>
                </c:pt>
                <c:pt idx="338">
                  <c:v>0.16074152234672212</c:v>
                </c:pt>
                <c:pt idx="339">
                  <c:v>0.16078769919666192</c:v>
                </c:pt>
                <c:pt idx="340">
                  <c:v>0.16083364573860184</c:v>
                </c:pt>
                <c:pt idx="341">
                  <c:v>0.16087936312120782</c:v>
                </c:pt>
                <c:pt idx="342">
                  <c:v>0.16092485248741678</c:v>
                </c:pt>
                <c:pt idx="343">
                  <c:v>0.16097011497446526</c:v>
                </c:pt>
                <c:pt idx="344">
                  <c:v>0.16101515171391778</c:v>
                </c:pt>
                <c:pt idx="345">
                  <c:v>0.16105996383169524</c:v>
                </c:pt>
                <c:pt idx="346">
                  <c:v>0.16110455244810282</c:v>
                </c:pt>
                <c:pt idx="347">
                  <c:v>0.1611489186778583</c:v>
                </c:pt>
                <c:pt idx="348">
                  <c:v>0.16119306363011976</c:v>
                </c:pt>
                <c:pt idx="349">
                  <c:v>0.16123698840851325</c:v>
                </c:pt>
                <c:pt idx="350">
                  <c:v>0.16128069411116058</c:v>
                </c:pt>
                <c:pt idx="351">
                  <c:v>0.16132418183070651</c:v>
                </c:pt>
                <c:pt idx="352">
                  <c:v>0.16136745265434638</c:v>
                </c:pt>
                <c:pt idx="353">
                  <c:v>0.16141050766385295</c:v>
                </c:pt>
                <c:pt idx="354">
                  <c:v>0.16145334793560379</c:v>
                </c:pt>
                <c:pt idx="355">
                  <c:v>0.16149597454060788</c:v>
                </c:pt>
                <c:pt idx="356">
                  <c:v>0.16153838854453256</c:v>
                </c:pt>
                <c:pt idx="357">
                  <c:v>0.16158059100773015</c:v>
                </c:pt>
                <c:pt idx="358">
                  <c:v>0.16162258298526441</c:v>
                </c:pt>
                <c:pt idx="359">
                  <c:v>0.16166436552693697</c:v>
                </c:pt>
                <c:pt idx="360">
                  <c:v>0.16170593967731356</c:v>
                </c:pt>
                <c:pt idx="361">
                  <c:v>0.16174730647575011</c:v>
                </c:pt>
                <c:pt idx="362">
                  <c:v>0.16178846695641874</c:v>
                </c:pt>
                <c:pt idx="363">
                  <c:v>0.16182942214833357</c:v>
                </c:pt>
                <c:pt idx="364">
                  <c:v>0.16187017307537654</c:v>
                </c:pt>
                <c:pt idx="365">
                  <c:v>0.16191072075632301</c:v>
                </c:pt>
                <c:pt idx="366">
                  <c:v>0.16195106620486704</c:v>
                </c:pt>
                <c:pt idx="367">
                  <c:v>0.16199121042964701</c:v>
                </c:pt>
                <c:pt idx="368">
                  <c:v>0.16203115443427057</c:v>
                </c:pt>
                <c:pt idx="369">
                  <c:v>0.16207089921733994</c:v>
                </c:pt>
                <c:pt idx="370">
                  <c:v>0.1621104457724768</c:v>
                </c:pt>
                <c:pt idx="371">
                  <c:v>0.16214979508834704</c:v>
                </c:pt>
                <c:pt idx="372">
                  <c:v>0.16218894814868559</c:v>
                </c:pt>
                <c:pt idx="373">
                  <c:v>0.16222790593232106</c:v>
                </c:pt>
                <c:pt idx="374">
                  <c:v>0.16226666941320006</c:v>
                </c:pt>
                <c:pt idx="375">
                  <c:v>0.16230523956041157</c:v>
                </c:pt>
                <c:pt idx="376">
                  <c:v>0.16234361733821134</c:v>
                </c:pt>
                <c:pt idx="377">
                  <c:v>0.1623818037060458</c:v>
                </c:pt>
                <c:pt idx="378">
                  <c:v>0.16241979961857611</c:v>
                </c:pt>
                <c:pt idx="379">
                  <c:v>0.16245760602570214</c:v>
                </c:pt>
                <c:pt idx="380">
                  <c:v>0.16249522387258591</c:v>
                </c:pt>
                <c:pt idx="381">
                  <c:v>0.16253265409967566</c:v>
                </c:pt>
                <c:pt idx="382">
                  <c:v>0.16256989764272894</c:v>
                </c:pt>
                <c:pt idx="383">
                  <c:v>0.16260695543283635</c:v>
                </c:pt>
                <c:pt idx="384">
                  <c:v>0.16264382839644451</c:v>
                </c:pt>
                <c:pt idx="385">
                  <c:v>0.16268051745537943</c:v>
                </c:pt>
                <c:pt idx="386">
                  <c:v>0.16271702352686954</c:v>
                </c:pt>
                <c:pt idx="387">
                  <c:v>0.16275334752356846</c:v>
                </c:pt>
                <c:pt idx="388">
                  <c:v>0.16278949035357809</c:v>
                </c:pt>
                <c:pt idx="389">
                  <c:v>0.16282545292047096</c:v>
                </c:pt>
                <c:pt idx="390">
                  <c:v>0.16286123612331321</c:v>
                </c:pt>
                <c:pt idx="391">
                  <c:v>0.16289684085668671</c:v>
                </c:pt>
                <c:pt idx="392">
                  <c:v>0.16293226801071167</c:v>
                </c:pt>
                <c:pt idx="393">
                  <c:v>0.16296751847106877</c:v>
                </c:pt>
                <c:pt idx="394">
                  <c:v>0.16300259311902143</c:v>
                </c:pt>
                <c:pt idx="395">
                  <c:v>0.16303749283143756</c:v>
                </c:pt>
                <c:pt idx="396">
                  <c:v>0.16307221848081188</c:v>
                </c:pt>
                <c:pt idx="397">
                  <c:v>0.16310677093528736</c:v>
                </c:pt>
                <c:pt idx="398">
                  <c:v>0.16314115105867721</c:v>
                </c:pt>
                <c:pt idx="399">
                  <c:v>0.16317535971048633</c:v>
                </c:pt>
                <c:pt idx="400">
                  <c:v>0.16320939774593274</c:v>
                </c:pt>
                <c:pt idx="401">
                  <c:v>0.16324326601596911</c:v>
                </c:pt>
                <c:pt idx="402">
                  <c:v>0.16327696536730396</c:v>
                </c:pt>
                <c:pt idx="403">
                  <c:v>0.16331049664242286</c:v>
                </c:pt>
                <c:pt idx="404">
                  <c:v>0.16334386067960932</c:v>
                </c:pt>
                <c:pt idx="405">
                  <c:v>0.16337705831296617</c:v>
                </c:pt>
                <c:pt idx="406">
                  <c:v>0.16341009037243598</c:v>
                </c:pt>
                <c:pt idx="407">
                  <c:v>0.1634429576838218</c:v>
                </c:pt>
                <c:pt idx="408">
                  <c:v>0.16347566106880815</c:v>
                </c:pt>
                <c:pt idx="409">
                  <c:v>0.16350820134498151</c:v>
                </c:pt>
                <c:pt idx="410">
                  <c:v>0.16354057932585034</c:v>
                </c:pt>
                <c:pt idx="411">
                  <c:v>0.16357279582086587</c:v>
                </c:pt>
                <c:pt idx="412">
                  <c:v>0.16360485163544214</c:v>
                </c:pt>
                <c:pt idx="413">
                  <c:v>0.16363674757097624</c:v>
                </c:pt>
                <c:pt idx="414">
                  <c:v>0.1636684844248682</c:v>
                </c:pt>
                <c:pt idx="415">
                  <c:v>0.16370006299054105</c:v>
                </c:pt>
                <c:pt idx="416">
                  <c:v>0.16373148405746052</c:v>
                </c:pt>
                <c:pt idx="417">
                  <c:v>0.16376274841115493</c:v>
                </c:pt>
                <c:pt idx="418">
                  <c:v>0.16379385683323477</c:v>
                </c:pt>
                <c:pt idx="419">
                  <c:v>0.1638248101014122</c:v>
                </c:pt>
                <c:pt idx="420">
                  <c:v>0.16385560898952056</c:v>
                </c:pt>
                <c:pt idx="421">
                  <c:v>0.16388625426753362</c:v>
                </c:pt>
                <c:pt idx="422">
                  <c:v>0.16391674670158493</c:v>
                </c:pt>
                <c:pt idx="423">
                  <c:v>0.16394708705398697</c:v>
                </c:pt>
                <c:pt idx="424">
                  <c:v>0.16397727608325008</c:v>
                </c:pt>
                <c:pt idx="425">
                  <c:v>0.16400731454410161</c:v>
                </c:pt>
                <c:pt idx="426">
                  <c:v>0.16403720318750459</c:v>
                </c:pt>
                <c:pt idx="427">
                  <c:v>0.16406694276067674</c:v>
                </c:pt>
                <c:pt idx="428">
                  <c:v>0.16409653400710889</c:v>
                </c:pt>
                <c:pt idx="429">
                  <c:v>0.16412597766658371</c:v>
                </c:pt>
                <c:pt idx="430">
                  <c:v>0.16415527447519426</c:v>
                </c:pt>
                <c:pt idx="431">
                  <c:v>0.1641844251653623</c:v>
                </c:pt>
                <c:pt idx="432">
                  <c:v>0.16421343046585657</c:v>
                </c:pt>
                <c:pt idx="433">
                  <c:v>0.1642422911018111</c:v>
                </c:pt>
                <c:pt idx="434">
                  <c:v>0.1642710077947433</c:v>
                </c:pt>
                <c:pt idx="435">
                  <c:v>0.16429958126257196</c:v>
                </c:pt>
                <c:pt idx="436">
                  <c:v>0.16432801221963533</c:v>
                </c:pt>
                <c:pt idx="437">
                  <c:v>0.16435630137670876</c:v>
                </c:pt>
                <c:pt idx="438">
                  <c:v>0.16438444944102265</c:v>
                </c:pt>
                <c:pt idx="439">
                  <c:v>0.16441245711628008</c:v>
                </c:pt>
                <c:pt idx="440">
                  <c:v>0.16444032510267442</c:v>
                </c:pt>
                <c:pt idx="441">
                  <c:v>0.16446805409690674</c:v>
                </c:pt>
                <c:pt idx="442">
                  <c:v>0.16449564479220335</c:v>
                </c:pt>
                <c:pt idx="443">
                  <c:v>0.16452309787833314</c:v>
                </c:pt>
                <c:pt idx="444">
                  <c:v>0.16455041404162457</c:v>
                </c:pt>
                <c:pt idx="445">
                  <c:v>0.16457759396498325</c:v>
                </c:pt>
                <c:pt idx="446">
                  <c:v>0.16460463832790861</c:v>
                </c:pt>
                <c:pt idx="447">
                  <c:v>0.16463154780651118</c:v>
                </c:pt>
                <c:pt idx="448">
                  <c:v>0.16465832307352929</c:v>
                </c:pt>
                <c:pt idx="449">
                  <c:v>0.16468496479834605</c:v>
                </c:pt>
                <c:pt idx="450">
                  <c:v>0.16471147364700589</c:v>
                </c:pt>
                <c:pt idx="451">
                  <c:v>0.16473785028223153</c:v>
                </c:pt>
                <c:pt idx="452">
                  <c:v>0.16476409536344011</c:v>
                </c:pt>
                <c:pt idx="453">
                  <c:v>0.1647902095467601</c:v>
                </c:pt>
                <c:pt idx="454">
                  <c:v>0.16481619348504739</c:v>
                </c:pt>
                <c:pt idx="455">
                  <c:v>0.16484204782790182</c:v>
                </c:pt>
                <c:pt idx="456">
                  <c:v>0.16486777322168331</c:v>
                </c:pt>
                <c:pt idx="457">
                  <c:v>0.16489337030952805</c:v>
                </c:pt>
                <c:pt idx="458">
                  <c:v>0.16491883973136451</c:v>
                </c:pt>
                <c:pt idx="459">
                  <c:v>0.16494418212392967</c:v>
                </c:pt>
                <c:pt idx="460">
                  <c:v>0.16496939812078459</c:v>
                </c:pt>
                <c:pt idx="461">
                  <c:v>0.16499448835233049</c:v>
                </c:pt>
                <c:pt idx="462">
                  <c:v>0.16501945344582453</c:v>
                </c:pt>
                <c:pt idx="463">
                  <c:v>0.16504429402539528</c:v>
                </c:pt>
                <c:pt idx="464">
                  <c:v>0.16506901071205857</c:v>
                </c:pt>
                <c:pt idx="465">
                  <c:v>0.16509360412373283</c:v>
                </c:pt>
                <c:pt idx="466">
                  <c:v>0.16511807487525465</c:v>
                </c:pt>
                <c:pt idx="467">
                  <c:v>0.16514242357839409</c:v>
                </c:pt>
                <c:pt idx="468">
                  <c:v>0.16516665084186999</c:v>
                </c:pt>
                <c:pt idx="469">
                  <c:v>0.16519075727136517</c:v>
                </c:pt>
                <c:pt idx="470">
                  <c:v>0.16521474346954168</c:v>
                </c:pt>
                <c:pt idx="471">
                  <c:v>0.16523861003605572</c:v>
                </c:pt>
                <c:pt idx="472">
                  <c:v>0.16526235756757263</c:v>
                </c:pt>
                <c:pt idx="473">
                  <c:v>0.16528598665778199</c:v>
                </c:pt>
                <c:pt idx="474">
                  <c:v>0.16530949789741228</c:v>
                </c:pt>
                <c:pt idx="475">
                  <c:v>0.16533289187424571</c:v>
                </c:pt>
                <c:pt idx="476">
                  <c:v>0.16535616917313289</c:v>
                </c:pt>
                <c:pt idx="477">
                  <c:v>0.16537933037600758</c:v>
                </c:pt>
                <c:pt idx="478">
                  <c:v>0.16540237606190097</c:v>
                </c:pt>
                <c:pt idx="479">
                  <c:v>0.16542530680695647</c:v>
                </c:pt>
                <c:pt idx="480">
                  <c:v>0.16544812318444385</c:v>
                </c:pt>
                <c:pt idx="481">
                  <c:v>0.16547082576477379</c:v>
                </c:pt>
                <c:pt idx="482">
                  <c:v>0.16549341511551197</c:v>
                </c:pt>
                <c:pt idx="483">
                  <c:v>0.16551589180139328</c:v>
                </c:pt>
                <c:pt idx="484">
                  <c:v>0.16553825638433611</c:v>
                </c:pt>
                <c:pt idx="485">
                  <c:v>0.16556050942345613</c:v>
                </c:pt>
                <c:pt idx="486">
                  <c:v>0.16558265147508056</c:v>
                </c:pt>
                <c:pt idx="487">
                  <c:v>0.16560468309276177</c:v>
                </c:pt>
                <c:pt idx="488">
                  <c:v>0.16562660482729136</c:v>
                </c:pt>
                <c:pt idx="489">
                  <c:v>0.16564841722671386</c:v>
                </c:pt>
                <c:pt idx="490">
                  <c:v>0.16567012083634042</c:v>
                </c:pt>
                <c:pt idx="491">
                  <c:v>0.16569171619876233</c:v>
                </c:pt>
                <c:pt idx="492">
                  <c:v>0.16571320385386484</c:v>
                </c:pt>
                <c:pt idx="493">
                  <c:v>0.16573458433884042</c:v>
                </c:pt>
                <c:pt idx="494">
                  <c:v>0.16575585818820229</c:v>
                </c:pt>
                <c:pt idx="495">
                  <c:v>0.16577702593379784</c:v>
                </c:pt>
                <c:pt idx="496">
                  <c:v>0.16579808810482177</c:v>
                </c:pt>
                <c:pt idx="497">
                  <c:v>0.1658190452278295</c:v>
                </c:pt>
                <c:pt idx="498">
                  <c:v>0.16583989782675015</c:v>
                </c:pt>
                <c:pt idx="499">
                  <c:v>0.16586064642289983</c:v>
                </c:pt>
                <c:pt idx="500">
                  <c:v>0.16588129153499442</c:v>
                </c:pt>
                <c:pt idx="501">
                  <c:v>0.16590183367916289</c:v>
                </c:pt>
                <c:pt idx="502">
                  <c:v>0.16592227336895993</c:v>
                </c:pt>
                <c:pt idx="503">
                  <c:v>0.16594261111537878</c:v>
                </c:pt>
                <c:pt idx="504">
                  <c:v>0.16596284742686421</c:v>
                </c:pt>
                <c:pt idx="505">
                  <c:v>0.16598298280932505</c:v>
                </c:pt>
                <c:pt idx="506">
                  <c:v>0.1660030177661469</c:v>
                </c:pt>
                <c:pt idx="507">
                  <c:v>0.16602295279820473</c:v>
                </c:pt>
                <c:pt idx="508">
                  <c:v>0.16604278840387535</c:v>
                </c:pt>
                <c:pt idx="509">
                  <c:v>0.16606252507904998</c:v>
                </c:pt>
                <c:pt idx="510">
                  <c:v>0.16608216331714651</c:v>
                </c:pt>
                <c:pt idx="511">
                  <c:v>0.16610170360912191</c:v>
                </c:pt>
                <c:pt idx="512">
                  <c:v>0.16612114644348452</c:v>
                </c:pt>
                <c:pt idx="513">
                  <c:v>0.16614049230630618</c:v>
                </c:pt>
                <c:pt idx="514">
                  <c:v>0.16615974168123449</c:v>
                </c:pt>
                <c:pt idx="515">
                  <c:v>0.16617889504950478</c:v>
                </c:pt>
                <c:pt idx="516">
                  <c:v>0.16619795288995232</c:v>
                </c:pt>
                <c:pt idx="517">
                  <c:v>0.16621691567902408</c:v>
                </c:pt>
                <c:pt idx="518">
                  <c:v>0.1662357838907908</c:v>
                </c:pt>
                <c:pt idx="519">
                  <c:v>0.16625455799695871</c:v>
                </c:pt>
                <c:pt idx="520">
                  <c:v>0.16627323846688147</c:v>
                </c:pt>
                <c:pt idx="521">
                  <c:v>0.16629182576757184</c:v>
                </c:pt>
                <c:pt idx="522">
                  <c:v>0.16631032036371324</c:v>
                </c:pt>
                <c:pt idx="523">
                  <c:v>0.16632872271767152</c:v>
                </c:pt>
                <c:pt idx="524">
                  <c:v>0.16634703328950656</c:v>
                </c:pt>
                <c:pt idx="525">
                  <c:v>0.16636525253698359</c:v>
                </c:pt>
                <c:pt idx="526">
                  <c:v>0.16638338091558474</c:v>
                </c:pt>
                <c:pt idx="527">
                  <c:v>0.16640141887852039</c:v>
                </c:pt>
                <c:pt idx="528">
                  <c:v>0.16641936687674061</c:v>
                </c:pt>
                <c:pt idx="529">
                  <c:v>0.16643722535894623</c:v>
                </c:pt>
                <c:pt idx="530">
                  <c:v>0.16645499477160028</c:v>
                </c:pt>
                <c:pt idx="531">
                  <c:v>0.16647267555893897</c:v>
                </c:pt>
                <c:pt idx="532">
                  <c:v>0.1664902681629829</c:v>
                </c:pt>
                <c:pt idx="533">
                  <c:v>0.16650777302354813</c:v>
                </c:pt>
                <c:pt idx="534">
                  <c:v>0.1665251905782571</c:v>
                </c:pt>
                <c:pt idx="535">
                  <c:v>0.16654252126254948</c:v>
                </c:pt>
                <c:pt idx="536">
                  <c:v>0.16655976550969337</c:v>
                </c:pt>
                <c:pt idx="537">
                  <c:v>0.16657692375079583</c:v>
                </c:pt>
                <c:pt idx="538">
                  <c:v>0.16659399641481376</c:v>
                </c:pt>
                <c:pt idx="539">
                  <c:v>0.16661098392856469</c:v>
                </c:pt>
                <c:pt idx="540">
                  <c:v>0.16662788671673731</c:v>
                </c:pt>
                <c:pt idx="541">
                  <c:v>0.16664470520190222</c:v>
                </c:pt>
                <c:pt idx="542">
                  <c:v>0.16666143980452242</c:v>
                </c:pt>
                <c:pt idx="543">
                  <c:v>0.16667809094296382</c:v>
                </c:pt>
                <c:pt idx="544">
                  <c:v>0.16669465903350583</c:v>
                </c:pt>
                <c:pt idx="545">
                  <c:v>0.16671114449035149</c:v>
                </c:pt>
                <c:pt idx="546">
                  <c:v>0.16672754772563814</c:v>
                </c:pt>
                <c:pt idx="547">
                  <c:v>0.16674386914944744</c:v>
                </c:pt>
                <c:pt idx="548">
                  <c:v>0.16676010916981593</c:v>
                </c:pt>
                <c:pt idx="549">
                  <c:v>0.16677626819274494</c:v>
                </c:pt>
                <c:pt idx="550">
                  <c:v>0.16679234662221082</c:v>
                </c:pt>
                <c:pt idx="551">
                  <c:v>0.16680834486017521</c:v>
                </c:pt>
                <c:pt idx="552">
                  <c:v>0.16682426330659486</c:v>
                </c:pt>
                <c:pt idx="553">
                  <c:v>0.16684010235943178</c:v>
                </c:pt>
                <c:pt idx="554">
                  <c:v>0.1668558624146631</c:v>
                </c:pt>
                <c:pt idx="555">
                  <c:v>0.16687154386629105</c:v>
                </c:pt>
                <c:pt idx="556">
                  <c:v>0.16688714710635272</c:v>
                </c:pt>
                <c:pt idx="557">
                  <c:v>0.16690267252492988</c:v>
                </c:pt>
                <c:pt idx="558">
                  <c:v>0.16691812051015886</c:v>
                </c:pt>
                <c:pt idx="559">
                  <c:v>0.1669334914482401</c:v>
                </c:pt>
                <c:pt idx="560">
                  <c:v>0.16694878572344782</c:v>
                </c:pt>
                <c:pt idx="561">
                  <c:v>0.16696400371813971</c:v>
                </c:pt>
                <c:pt idx="562">
                  <c:v>0.16697914581276643</c:v>
                </c:pt>
                <c:pt idx="563">
                  <c:v>0.16699421238588114</c:v>
                </c:pt>
                <c:pt idx="564">
                  <c:v>0.16700920381414891</c:v>
                </c:pt>
                <c:pt idx="565">
                  <c:v>0.16702412047235632</c:v>
                </c:pt>
                <c:pt idx="566">
                  <c:v>0.1670389627334205</c:v>
                </c:pt>
                <c:pt idx="567">
                  <c:v>0.16705373096839882</c:v>
                </c:pt>
                <c:pt idx="568">
                  <c:v>0.16706842554649787</c:v>
                </c:pt>
                <c:pt idx="569">
                  <c:v>0.1670830468350829</c:v>
                </c:pt>
                <c:pt idx="570">
                  <c:v>0.16709759519968692</c:v>
                </c:pt>
                <c:pt idx="571">
                  <c:v>0.16711207100401973</c:v>
                </c:pt>
                <c:pt idx="572">
                  <c:v>0.16712647460997723</c:v>
                </c:pt>
                <c:pt idx="573">
                  <c:v>0.16714080637765033</c:v>
                </c:pt>
                <c:pt idx="574">
                  <c:v>0.16715506666533395</c:v>
                </c:pt>
                <c:pt idx="575">
                  <c:v>0.16716925582953601</c:v>
                </c:pt>
                <c:pt idx="576">
                  <c:v>0.16718337422498641</c:v>
                </c:pt>
                <c:pt idx="577">
                  <c:v>0.16719742220464573</c:v>
                </c:pt>
                <c:pt idx="578">
                  <c:v>0.16721140011971419</c:v>
                </c:pt>
                <c:pt idx="579">
                  <c:v>0.16722530831964039</c:v>
                </c:pt>
                <c:pt idx="580">
                  <c:v>0.16723914715213006</c:v>
                </c:pt>
                <c:pt idx="581">
                  <c:v>0.16725291696315475</c:v>
                </c:pt>
                <c:pt idx="582">
                  <c:v>0.16726661809696047</c:v>
                </c:pt>
                <c:pt idx="583">
                  <c:v>0.16728025089607623</c:v>
                </c:pt>
                <c:pt idx="584">
                  <c:v>0.16729381570132273</c:v>
                </c:pt>
                <c:pt idx="585">
                  <c:v>0.16730731285182082</c:v>
                </c:pt>
                <c:pt idx="586">
                  <c:v>0.16732074268499994</c:v>
                </c:pt>
                <c:pt idx="587">
                  <c:v>0.16733410553660666</c:v>
                </c:pt>
                <c:pt idx="588">
                  <c:v>0.16734740174071294</c:v>
                </c:pt>
                <c:pt idx="589">
                  <c:v>0.16736063162972459</c:v>
                </c:pt>
                <c:pt idx="590">
                  <c:v>0.16737379553438952</c:v>
                </c:pt>
                <c:pt idx="591">
                  <c:v>0.16738689378380603</c:v>
                </c:pt>
                <c:pt idx="592">
                  <c:v>0.16739992670543102</c:v>
                </c:pt>
                <c:pt idx="593">
                  <c:v>0.16741289462508824</c:v>
                </c:pt>
                <c:pt idx="594">
                  <c:v>0.16742579786697634</c:v>
                </c:pt>
                <c:pt idx="595">
                  <c:v>0.16743863675367701</c:v>
                </c:pt>
                <c:pt idx="596">
                  <c:v>0.16745141160616314</c:v>
                </c:pt>
                <c:pt idx="597">
                  <c:v>0.16746412274380668</c:v>
                </c:pt>
                <c:pt idx="598">
                  <c:v>0.16747677048438675</c:v>
                </c:pt>
                <c:pt idx="599">
                  <c:v>0.16748935514409752</c:v>
                </c:pt>
                <c:pt idx="600">
                  <c:v>0.16750187703755612</c:v>
                </c:pt>
                <c:pt idx="601">
                  <c:v>0.16751433647781055</c:v>
                </c:pt>
                <c:pt idx="602">
                  <c:v>0.16752673377634747</c:v>
                </c:pt>
                <c:pt idx="603">
                  <c:v>0.16753906924309997</c:v>
                </c:pt>
                <c:pt idx="604">
                  <c:v>0.16755134318645537</c:v>
                </c:pt>
                <c:pt idx="605">
                  <c:v>0.16756355591326288</c:v>
                </c:pt>
                <c:pt idx="606">
                  <c:v>0.16757570772884137</c:v>
                </c:pt>
                <c:pt idx="607">
                  <c:v>0.16758779893698678</c:v>
                </c:pt>
                <c:pt idx="608">
                  <c:v>0.16759982983998001</c:v>
                </c:pt>
                <c:pt idx="609">
                  <c:v>0.16761180073859422</c:v>
                </c:pt>
                <c:pt idx="610">
                  <c:v>0.16762371193210249</c:v>
                </c:pt>
                <c:pt idx="611">
                  <c:v>0.16763556371828531</c:v>
                </c:pt>
                <c:pt idx="612">
                  <c:v>0.16764735639343792</c:v>
                </c:pt>
                <c:pt idx="613">
                  <c:v>0.16765909025237785</c:v>
                </c:pt>
                <c:pt idx="614">
                  <c:v>0.16767076558845218</c:v>
                </c:pt>
                <c:pt idx="615">
                  <c:v>0.16768238269354491</c:v>
                </c:pt>
                <c:pt idx="616">
                  <c:v>0.16769394185808423</c:v>
                </c:pt>
                <c:pt idx="617">
                  <c:v>0.16770544337104992</c:v>
                </c:pt>
                <c:pt idx="618">
                  <c:v>0.16771688751998037</c:v>
                </c:pt>
                <c:pt idx="619">
                  <c:v>0.16772827459097994</c:v>
                </c:pt>
                <c:pt idx="620">
                  <c:v>0.16773960486872594</c:v>
                </c:pt>
                <c:pt idx="621">
                  <c:v>0.16775087863647592</c:v>
                </c:pt>
                <c:pt idx="622">
                  <c:v>0.16776209617607468</c:v>
                </c:pt>
                <c:pt idx="623">
                  <c:v>0.16777325776796129</c:v>
                </c:pt>
                <c:pt idx="624">
                  <c:v>0.16778436369117611</c:v>
                </c:pt>
                <c:pt idx="625">
                  <c:v>0.16779541422336783</c:v>
                </c:pt>
                <c:pt idx="626">
                  <c:v>0.16780640964080029</c:v>
                </c:pt>
                <c:pt idx="627">
                  <c:v>0.16781735021835953</c:v>
                </c:pt>
                <c:pt idx="628">
                  <c:v>0.16782823622956056</c:v>
                </c:pt>
                <c:pt idx="629">
                  <c:v>0.16783906794655418</c:v>
                </c:pt>
                <c:pt idx="630">
                  <c:v>0.16784984564013394</c:v>
                </c:pt>
                <c:pt idx="631">
                  <c:v>0.16786056957974274</c:v>
                </c:pt>
                <c:pt idx="632">
                  <c:v>0.16787124003347959</c:v>
                </c:pt>
                <c:pt idx="633">
                  <c:v>0.16788185726810639</c:v>
                </c:pt>
                <c:pt idx="634">
                  <c:v>0.16789242154905457</c:v>
                </c:pt>
                <c:pt idx="635">
                  <c:v>0.1679029331404317</c:v>
                </c:pt>
                <c:pt idx="636">
                  <c:v>0.16791339230502816</c:v>
                </c:pt>
                <c:pt idx="637">
                  <c:v>0.16792379930432352</c:v>
                </c:pt>
                <c:pt idx="638">
                  <c:v>0.16793415439849338</c:v>
                </c:pt>
                <c:pt idx="639">
                  <c:v>0.1679444578464156</c:v>
                </c:pt>
                <c:pt idx="640">
                  <c:v>0.16795470990567693</c:v>
                </c:pt>
                <c:pt idx="641">
                  <c:v>0.16796491083257936</c:v>
                </c:pt>
                <c:pt idx="642">
                  <c:v>0.16797506088214662</c:v>
                </c:pt>
                <c:pt idx="643">
                  <c:v>0.16798516030813046</c:v>
                </c:pt>
                <c:pt idx="644">
                  <c:v>0.16799520936301707</c:v>
                </c:pt>
                <c:pt idx="645">
                  <c:v>0.16800520829803334</c:v>
                </c:pt>
                <c:pt idx="646">
                  <c:v>0.16801515736315314</c:v>
                </c:pt>
                <c:pt idx="647">
                  <c:v>0.16802505680710367</c:v>
                </c:pt>
                <c:pt idx="648">
                  <c:v>0.16803490687737155</c:v>
                </c:pt>
                <c:pt idx="649">
                  <c:v>0.16804470782020897</c:v>
                </c:pt>
                <c:pt idx="650">
                  <c:v>0.16805445988064005</c:v>
                </c:pt>
                <c:pt idx="651">
                  <c:v>0.16806416330246682</c:v>
                </c:pt>
                <c:pt idx="652">
                  <c:v>0.16807381832827534</c:v>
                </c:pt>
                <c:pt idx="653">
                  <c:v>0.16808342519944175</c:v>
                </c:pt>
                <c:pt idx="654">
                  <c:v>0.16809298415613833</c:v>
                </c:pt>
                <c:pt idx="655">
                  <c:v>0.16810249543733946</c:v>
                </c:pt>
                <c:pt idx="656">
                  <c:v>0.1681119592808277</c:v>
                </c:pt>
                <c:pt idx="657">
                  <c:v>0.16812137592319965</c:v>
                </c:pt>
                <c:pt idx="658">
                  <c:v>0.16813074559987179</c:v>
                </c:pt>
                <c:pt idx="659">
                  <c:v>0.16814006854508662</c:v>
                </c:pt>
                <c:pt idx="660">
                  <c:v>0.16814934499191819</c:v>
                </c:pt>
                <c:pt idx="661">
                  <c:v>0.16815857517227817</c:v>
                </c:pt>
                <c:pt idx="662">
                  <c:v>0.16816775931692152</c:v>
                </c:pt>
                <c:pt idx="663">
                  <c:v>0.16817689765545241</c:v>
                </c:pt>
                <c:pt idx="664">
                  <c:v>0.1681859904163297</c:v>
                </c:pt>
                <c:pt idx="665">
                  <c:v>0.16819503782687295</c:v>
                </c:pt>
                <c:pt idx="666">
                  <c:v>0.16820404011326784</c:v>
                </c:pt>
                <c:pt idx="667">
                  <c:v>0.168212997500572</c:v>
                </c:pt>
                <c:pt idx="668">
                  <c:v>0.16822191021272065</c:v>
                </c:pt>
                <c:pt idx="669">
                  <c:v>0.16823077847253198</c:v>
                </c:pt>
                <c:pt idx="670">
                  <c:v>0.16823960250171296</c:v>
                </c:pt>
                <c:pt idx="671">
                  <c:v>0.16824838252086483</c:v>
                </c:pt>
                <c:pt idx="672">
                  <c:v>0.16825711874948845</c:v>
                </c:pt>
                <c:pt idx="673">
                  <c:v>0.16826581140599009</c:v>
                </c:pt>
                <c:pt idx="674">
                  <c:v>0.16827446070768654</c:v>
                </c:pt>
                <c:pt idx="675">
                  <c:v>0.16828306687081079</c:v>
                </c:pt>
                <c:pt idx="676">
                  <c:v>0.1682916301105174</c:v>
                </c:pt>
                <c:pt idx="677">
                  <c:v>0.16830015064088777</c:v>
                </c:pt>
                <c:pt idx="678">
                  <c:v>0.16830862867493565</c:v>
                </c:pt>
                <c:pt idx="679">
                  <c:v>0.16831706442461231</c:v>
                </c:pt>
                <c:pt idx="680">
                  <c:v>0.16832545810081193</c:v>
                </c:pt>
                <c:pt idx="681">
                  <c:v>0.16833380991337688</c:v>
                </c:pt>
                <c:pt idx="682">
                  <c:v>0.16834212007110283</c:v>
                </c:pt>
                <c:pt idx="683">
                  <c:v>0.16835038878174424</c:v>
                </c:pt>
                <c:pt idx="684">
                  <c:v>0.16835861625201928</c:v>
                </c:pt>
                <c:pt idx="685">
                  <c:v>0.16836680268761511</c:v>
                </c:pt>
                <c:pt idx="686">
                  <c:v>0.16837494829319311</c:v>
                </c:pt>
                <c:pt idx="687">
                  <c:v>0.16838305327239378</c:v>
                </c:pt>
                <c:pt idx="688">
                  <c:v>0.16839111782784202</c:v>
                </c:pt>
                <c:pt idx="689">
                  <c:v>0.16839914216115218</c:v>
                </c:pt>
                <c:pt idx="690">
                  <c:v>0.16840712647293299</c:v>
                </c:pt>
                <c:pt idx="691">
                  <c:v>0.16841507096279265</c:v>
                </c:pt>
                <c:pt idx="692">
                  <c:v>0.16842297582934385</c:v>
                </c:pt>
                <c:pt idx="693">
                  <c:v>0.16843084127020863</c:v>
                </c:pt>
                <c:pt idx="694">
                  <c:v>0.16843866748202346</c:v>
                </c:pt>
                <c:pt idx="695">
                  <c:v>0.168446454660444</c:v>
                </c:pt>
                <c:pt idx="696">
                  <c:v>0.16845420300015015</c:v>
                </c:pt>
                <c:pt idx="697">
                  <c:v>0.16846191269485078</c:v>
                </c:pt>
                <c:pt idx="698">
                  <c:v>0.1684695839372887</c:v>
                </c:pt>
                <c:pt idx="699">
                  <c:v>0.16847721691924533</c:v>
                </c:pt>
                <c:pt idx="700">
                  <c:v>0.16848481183154562</c:v>
                </c:pt>
                <c:pt idx="701">
                  <c:v>0.16849236886406277</c:v>
                </c:pt>
                <c:pt idx="702">
                  <c:v>0.16849988820572304</c:v>
                </c:pt>
                <c:pt idx="703">
                  <c:v>0.16850737004451027</c:v>
                </c:pt>
                <c:pt idx="704">
                  <c:v>0.16851481456747092</c:v>
                </c:pt>
                <c:pt idx="705">
                  <c:v>0.16852222196071839</c:v>
                </c:pt>
                <c:pt idx="706">
                  <c:v>0.16852959240943791</c:v>
                </c:pt>
                <c:pt idx="707">
                  <c:v>0.16853692609789106</c:v>
                </c:pt>
                <c:pt idx="708">
                  <c:v>0.16854422320942047</c:v>
                </c:pt>
                <c:pt idx="709">
                  <c:v>0.1685514839264543</c:v>
                </c:pt>
                <c:pt idx="710">
                  <c:v>0.16855870843051085</c:v>
                </c:pt>
                <c:pt idx="711">
                  <c:v>0.16856589690220308</c:v>
                </c:pt>
                <c:pt idx="712">
                  <c:v>0.16857304952124319</c:v>
                </c:pt>
                <c:pt idx="713">
                  <c:v>0.168580166466447</c:v>
                </c:pt>
                <c:pt idx="714">
                  <c:v>0.16858724791573854</c:v>
                </c:pt>
                <c:pt idx="715">
                  <c:v>0.16859429404615436</c:v>
                </c:pt>
                <c:pt idx="716">
                  <c:v>0.16860130503384813</c:v>
                </c:pt>
                <c:pt idx="717">
                  <c:v>0.16860828105409492</c:v>
                </c:pt>
                <c:pt idx="718">
                  <c:v>0.16861522228129555</c:v>
                </c:pt>
                <c:pt idx="719">
                  <c:v>0.16862212888898109</c:v>
                </c:pt>
                <c:pt idx="720">
                  <c:v>0.1686290010498171</c:v>
                </c:pt>
                <c:pt idx="721">
                  <c:v>0.16863583893560796</c:v>
                </c:pt>
                <c:pt idx="722">
                  <c:v>0.16864264271730114</c:v>
                </c:pt>
                <c:pt idx="723">
                  <c:v>0.16864941256499155</c:v>
                </c:pt>
                <c:pt idx="724">
                  <c:v>0.16865614864792577</c:v>
                </c:pt>
                <c:pt idx="725">
                  <c:v>0.16866285113450619</c:v>
                </c:pt>
                <c:pt idx="726">
                  <c:v>0.16866952019229531</c:v>
                </c:pt>
                <c:pt idx="727">
                  <c:v>0.16867615598801994</c:v>
                </c:pt>
                <c:pt idx="728">
                  <c:v>0.16868275868757535</c:v>
                </c:pt>
                <c:pt idx="729">
                  <c:v>0.16868932845602932</c:v>
                </c:pt>
                <c:pt idx="730">
                  <c:v>0.16869586545762644</c:v>
                </c:pt>
                <c:pt idx="731">
                  <c:v>0.16870236985579207</c:v>
                </c:pt>
                <c:pt idx="732">
                  <c:v>0.1687088418131365</c:v>
                </c:pt>
                <c:pt idx="733">
                  <c:v>0.16871528149145903</c:v>
                </c:pt>
                <c:pt idx="734">
                  <c:v>0.16872168905175194</c:v>
                </c:pt>
                <c:pt idx="735">
                  <c:v>0.16872806465420453</c:v>
                </c:pt>
                <c:pt idx="736">
                  <c:v>0.16873440845820725</c:v>
                </c:pt>
                <c:pt idx="737">
                  <c:v>0.16874072062235551</c:v>
                </c:pt>
                <c:pt idx="738">
                  <c:v>0.16874700130445375</c:v>
                </c:pt>
                <c:pt idx="739">
                  <c:v>0.16875325066151931</c:v>
                </c:pt>
                <c:pt idx="740">
                  <c:v>0.16875946884978649</c:v>
                </c:pt>
                <c:pt idx="741">
                  <c:v>0.16876565602471033</c:v>
                </c:pt>
                <c:pt idx="742">
                  <c:v>0.16877181234097044</c:v>
                </c:pt>
                <c:pt idx="743">
                  <c:v>0.16877793795247514</c:v>
                </c:pt>
                <c:pt idx="744">
                  <c:v>0.16878403301236503</c:v>
                </c:pt>
                <c:pt idx="745">
                  <c:v>0.16879009767301686</c:v>
                </c:pt>
                <c:pt idx="746">
                  <c:v>0.16879613208604752</c:v>
                </c:pt>
                <c:pt idx="747">
                  <c:v>0.16880213640231762</c:v>
                </c:pt>
                <c:pt idx="748">
                  <c:v>0.16880811077193539</c:v>
                </c:pt>
                <c:pt idx="749">
                  <c:v>0.16881405534426036</c:v>
                </c:pt>
                <c:pt idx="750">
                  <c:v>0.16881997026790718</c:v>
                </c:pt>
                <c:pt idx="751">
                  <c:v>0.16882585569074926</c:v>
                </c:pt>
                <c:pt idx="752">
                  <c:v>0.16883171175992245</c:v>
                </c:pt>
                <c:pt idx="753">
                  <c:v>0.16883753862182876</c:v>
                </c:pt>
                <c:pt idx="754">
                  <c:v>0.16884333642214011</c:v>
                </c:pt>
                <c:pt idx="755">
                  <c:v>0.16884910530580177</c:v>
                </c:pt>
                <c:pt idx="756">
                  <c:v>0.1688548454170361</c:v>
                </c:pt>
                <c:pt idx="757">
                  <c:v>0.16886055689934623</c:v>
                </c:pt>
                <c:pt idx="758">
                  <c:v>0.16886623989551949</c:v>
                </c:pt>
                <c:pt idx="759">
                  <c:v>0.1688718945476311</c:v>
                </c:pt>
                <c:pt idx="760">
                  <c:v>0.16887752099704761</c:v>
                </c:pt>
                <c:pt idx="761">
                  <c:v>0.16888311938443062</c:v>
                </c:pt>
                <c:pt idx="762">
                  <c:v>0.16888868984974009</c:v>
                </c:pt>
                <c:pt idx="763">
                  <c:v>0.1688942325322379</c:v>
                </c:pt>
                <c:pt idx="764">
                  <c:v>0.16889974757049142</c:v>
                </c:pt>
                <c:pt idx="765">
                  <c:v>0.16890523510237687</c:v>
                </c:pt>
                <c:pt idx="766">
                  <c:v>0.1689106952650829</c:v>
                </c:pt>
                <c:pt idx="767">
                  <c:v>0.16891612819511381</c:v>
                </c:pt>
                <c:pt idx="768">
                  <c:v>0.16892153402829313</c:v>
                </c:pt>
                <c:pt idx="769">
                  <c:v>0.16892691289976702</c:v>
                </c:pt>
                <c:pt idx="770">
                  <c:v>0.16893226494400748</c:v>
                </c:pt>
                <c:pt idx="771">
                  <c:v>0.16893759029481595</c:v>
                </c:pt>
                <c:pt idx="772">
                  <c:v>0.16894288908532645</c:v>
                </c:pt>
                <c:pt idx="773">
                  <c:v>0.16894816144800903</c:v>
                </c:pt>
                <c:pt idx="774">
                  <c:v>0.16895340751467303</c:v>
                </c:pt>
                <c:pt idx="775">
                  <c:v>0.16895862741647039</c:v>
                </c:pt>
                <c:pt idx="776">
                  <c:v>0.16896382128389892</c:v>
                </c:pt>
                <c:pt idx="777">
                  <c:v>0.16896898924680553</c:v>
                </c:pt>
                <c:pt idx="778">
                  <c:v>0.16897413143438966</c:v>
                </c:pt>
                <c:pt idx="779">
                  <c:v>0.16897924797520625</c:v>
                </c:pt>
                <c:pt idx="780">
                  <c:v>0.168984338997169</c:v>
                </c:pt>
                <c:pt idx="781">
                  <c:v>0.1689894046275538</c:v>
                </c:pt>
                <c:pt idx="782">
                  <c:v>0.16899444499300165</c:v>
                </c:pt>
                <c:pt idx="783">
                  <c:v>0.16899946021952195</c:v>
                </c:pt>
                <c:pt idx="784">
                  <c:v>0.16900445043249562</c:v>
                </c:pt>
                <c:pt idx="785">
                  <c:v>0.16900941575667827</c:v>
                </c:pt>
                <c:pt idx="786">
                  <c:v>0.16901435631620326</c:v>
                </c:pt>
                <c:pt idx="787">
                  <c:v>0.16901927223458479</c:v>
                </c:pt>
                <c:pt idx="788">
                  <c:v>0.16902416363472111</c:v>
                </c:pt>
                <c:pt idx="789">
                  <c:v>0.16902903063889746</c:v>
                </c:pt>
                <c:pt idx="790">
                  <c:v>0.16903387336878925</c:v>
                </c:pt>
                <c:pt idx="791">
                  <c:v>0.16903869194546489</c:v>
                </c:pt>
                <c:pt idx="792">
                  <c:v>0.16904348648938916</c:v>
                </c:pt>
                <c:pt idx="793">
                  <c:v>0.16904825712042582</c:v>
                </c:pt>
                <c:pt idx="794">
                  <c:v>0.1690530039578409</c:v>
                </c:pt>
                <c:pt idx="795">
                  <c:v>0.16905772712030559</c:v>
                </c:pt>
                <c:pt idx="796">
                  <c:v>0.16906242672589927</c:v>
                </c:pt>
                <c:pt idx="797">
                  <c:v>0.16906710289211221</c:v>
                </c:pt>
                <c:pt idx="798">
                  <c:v>0.1690717557358489</c:v>
                </c:pt>
                <c:pt idx="799">
                  <c:v>0.16907638537343062</c:v>
                </c:pt>
                <c:pt idx="800">
                  <c:v>0.16908099192059858</c:v>
                </c:pt>
                <c:pt idx="801">
                  <c:v>0.16908557549251668</c:v>
                </c:pt>
                <c:pt idx="802">
                  <c:v>0.1690901362037745</c:v>
                </c:pt>
                <c:pt idx="803">
                  <c:v>0.16909467416838997</c:v>
                </c:pt>
                <c:pt idx="804">
                  <c:v>0.16909918949981254</c:v>
                </c:pt>
                <c:pt idx="805">
                  <c:v>0.16910368231092568</c:v>
                </c:pt>
                <c:pt idx="806">
                  <c:v>0.16910815271404989</c:v>
                </c:pt>
                <c:pt idx="807">
                  <c:v>0.16911260082094554</c:v>
                </c:pt>
                <c:pt idx="808">
                  <c:v>0.16911702674281545</c:v>
                </c:pt>
                <c:pt idx="809">
                  <c:v>0.16912143059030799</c:v>
                </c:pt>
                <c:pt idx="810">
                  <c:v>0.16912581247351949</c:v>
                </c:pt>
                <c:pt idx="811">
                  <c:v>0.1691301725019973</c:v>
                </c:pt>
                <c:pt idx="812">
                  <c:v>0.16913451078474237</c:v>
                </c:pt>
                <c:pt idx="813">
                  <c:v>0.16913882743021197</c:v>
                </c:pt>
                <c:pt idx="814">
                  <c:v>0.16914312254632247</c:v>
                </c:pt>
                <c:pt idx="815">
                  <c:v>0.169147396240452</c:v>
                </c:pt>
                <c:pt idx="816">
                  <c:v>0.16915164861944315</c:v>
                </c:pt>
                <c:pt idx="817">
                  <c:v>0.16915587978960561</c:v>
                </c:pt>
                <c:pt idx="818">
                  <c:v>0.16916008985671882</c:v>
                </c:pt>
                <c:pt idx="819">
                  <c:v>0.16916427892603469</c:v>
                </c:pt>
                <c:pt idx="820">
                  <c:v>0.16916844710228024</c:v>
                </c:pt>
                <c:pt idx="821">
                  <c:v>0.16917259448965999</c:v>
                </c:pt>
                <c:pt idx="822">
                  <c:v>0.16917672119185889</c:v>
                </c:pt>
                <c:pt idx="823">
                  <c:v>0.16918082731204473</c:v>
                </c:pt>
                <c:pt idx="824">
                  <c:v>0.16918491295287069</c:v>
                </c:pt>
                <c:pt idx="825">
                  <c:v>0.16918897821647805</c:v>
                </c:pt>
                <c:pt idx="826">
                  <c:v>0.16919302320449853</c:v>
                </c:pt>
                <c:pt idx="827">
                  <c:v>0.16919704801805713</c:v>
                </c:pt>
                <c:pt idx="828">
                  <c:v>0.16920105275777433</c:v>
                </c:pt>
                <c:pt idx="829">
                  <c:v>0.16920503752376886</c:v>
                </c:pt>
                <c:pt idx="830">
                  <c:v>0.16920900241566011</c:v>
                </c:pt>
                <c:pt idx="831">
                  <c:v>0.16921294753257055</c:v>
                </c:pt>
                <c:pt idx="832">
                  <c:v>0.16921687297312832</c:v>
                </c:pt>
                <c:pt idx="833">
                  <c:v>0.1692207788354696</c:v>
                </c:pt>
                <c:pt idx="834">
                  <c:v>0.16922466521724122</c:v>
                </c:pt>
                <c:pt idx="835">
                  <c:v>0.16922853221560286</c:v>
                </c:pt>
                <c:pt idx="836">
                  <c:v>0.16923237992722973</c:v>
                </c:pt>
                <c:pt idx="837">
                  <c:v>0.16923620844831477</c:v>
                </c:pt>
                <c:pt idx="838">
                  <c:v>0.16924001787457124</c:v>
                </c:pt>
                <c:pt idx="839">
                  <c:v>0.16924380830123503</c:v>
                </c:pt>
                <c:pt idx="840">
                  <c:v>0.16924757982306693</c:v>
                </c:pt>
                <c:pt idx="841">
                  <c:v>0.1692513325343552</c:v>
                </c:pt>
                <c:pt idx="842">
                  <c:v>0.16925506652891789</c:v>
                </c:pt>
                <c:pt idx="843">
                  <c:v>0.16925878190010496</c:v>
                </c:pt>
                <c:pt idx="844">
                  <c:v>0.16926247874080097</c:v>
                </c:pt>
                <c:pt idx="845">
                  <c:v>0.16926615714342708</c:v>
                </c:pt>
                <c:pt idx="846">
                  <c:v>0.16926981719994352</c:v>
                </c:pt>
                <c:pt idx="847">
                  <c:v>0.16927345900185195</c:v>
                </c:pt>
                <c:pt idx="848">
                  <c:v>0.16927708264019758</c:v>
                </c:pt>
                <c:pt idx="849">
                  <c:v>0.16928068820557157</c:v>
                </c:pt>
                <c:pt idx="850">
                  <c:v>0.16928427578811323</c:v>
                </c:pt>
                <c:pt idx="851">
                  <c:v>0.1692878454775123</c:v>
                </c:pt>
                <c:pt idx="852">
                  <c:v>0.16929139736301124</c:v>
                </c:pt>
                <c:pt idx="853">
                  <c:v>0.16929493153340736</c:v>
                </c:pt>
                <c:pt idx="854">
                  <c:v>0.16929844807705507</c:v>
                </c:pt>
                <c:pt idx="855">
                  <c:v>0.16930194708186816</c:v>
                </c:pt>
                <c:pt idx="856">
                  <c:v>0.16930542863532194</c:v>
                </c:pt>
                <c:pt idx="857">
                  <c:v>0.16930889282445544</c:v>
                </c:pt>
                <c:pt idx="858">
                  <c:v>0.16931233973587356</c:v>
                </c:pt>
                <c:pt idx="859">
                  <c:v>0.16931576945574928</c:v>
                </c:pt>
                <c:pt idx="860">
                  <c:v>0.16931918206982571</c:v>
                </c:pt>
                <c:pt idx="861">
                  <c:v>0.16932257766341846</c:v>
                </c:pt>
                <c:pt idx="862">
                  <c:v>0.1693259563214175</c:v>
                </c:pt>
                <c:pt idx="863">
                  <c:v>0.16932931812828947</c:v>
                </c:pt>
                <c:pt idx="864">
                  <c:v>0.16933266316807971</c:v>
                </c:pt>
                <c:pt idx="865">
                  <c:v>0.16933599152441442</c:v>
                </c:pt>
                <c:pt idx="866">
                  <c:v>0.16933930328050262</c:v>
                </c:pt>
                <c:pt idx="867">
                  <c:v>0.16934259851913847</c:v>
                </c:pt>
                <c:pt idx="868">
                  <c:v>0.16934587732270301</c:v>
                </c:pt>
                <c:pt idx="869">
                  <c:v>0.16934913977316657</c:v>
                </c:pt>
                <c:pt idx="870">
                  <c:v>0.16935238595209057</c:v>
                </c:pt>
                <c:pt idx="871">
                  <c:v>0.16935561594062959</c:v>
                </c:pt>
                <c:pt idx="872">
                  <c:v>0.16935882981953362</c:v>
                </c:pt>
                <c:pt idx="873">
                  <c:v>0.16936202766914973</c:v>
                </c:pt>
                <c:pt idx="874">
                  <c:v>0.16936520956942436</c:v>
                </c:pt>
                <c:pt idx="875">
                  <c:v>0.16936837559990511</c:v>
                </c:pt>
                <c:pt idx="876">
                  <c:v>0.16937152583974299</c:v>
                </c:pt>
                <c:pt idx="877">
                  <c:v>0.16937466036769414</c:v>
                </c:pt>
                <c:pt idx="878">
                  <c:v>0.16937777926212189</c:v>
                </c:pt>
                <c:pt idx="879">
                  <c:v>0.16938088260099882</c:v>
                </c:pt>
                <c:pt idx="880">
                  <c:v>0.16938397046190851</c:v>
                </c:pt>
                <c:pt idx="881">
                  <c:v>0.16938704292204765</c:v>
                </c:pt>
                <c:pt idx="882">
                  <c:v>0.16939010005822794</c:v>
                </c:pt>
                <c:pt idx="883">
                  <c:v>0.16939314194687791</c:v>
                </c:pt>
                <c:pt idx="884">
                  <c:v>0.16939616866404494</c:v>
                </c:pt>
                <c:pt idx="885">
                  <c:v>0.16939918028539713</c:v>
                </c:pt>
                <c:pt idx="886">
                  <c:v>0.16940217688622516</c:v>
                </c:pt>
                <c:pt idx="887">
                  <c:v>0.16940515854144422</c:v>
                </c:pt>
                <c:pt idx="888">
                  <c:v>0.16940812532559579</c:v>
                </c:pt>
                <c:pt idx="889">
                  <c:v>0.16941107731284971</c:v>
                </c:pt>
                <c:pt idx="890">
                  <c:v>0.16941401457700578</c:v>
                </c:pt>
                <c:pt idx="891">
                  <c:v>0.16941693719149575</c:v>
                </c:pt>
                <c:pt idx="892">
                  <c:v>0.16941984522938514</c:v>
                </c:pt>
                <c:pt idx="893">
                  <c:v>0.16942273876337505</c:v>
                </c:pt>
                <c:pt idx="894">
                  <c:v>0.16942561786580396</c:v>
                </c:pt>
                <c:pt idx="895">
                  <c:v>0.16942848260864962</c:v>
                </c:pt>
                <c:pt idx="896">
                  <c:v>0.16943133306353075</c:v>
                </c:pt>
                <c:pt idx="897">
                  <c:v>0.16943416930170879</c:v>
                </c:pt>
                <c:pt idx="898">
                  <c:v>0.16943699139408996</c:v>
                </c:pt>
                <c:pt idx="899">
                  <c:v>0.16943979941122661</c:v>
                </c:pt>
                <c:pt idx="900">
                  <c:v>0.16944259342331941</c:v>
                </c:pt>
                <c:pt idx="901">
                  <c:v>0.16944537350021874</c:v>
                </c:pt>
                <c:pt idx="902">
                  <c:v>0.16944813971142669</c:v>
                </c:pt>
                <c:pt idx="903">
                  <c:v>0.16945089212609868</c:v>
                </c:pt>
                <c:pt idx="904">
                  <c:v>0.16945363081304521</c:v>
                </c:pt>
                <c:pt idx="905">
                  <c:v>0.16945635584073365</c:v>
                </c:pt>
                <c:pt idx="906">
                  <c:v>0.16945906727728977</c:v>
                </c:pt>
                <c:pt idx="907">
                  <c:v>0.16946176519049963</c:v>
                </c:pt>
                <c:pt idx="908">
                  <c:v>0.16946444964781124</c:v>
                </c:pt>
                <c:pt idx="909">
                  <c:v>0.16946712071633613</c:v>
                </c:pt>
                <c:pt idx="910">
                  <c:v>0.16946977846285122</c:v>
                </c:pt>
                <c:pt idx="911">
                  <c:v>0.16947242295380022</c:v>
                </c:pt>
                <c:pt idx="912">
                  <c:v>0.1694750542552956</c:v>
                </c:pt>
                <c:pt idx="913">
                  <c:v>0.16947767243312004</c:v>
                </c:pt>
                <c:pt idx="914">
                  <c:v>0.1694802775527281</c:v>
                </c:pt>
                <c:pt idx="915">
                  <c:v>0.16948286967924789</c:v>
                </c:pt>
                <c:pt idx="916">
                  <c:v>0.16948544887748274</c:v>
                </c:pt>
                <c:pt idx="917">
                  <c:v>0.1694880152119127</c:v>
                </c:pt>
                <c:pt idx="918">
                  <c:v>0.16949056874669632</c:v>
                </c:pt>
                <c:pt idx="919">
                  <c:v>0.16949310954567209</c:v>
                </c:pt>
                <c:pt idx="920">
                  <c:v>0.16949563767236009</c:v>
                </c:pt>
                <c:pt idx="921">
                  <c:v>0.16949815318996359</c:v>
                </c:pt>
                <c:pt idx="922">
                  <c:v>0.16950065616137075</c:v>
                </c:pt>
                <c:pt idx="923">
                  <c:v>0.16950314664915592</c:v>
                </c:pt>
                <c:pt idx="924">
                  <c:v>0.16950562471558145</c:v>
                </c:pt>
                <c:pt idx="925">
                  <c:v>0.16950809042259909</c:v>
                </c:pt>
                <c:pt idx="926">
                  <c:v>0.16951054383185171</c:v>
                </c:pt>
                <c:pt idx="927">
                  <c:v>0.1695129850046746</c:v>
                </c:pt>
                <c:pt idx="928">
                  <c:v>0.16951541400209727</c:v>
                </c:pt>
                <c:pt idx="929">
                  <c:v>0.16951783088484473</c:v>
                </c:pt>
                <c:pt idx="930">
                  <c:v>0.16952023571333924</c:v>
                </c:pt>
                <c:pt idx="931">
                  <c:v>0.16952262854770156</c:v>
                </c:pt>
                <c:pt idx="932">
                  <c:v>0.16952500944775273</c:v>
                </c:pt>
                <c:pt idx="933">
                  <c:v>0.16952737847301533</c:v>
                </c:pt>
                <c:pt idx="934">
                  <c:v>0.16952973568271515</c:v>
                </c:pt>
                <c:pt idx="935">
                  <c:v>0.16953208113578255</c:v>
                </c:pt>
                <c:pt idx="936">
                  <c:v>0.16953441489085397</c:v>
                </c:pt>
                <c:pt idx="937">
                  <c:v>0.16953673700627342</c:v>
                </c:pt>
                <c:pt idx="938">
                  <c:v>0.16953904754009388</c:v>
                </c:pt>
                <c:pt idx="939">
                  <c:v>0.16954134655007885</c:v>
                </c:pt>
                <c:pt idx="940">
                  <c:v>0.16954363409370368</c:v>
                </c:pt>
                <c:pt idx="941">
                  <c:v>0.16954591022815707</c:v>
                </c:pt>
                <c:pt idx="942">
                  <c:v>0.16954817501034253</c:v>
                </c:pt>
                <c:pt idx="943">
                  <c:v>0.16955042849687973</c:v>
                </c:pt>
                <c:pt idx="944">
                  <c:v>0.1695526707441059</c:v>
                </c:pt>
                <c:pt idx="945">
                  <c:v>0.16955490180807742</c:v>
                </c:pt>
                <c:pt idx="946">
                  <c:v>0.16955712174457094</c:v>
                </c:pt>
                <c:pt idx="947">
                  <c:v>0.16955933060908498</c:v>
                </c:pt>
                <c:pt idx="948">
                  <c:v>0.1695615284568413</c:v>
                </c:pt>
                <c:pt idx="949">
                  <c:v>0.16956371534278625</c:v>
                </c:pt>
                <c:pt idx="950">
                  <c:v>0.169565891321592</c:v>
                </c:pt>
                <c:pt idx="951">
                  <c:v>0.16956805644765821</c:v>
                </c:pt>
                <c:pt idx="952">
                  <c:v>0.16957021077511308</c:v>
                </c:pt>
                <c:pt idx="953">
                  <c:v>0.16957235435781498</c:v>
                </c:pt>
                <c:pt idx="954">
                  <c:v>0.16957448724935353</c:v>
                </c:pt>
                <c:pt idx="955">
                  <c:v>0.16957660950305115</c:v>
                </c:pt>
                <c:pt idx="956">
                  <c:v>0.16957872117196432</c:v>
                </c:pt>
                <c:pt idx="957">
                  <c:v>0.16958082230888483</c:v>
                </c:pt>
                <c:pt idx="958">
                  <c:v>0.16958291296634123</c:v>
                </c:pt>
                <c:pt idx="959">
                  <c:v>0.16958499319660006</c:v>
                </c:pt>
                <c:pt idx="960">
                  <c:v>0.16958706305166721</c:v>
                </c:pt>
                <c:pt idx="961">
                  <c:v>0.16958912258328912</c:v>
                </c:pt>
                <c:pt idx="962">
                  <c:v>0.16959117184295422</c:v>
                </c:pt>
                <c:pt idx="963">
                  <c:v>0.16959321088189411</c:v>
                </c:pt>
                <c:pt idx="964">
                  <c:v>0.16959523975108484</c:v>
                </c:pt>
                <c:pt idx="965">
                  <c:v>0.16959725850124829</c:v>
                </c:pt>
                <c:pt idx="966">
                  <c:v>0.16959926718285329</c:v>
                </c:pt>
                <c:pt idx="967">
                  <c:v>0.16960126584611696</c:v>
                </c:pt>
                <c:pt idx="968">
                  <c:v>0.16960325454100605</c:v>
                </c:pt>
                <c:pt idx="969">
                  <c:v>0.16960523331723798</c:v>
                </c:pt>
                <c:pt idx="970">
                  <c:v>0.1696072022242823</c:v>
                </c:pt>
                <c:pt idx="971">
                  <c:v>0.16960916131136178</c:v>
                </c:pt>
                <c:pt idx="972">
                  <c:v>0.16961111062745365</c:v>
                </c:pt>
                <c:pt idx="973">
                  <c:v>0.16961305022129097</c:v>
                </c:pt>
                <c:pt idx="974">
                  <c:v>0.16961498014136367</c:v>
                </c:pt>
                <c:pt idx="975">
                  <c:v>0.16961690043591984</c:v>
                </c:pt>
                <c:pt idx="976">
                  <c:v>0.16961881115296695</c:v>
                </c:pt>
                <c:pt idx="977">
                  <c:v>0.16962071234027307</c:v>
                </c:pt>
                <c:pt idx="978">
                  <c:v>0.16962260404536791</c:v>
                </c:pt>
                <c:pt idx="979">
                  <c:v>0.16962448631554422</c:v>
                </c:pt>
                <c:pt idx="980">
                  <c:v>0.1696263591978589</c:v>
                </c:pt>
                <c:pt idx="981">
                  <c:v>0.16962822273913403</c:v>
                </c:pt>
                <c:pt idx="982">
                  <c:v>0.16963007698595828</c:v>
                </c:pt>
                <c:pt idx="983">
                  <c:v>0.16963192198468793</c:v>
                </c:pt>
                <c:pt idx="984">
                  <c:v>0.16963375778144801</c:v>
                </c:pt>
                <c:pt idx="985">
                  <c:v>0.16963558442213356</c:v>
                </c:pt>
                <c:pt idx="986">
                  <c:v>0.16963740195241067</c:v>
                </c:pt>
                <c:pt idx="987">
                  <c:v>0.16963921041771773</c:v>
                </c:pt>
                <c:pt idx="988">
                  <c:v>0.16964100986326641</c:v>
                </c:pt>
                <c:pt idx="989">
                  <c:v>0.169642800334043</c:v>
                </c:pt>
                <c:pt idx="990">
                  <c:v>0.16964458187480932</c:v>
                </c:pt>
                <c:pt idx="991">
                  <c:v>0.16964635453010402</c:v>
                </c:pt>
                <c:pt idx="992">
                  <c:v>0.16964811834424354</c:v>
                </c:pt>
                <c:pt idx="993">
                  <c:v>0.16964987336132334</c:v>
                </c:pt>
                <c:pt idx="994">
                  <c:v>0.16965161962521894</c:v>
                </c:pt>
                <c:pt idx="995">
                  <c:v>0.16965335717958702</c:v>
                </c:pt>
                <c:pt idx="996">
                  <c:v>0.16965508606786653</c:v>
                </c:pt>
                <c:pt idx="997">
                  <c:v>0.16965680633327979</c:v>
                </c:pt>
                <c:pt idx="998">
                  <c:v>0.16965851801883347</c:v>
                </c:pt>
                <c:pt idx="999">
                  <c:v>0.16966022116731988</c:v>
                </c:pt>
                <c:pt idx="1000">
                  <c:v>0.16966191582131776</c:v>
                </c:pt>
                <c:pt idx="1001">
                  <c:v>0.16966360202319355</c:v>
                </c:pt>
                <c:pt idx="1002">
                  <c:v>0.16966527981510243</c:v>
                </c:pt>
                <c:pt idx="1003">
                  <c:v>0.16966694923898923</c:v>
                </c:pt>
                <c:pt idx="1004">
                  <c:v>0.16966861033658964</c:v>
                </c:pt>
                <c:pt idx="1005">
                  <c:v>0.16967026314943123</c:v>
                </c:pt>
                <c:pt idx="1006">
                  <c:v>0.16967190771883439</c:v>
                </c:pt>
                <c:pt idx="1007">
                  <c:v>0.16967354408591345</c:v>
                </c:pt>
                <c:pt idx="1008">
                  <c:v>0.16967517229157761</c:v>
                </c:pt>
                <c:pt idx="1009">
                  <c:v>0.16967679237653216</c:v>
                </c:pt>
                <c:pt idx="1010">
                  <c:v>0.16967840438127929</c:v>
                </c:pt>
                <c:pt idx="1011">
                  <c:v>0.16968000834611921</c:v>
                </c:pt>
                <c:pt idx="1012">
                  <c:v>0.16968160431115109</c:v>
                </c:pt>
                <c:pt idx="1013">
                  <c:v>0.16968319231627421</c:v>
                </c:pt>
                <c:pt idx="1014">
                  <c:v>0.16968477240118868</c:v>
                </c:pt>
                <c:pt idx="1015">
                  <c:v>0.1696863446053968</c:v>
                </c:pt>
                <c:pt idx="1016">
                  <c:v>0.16968790896820374</c:v>
                </c:pt>
                <c:pt idx="1017">
                  <c:v>0.16968946552871858</c:v>
                </c:pt>
                <c:pt idx="1018">
                  <c:v>0.16969101432585548</c:v>
                </c:pt>
                <c:pt idx="1019">
                  <c:v>0.16969255539833444</c:v>
                </c:pt>
                <c:pt idx="1020">
                  <c:v>0.16969408878468234</c:v>
                </c:pt>
                <c:pt idx="1021">
                  <c:v>0.16969561452323395</c:v>
                </c:pt>
                <c:pt idx="1022">
                  <c:v>0.16969713265213276</c:v>
                </c:pt>
                <c:pt idx="1023">
                  <c:v>0.16969864320933209</c:v>
                </c:pt>
                <c:pt idx="1024">
                  <c:v>0.16970014623259599</c:v>
                </c:pt>
                <c:pt idx="1025">
                  <c:v>0.16970164175950006</c:v>
                </c:pt>
                <c:pt idx="1026">
                  <c:v>0.16970312982743258</c:v>
                </c:pt>
                <c:pt idx="1027">
                  <c:v>0.16970461047359536</c:v>
                </c:pt>
                <c:pt idx="1028">
                  <c:v>0.16970608373500456</c:v>
                </c:pt>
                <c:pt idx="1029">
                  <c:v>0.16970754964849183</c:v>
                </c:pt>
                <c:pt idx="1030">
                  <c:v>0.16970900825070506</c:v>
                </c:pt>
                <c:pt idx="1031">
                  <c:v>0.16971045957810943</c:v>
                </c:pt>
                <c:pt idx="1032">
                  <c:v>0.16971190366698818</c:v>
                </c:pt>
                <c:pt idx="1033">
                  <c:v>0.16971334055344359</c:v>
                </c:pt>
                <c:pt idx="1034">
                  <c:v>0.1697147702733979</c:v>
                </c:pt>
                <c:pt idx="1035">
                  <c:v>0.16971619286259421</c:v>
                </c:pt>
                <c:pt idx="1036">
                  <c:v>0.16971760835659727</c:v>
                </c:pt>
                <c:pt idx="1037">
                  <c:v>0.16971901679079454</c:v>
                </c:pt>
                <c:pt idx="1038">
                  <c:v>0.16972041820039696</c:v>
                </c:pt>
                <c:pt idx="1039">
                  <c:v>0.16972181262043984</c:v>
                </c:pt>
                <c:pt idx="1040">
                  <c:v>0.16972320008578373</c:v>
                </c:pt>
                <c:pt idx="1041">
                  <c:v>0.16972458063111534</c:v>
                </c:pt>
                <c:pt idx="1042">
                  <c:v>0.16972595429094839</c:v>
                </c:pt>
                <c:pt idx="1043">
                  <c:v>0.16972732109962446</c:v>
                </c:pt>
                <c:pt idx="1044">
                  <c:v>0.16972868109131378</c:v>
                </c:pt>
                <c:pt idx="1045">
                  <c:v>0.16973003430001629</c:v>
                </c:pt>
                <c:pt idx="1046">
                  <c:v>0.16973138075956223</c:v>
                </c:pt>
                <c:pt idx="1047">
                  <c:v>0.16973272050361315</c:v>
                </c:pt>
                <c:pt idx="1048">
                  <c:v>0.16973405356566273</c:v>
                </c:pt>
                <c:pt idx="1049">
                  <c:v>0.16973537997903765</c:v>
                </c:pt>
                <c:pt idx="1050">
                  <c:v>0.1697366997768982</c:v>
                </c:pt>
                <c:pt idx="1051">
                  <c:v>0.16973801299223951</c:v>
                </c:pt>
                <c:pt idx="1052">
                  <c:v>0.16973931965789196</c:v>
                </c:pt>
                <c:pt idx="1053">
                  <c:v>0.16974061980652227</c:v>
                </c:pt>
                <c:pt idx="1054">
                  <c:v>0.16974191347063428</c:v>
                </c:pt>
                <c:pt idx="1055">
                  <c:v>0.16974320068256954</c:v>
                </c:pt>
                <c:pt idx="1056">
                  <c:v>0.16974448147450855</c:v>
                </c:pt>
                <c:pt idx="1057">
                  <c:v>0.16974575587847107</c:v>
                </c:pt>
                <c:pt idx="1058">
                  <c:v>0.16974702392631735</c:v>
                </c:pt>
                <c:pt idx="1059">
                  <c:v>0.16974828564974859</c:v>
                </c:pt>
                <c:pt idx="1060">
                  <c:v>0.16974954108030799</c:v>
                </c:pt>
                <c:pt idx="1061">
                  <c:v>0.16975079024938133</c:v>
                </c:pt>
                <c:pt idx="1062">
                  <c:v>0.16975203318819793</c:v>
                </c:pt>
                <c:pt idx="1063">
                  <c:v>0.1697532699278313</c:v>
                </c:pt>
                <c:pt idx="1064">
                  <c:v>0.16975450049920005</c:v>
                </c:pt>
                <c:pt idx="1065">
                  <c:v>0.16975572493306845</c:v>
                </c:pt>
                <c:pt idx="1066">
                  <c:v>0.16975694326004748</c:v>
                </c:pt>
                <c:pt idx="1067">
                  <c:v>0.16975815551059537</c:v>
                </c:pt>
                <c:pt idx="1068">
                  <c:v>0.1697593617150184</c:v>
                </c:pt>
                <c:pt idx="1069">
                  <c:v>0.16976056190347177</c:v>
                </c:pt>
                <c:pt idx="1070">
                  <c:v>0.16976175610596028</c:v>
                </c:pt>
                <c:pt idx="1071">
                  <c:v>0.16976294435233902</c:v>
                </c:pt>
                <c:pt idx="1072">
                  <c:v>0.16976412667231422</c:v>
                </c:pt>
                <c:pt idx="1073">
                  <c:v>0.16976530309544396</c:v>
                </c:pt>
                <c:pt idx="1074">
                  <c:v>0.16976647365113884</c:v>
                </c:pt>
                <c:pt idx="1075">
                  <c:v>0.16976763836866282</c:v>
                </c:pt>
                <c:pt idx="1076">
                  <c:v>0.16976879727713395</c:v>
                </c:pt>
                <c:pt idx="1077">
                  <c:v>0.16976995040552495</c:v>
                </c:pt>
                <c:pt idx="1078">
                  <c:v>0.16977109778266414</c:v>
                </c:pt>
                <c:pt idx="1079">
                  <c:v>0.16977223943723591</c:v>
                </c:pt>
                <c:pt idx="1080">
                  <c:v>0.16977337539778181</c:v>
                </c:pt>
                <c:pt idx="1081">
                  <c:v>0.16977450569270081</c:v>
                </c:pt>
                <c:pt idx="1082">
                  <c:v>0.16977563035025039</c:v>
                </c:pt>
                <c:pt idx="1083">
                  <c:v>0.16977674939854703</c:v>
                </c:pt>
                <c:pt idx="1084">
                  <c:v>0.16977786286556706</c:v>
                </c:pt>
                <c:pt idx="1085">
                  <c:v>0.16977897077914711</c:v>
                </c:pt>
                <c:pt idx="1086">
                  <c:v>0.16978007316698512</c:v>
                </c:pt>
                <c:pt idx="1087">
                  <c:v>0.1697811700566409</c:v>
                </c:pt>
                <c:pt idx="1088">
                  <c:v>0.16978226147553666</c:v>
                </c:pt>
                <c:pt idx="1089">
                  <c:v>0.16978334745095797</c:v>
                </c:pt>
                <c:pt idx="1090">
                  <c:v>0.16978442801005428</c:v>
                </c:pt>
                <c:pt idx="1091">
                  <c:v>0.16978550317983959</c:v>
                </c:pt>
                <c:pt idx="1092">
                  <c:v>0.16978657298719324</c:v>
                </c:pt>
                <c:pt idx="1093">
                  <c:v>0.16978763745886047</c:v>
                </c:pt>
                <c:pt idx="1094">
                  <c:v>0.1697886966214531</c:v>
                </c:pt>
                <c:pt idx="1095">
                  <c:v>0.16978975050145026</c:v>
                </c:pt>
                <c:pt idx="1096">
                  <c:v>0.16979079912519901</c:v>
                </c:pt>
                <c:pt idx="1097">
                  <c:v>0.16979184251891499</c:v>
                </c:pt>
                <c:pt idx="1098">
                  <c:v>0.16979288070868309</c:v>
                </c:pt>
                <c:pt idx="1099">
                  <c:v>0.16979391372045813</c:v>
                </c:pt>
                <c:pt idx="1100">
                  <c:v>0.16979494158006547</c:v>
                </c:pt>
                <c:pt idx="1101">
                  <c:v>0.1697959643132016</c:v>
                </c:pt>
                <c:pt idx="1102">
                  <c:v>0.16979698194543494</c:v>
                </c:pt>
                <c:pt idx="1103">
                  <c:v>0.16979799450220634</c:v>
                </c:pt>
                <c:pt idx="1104">
                  <c:v>0.16979900200882977</c:v>
                </c:pt>
                <c:pt idx="1105">
                  <c:v>0.16980000449049298</c:v>
                </c:pt>
                <c:pt idx="1106">
                  <c:v>0.169801001972258</c:v>
                </c:pt>
                <c:pt idx="1107">
                  <c:v>0.16980199447906197</c:v>
                </c:pt>
                <c:pt idx="1108">
                  <c:v>0.16980298203571764</c:v>
                </c:pt>
                <c:pt idx="1109">
                  <c:v>0.16980396466691389</c:v>
                </c:pt>
                <c:pt idx="1110">
                  <c:v>0.16980494239721663</c:v>
                </c:pt>
                <c:pt idx="1111">
                  <c:v>0.16980591525106914</c:v>
                </c:pt>
                <c:pt idx="1112">
                  <c:v>0.16980688325279281</c:v>
                </c:pt>
                <c:pt idx="1113">
                  <c:v>0.16980784642658775</c:v>
                </c:pt>
                <c:pt idx="1114">
                  <c:v>0.16980880479653335</c:v>
                </c:pt>
                <c:pt idx="1115">
                  <c:v>0.1698097583865889</c:v>
                </c:pt>
                <c:pt idx="1116">
                  <c:v>0.16981070722059421</c:v>
                </c:pt>
                <c:pt idx="1117">
                  <c:v>0.16981165132227016</c:v>
                </c:pt>
                <c:pt idx="1118">
                  <c:v>0.16981259071521937</c:v>
                </c:pt>
                <c:pt idx="1119">
                  <c:v>0.16981352542292671</c:v>
                </c:pt>
                <c:pt idx="1120">
                  <c:v>0.1698144554687599</c:v>
                </c:pt>
                <c:pt idx="1121">
                  <c:v>0.16981538087597015</c:v>
                </c:pt>
                <c:pt idx="1122">
                  <c:v>0.16981630166769268</c:v>
                </c:pt>
                <c:pt idx="1123">
                  <c:v>0.16981721786694731</c:v>
                </c:pt>
                <c:pt idx="1124">
                  <c:v>0.1698181294966391</c:v>
                </c:pt>
                <c:pt idx="1125">
                  <c:v>0.16981903657955888</c:v>
                </c:pt>
                <c:pt idx="1126">
                  <c:v>0.16981993913838367</c:v>
                </c:pt>
                <c:pt idx="1127">
                  <c:v>0.16982083719567759</c:v>
                </c:pt>
                <c:pt idx="1128">
                  <c:v>0.16982173077389204</c:v>
                </c:pt>
                <c:pt idx="1129">
                  <c:v>0.16982261989536657</c:v>
                </c:pt>
                <c:pt idx="1130">
                  <c:v>0.1698235045823292</c:v>
                </c:pt>
                <c:pt idx="1131">
                  <c:v>0.16982438485689724</c:v>
                </c:pt>
                <c:pt idx="1132">
                  <c:v>0.16982526074107757</c:v>
                </c:pt>
                <c:pt idx="1133">
                  <c:v>0.16982613225676729</c:v>
                </c:pt>
                <c:pt idx="1134">
                  <c:v>0.16982699942575435</c:v>
                </c:pt>
                <c:pt idx="1135">
                  <c:v>0.16982786226971811</c:v>
                </c:pt>
                <c:pt idx="1136">
                  <c:v>0.16982872081022959</c:v>
                </c:pt>
                <c:pt idx="1137">
                  <c:v>0.16982957506875246</c:v>
                </c:pt>
                <c:pt idx="1138">
                  <c:v>0.16983042506664314</c:v>
                </c:pt>
                <c:pt idx="1139">
                  <c:v>0.16983127082515165</c:v>
                </c:pt>
                <c:pt idx="1140">
                  <c:v>0.16983211236542201</c:v>
                </c:pt>
                <c:pt idx="1141">
                  <c:v>0.16983294970849278</c:v>
                </c:pt>
                <c:pt idx="1142">
                  <c:v>0.16983378287529752</c:v>
                </c:pt>
                <c:pt idx="1143">
                  <c:v>0.16983461188666549</c:v>
                </c:pt>
                <c:pt idx="1144">
                  <c:v>0.16983543676332202</c:v>
                </c:pt>
                <c:pt idx="1145">
                  <c:v>0.1698362575258891</c:v>
                </c:pt>
                <c:pt idx="1146">
                  <c:v>0.16983707419488575</c:v>
                </c:pt>
                <c:pt idx="1147">
                  <c:v>0.16983788679072881</c:v>
                </c:pt>
                <c:pt idx="1148">
                  <c:v>0.16983869533373319</c:v>
                </c:pt>
                <c:pt idx="1149">
                  <c:v>0.16983949984411251</c:v>
                </c:pt>
                <c:pt idx="1150">
                  <c:v>0.16984030034197958</c:v>
                </c:pt>
                <c:pt idx="1151">
                  <c:v>0.16984109684734688</c:v>
                </c:pt>
                <c:pt idx="1152">
                  <c:v>0.16984188938012709</c:v>
                </c:pt>
                <c:pt idx="1153">
                  <c:v>0.16984267796013358</c:v>
                </c:pt>
                <c:pt idx="1154">
                  <c:v>0.16984346260708083</c:v>
                </c:pt>
                <c:pt idx="1155">
                  <c:v>0.16984424334058518</c:v>
                </c:pt>
                <c:pt idx="1156">
                  <c:v>0.16984502018016487</c:v>
                </c:pt>
                <c:pt idx="1157">
                  <c:v>0.16984579314524101</c:v>
                </c:pt>
                <c:pt idx="1158">
                  <c:v>0.16984656225513775</c:v>
                </c:pt>
                <c:pt idx="1159">
                  <c:v>0.16984732752908288</c:v>
                </c:pt>
                <c:pt idx="1160">
                  <c:v>0.16984808898620829</c:v>
                </c:pt>
                <c:pt idx="1161">
                  <c:v>0.16984884664555044</c:v>
                </c:pt>
                <c:pt idx="1162">
                  <c:v>0.16984960052605086</c:v>
                </c:pt>
                <c:pt idx="1163">
                  <c:v>0.16985035064655657</c:v>
                </c:pt>
                <c:pt idx="1164">
                  <c:v>0.16985109702582069</c:v>
                </c:pt>
                <c:pt idx="1165">
                  <c:v>0.16985183968250267</c:v>
                </c:pt>
                <c:pt idx="1166">
                  <c:v>0.169852578635169</c:v>
                </c:pt>
                <c:pt idx="1167">
                  <c:v>0.16985331390229352</c:v>
                </c:pt>
                <c:pt idx="1168">
                  <c:v>0.16985404550225799</c:v>
                </c:pt>
                <c:pt idx="1169">
                  <c:v>0.1698547734533524</c:v>
                </c:pt>
                <c:pt idx="1170">
                  <c:v>0.16985549777377557</c:v>
                </c:pt>
                <c:pt idx="1171">
                  <c:v>0.16985621848163557</c:v>
                </c:pt>
                <c:pt idx="1172">
                  <c:v>0.16985693559495013</c:v>
                </c:pt>
                <c:pt idx="1173">
                  <c:v>0.16985764913164711</c:v>
                </c:pt>
                <c:pt idx="1174">
                  <c:v>0.16985835910956495</c:v>
                </c:pt>
                <c:pt idx="1175">
                  <c:v>0.16985906554645316</c:v>
                </c:pt>
                <c:pt idx="1176">
                  <c:v>0.16985976845997269</c:v>
                </c:pt>
                <c:pt idx="1177">
                  <c:v>0.16986046786769643</c:v>
                </c:pt>
                <c:pt idx="1178">
                  <c:v>0.16986116378710958</c:v>
                </c:pt>
                <c:pt idx="1179">
                  <c:v>0.16986185623561018</c:v>
                </c:pt>
                <c:pt idx="1180">
                  <c:v>0.16986254523050948</c:v>
                </c:pt>
                <c:pt idx="1181">
                  <c:v>0.16986323078903237</c:v>
                </c:pt>
                <c:pt idx="1182">
                  <c:v>0.16986391292831787</c:v>
                </c:pt>
                <c:pt idx="1183">
                  <c:v>0.16986459166541951</c:v>
                </c:pt>
                <c:pt idx="1184">
                  <c:v>0.1698652670173057</c:v>
                </c:pt>
                <c:pt idx="1185">
                  <c:v>0.16986593900086033</c:v>
                </c:pt>
                <c:pt idx="1186">
                  <c:v>0.16986660763288297</c:v>
                </c:pt>
                <c:pt idx="1187">
                  <c:v>0.16986727293008952</c:v>
                </c:pt>
                <c:pt idx="1188">
                  <c:v>0.16986793490911239</c:v>
                </c:pt>
                <c:pt idx="1189">
                  <c:v>0.16986859358650111</c:v>
                </c:pt>
                <c:pt idx="1190">
                  <c:v>0.16986924897872263</c:v>
                </c:pt>
                <c:pt idx="1191">
                  <c:v>0.16986990110216185</c:v>
                </c:pt>
                <c:pt idx="1192">
                  <c:v>0.16987054997312184</c:v>
                </c:pt>
                <c:pt idx="1193">
                  <c:v>0.16987119560782438</c:v>
                </c:pt>
                <c:pt idx="1194">
                  <c:v>0.16987183802241046</c:v>
                </c:pt>
                <c:pt idx="1195">
                  <c:v>0.16987247723294036</c:v>
                </c:pt>
                <c:pt idx="1196">
                  <c:v>0.1698731132553945</c:v>
                </c:pt>
                <c:pt idx="1197">
                  <c:v>0.16987374610567338</c:v>
                </c:pt>
                <c:pt idx="1198">
                  <c:v>0.16987437579959835</c:v>
                </c:pt>
                <c:pt idx="1199">
                  <c:v>0.16987500235291175</c:v>
                </c:pt>
                <c:pt idx="1200">
                  <c:v>0.16987562578127746</c:v>
                </c:pt>
                <c:pt idx="1201">
                  <c:v>0.16987624610028124</c:v>
                </c:pt>
                <c:pt idx="1202">
                  <c:v>0.16987686332543106</c:v>
                </c:pt>
                <c:pt idx="1203">
                  <c:v>0.16987747747215765</c:v>
                </c:pt>
                <c:pt idx="1204">
                  <c:v>0.1698780885558146</c:v>
                </c:pt>
                <c:pt idx="1205">
                  <c:v>0.16987869659167915</c:v>
                </c:pt>
                <c:pt idx="1206">
                  <c:v>0.16987930159495213</c:v>
                </c:pt>
                <c:pt idx="1207">
                  <c:v>0.16987990358075872</c:v>
                </c:pt>
                <c:pt idx="1208">
                  <c:v>0.16988050256414855</c:v>
                </c:pt>
                <c:pt idx="1209">
                  <c:v>0.16988109856009631</c:v>
                </c:pt>
                <c:pt idx="1210">
                  <c:v>0.16988169158350186</c:v>
                </c:pt>
                <c:pt idx="1211">
                  <c:v>0.16988228164919081</c:v>
                </c:pt>
                <c:pt idx="1212">
                  <c:v>0.16988286877191489</c:v>
                </c:pt>
                <c:pt idx="1213">
                  <c:v>0.16988345296635213</c:v>
                </c:pt>
                <c:pt idx="1214">
                  <c:v>0.16988403424710746</c:v>
                </c:pt>
                <c:pt idx="1215">
                  <c:v>0.16988461262871296</c:v>
                </c:pt>
                <c:pt idx="1216">
                  <c:v>0.16988518812562817</c:v>
                </c:pt>
                <c:pt idx="1217">
                  <c:v>0.16988576075224052</c:v>
                </c:pt>
                <c:pt idx="1218">
                  <c:v>0.16988633052286573</c:v>
                </c:pt>
                <c:pt idx="1219">
                  <c:v>0.16988689745174809</c:v>
                </c:pt>
                <c:pt idx="1220">
                  <c:v>0.16988746155306086</c:v>
                </c:pt>
                <c:pt idx="1221">
                  <c:v>0.16988802284090659</c:v>
                </c:pt>
                <c:pt idx="1222">
                  <c:v>0.1698885813293175</c:v>
                </c:pt>
                <c:pt idx="1223">
                  <c:v>0.16988913703225589</c:v>
                </c:pt>
                <c:pt idx="1224">
                  <c:v>0.16988968996361425</c:v>
                </c:pt>
                <c:pt idx="1225">
                  <c:v>0.16989024013721599</c:v>
                </c:pt>
                <c:pt idx="1226">
                  <c:v>0.16989078756681542</c:v>
                </c:pt>
                <c:pt idx="1227">
                  <c:v>0.16989133226609837</c:v>
                </c:pt>
                <c:pt idx="1228">
                  <c:v>0.16989187424868227</c:v>
                </c:pt>
                <c:pt idx="1229">
                  <c:v>0.16989241352811679</c:v>
                </c:pt>
                <c:pt idx="1230">
                  <c:v>0.16989295011788388</c:v>
                </c:pt>
                <c:pt idx="1231">
                  <c:v>0.16989348403139837</c:v>
                </c:pt>
                <c:pt idx="1232">
                  <c:v>0.16989401528200807</c:v>
                </c:pt>
                <c:pt idx="1233">
                  <c:v>0.1698945438829943</c:v>
                </c:pt>
                <c:pt idx="1234">
                  <c:v>0.16989506984757213</c:v>
                </c:pt>
                <c:pt idx="1235">
                  <c:v>0.16989559318889069</c:v>
                </c:pt>
                <c:pt idx="1236">
                  <c:v>0.16989611392003351</c:v>
                </c:pt>
                <c:pt idx="1237">
                  <c:v>0.16989663205401895</c:v>
                </c:pt>
                <c:pt idx="1238">
                  <c:v>0.16989714760380031</c:v>
                </c:pt>
                <c:pt idx="1239">
                  <c:v>0.16989766058226646</c:v>
                </c:pt>
                <c:pt idx="1240">
                  <c:v>0.1698981710022418</c:v>
                </c:pt>
                <c:pt idx="1241">
                  <c:v>0.16989867887648691</c:v>
                </c:pt>
                <c:pt idx="1242">
                  <c:v>0.16989918421769867</c:v>
                </c:pt>
                <c:pt idx="1243">
                  <c:v>0.16989968703851061</c:v>
                </c:pt>
                <c:pt idx="1244">
                  <c:v>0.16990018735149326</c:v>
                </c:pt>
                <c:pt idx="1245">
                  <c:v>0.16990068516915452</c:v>
                </c:pt>
                <c:pt idx="1246">
                  <c:v>0.16990118050393985</c:v>
                </c:pt>
                <c:pt idx="1247">
                  <c:v>0.16990167336823261</c:v>
                </c:pt>
                <c:pt idx="1248">
                  <c:v>0.16990216377435446</c:v>
                </c:pt>
                <c:pt idx="1249">
                  <c:v>0.16990265173456559</c:v>
                </c:pt>
                <c:pt idx="1250">
                  <c:v>0.16990313726106498</c:v>
                </c:pt>
                <c:pt idx="1251">
                  <c:v>0.16990362036599088</c:v>
                </c:pt>
                <c:pt idx="1252">
                  <c:v>0.1699041010614209</c:v>
                </c:pt>
                <c:pt idx="1253">
                  <c:v>0.16990457935937248</c:v>
                </c:pt>
                <c:pt idx="1254">
                  <c:v>0.16990505527180305</c:v>
                </c:pt>
                <c:pt idx="1255">
                  <c:v>0.1699055288106105</c:v>
                </c:pt>
                <c:pt idx="1256">
                  <c:v>0.16990599998763325</c:v>
                </c:pt>
                <c:pt idx="1257">
                  <c:v>0.16990646881465082</c:v>
                </c:pt>
                <c:pt idx="1258">
                  <c:v>0.16990693530338388</c:v>
                </c:pt>
                <c:pt idx="1259">
                  <c:v>0.16990739946549469</c:v>
                </c:pt>
                <c:pt idx="1260">
                  <c:v>0.16990786131258728</c:v>
                </c:pt>
                <c:pt idx="1261">
                  <c:v>0.16990832085620794</c:v>
                </c:pt>
                <c:pt idx="1262">
                  <c:v>0.16990877810784519</c:v>
                </c:pt>
                <c:pt idx="1263">
                  <c:v>0.16990923307893038</c:v>
                </c:pt>
                <c:pt idx="1264">
                  <c:v>0.16990968578083784</c:v>
                </c:pt>
                <c:pt idx="1265">
                  <c:v>0.1699101362248851</c:v>
                </c:pt>
                <c:pt idx="1266">
                  <c:v>0.16991058442233331</c:v>
                </c:pt>
                <c:pt idx="1267">
                  <c:v>0.16991103038438743</c:v>
                </c:pt>
                <c:pt idx="1268">
                  <c:v>0.16991147412219651</c:v>
                </c:pt>
                <c:pt idx="1269">
                  <c:v>0.16991191564685404</c:v>
                </c:pt>
                <c:pt idx="1270">
                  <c:v>0.16991235496939816</c:v>
                </c:pt>
                <c:pt idx="1271">
                  <c:v>0.16991279210081195</c:v>
                </c:pt>
                <c:pt idx="1272">
                  <c:v>0.16991322705202372</c:v>
                </c:pt>
                <c:pt idx="1273">
                  <c:v>0.16991365983390727</c:v>
                </c:pt>
                <c:pt idx="1274">
                  <c:v>0.16991409045728215</c:v>
                </c:pt>
                <c:pt idx="1275">
                  <c:v>0.16991451893291398</c:v>
                </c:pt>
                <c:pt idx="1276">
                  <c:v>0.16991494527151474</c:v>
                </c:pt>
                <c:pt idx="1277">
                  <c:v>0.16991536948374281</c:v>
                </c:pt>
                <c:pt idx="1278">
                  <c:v>0.16991579158020356</c:v>
                </c:pt>
                <c:pt idx="1279">
                  <c:v>0.16991621157144945</c:v>
                </c:pt>
                <c:pt idx="1280">
                  <c:v>0.16991662946798025</c:v>
                </c:pt>
                <c:pt idx="1281">
                  <c:v>0.16991704528024343</c:v>
                </c:pt>
                <c:pt idx="1282">
                  <c:v>0.16991745901863428</c:v>
                </c:pt>
                <c:pt idx="1283">
                  <c:v>0.16991787069349629</c:v>
                </c:pt>
                <c:pt idx="1284">
                  <c:v>0.16991828031512138</c:v>
                </c:pt>
                <c:pt idx="1285">
                  <c:v>0.16991868789375009</c:v>
                </c:pt>
                <c:pt idx="1286">
                  <c:v>0.1699190934395719</c:v>
                </c:pt>
                <c:pt idx="1287">
                  <c:v>0.16991949696272546</c:v>
                </c:pt>
                <c:pt idx="1288">
                  <c:v>0.16991989847329891</c:v>
                </c:pt>
                <c:pt idx="1289">
                  <c:v>0.16992029798133004</c:v>
                </c:pt>
                <c:pt idx="1290">
                  <c:v>0.16992069549680655</c:v>
                </c:pt>
                <c:pt idx="1291">
                  <c:v>0.16992109102966635</c:v>
                </c:pt>
                <c:pt idx="1292">
                  <c:v>0.16992148458979778</c:v>
                </c:pt>
                <c:pt idx="1293">
                  <c:v>0.16992187618703986</c:v>
                </c:pt>
                <c:pt idx="1294">
                  <c:v>0.16992226583118253</c:v>
                </c:pt>
                <c:pt idx="1295">
                  <c:v>0.16992265353196695</c:v>
                </c:pt>
                <c:pt idx="1296">
                  <c:v>0.16992303929908564</c:v>
                </c:pt>
                <c:pt idx="1297">
                  <c:v>0.16992342314218278</c:v>
                </c:pt>
                <c:pt idx="1298">
                  <c:v>0.16992380507085453</c:v>
                </c:pt>
                <c:pt idx="1299">
                  <c:v>0.16992418509464902</c:v>
                </c:pt>
                <c:pt idx="1300">
                  <c:v>0.16992456322306698</c:v>
                </c:pt>
                <c:pt idx="1301">
                  <c:v>0.16992493946556159</c:v>
                </c:pt>
                <c:pt idx="1302">
                  <c:v>0.16992531383153889</c:v>
                </c:pt>
                <c:pt idx="1303">
                  <c:v>0.16992568633035809</c:v>
                </c:pt>
                <c:pt idx="1304">
                  <c:v>0.16992605697133173</c:v>
                </c:pt>
                <c:pt idx="1305">
                  <c:v>0.16992642576372574</c:v>
                </c:pt>
                <c:pt idx="1306">
                  <c:v>0.16992679271676003</c:v>
                </c:pt>
                <c:pt idx="1307">
                  <c:v>0.16992715783960846</c:v>
                </c:pt>
                <c:pt idx="1308">
                  <c:v>0.16992752114139906</c:v>
                </c:pt>
                <c:pt idx="1309">
                  <c:v>0.16992788263121444</c:v>
                </c:pt>
                <c:pt idx="1310">
                  <c:v>0.16992824231809181</c:v>
                </c:pt>
                <c:pt idx="1311">
                  <c:v>0.16992860021102341</c:v>
                </c:pt>
                <c:pt idx="1312">
                  <c:v>0.16992895631895658</c:v>
                </c:pt>
                <c:pt idx="1313">
                  <c:v>0.169929310650794</c:v>
                </c:pt>
                <c:pt idx="1314">
                  <c:v>0.16992966321539404</c:v>
                </c:pt>
                <c:pt idx="1315">
                  <c:v>0.16993001402157076</c:v>
                </c:pt>
                <c:pt idx="1316">
                  <c:v>0.16993036307809439</c:v>
                </c:pt>
                <c:pt idx="1317">
                  <c:v>0.16993071039369137</c:v>
                </c:pt>
                <c:pt idx="1318">
                  <c:v>0.16993105597704455</c:v>
                </c:pt>
                <c:pt idx="1319">
                  <c:v>0.16993139983679359</c:v>
                </c:pt>
                <c:pt idx="1320">
                  <c:v>0.16993174198153499</c:v>
                </c:pt>
                <c:pt idx="1321">
                  <c:v>0.16993208241982233</c:v>
                </c:pt>
                <c:pt idx="1322">
                  <c:v>0.16993242116016666</c:v>
                </c:pt>
                <c:pt idx="1323">
                  <c:v>0.16993275821103646</c:v>
                </c:pt>
                <c:pt idx="1324">
                  <c:v>0.16993309358085801</c:v>
                </c:pt>
                <c:pt idx="1325">
                  <c:v>0.16993342727801564</c:v>
                </c:pt>
                <c:pt idx="1326">
                  <c:v>0.16993375931085175</c:v>
                </c:pt>
                <c:pt idx="1327">
                  <c:v>0.16993408968766716</c:v>
                </c:pt>
                <c:pt idx="1328">
                  <c:v>0.16993441841672133</c:v>
                </c:pt>
                <c:pt idx="1329">
                  <c:v>0.1699347455062325</c:v>
                </c:pt>
                <c:pt idx="1330">
                  <c:v>0.16993507096437793</c:v>
                </c:pt>
                <c:pt idx="1331">
                  <c:v>0.16993539479929409</c:v>
                </c:pt>
                <c:pt idx="1332">
                  <c:v>0.16993571701907689</c:v>
                </c:pt>
                <c:pt idx="1333">
                  <c:v>0.16993603763178181</c:v>
                </c:pt>
                <c:pt idx="1334">
                  <c:v>0.16993635664542417</c:v>
                </c:pt>
                <c:pt idx="1335">
                  <c:v>0.16993667406797935</c:v>
                </c:pt>
                <c:pt idx="1336">
                  <c:v>0.16993698990738298</c:v>
                </c:pt>
                <c:pt idx="1337">
                  <c:v>0.16993730417153097</c:v>
                </c:pt>
                <c:pt idx="1338">
                  <c:v>0.16993761686827999</c:v>
                </c:pt>
                <c:pt idx="1339">
                  <c:v>0.16993792800544746</c:v>
                </c:pt>
                <c:pt idx="1340">
                  <c:v>0.16993823759081184</c:v>
                </c:pt>
                <c:pt idx="1341">
                  <c:v>0.1699385456321128</c:v>
                </c:pt>
                <c:pt idx="1342">
                  <c:v>0.16993885213705134</c:v>
                </c:pt>
                <c:pt idx="1343">
                  <c:v>0.16993915711329011</c:v>
                </c:pt>
                <c:pt idx="1344">
                  <c:v>0.16993946056845355</c:v>
                </c:pt>
                <c:pt idx="1345">
                  <c:v>0.16993976251012805</c:v>
                </c:pt>
                <c:pt idx="1346">
                  <c:v>0.16994006294586217</c:v>
                </c:pt>
                <c:pt idx="1347">
                  <c:v>0.1699403618831668</c:v>
                </c:pt>
                <c:pt idx="1348">
                  <c:v>0.16994065932951541</c:v>
                </c:pt>
                <c:pt idx="1349">
                  <c:v>0.16994095529234418</c:v>
                </c:pt>
                <c:pt idx="1350">
                  <c:v>0.16994124977905217</c:v>
                </c:pt>
                <c:pt idx="1351">
                  <c:v>0.16994154279700158</c:v>
                </c:pt>
                <c:pt idx="1352">
                  <c:v>0.1699418343535179</c:v>
                </c:pt>
                <c:pt idx="1353">
                  <c:v>0.16994212445588996</c:v>
                </c:pt>
                <c:pt idx="1354">
                  <c:v>0.16994241311137048</c:v>
                </c:pt>
                <c:pt idx="1355">
                  <c:v>0.16994270032717573</c:v>
                </c:pt>
                <c:pt idx="1356">
                  <c:v>0.16994298611048619</c:v>
                </c:pt>
                <c:pt idx="1357">
                  <c:v>0.16994327046844646</c:v>
                </c:pt>
                <c:pt idx="1358">
                  <c:v>0.16994355340816547</c:v>
                </c:pt>
                <c:pt idx="1359">
                  <c:v>0.16994383493671675</c:v>
                </c:pt>
                <c:pt idx="1360">
                  <c:v>0.16994411506113852</c:v>
                </c:pt>
                <c:pt idx="1361">
                  <c:v>0.1699443937884339</c:v>
                </c:pt>
                <c:pt idx="1362">
                  <c:v>0.1699446711255711</c:v>
                </c:pt>
                <c:pt idx="1363">
                  <c:v>0.16994494707948354</c:v>
                </c:pt>
                <c:pt idx="1364">
                  <c:v>0.16994522165707016</c:v>
                </c:pt>
                <c:pt idx="1365">
                  <c:v>0.16994549486519528</c:v>
                </c:pt>
                <c:pt idx="1366">
                  <c:v>0.16994576671068923</c:v>
                </c:pt>
                <c:pt idx="1367">
                  <c:v>0.16994603720034812</c:v>
                </c:pt>
                <c:pt idx="1368">
                  <c:v>0.16994630634093422</c:v>
                </c:pt>
                <c:pt idx="1369">
                  <c:v>0.16994657413917602</c:v>
                </c:pt>
                <c:pt idx="1370">
                  <c:v>0.16994684060176851</c:v>
                </c:pt>
                <c:pt idx="1371">
                  <c:v>0.16994710573537331</c:v>
                </c:pt>
                <c:pt idx="1372">
                  <c:v>0.16994736954661871</c:v>
                </c:pt>
                <c:pt idx="1373">
                  <c:v>0.16994763204210006</c:v>
                </c:pt>
                <c:pt idx="1374">
                  <c:v>0.16994789322837972</c:v>
                </c:pt>
                <c:pt idx="1375">
                  <c:v>0.16994815311198738</c:v>
                </c:pt>
                <c:pt idx="1376">
                  <c:v>0.16994841169942015</c:v>
                </c:pt>
                <c:pt idx="1377">
                  <c:v>0.1699486689971427</c:v>
                </c:pt>
                <c:pt idx="1378">
                  <c:v>0.16994892501158751</c:v>
                </c:pt>
                <c:pt idx="1379">
                  <c:v>0.16994917974915497</c:v>
                </c:pt>
                <c:pt idx="1380">
                  <c:v>0.16994943321621347</c:v>
                </c:pt>
                <c:pt idx="1381">
                  <c:v>0.16994968541909977</c:v>
                </c:pt>
                <c:pt idx="1382">
                  <c:v>0.16994993636411893</c:v>
                </c:pt>
                <c:pt idx="1383">
                  <c:v>0.16995018605754458</c:v>
                </c:pt>
                <c:pt idx="1384">
                  <c:v>0.16995043450561906</c:v>
                </c:pt>
                <c:pt idx="1385">
                  <c:v>0.1699506817145536</c:v>
                </c:pt>
                <c:pt idx="1386">
                  <c:v>0.16995092769052844</c:v>
                </c:pt>
                <c:pt idx="1387">
                  <c:v>0.16995117243969299</c:v>
                </c:pt>
                <c:pt idx="1388">
                  <c:v>0.16995141596816601</c:v>
                </c:pt>
                <c:pt idx="1389">
                  <c:v>0.16995165828203568</c:v>
                </c:pt>
                <c:pt idx="1390">
                  <c:v>0.16995189938735988</c:v>
                </c:pt>
                <c:pt idx="1391">
                  <c:v>0.16995213929016628</c:v>
                </c:pt>
                <c:pt idx="1392">
                  <c:v>0.16995237799645241</c:v>
                </c:pt>
                <c:pt idx="1393">
                  <c:v>0.16995261551218599</c:v>
                </c:pt>
                <c:pt idx="1394">
                  <c:v>0.16995285184330494</c:v>
                </c:pt>
                <c:pt idx="1395">
                  <c:v>0.16995308699571748</c:v>
                </c:pt>
                <c:pt idx="1396">
                  <c:v>0.16995332097530247</c:v>
                </c:pt>
                <c:pt idx="1397">
                  <c:v>0.16995355378790938</c:v>
                </c:pt>
                <c:pt idx="1398">
                  <c:v>0.16995378543935863</c:v>
                </c:pt>
                <c:pt idx="1399">
                  <c:v>0.16995401593544143</c:v>
                </c:pt>
                <c:pt idx="1400">
                  <c:v>0.16995424528192021</c:v>
                </c:pt>
                <c:pt idx="1401">
                  <c:v>0.16995447348452869</c:v>
                </c:pt>
                <c:pt idx="1402">
                  <c:v>0.16995470054897188</c:v>
                </c:pt>
                <c:pt idx="1403">
                  <c:v>0.16995492648092642</c:v>
                </c:pt>
                <c:pt idx="1404">
                  <c:v>0.16995515128604066</c:v>
                </c:pt>
                <c:pt idx="1405">
                  <c:v>0.16995537496993474</c:v>
                </c:pt>
                <c:pt idx="1406">
                  <c:v>0.16995559753820072</c:v>
                </c:pt>
                <c:pt idx="1407">
                  <c:v>0.16995581899640283</c:v>
                </c:pt>
                <c:pt idx="1408">
                  <c:v>0.16995603935007755</c:v>
                </c:pt>
                <c:pt idx="1409">
                  <c:v>0.16995625860473373</c:v>
                </c:pt>
                <c:pt idx="1410">
                  <c:v>0.16995647676585279</c:v>
                </c:pt>
                <c:pt idx="1411">
                  <c:v>0.16995669383888867</c:v>
                </c:pt>
                <c:pt idx="1412">
                  <c:v>0.16995690982926831</c:v>
                </c:pt>
                <c:pt idx="1413">
                  <c:v>0.16995712474239144</c:v>
                </c:pt>
                <c:pt idx="1414">
                  <c:v>0.16995733858363088</c:v>
                </c:pt>
                <c:pt idx="1415">
                  <c:v>0.16995755135833268</c:v>
                </c:pt>
                <c:pt idx="1416">
                  <c:v>0.16995776307181626</c:v>
                </c:pt>
                <c:pt idx="1417">
                  <c:v>0.16995797372937438</c:v>
                </c:pt>
                <c:pt idx="1418">
                  <c:v>0.1699581833362736</c:v>
                </c:pt>
                <c:pt idx="1419">
                  <c:v>0.16995839189775402</c:v>
                </c:pt>
                <c:pt idx="1420">
                  <c:v>0.16995859941902974</c:v>
                </c:pt>
                <c:pt idx="1421">
                  <c:v>0.16995880590528875</c:v>
                </c:pt>
                <c:pt idx="1422">
                  <c:v>0.16995901136169328</c:v>
                </c:pt>
                <c:pt idx="1423">
                  <c:v>0.16995921579337969</c:v>
                </c:pt>
                <c:pt idx="1424">
                  <c:v>0.16995941920545882</c:v>
                </c:pt>
                <c:pt idx="1425">
                  <c:v>0.16995962160301598</c:v>
                </c:pt>
                <c:pt idx="1426">
                  <c:v>0.16995982299111106</c:v>
                </c:pt>
                <c:pt idx="1427">
                  <c:v>0.16996002337477889</c:v>
                </c:pt>
                <c:pt idx="1428">
                  <c:v>0.169960222759029</c:v>
                </c:pt>
                <c:pt idx="1429">
                  <c:v>0.16996042114884599</c:v>
                </c:pt>
                <c:pt idx="1430">
                  <c:v>0.16996061854918965</c:v>
                </c:pt>
                <c:pt idx="1431">
                  <c:v>0.16996081496499499</c:v>
                </c:pt>
                <c:pt idx="1432">
                  <c:v>0.1699610104011724</c:v>
                </c:pt>
                <c:pt idx="1433">
                  <c:v>0.16996120486260785</c:v>
                </c:pt>
                <c:pt idx="1434">
                  <c:v>0.1699613983541628</c:v>
                </c:pt>
                <c:pt idx="1435">
                  <c:v>0.16996159088067461</c:v>
                </c:pt>
                <c:pt idx="1436">
                  <c:v>0.16996178244695642</c:v>
                </c:pt>
                <c:pt idx="1437">
                  <c:v>0.16996197305779745</c:v>
                </c:pt>
                <c:pt idx="1438">
                  <c:v>0.16996216271796294</c:v>
                </c:pt>
                <c:pt idx="1439">
                  <c:v>0.16996235143219438</c:v>
                </c:pt>
                <c:pt idx="1440">
                  <c:v>0.16996253920520965</c:v>
                </c:pt>
                <c:pt idx="1441">
                  <c:v>0.16996272604170315</c:v>
                </c:pt>
                <c:pt idx="1442">
                  <c:v>0.16996291194634572</c:v>
                </c:pt>
                <c:pt idx="1443">
                  <c:v>0.16996309692378503</c:v>
                </c:pt>
                <c:pt idx="1444">
                  <c:v>0.16996328097864549</c:v>
                </c:pt>
                <c:pt idx="1445">
                  <c:v>0.16996346411552854</c:v>
                </c:pt>
                <c:pt idx="1446">
                  <c:v>0.16996364633901256</c:v>
                </c:pt>
                <c:pt idx="1447">
                  <c:v>0.16996382765365314</c:v>
                </c:pt>
                <c:pt idx="1448">
                  <c:v>0.16996400806398321</c:v>
                </c:pt>
                <c:pt idx="1449">
                  <c:v>0.16996418757451298</c:v>
                </c:pt>
                <c:pt idx="1450">
                  <c:v>0.16996436618973026</c:v>
                </c:pt>
                <c:pt idx="1451">
                  <c:v>0.16996454391410043</c:v>
                </c:pt>
                <c:pt idx="1452">
                  <c:v>0.16996472075206659</c:v>
                </c:pt>
                <c:pt idx="1453">
                  <c:v>0.16996489670804971</c:v>
                </c:pt>
                <c:pt idx="1454">
                  <c:v>0.16996507178644873</c:v>
                </c:pt>
                <c:pt idx="1455">
                  <c:v>0.16996524599164059</c:v>
                </c:pt>
                <c:pt idx="1456">
                  <c:v>0.16996541932798043</c:v>
                </c:pt>
                <c:pt idx="1457">
                  <c:v>0.16996559179980164</c:v>
                </c:pt>
                <c:pt idx="1458">
                  <c:v>0.16996576341141606</c:v>
                </c:pt>
                <c:pt idx="1459">
                  <c:v>0.169965934167114</c:v>
                </c:pt>
                <c:pt idx="1460">
                  <c:v>0.16996610407116436</c:v>
                </c:pt>
                <c:pt idx="1461">
                  <c:v>0.1699662731278147</c:v>
                </c:pt>
                <c:pt idx="1462">
                  <c:v>0.16996644134129146</c:v>
                </c:pt>
                <c:pt idx="1463">
                  <c:v>0.16996660871580005</c:v>
                </c:pt>
                <c:pt idx="1464">
                  <c:v>0.16996677525552478</c:v>
                </c:pt>
                <c:pt idx="1465">
                  <c:v>0.16996694096462917</c:v>
                </c:pt>
                <c:pt idx="1466">
                  <c:v>0.16996710584725594</c:v>
                </c:pt>
                <c:pt idx="1467">
                  <c:v>0.1699672699075272</c:v>
                </c:pt>
                <c:pt idx="1468">
                  <c:v>0.16996743314954443</c:v>
                </c:pt>
                <c:pt idx="1469">
                  <c:v>0.16996759557738872</c:v>
                </c:pt>
                <c:pt idx="1470">
                  <c:v>0.16996775719512075</c:v>
                </c:pt>
                <c:pt idx="1471">
                  <c:v>0.16996791800678096</c:v>
                </c:pt>
                <c:pt idx="1472">
                  <c:v>0.16996807801638969</c:v>
                </c:pt>
                <c:pt idx="1473">
                  <c:v>0.16996823722794713</c:v>
                </c:pt>
                <c:pt idx="1474">
                  <c:v>0.16996839564543365</c:v>
                </c:pt>
                <c:pt idx="1475">
                  <c:v>0.16996855327280966</c:v>
                </c:pt>
                <c:pt idx="1476">
                  <c:v>0.16996871011401585</c:v>
                </c:pt>
                <c:pt idx="1477">
                  <c:v>0.16996886617297324</c:v>
                </c:pt>
                <c:pt idx="1478">
                  <c:v>0.16996902145358336</c:v>
                </c:pt>
                <c:pt idx="1479">
                  <c:v>0.16996917595972819</c:v>
                </c:pt>
                <c:pt idx="1480">
                  <c:v>0.1699693296952704</c:v>
                </c:pt>
                <c:pt idx="1481">
                  <c:v>0.16996948266405343</c:v>
                </c:pt>
                <c:pt idx="1482">
                  <c:v>0.16996963486990144</c:v>
                </c:pt>
                <c:pt idx="1483">
                  <c:v>0.16996978631661963</c:v>
                </c:pt>
                <c:pt idx="1484">
                  <c:v>0.16996993700799415</c:v>
                </c:pt>
                <c:pt idx="1485">
                  <c:v>0.16997008694779231</c:v>
                </c:pt>
                <c:pt idx="1486">
                  <c:v>0.16997023613976259</c:v>
                </c:pt>
                <c:pt idx="1487">
                  <c:v>0.16997038458763486</c:v>
                </c:pt>
                <c:pt idx="1488">
                  <c:v>0.16997053229512021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53-42A6-8B4C-703A7BBD6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68616"/>
        <c:axId val="1220569696"/>
        <c:extLst/>
      </c:scatterChart>
      <c:valAx>
        <c:axId val="122056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0569696"/>
        <c:crosses val="autoZero"/>
        <c:crossBetween val="midCat"/>
      </c:valAx>
      <c:valAx>
        <c:axId val="12205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056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137550161601702"/>
          <c:y val="7.8499148002539321E-2"/>
          <c:w val="0.678624458524275"/>
          <c:h val="9.2645647016895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xmlns:x="http://schemas.openxmlformats.org/spreadsheetml/2006/main" objectType="Button" lockText="true"/>
</file>

<file path=xl/drawings/_rels/drawing1.xml.rels><?xml version="1.0" encoding="UTF-8"?><Relationships xmlns="http://schemas.openxmlformats.org/package/2006/relationships"><Relationship Target="../charts/chart2.xml" Type="http://schemas.openxmlformats.org/officeDocument/2006/relationships/chart" Id="rId2"/><Relationship Target="../charts/chart1.xml" Type="http://schemas.openxmlformats.org/officeDocument/2006/relationships/chart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0</xdr:row>
          <xdr:rowOff>152400</xdr:rowOff>
        </xdr:from>
        <xdr:to>
          <xdr:col>27</xdr:col>
          <xdr:colOff>714375</xdr:colOff>
          <xdr:row>3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488161</xdr:colOff>
      <xdr:row>25</xdr:row>
      <xdr:rowOff>105576</xdr:rowOff>
    </xdr:from>
    <xdr:to>
      <xdr:col>31</xdr:col>
      <xdr:colOff>637377</xdr:colOff>
      <xdr:row>60</xdr:row>
      <xdr:rowOff>175480</xdr:rowOff>
    </xdr:to>
    <xdr:graphicFrame macro="">
      <xdr:nvGraphicFramePr>
        <xdr:cNvPr id="4" name="Graphique 3">
          <a:extLst>
            <a:ext xmlns:a16="http://schemas.microsoft.com/office/drawing/2014/main" uri="{FF2B5EF4-FFF2-40B4-BE49-F238E27FC236}">
              <a16:creationId xmlns:a16="http://schemas.microsoft.com/office/drawing/2014/main" id="{A1759AFE-6F07-3F70-D532-0EAC237C1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232498</xdr:colOff>
      <xdr:row>5</xdr:row>
      <xdr:rowOff>39118</xdr:rowOff>
    </xdr:from>
    <xdr:to>
      <xdr:col>51</xdr:col>
      <xdr:colOff>505788</xdr:colOff>
      <xdr:row>34</xdr:row>
      <xdr:rowOff>121937</xdr:rowOff>
    </xdr:to>
    <xdr:graphicFrame macro="">
      <xdr:nvGraphicFramePr>
        <xdr:cNvPr id="2" name="Graphique 1">
          <a:extLst>
            <a:ext xmlns:a16="http://schemas.microsoft.com/office/drawing/2014/main" uri="{FF2B5EF4-FFF2-40B4-BE49-F238E27FC236}">
              <a16:creationId xmlns:a16="http://schemas.microsoft.com/office/drawing/2014/main" id="{13C7BA1E-97E2-4209-B040-B5B6C3B7D7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EVOST Thibault" id="{9627807D-4A6A-4CA9-B5A8-92B51A027247}" userId="S::thibault.prevost@rte-france.com::aede6345-c616-427b-860f-5c53dc844335" providerId="AD"/>
</personList>
</file>

<file path=xl/theme/theme1.xml><?xml version="1.0" encoding="utf-8"?>
<a:theme xmlns:r="http://schemas.openxmlformats.org/officeDocument/2006/relationships"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true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false"/>
        </a:gradFill>
        <a:gradFill rotWithShape="true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false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false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true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false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5-04-02T12:46:03.16" personId="{9627807D-4A6A-4CA9-B5A8-92B51A027247}" id="{424F8CE3-929C-4467-AB0C-CAE8EE9F70C0}">
    <text xml:space="preserve">Add 20 ms delay to enveloppes as expected from ENTSOE Document
</text>
  </threadedComment>
</ThreadedComments>
</file>

<file path=xl/worksheets/_rels/sheet1.xml.rels><?xml version="1.0" encoding="UTF-8"?><Relationships xmlns="http://schemas.openxmlformats.org/package/2006/relationships"><Relationship Target="../ctrlProps/ctrlProp1.xml" Type="http://schemas.openxmlformats.org/officeDocument/2006/relationships/ctrlProp" Id="rId3"/><Relationship Target="../drawings/vmlDrawing1.vml" Type="http://schemas.openxmlformats.org/officeDocument/2006/relationships/vmlDrawing" Id="rId2"/><Relationship Target="../drawings/drawing1.xml" Type="http://schemas.openxmlformats.org/officeDocument/2006/relationships/drawing" Id="rId1"/><Relationship Target="../threadedComments/threadedComment1.xml" Type="http://schemas.microsoft.com/office/2017/10/relationships/threadedComment" Id="rId5"/><Relationship Target="../comments1.xml" Type="http://schemas.openxmlformats.org/officeDocument/2006/relationships/comments" Id="rId4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0BB9C-A1B3-42C0-8206-C2FF4D53514F}">
  <sheetPr codeName="Feuil1"/>
  <dimension ref="A1:AH1495"/>
  <sheetViews>
    <sheetView tabSelected="true" topLeftCell="B3" zoomScale="105" zoomScaleNormal="90" workbookViewId="0">
      <selection activeCell="AB6" sqref="AB6"/>
    </sheetView>
  </sheetViews>
  <sheetFormatPr xmlns:x14ac="http://schemas.microsoft.com/office/spreadsheetml/2009/9/ac" baseColWidth="10" defaultColWidth="11.3984375" defaultRowHeight="14.25" x14ac:dyDescent="0.45"/>
  <cols>
    <col min="1" max="1" width="11.59765625" bestFit="true" customWidth="true"/>
    <col min="2" max="2" width="11.73046875" bestFit="true" customWidth="true"/>
    <col min="3" max="6" width="11.59765625" hidden="true" customWidth="true"/>
    <col min="7" max="7" width="11.3984375" customWidth="true"/>
    <col min="8" max="8" width="11.59765625" customWidth="true"/>
    <col min="9" max="10" width="11.59765625" hidden="true" customWidth="true"/>
    <col min="11" max="11" width="22.86328125" hidden="true" customWidth="true"/>
    <col min="12" max="12" width="22.86328125" customWidth="true"/>
    <col min="13" max="13" width="11.59765625" customWidth="true"/>
    <col min="14" max="15" width="11.3984375" customWidth="true"/>
    <col min="16" max="22" width="11.3984375" hidden="true" customWidth="true"/>
    <col min="23" max="23" width="11.3984375" customWidth="true"/>
    <col min="24" max="24" width="11.73046875" bestFit="true" customWidth="true"/>
    <col min="25" max="25" width="15.59765625" customWidth="true"/>
    <col min="26" max="26" width="11.59765625" bestFit="true" customWidth="true"/>
    <col min="27" max="27" width="16.1328125" customWidth="true"/>
    <col min="28" max="28" width="7.4375" bestFit="true" customWidth="true"/>
    <col min="29" max="29" width="11.59765625" bestFit="true" customWidth="true"/>
    <col min="30" max="30" width="13.86328125" bestFit="true" customWidth="true"/>
    <col min="31" max="31" width="13.3984375" bestFit="true" customWidth="true"/>
    <col min="32" max="32" width="13.59765625" bestFit="true" customWidth="true"/>
    <col min="33" max="34" width="13.265625" bestFit="true" customWidth="true"/>
    <col min="36" max="36" width="11.59765625" bestFit="true" customWidth="true"/>
  </cols>
  <sheetData>
    <row xmlns:x14ac="http://schemas.microsoft.com/office/spreadsheetml/2009/9/ac" r="1" ht="23.25" x14ac:dyDescent="0.7">
      <c r="B1" s="3" t="s">
        <v>0</v>
      </c>
      <c r="C1" s="3"/>
      <c r="D1" s="3"/>
      <c r="E1" s="3"/>
      <c r="F1" s="3"/>
      <c r="L1" t="s">
        <v>56</v>
      </c>
      <c r="M1" s="1" t="b">
        <v>1</v>
      </c>
    </row>
    <row xmlns:x14ac="http://schemas.microsoft.com/office/spreadsheetml/2009/9/ac" r="2" x14ac:dyDescent="0.45">
      <c r="AC2" t="s">
        <v>1</v>
      </c>
      <c r="AD2" t="s">
        <v>1</v>
      </c>
    </row>
    <row xmlns:x14ac="http://schemas.microsoft.com/office/spreadsheetml/2009/9/ac" r="3" x14ac:dyDescent="0.45">
      <c r="AC3" s="1">
        <v>0.8</v>
      </c>
      <c r="AD3" s="1">
        <v>1.2</v>
      </c>
    </row>
    <row xmlns:x14ac="http://schemas.microsoft.com/office/spreadsheetml/2009/9/ac" r="4" x14ac:dyDescent="0.45">
      <c r="AC4" t="s">
        <v>2</v>
      </c>
      <c r="AD4" t="s">
        <v>3</v>
      </c>
      <c r="AF4" t="s">
        <v>4</v>
      </c>
      <c r="AG4" t="s">
        <v>5</v>
      </c>
      <c r="AH4" t="s">
        <v>6</v>
      </c>
    </row>
    <row xmlns:x14ac="http://schemas.microsoft.com/office/spreadsheetml/2009/9/ac" r="5" x14ac:dyDescent="0.45">
      <c r="C5" t="b">
        <f>VLOOKUP(TRUE,C7:E1495,2)</f>
        <v>1</v>
      </c>
      <c r="AB5" s="1"/>
      <c r="AE5" t="s">
        <v>7</v>
      </c>
      <c r="AF5" s="2">
        <f>AF12*SQRT(1-AF6^2)</f>
        <v>13.0862523283024</v>
      </c>
      <c r="AG5" s="2">
        <f>AF12*SQRT(1-AF6^2)</f>
        <v>13.0862523283024</v>
      </c>
      <c r="AH5" s="2">
        <f>AF12*SQRT(1-AF6^2)</f>
        <v>13.0862523283024</v>
      </c>
    </row>
    <row xmlns:x14ac="http://schemas.microsoft.com/office/spreadsheetml/2009/9/ac" r="6" ht="99.75" x14ac:dyDescent="0.45">
      <c r="A6" s="5" t="s">
        <v>8</v>
      </c>
      <c r="B6" s="5" t="s">
        <v>9</v>
      </c>
      <c r="C6" s="5" t="s">
        <v>57</v>
      </c>
      <c r="D6" s="5" t="s">
        <v>58</v>
      </c>
      <c r="E6" s="5" t="s">
        <v>59</v>
      </c>
      <c r="F6" s="5" t="s">
        <v>60</v>
      </c>
      <c r="G6" s="5" t="s">
        <v>10</v>
      </c>
      <c r="H6" s="5" t="s">
        <v>11</v>
      </c>
      <c r="I6" s="5"/>
      <c r="J6" s="5"/>
      <c r="K6" s="5"/>
      <c r="L6" s="5" t="s">
        <v>12</v>
      </c>
      <c r="M6" s="5" t="s">
        <v>13</v>
      </c>
      <c r="N6" s="5" t="s">
        <v>14</v>
      </c>
      <c r="O6" s="5" t="s">
        <v>15</v>
      </c>
      <c r="P6" s="5" t="s">
        <v>16</v>
      </c>
      <c r="Q6" s="5" t="s">
        <v>17</v>
      </c>
      <c r="R6" s="5" t="s">
        <v>18</v>
      </c>
      <c r="S6" s="5" t="s">
        <v>19</v>
      </c>
      <c r="T6" s="5" t="s">
        <v>20</v>
      </c>
      <c r="U6" s="5" t="s">
        <v>21</v>
      </c>
      <c r="V6" s="5" t="s">
        <v>22</v>
      </c>
      <c r="W6" s="5" t="s">
        <v>53</v>
      </c>
      <c r="X6" s="5" t="s">
        <v>54</v>
      </c>
      <c r="AA6" t="s">
        <v>23</v>
      </c>
      <c r="AB6" s="1">
        <v>0.089999999999999997</v>
      </c>
      <c r="AE6" t="s">
        <v>24</v>
      </c>
      <c r="AF6" s="2">
        <f>AB8/2*SQRT(AF11/(2*AB9*AB12*AB13*AB14))</f>
        <v>0.35691530512412484</v>
      </c>
      <c r="AG6" s="2">
        <f>AC8/2*SQRT(AG11/(2*AC9*AB12*AB13*AB14))</f>
        <v>0.25538780302963909</v>
      </c>
      <c r="AH6" s="2">
        <f>AD8/2*SQRT(AH11/(2*AD9*AB12*AB13*AB14))</f>
        <v>0.4691773529647737</v>
      </c>
    </row>
    <row xmlns:x14ac="http://schemas.microsoft.com/office/spreadsheetml/2009/9/ac" r="7" x14ac:dyDescent="0.45">
      <c r="A7">
        <v>0</v>
      </c>
      <c r="B7">
        <f t="shared" ref="B7:B70" si="0">-(1+Marge_haute)*(A+B/Tpll*EXP(-$A7/Tpll)+C_*EXP(-epsilon*Wn*$A7)*COS(Wd*$A7)+C_*(D/C_-epsilon*Wn)/Wd*EXP(-epsilon*Wn*$A7)*SIN(Wd*$A7))+SIGN(DeltaPexpected)*Tunnel</f>
        <v>0.02</v>
      </c>
      <c r="C7" t="b">
        <v>0</v>
      </c>
      <c r="D7" t="b">
        <v>0</v>
      </c>
      <c r="E7" t="b">
        <v>0</v>
      </c>
      <c r="F7" t="b">
        <v>0</v>
      </c>
      <c r="G7">
        <f t="shared" ref="G7:G70" si="1">P0-SIGN(Rocof)*IF(D7,DeltaPexpected+SIGN(DeltaPexpected)*Tunnel+(MIN(F$7:F$1495)-DeltaPexpected-+SIGN(DeltaPexpected)*Tunnel)*EXP(-(A7-MIN(E$7:E$1495))/Texpodecrease),B7)</f>
        <v>0.1</v>
      </c>
      <c r="H7">
        <f t="shared" ref="H7:H70" si="2">-(1-marge_basse)*(A+B/Tpll*EXP(-$A7/Tpll)+C_*EXP(-epsilon*Wn*$A7)*COS(Wd*$A7)+C_*(D/C_-epsilon*Wn)/Wd*EXP(-epsilon*Wn*$A7)*SIN(Wd*$A7))-Tunnel</f>
        <v>-0.02</v>
      </c>
      <c r="I7" t="b">
        <v>0</v>
      </c>
      <c r="J7" t="b">
        <f t="shared" ref="J7:J70" si="3">IF(I7,A7,I7)</f>
        <v>0</v>
      </c>
      <c r="K7" t="b">
        <v>0</v>
      </c>
      <c r="L7">
        <f t="shared" ref="L7:L70" si="4">P0-SIGN(Rocof)*IF(I7,AF$23-AF$13+(MAX(K$7:K$1495)-AF$23+AF$13)*EXP(-(A7-MIN(J$7:J$1495))/AB$21),H7)</f>
        <v>0.06</v>
      </c>
      <c r="M7">
        <f t="shared" ref="M7:M70" si="5">P0-(1)*(A+B/Tpll*EXP(-$A7/Tpll)+C_*EXP(-epsilon*Wn*$A7)*COS(Wd*$A7)+C_*(D/C_-epsilon*Wn)/Wd*EXP(-epsilon*Wn*$A7)*SIN(Wd*$A7))</f>
        <v>0.08</v>
      </c>
      <c r="N7">
        <f t="shared" ref="N7:N70" si="6">AB$6-(AG$17+AG$16/AC$18*EXP(-$A7/AC$18)+AG$18*EXP(-AG$6*AG$12*$A7)*COS(AG$5*$A7)+AG$18*(AG$19/AG$18-AG$6*AG$12)/AG$5*EXP(-AG$6*AG$12*$A7)*SIN(AG$5*$A7))</f>
        <v>8.0000000000000016E-2</v>
      </c>
      <c r="O7">
        <f t="shared" ref="O7:O70" si="7">AB$6-(AH$17+AH$16/AD$18*EXP(-$A7/AD$18)+AH$18*EXP(-AH$6*AH$12*$A7)*COS(AH$5*$A7)+AH$18*(AH$19/AH$18-AH$6*AH$12)/AH$5*EXP(-AH$6*AH$12*$A7)*SIN(AH$5*$A7))</f>
        <v>0.08</v>
      </c>
      <c r="P7" t="e">
        <f>AE$6-(AI$17+AI$16/AE$18*EXP(-$A7/AE$18)+AI$18*EXP(-AI$6*AI$12*$A7)*COS(AI$5*$A7)+AI$18*(AI$19/AI$18-AI$6*AI$12)/AI$5*EXP(-AI$6*AI$12*$A7)*SIN(AI$5*$A7))</f>
        <v>#VALUE!</v>
      </c>
      <c r="Q7" t="e">
        <f>AE$6-(AJ$17+AJ$16/AE$18*EXP(-$A7/AE$18)+AJ$18*EXP(-AJ$6*AJ$12*$A7)*COS(AJ$5*$A7)+AJ$18*(AJ$19/AJ$18-AJ$6*AJ$12)/AJ$5*EXP(-AJ$6*AJ$12*$A7)*SIN(AJ$5*$A7))</f>
        <v>#VALUE!</v>
      </c>
      <c r="R7" t="e">
        <f>AE$6-(#REF!+#REF!/AE$18*EXP(-$A7/AE$18)+#REF!*EXP(-#REF!*#REF!*$A7)*COS(#REF!*$A7)+#REF!*(#REF!/#REF!-#REF!*#REF!)/#REF!*EXP(-#REF!*#REF!*$A7)*SIN(#REF!*$A7))</f>
        <v>#VALUE!</v>
      </c>
      <c r="S7" t="e">
        <f>AH$6-(#REF!+#REF!/AH$18*EXP(-$A7/AH$18)+#REF!*EXP(-#REF!*#REF!*$A7)*COS(#REF!*$A7)+#REF!*(#REF!/#REF!-#REF!*#REF!)/#REF!*EXP(-#REF!*#REF!*$A7)*SIN(#REF!*$A7))</f>
        <v>#REF!</v>
      </c>
      <c r="T7" t="e">
        <f>AH$6-(AK$17+AK$16/AH$18*EXP(-$A7/AH$18)+AK$18*EXP(-AK$6*AK$12*$A7)*COS(AK$5*$A7)+AK$18*(AK$19/AK$18-AK$6*AK$12)/AK$5*EXP(-AK$6*AK$12*$A7)*SIN(AK$5*$A7))</f>
        <v>#DIV/0!</v>
      </c>
      <c r="U7" t="e">
        <f>AH$6-(AL$17+AL$16/AH$18*EXP(-$A7/AH$18)+AL$18*EXP(-AL$6*AL$12*$A7)*COS(AL$5*$A7)+AL$18*(AL$19/AL$18-AL$6*AL$12)/AL$5*EXP(-AL$6*AL$12*$A7)*SIN(AL$5*$A7))</f>
        <v>#DIV/0!</v>
      </c>
      <c r="V7" t="e">
        <f>#REF!-(AM$17+AM$16/#REF!*EXP(-$A7/#REF!)+AM$18*EXP(-AM$6*AM$12*$A7)*COS(AM$5*$A7)+AM$18*(AM$19/AM$18-AM$6*AM$12)/AM$5*EXP(-AM$6*AM$12*$A7)*SIN(AM$5*$A7))</f>
        <v>#REF!</v>
      </c>
      <c r="W7">
        <f>IF(EMT_Simulation,L7,L7)</f>
        <v>0.06</v>
      </c>
      <c r="X7">
        <f>IF(EMT_Simulation,G7,G7)</f>
        <v>0.1</v>
      </c>
      <c r="AA7" t="s">
        <v>25</v>
      </c>
      <c r="AB7" s="1">
        <v>10</v>
      </c>
      <c r="AE7" t="s">
        <v>26</v>
      </c>
      <c r="AF7" s="2">
        <f>AB5*PI()/180</f>
        <v>0</v>
      </c>
      <c r="AG7" s="2">
        <f>AB5*PI()/180</f>
        <v>0</v>
      </c>
      <c r="AH7" s="2">
        <f>AB5*PI()/180</f>
        <v>0</v>
      </c>
    </row>
    <row xmlns:x14ac="http://schemas.microsoft.com/office/spreadsheetml/2009/9/ac" r="8" x14ac:dyDescent="0.45">
      <c r="A8">
        <v>5.0000000000000001E-3</v>
      </c>
      <c r="B8">
        <f t="shared" si="0"/>
        <v>2.0318180240270208E-2</v>
      </c>
      <c r="C8" t="b">
        <f>IF(C7,C7,(B8&lt;B7))</f>
        <v>0</v>
      </c>
      <c r="D8" t="b">
        <f>IF(D7,IF(C8,B8&gt;B7,C8),D7)</f>
        <v>0</v>
      </c>
      <c r="E8" t="b">
        <f t="shared" ref="E8:E71" si="8">IF(D8,A8,D8)</f>
        <v>0</v>
      </c>
      <c r="F8" t="b">
        <f>IF(D8,B8,D8)</f>
        <v>0</v>
      </c>
      <c r="G8">
        <f t="shared" si="1"/>
        <v>0.10031818024027021</v>
      </c>
      <c r="H8">
        <f t="shared" si="2"/>
        <v>-1.987762298451146E-2</v>
      </c>
      <c r="I8" t="b">
        <f>IF(I7,I7,H7&gt;H8)</f>
        <v>0</v>
      </c>
      <c r="J8" t="b">
        <f t="shared" si="3"/>
        <v>0</v>
      </c>
      <c r="K8" t="b">
        <f>IF(I8,H8,I8)</f>
        <v>0</v>
      </c>
      <c r="L8">
        <f t="shared" si="4"/>
        <v>6.0122377015488546E-2</v>
      </c>
      <c r="M8">
        <f t="shared" si="5"/>
        <v>8.0244754030977083E-2</v>
      </c>
      <c r="N8">
        <f t="shared" si="6"/>
        <v>8.0228627947316902E-2</v>
      </c>
      <c r="O8">
        <f t="shared" si="7"/>
        <v>8.0224849468468834E-2</v>
      </c>
      <c r="P8">
        <f>AB6</f>
        <v>0.08</v>
      </c>
      <c r="Q8">
        <f>AB6</f>
        <v>0.08</v>
      </c>
      <c r="R8">
        <f t="shared" ref="R8:R71" si="9">$AB$6-(1+AB$17)*EXP(-AF$6*AF$12*A8)*(COS(AF$5*A8)-(AF$6*AF$12-1)/(AF$5)*SIN(AF$5*A8))*AF$15</f>
        <v>0.08</v>
      </c>
      <c r="S8">
        <f t="shared" ref="S8:S71" si="10">R8-AF$13</f>
        <v>0.06</v>
      </c>
      <c r="T8">
        <f t="shared" ref="T8:T71" si="11">R8+AF$13</f>
        <v>0.1</v>
      </c>
      <c r="U8">
        <f>AB6</f>
        <v>0.08</v>
      </c>
      <c r="V8">
        <f>U8</f>
        <v>0.08</v>
      </c>
      <c r="W8">
        <f>IF(EMT_Simulation,L7,L8)</f>
        <v>0.06</v>
      </c>
      <c r="X8">
        <f>IF(EMT_Simulation,G7,G8)</f>
        <v>0.1</v>
      </c>
      <c r="AA8" t="s">
        <v>27</v>
      </c>
      <c r="AB8" s="1">
        <v>100</v>
      </c>
      <c r="AC8" s="2">
        <f>AB8*AC3</f>
        <v>80</v>
      </c>
      <c r="AD8" s="2">
        <f>AB8*AD3</f>
        <v>120</v>
      </c>
      <c r="AE8" t="s">
        <v>28</v>
      </c>
      <c r="AF8" s="2">
        <f>AF7*AB13*AB14/AF11</f>
        <v>0</v>
      </c>
      <c r="AG8" s="2">
        <f>AF7*AB13*AB14/AF11</f>
        <v>0</v>
      </c>
      <c r="AH8" s="2">
        <f>AF7*AB13*AB14/AF11</f>
        <v>0</v>
      </c>
    </row>
    <row xmlns:x14ac="http://schemas.microsoft.com/office/spreadsheetml/2009/9/ac" r="9" x14ac:dyDescent="0.45">
      <c r="A9">
        <v>0.01</v>
      </c>
      <c r="B9">
        <f t="shared" si="0"/>
        <v>2.1264952120328216E-2</v>
      </c>
      <c r="C9" t="b">
        <f t="shared" ref="C9:C72" si="12">IF(C8,C8,(B9&lt;B8))</f>
        <v>0</v>
      </c>
      <c r="D9" t="b">
        <f t="shared" ref="D9:D69" si="13">IF(D8,IF(C9,B9&gt;B8,C9),D8)</f>
        <v>0</v>
      </c>
      <c r="E9" t="b">
        <f t="shared" si="8"/>
        <v>0</v>
      </c>
      <c r="F9" t="b">
        <f t="shared" ref="F9:F72" si="14">IF(D9,B9,D9)</f>
        <v>0</v>
      </c>
      <c r="G9">
        <f t="shared" si="1"/>
        <v>0.10126495212032821</v>
      </c>
      <c r="H9">
        <f t="shared" si="2"/>
        <v>-1.9513479953719919E-2</v>
      </c>
      <c r="I9" t="b">
        <f t="shared" ref="I9:I72" si="15">IF(I8,I8,H8&gt;H9)</f>
        <v>0</v>
      </c>
      <c r="J9" t="b">
        <f t="shared" si="3"/>
        <v>0</v>
      </c>
      <c r="K9" t="b">
        <f t="shared" ref="K9:K72" si="16">IF(I9,H9,I9)</f>
        <v>0</v>
      </c>
      <c r="L9">
        <f t="shared" si="4"/>
        <v>6.0486520046280079E-2</v>
      </c>
      <c r="M9">
        <f t="shared" si="5"/>
        <v>8.0973040092560164E-2</v>
      </c>
      <c r="N9">
        <f t="shared" si="6"/>
        <v>8.0910071119837487E-2</v>
      </c>
      <c r="O9">
        <f t="shared" si="7"/>
        <v>8.0868969485640291E-2</v>
      </c>
      <c r="P9">
        <f>$AB$6-EXP(-AF$6*AF$12*A7)*(COS(AF$5*A7)-(AF$6*AF$12-1)/(AF$5)*SIN(AF$5*A7))*AF$15</f>
        <v>0.08</v>
      </c>
      <c r="Q9">
        <f t="shared" ref="Q9:Q72" si="17">$AB$6-(1+AB$17)*EXP(-AF$6*AF$12*A7)*(COS(AF$5*A7)-(AF$6*AF$12-1)/(AF$5)*SIN(AF$5*A7))*AF$15</f>
        <v>0.08</v>
      </c>
      <c r="R9">
        <f t="shared" si="9"/>
        <v>0.08</v>
      </c>
      <c r="S9">
        <f t="shared" si="10"/>
        <v>0.06</v>
      </c>
      <c r="T9">
        <f t="shared" si="11"/>
        <v>0.1</v>
      </c>
      <c r="U9">
        <f t="shared" ref="U9:U72" si="18">$AB$6-AB$18*EXP(-AF$6*AF$12*A7)*(COS(AF$5*A7)-(AF$6*AF$12-1)/(AF$5)*SIN(AF$5*A7))*AF$15</f>
        <v>0.08</v>
      </c>
      <c r="V9">
        <f>U9</f>
        <v>0.08</v>
      </c>
      <c r="W9">
        <f>IF(EMT_Simulation,L7,L9)</f>
        <v>0.06</v>
      </c>
      <c r="X9">
        <f>IF(EMT_Simulation,G7,G9)</f>
        <v>0.1</v>
      </c>
      <c r="AA9" t="s">
        <v>31</v>
      </c>
      <c r="AB9" s="1">
        <v>5</v>
      </c>
      <c r="AC9" s="2">
        <f>AB9/AC3</f>
        <v>6.25</v>
      </c>
      <c r="AD9" s="2">
        <f>AB9/AD3</f>
        <v>4.166666666666667</v>
      </c>
      <c r="AE9" t="s">
        <v>30</v>
      </c>
      <c r="AF9" s="2">
        <f>AF10/AF12</f>
        <v>0.35691530512412484</v>
      </c>
      <c r="AG9" s="2">
        <f>AG10/AG12</f>
        <v>0.25538780302963909</v>
      </c>
      <c r="AH9" s="2">
        <f>AH10/AH12</f>
        <v>0.4691773529647737</v>
      </c>
    </row>
    <row xmlns:x14ac="http://schemas.microsoft.com/office/spreadsheetml/2009/9/ac" r="10" x14ac:dyDescent="0.45">
      <c r="A10">
        <v>1.4999999999999999E-2</v>
      </c>
      <c r="B10">
        <f t="shared" si="0"/>
        <v>2.2820251387455463E-2</v>
      </c>
      <c r="C10" t="b">
        <f t="shared" si="12"/>
        <v>0</v>
      </c>
      <c r="D10" t="b">
        <f t="shared" si="13"/>
        <v>0</v>
      </c>
      <c r="E10" t="b">
        <f t="shared" si="8"/>
        <v>0</v>
      </c>
      <c r="F10" t="b">
        <f t="shared" si="14"/>
        <v>0</v>
      </c>
      <c r="G10">
        <f t="shared" si="1"/>
        <v>0.10282025138745546</v>
      </c>
      <c r="H10">
        <f t="shared" si="2"/>
        <v>-1.8915287927901744E-2</v>
      </c>
      <c r="I10" t="b">
        <f t="shared" si="15"/>
        <v>0</v>
      </c>
      <c r="J10" t="b">
        <f t="shared" si="3"/>
        <v>0</v>
      </c>
      <c r="K10" t="b">
        <f t="shared" si="16"/>
        <v>0</v>
      </c>
      <c r="L10">
        <f t="shared" si="4"/>
        <v>6.1084712072098257E-2</v>
      </c>
      <c r="M10">
        <f t="shared" si="5"/>
        <v>8.2169424144196507E-2</v>
      </c>
      <c r="N10">
        <f t="shared" si="6"/>
        <v>8.2033965892669952E-2</v>
      </c>
      <c r="O10">
        <f t="shared" si="7"/>
        <v>8.1891757620476485E-2</v>
      </c>
      <c r="P10">
        <f>$AB$6-EXP(-AF$6*AF$12*A8)*(COS(AF$5*A8)-(AF$6*AF$12-1)/(AF$5)*SIN(AF$5*A8))*AF$15</f>
        <v>0.08</v>
      </c>
      <c r="Q10">
        <f t="shared" si="17"/>
        <v>0.08</v>
      </c>
      <c r="R10">
        <f t="shared" si="9"/>
        <v>0.08</v>
      </c>
      <c r="S10">
        <f t="shared" si="10"/>
        <v>0.06</v>
      </c>
      <c r="T10">
        <f t="shared" si="11"/>
        <v>0.1</v>
      </c>
      <c r="U10">
        <f t="shared" si="18"/>
        <v>0.08</v>
      </c>
      <c r="V10">
        <f>U10</f>
        <v>0.08</v>
      </c>
      <c r="W10">
        <f>IF(EMT_Simulation,L7,L10)</f>
        <v>0.06</v>
      </c>
      <c r="X10">
        <f>IF(EMT_Simulation,G7,G10)</f>
        <v>0.1</v>
      </c>
      <c r="AA10" t="s">
        <v>29</v>
      </c>
      <c r="AB10" s="1">
        <v>0.059999999999999998</v>
      </c>
      <c r="AE10" t="s">
        <v>32</v>
      </c>
      <c r="AF10" s="2">
        <f>AB8/(4*AB9)</f>
        <v>5</v>
      </c>
      <c r="AG10" s="2">
        <f>AC8/(4*AC9)</f>
        <v>3.2</v>
      </c>
      <c r="AH10" s="2">
        <f>AD8/(4*AD9)</f>
        <v>7.1999999999999993</v>
      </c>
    </row>
    <row xmlns:x14ac="http://schemas.microsoft.com/office/spreadsheetml/2009/9/ac" r="11" x14ac:dyDescent="0.45">
      <c r="A11">
        <v>0.02</v>
      </c>
      <c r="B11">
        <f t="shared" si="0"/>
        <v>2.4956131479912387E-2</v>
      </c>
      <c r="C11" t="b">
        <f t="shared" si="12"/>
        <v>0</v>
      </c>
      <c r="D11" t="b">
        <f t="shared" si="13"/>
        <v>0</v>
      </c>
      <c r="E11" t="b">
        <f t="shared" si="8"/>
        <v>0</v>
      </c>
      <c r="F11" t="b">
        <f t="shared" si="14"/>
        <v>0</v>
      </c>
      <c r="G11">
        <f t="shared" si="1"/>
        <v>0.1049561314799124</v>
      </c>
      <c r="H11">
        <f t="shared" si="2"/>
        <v>-1.8093795584649082E-2</v>
      </c>
      <c r="I11" t="b">
        <f t="shared" si="15"/>
        <v>0</v>
      </c>
      <c r="J11" t="b">
        <f t="shared" si="3"/>
        <v>0</v>
      </c>
      <c r="K11" t="b">
        <f t="shared" si="16"/>
        <v>0</v>
      </c>
      <c r="L11">
        <f t="shared" si="4"/>
        <v>6.190620441535092E-2</v>
      </c>
      <c r="M11">
        <f t="shared" si="5"/>
        <v>8.3812408830701846E-2</v>
      </c>
      <c r="N11">
        <f t="shared" si="6"/>
        <v>8.358601243908563E-2</v>
      </c>
      <c r="O11">
        <f t="shared" si="7"/>
        <v>8.32570100325907E-2</v>
      </c>
      <c r="P11">
        <f>$AB$6-EXP(-AF$6*AF$12*A9)*(COS(AF$5*A9)-(AF$6*AF$12-1)/(AF$5)*SIN(AF$5*A9))*AF$15</f>
        <v>0.08</v>
      </c>
      <c r="Q11">
        <f t="shared" si="17"/>
        <v>0.08</v>
      </c>
      <c r="R11">
        <f t="shared" si="9"/>
        <v>0.08</v>
      </c>
      <c r="S11">
        <f t="shared" si="10"/>
        <v>0.06</v>
      </c>
      <c r="T11">
        <f t="shared" si="11"/>
        <v>0.1</v>
      </c>
      <c r="U11">
        <f t="shared" si="18"/>
        <v>0.08</v>
      </c>
      <c r="V11">
        <f>U11</f>
        <v>0.08</v>
      </c>
      <c r="W11">
        <f t="shared" ref="W11:W74" si="19">IF(EMT_Simulation,L7,L11)</f>
        <v>0.06</v>
      </c>
      <c r="X11">
        <f t="shared" ref="X11:X74" si="20">IF(EMT_Simulation,G7,G11)</f>
        <v>0.1</v>
      </c>
      <c r="AA11" t="s">
        <v>35</v>
      </c>
      <c r="AB11" s="1">
        <v>0</v>
      </c>
      <c r="AE11" t="s">
        <v>34</v>
      </c>
      <c r="AF11" s="2">
        <f>AB10+AF14+AB11</f>
        <v>0.16</v>
      </c>
      <c r="AG11" s="2">
        <f>AB10+AF14+AB11</f>
        <v>0.16</v>
      </c>
      <c r="AH11" s="2">
        <f>AB10+AF14+AB11</f>
        <v>0.16</v>
      </c>
    </row>
    <row xmlns:x14ac="http://schemas.microsoft.com/office/spreadsheetml/2009/9/ac" r="12" x14ac:dyDescent="0.45">
      <c r="A12">
        <v>2.5000000000000001E-2</v>
      </c>
      <c r="B12">
        <f t="shared" si="0"/>
        <v>2.7639622729145014E-2</v>
      </c>
      <c r="C12" t="b">
        <f t="shared" si="12"/>
        <v>0</v>
      </c>
      <c r="D12" t="b">
        <f t="shared" si="13"/>
        <v>0</v>
      </c>
      <c r="E12" t="b">
        <f t="shared" si="8"/>
        <v>0</v>
      </c>
      <c r="F12" t="b">
        <f t="shared" si="14"/>
        <v>0</v>
      </c>
      <c r="G12">
        <f t="shared" si="1"/>
        <v>0.10763962272914501</v>
      </c>
      <c r="H12">
        <f t="shared" si="2"/>
        <v>-1.7061683565713456E-2</v>
      </c>
      <c r="I12" t="b">
        <f t="shared" si="15"/>
        <v>0</v>
      </c>
      <c r="J12" t="b">
        <f t="shared" si="3"/>
        <v>0</v>
      </c>
      <c r="K12" t="b">
        <f t="shared" si="16"/>
        <v>0</v>
      </c>
      <c r="L12">
        <f t="shared" si="4"/>
        <v>6.2938316434286545E-2</v>
      </c>
      <c r="M12">
        <f t="shared" si="5"/>
        <v>8.5876632868573083E-2</v>
      </c>
      <c r="N12">
        <f t="shared" si="6"/>
        <v>8.5548916701954664E-2</v>
      </c>
      <c r="O12">
        <f t="shared" si="7"/>
        <v>8.4931179716580693E-2</v>
      </c>
      <c r="P12">
        <f>$AB$6-EXP(-AF$6*AF$12*A10)*(COS(AF$5*A10)-(AF$6*AF$12-1)/(AF$5)*SIN(AF$5*A10))*AF$15</f>
        <v>0.08</v>
      </c>
      <c r="Q12">
        <f t="shared" si="17"/>
        <v>0.08</v>
      </c>
      <c r="R12">
        <f t="shared" si="9"/>
        <v>0.08</v>
      </c>
      <c r="S12">
        <f t="shared" si="10"/>
        <v>0.06</v>
      </c>
      <c r="T12">
        <f t="shared" si="11"/>
        <v>0.1</v>
      </c>
      <c r="U12">
        <f t="shared" si="18"/>
        <v>0.08</v>
      </c>
      <c r="V12">
        <f>U12</f>
        <v>0.08</v>
      </c>
      <c r="W12">
        <f t="shared" si="19"/>
        <v>6.0122377015488546E-2</v>
      </c>
      <c r="X12">
        <f t="shared" si="20"/>
        <v>0.10031818024027021</v>
      </c>
      <c r="AA12" t="s">
        <v>33</v>
      </c>
      <c r="AB12" s="1">
        <v>314</v>
      </c>
      <c r="AE12" t="s">
        <v>36</v>
      </c>
      <c r="AF12" s="2">
        <f>SQRT(AB12*AB14*AB13/(2*AB9*AF11))</f>
        <v>14.0089257261219</v>
      </c>
      <c r="AG12" s="2">
        <f>SQRT(AB12*AB14*AB13/(2*AC9*AF11))</f>
        <v>12.529964086141668</v>
      </c>
      <c r="AH12" s="2">
        <f>SQRT(AB12*AB14*AB13/(2*AD9*AF11))</f>
        <v>15.346009253222805</v>
      </c>
    </row>
    <row xmlns:x14ac="http://schemas.microsoft.com/office/spreadsheetml/2009/9/ac" r="13" x14ac:dyDescent="0.45">
      <c r="A13">
        <v>0.03</v>
      </c>
      <c r="B13">
        <f t="shared" si="0"/>
        <v>3.0834554998455659E-2</v>
      </c>
      <c r="C13" t="b">
        <f t="shared" si="12"/>
        <v>0</v>
      </c>
      <c r="D13" t="b">
        <f t="shared" si="13"/>
        <v>0</v>
      </c>
      <c r="E13" t="b">
        <f t="shared" si="8"/>
        <v>0</v>
      </c>
      <c r="F13" t="b">
        <f t="shared" si="14"/>
        <v>0</v>
      </c>
      <c r="G13">
        <f t="shared" si="1"/>
        <v>0.11083455499845565</v>
      </c>
      <c r="H13">
        <f t="shared" si="2"/>
        <v>-1.5832863462132439E-2</v>
      </c>
      <c r="I13" t="b">
        <f t="shared" si="15"/>
        <v>0</v>
      </c>
      <c r="J13" t="b">
        <f t="shared" si="3"/>
        <v>0</v>
      </c>
      <c r="K13" t="b">
        <f t="shared" si="16"/>
        <v>0</v>
      </c>
      <c r="L13">
        <f t="shared" si="4"/>
        <v>6.416713653786757E-2</v>
      </c>
      <c r="M13">
        <f t="shared" si="5"/>
        <v>8.8334273075735117E-2</v>
      </c>
      <c r="N13">
        <f t="shared" si="6"/>
        <v>8.7903067427901396E-2</v>
      </c>
      <c r="O13">
        <f t="shared" si="7"/>
        <v>8.6882477306000863E-2</v>
      </c>
      <c r="P13">
        <f>$AB$6-EXP(-AF$6*AF$12*A11)*(COS(AF$5*A11)-(AF$6*AF$12-1)/(AF$5)*SIN(AF$5*A11))*AF$15</f>
        <v>0.08</v>
      </c>
      <c r="Q13">
        <f t="shared" si="17"/>
        <v>0.08</v>
      </c>
      <c r="R13">
        <f t="shared" si="9"/>
        <v>0.08</v>
      </c>
      <c r="S13">
        <f t="shared" si="10"/>
        <v>0.06</v>
      </c>
      <c r="T13">
        <f t="shared" si="11"/>
        <v>0.1</v>
      </c>
      <c r="U13">
        <f t="shared" si="18"/>
        <v>0.08</v>
      </c>
      <c r="V13">
        <f>MAX(U13,O13)</f>
        <v>8.6882477306000863E-2</v>
      </c>
      <c r="W13">
        <f t="shared" si="19"/>
        <v>6.0486520046280079E-2</v>
      </c>
      <c r="X13">
        <f t="shared" si="20"/>
        <v>0.10126495212032821</v>
      </c>
      <c r="AA13" t="s">
        <v>37</v>
      </c>
      <c r="AB13" s="1">
        <v>1</v>
      </c>
      <c r="AE13" t="s">
        <v>38</v>
      </c>
      <c r="AF13" s="7">
        <f>MAX(ABS($AB15*($AF23)),$AB16)</f>
        <v>0.02</v>
      </c>
      <c r="AG13" s="7">
        <f t="shared" ref="AG13:AH13" si="21">MAX(ABS($AB15*($AF23)),$AB16)</f>
        <v>0.02</v>
      </c>
      <c r="AH13" s="7">
        <f t="shared" si="21"/>
        <v>0.02</v>
      </c>
    </row>
    <row xmlns:x14ac="http://schemas.microsoft.com/office/spreadsheetml/2009/9/ac" r="14" x14ac:dyDescent="0.45">
      <c r="A14">
        <v>3.5000000000000003E-2</v>
      </c>
      <c r="B14">
        <f t="shared" si="0"/>
        <v>3.4502748036327052E-2</v>
      </c>
      <c r="C14" t="b">
        <f t="shared" si="12"/>
        <v>0</v>
      </c>
      <c r="D14" t="b">
        <f t="shared" si="13"/>
        <v>0</v>
      </c>
      <c r="E14" t="b">
        <f t="shared" si="8"/>
        <v>0</v>
      </c>
      <c r="F14" t="b">
        <f t="shared" si="14"/>
        <v>0</v>
      </c>
      <c r="G14">
        <f t="shared" si="1"/>
        <v>0.11450274803632705</v>
      </c>
      <c r="H14">
        <f t="shared" si="2"/>
        <v>-1.4422019986028059E-2</v>
      </c>
      <c r="I14" t="b">
        <f t="shared" si="15"/>
        <v>0</v>
      </c>
      <c r="J14" t="b">
        <f t="shared" si="3"/>
        <v>0</v>
      </c>
      <c r="K14" t="b">
        <f t="shared" si="16"/>
        <v>0</v>
      </c>
      <c r="L14">
        <f t="shared" si="4"/>
        <v>6.5577980013971943E-2</v>
      </c>
      <c r="M14">
        <f t="shared" si="5"/>
        <v>9.1155960027943878E-2</v>
      </c>
      <c r="N14">
        <f t="shared" si="6"/>
        <v>9.0627035556438057E-2</v>
      </c>
      <c r="O14">
        <f t="shared" si="7"/>
        <v>8.9080428733867137E-2</v>
      </c>
      <c r="P14">
        <f t="shared" ref="P14:P77" si="22">$AB$6-EXP(-AF$6*AF$12*A14)*(COS(AF$5*A14)-(AF$6*AF$12-1)/(AF$5)*SIN(AF$5*A14))*AF$15</f>
        <v>0.08</v>
      </c>
      <c r="Q14">
        <f t="shared" si="17"/>
        <v>0.08</v>
      </c>
      <c r="R14">
        <f t="shared" si="9"/>
        <v>0.08</v>
      </c>
      <c r="S14">
        <f t="shared" si="10"/>
        <v>0.06</v>
      </c>
      <c r="T14">
        <f t="shared" si="11"/>
        <v>0.1</v>
      </c>
      <c r="U14">
        <f t="shared" si="18"/>
        <v>0.08</v>
      </c>
      <c r="V14">
        <f>MAX(U14,O14)</f>
        <v>8.9080428733867137E-2</v>
      </c>
      <c r="W14">
        <f t="shared" si="19"/>
        <v>6.1084712072098257E-2</v>
      </c>
      <c r="X14">
        <f t="shared" si="20"/>
        <v>0.10282025138745546</v>
      </c>
      <c r="AA14" t="s">
        <v>39</v>
      </c>
      <c r="AB14" s="1">
        <v>1</v>
      </c>
      <c r="AE14" t="s">
        <v>40</v>
      </c>
      <c r="AF14" s="2">
        <f>1/AB7</f>
        <v>0.1</v>
      </c>
      <c r="AG14" s="2">
        <f>1/AB7</f>
        <v>0.1</v>
      </c>
      <c r="AH14" s="2">
        <f>1/AB7</f>
        <v>0.1</v>
      </c>
    </row>
    <row xmlns:x14ac="http://schemas.microsoft.com/office/spreadsheetml/2009/9/ac" r="15" x14ac:dyDescent="0.45">
      <c r="A15">
        <v>0.04</v>
      </c>
      <c r="B15">
        <f t="shared" si="0"/>
        <v>3.8604814520031921E-2</v>
      </c>
      <c r="C15" t="b">
        <f t="shared" si="12"/>
        <v>0</v>
      </c>
      <c r="D15" t="b">
        <f t="shared" si="13"/>
        <v>0</v>
      </c>
      <c r="E15" t="b">
        <f t="shared" si="8"/>
        <v>0</v>
      </c>
      <c r="F15" t="b">
        <f t="shared" si="14"/>
        <v>0</v>
      </c>
      <c r="G15">
        <f t="shared" si="1"/>
        <v>0.11860481452003192</v>
      </c>
      <c r="H15">
        <f t="shared" si="2"/>
        <v>-1.284430210768003E-2</v>
      </c>
      <c r="I15" t="b">
        <f t="shared" si="15"/>
        <v>0</v>
      </c>
      <c r="J15" t="b">
        <f t="shared" si="3"/>
        <v>0</v>
      </c>
      <c r="K15" t="b">
        <f t="shared" si="16"/>
        <v>0</v>
      </c>
      <c r="L15">
        <f t="shared" si="4"/>
        <v>6.7155697892319968E-2</v>
      </c>
      <c r="M15">
        <f t="shared" si="5"/>
        <v>9.4311395784639943E-2</v>
      </c>
      <c r="N15">
        <f t="shared" si="6"/>
        <v>9.3697954276106499E-2</v>
      </c>
      <c r="O15">
        <f t="shared" si="7"/>
        <v>9.1495678181776161E-2</v>
      </c>
      <c r="P15">
        <f t="shared" si="22"/>
        <v>0.08</v>
      </c>
      <c r="Q15">
        <f t="shared" si="17"/>
        <v>0.08</v>
      </c>
      <c r="R15">
        <f t="shared" si="9"/>
        <v>0.08</v>
      </c>
      <c r="S15">
        <f t="shared" si="10"/>
        <v>0.06</v>
      </c>
      <c r="T15">
        <f t="shared" si="11"/>
        <v>0.1</v>
      </c>
      <c r="U15">
        <f t="shared" si="18"/>
        <v>0.08</v>
      </c>
      <c r="V15">
        <f>MAX(U15,O15)</f>
        <v>9.1495678181776161E-2</v>
      </c>
      <c r="W15">
        <f t="shared" si="19"/>
        <v>6.190620441535092E-2</v>
      </c>
      <c r="X15">
        <f t="shared" si="20"/>
        <v>0.1049561314799124</v>
      </c>
      <c r="AA15" t="s">
        <v>62</v>
      </c>
      <c r="AB15" s="4">
        <v>0.05</v>
      </c>
      <c r="AE15" t="s">
        <v>41</v>
      </c>
      <c r="AF15" s="2">
        <f>AF7*AB13*AB14/AF11</f>
        <v>0</v>
      </c>
      <c r="AG15" s="2">
        <f>AF7*AB13*AB14/AF11</f>
        <v>0</v>
      </c>
      <c r="AH15" s="2">
        <f>AF7*AB13*AB14/AF11</f>
        <v>0</v>
      </c>
    </row>
    <row xmlns:x14ac="http://schemas.microsoft.com/office/spreadsheetml/2009/9/ac" r="16" x14ac:dyDescent="0.45">
      <c r="A16">
        <v>4.4999999999999998E-2</v>
      </c>
      <c r="B16">
        <f t="shared" si="0"/>
        <v>4.3100724172787083E-2</v>
      </c>
      <c r="C16" t="b">
        <f t="shared" si="12"/>
        <v>0</v>
      </c>
      <c r="D16" t="b">
        <f t="shared" si="13"/>
        <v>0</v>
      </c>
      <c r="E16" t="b">
        <f t="shared" si="8"/>
        <v>0</v>
      </c>
      <c r="F16" t="b">
        <f t="shared" si="14"/>
        <v>0</v>
      </c>
      <c r="G16">
        <f t="shared" si="1"/>
        <v>0.12310072417278708</v>
      </c>
      <c r="H16">
        <f t="shared" si="2"/>
        <v>-1.1115106087389585E-2</v>
      </c>
      <c r="I16" t="b">
        <f t="shared" si="15"/>
        <v>0</v>
      </c>
      <c r="J16" t="b">
        <f t="shared" si="3"/>
        <v>0</v>
      </c>
      <c r="K16" t="b">
        <f t="shared" si="16"/>
        <v>0</v>
      </c>
      <c r="L16">
        <f t="shared" si="4"/>
        <v>6.888489391261042E-2</v>
      </c>
      <c r="M16">
        <f t="shared" si="5"/>
        <v>9.7769787825220833E-2</v>
      </c>
      <c r="N16">
        <f t="shared" si="6"/>
        <v>9.7091818641117877E-2</v>
      </c>
      <c r="O16">
        <f t="shared" si="7"/>
        <v>9.4099920338724635E-2</v>
      </c>
      <c r="P16">
        <f t="shared" si="22"/>
        <v>0.08</v>
      </c>
      <c r="Q16">
        <f t="shared" si="17"/>
        <v>0.08</v>
      </c>
      <c r="R16">
        <f t="shared" si="9"/>
        <v>0.08</v>
      </c>
      <c r="S16">
        <f t="shared" si="10"/>
        <v>0.06</v>
      </c>
      <c r="T16">
        <f t="shared" si="11"/>
        <v>0.1</v>
      </c>
      <c r="U16">
        <f t="shared" si="18"/>
        <v>0.08</v>
      </c>
      <c r="V16">
        <f>MAX(U16,O16)</f>
        <v>9.4099920338724635E-2</v>
      </c>
      <c r="W16">
        <f t="shared" si="19"/>
        <v>6.2938316434286545E-2</v>
      </c>
      <c r="X16">
        <f t="shared" si="20"/>
        <v>0.10763962272914501</v>
      </c>
      <c r="AA16" t="s">
        <v>61</v>
      </c>
      <c r="AB16" s="4">
        <v>0.02</v>
      </c>
      <c r="AE16" t="s">
        <v>42</v>
      </c>
      <c r="AF16" s="2">
        <f>-($AB19^2*AF20*AF12^2*($AB19*AF21-1))/(1-2*AF6*AF12*$AB19+AF12^2*$AB19^2)</f>
        <v>2.1340220198450477E-6</v>
      </c>
      <c r="AG16" s="2">
        <f>-($AC18^2*AG20*AG12^2*($AC18*AG21-1))/(1-2*AG6*AG12*$AC18+AG12^2*$AC18^2)</f>
        <v>2.5971877584780829E-6</v>
      </c>
      <c r="AH16" s="2">
        <f>-($AD18^2*AH20*AH12^2*($AD18*AH21-1))/(1-2*AH6*AH12*$AD18+AH12^2*$AD18^2)</f>
        <v>-8.446854757139471E-7</v>
      </c>
    </row>
    <row xmlns:x14ac="http://schemas.microsoft.com/office/spreadsheetml/2009/9/ac" r="17" x14ac:dyDescent="0.45">
      <c r="A17">
        <v>0.05</v>
      </c>
      <c r="B17">
        <f t="shared" si="0"/>
        <v>4.7950218780514253E-2</v>
      </c>
      <c r="C17" t="b">
        <f t="shared" si="12"/>
        <v>0</v>
      </c>
      <c r="D17" t="b">
        <f t="shared" si="13"/>
        <v>0</v>
      </c>
      <c r="E17" t="b">
        <f t="shared" si="8"/>
        <v>0</v>
      </c>
      <c r="F17" t="b">
        <f t="shared" si="14"/>
        <v>0</v>
      </c>
      <c r="G17">
        <f t="shared" si="1"/>
        <v>0.12795021878051427</v>
      </c>
      <c r="H17">
        <f t="shared" si="2"/>
        <v>-9.2499158536483647E-3</v>
      </c>
      <c r="I17" t="b">
        <f t="shared" si="15"/>
        <v>0</v>
      </c>
      <c r="J17" t="b">
        <f t="shared" si="3"/>
        <v>0</v>
      </c>
      <c r="K17" t="b">
        <f t="shared" si="16"/>
        <v>0</v>
      </c>
      <c r="L17">
        <f t="shared" si="4"/>
        <v>7.0750084146351644E-2</v>
      </c>
      <c r="M17">
        <f t="shared" si="5"/>
        <v>0.10150016829270328</v>
      </c>
      <c r="N17">
        <f t="shared" si="6"/>
        <v>0.10078373063345912</v>
      </c>
      <c r="O17">
        <f t="shared" si="7"/>
        <v>9.6865898470446271E-2</v>
      </c>
      <c r="P17">
        <f t="shared" si="22"/>
        <v>0.08</v>
      </c>
      <c r="Q17">
        <f t="shared" si="17"/>
        <v>0.08</v>
      </c>
      <c r="R17">
        <f t="shared" si="9"/>
        <v>0.08</v>
      </c>
      <c r="S17">
        <f t="shared" si="10"/>
        <v>0.06</v>
      </c>
      <c r="T17">
        <f t="shared" si="11"/>
        <v>0.1</v>
      </c>
      <c r="U17">
        <f t="shared" si="18"/>
        <v>0.08</v>
      </c>
      <c r="V17">
        <f>MAX(U17,O17)</f>
        <v>9.6865898470446271E-2</v>
      </c>
      <c r="W17">
        <f t="shared" si="19"/>
        <v>6.416713653786757E-2</v>
      </c>
      <c r="X17">
        <f t="shared" si="20"/>
        <v>0.11083455499845565</v>
      </c>
      <c r="AA17" t="s">
        <v>63</v>
      </c>
      <c r="AB17" s="6">
        <v>0.3</v>
      </c>
      <c r="AE17" t="s">
        <v>43</v>
      </c>
      <c r="AF17" s="2">
        <f>AF20*AF21</f>
        <v>-0.11</v>
      </c>
      <c r="AG17" s="2">
        <f>AG20*AG21</f>
        <v>-0.10800000000000001</v>
      </c>
      <c r="AH17" s="2">
        <f>AH20*AH21</f>
        <v>-7.7777777777777779E-2</v>
      </c>
    </row>
    <row xmlns:x14ac="http://schemas.microsoft.com/office/spreadsheetml/2009/9/ac" r="18" x14ac:dyDescent="0.45">
      <c r="A18">
        <v>5.5E-2</v>
      </c>
      <c r="B18">
        <f t="shared" si="0"/>
        <v>5.3113132445983674E-2</v>
      </c>
      <c r="C18" t="b">
        <f t="shared" si="12"/>
        <v>0</v>
      </c>
      <c r="D18" t="b">
        <f t="shared" si="13"/>
        <v>0</v>
      </c>
      <c r="E18" t="b">
        <f t="shared" si="8"/>
        <v>0</v>
      </c>
      <c r="F18" t="b">
        <f t="shared" si="14"/>
        <v>0</v>
      </c>
      <c r="G18">
        <f t="shared" si="1"/>
        <v>0.13311313244598366</v>
      </c>
      <c r="H18">
        <f t="shared" si="2"/>
        <v>-7.2641798284678212E-3</v>
      </c>
      <c r="I18" t="b">
        <f t="shared" si="15"/>
        <v>0</v>
      </c>
      <c r="J18" t="b">
        <f t="shared" si="3"/>
        <v>0</v>
      </c>
      <c r="K18" t="b">
        <f t="shared" si="16"/>
        <v>0</v>
      </c>
      <c r="L18">
        <f t="shared" si="4"/>
        <v>7.2735820171532184E-2</v>
      </c>
      <c r="M18">
        <f t="shared" si="5"/>
        <v>0.10547164034306436</v>
      </c>
      <c r="N18">
        <f t="shared" si="6"/>
        <v>0.10474810684425749</v>
      </c>
      <c r="O18">
        <f t="shared" si="7"/>
        <v>9.9767433618790646E-2</v>
      </c>
      <c r="P18">
        <f t="shared" si="22"/>
        <v>0.08</v>
      </c>
      <c r="Q18">
        <f t="shared" si="17"/>
        <v>0.08</v>
      </c>
      <c r="R18">
        <f t="shared" si="9"/>
        <v>0.08</v>
      </c>
      <c r="S18">
        <f t="shared" si="10"/>
        <v>0.06</v>
      </c>
      <c r="T18">
        <f t="shared" si="11"/>
        <v>0.1</v>
      </c>
      <c r="U18">
        <f t="shared" si="18"/>
        <v>0.08</v>
      </c>
      <c r="V18" t="e">
        <f>MAX(IF(AA19,MAX(H18,$AB$6+$AF$13),MAX(T18,$AB$6+$AF$13)),O18,N18)</f>
        <v>#VALUE!</v>
      </c>
      <c r="W18">
        <f t="shared" si="19"/>
        <v>6.5577980013971943E-2</v>
      </c>
      <c r="X18">
        <f t="shared" si="20"/>
        <v>0.11450274803632705</v>
      </c>
      <c r="AA18" t="s">
        <v>64</v>
      </c>
      <c r="AB18" s="6">
        <v>0.5</v>
      </c>
      <c r="AC18" s="2">
        <f>AB19/AC3</f>
        <v>1.2499999999999999E-2</v>
      </c>
      <c r="AD18" s="2">
        <f>AB19/AD3</f>
        <v>8.3333333333333332E-3</v>
      </c>
      <c r="AE18" t="s">
        <v>45</v>
      </c>
      <c r="AF18" s="2">
        <f>AF20*(2*$AB19*AF21*AF6*AF12-$AB19*AF12^2-AF21)/(1-2*AF6*AF12*$AB19+AF12^2*$AB19^2)</f>
        <v>0.1097865977980155</v>
      </c>
      <c r="AG18" s="2">
        <f>AG20*(2*$AC18*AG21*AG6*AG12-$AC18*AG12^2-AG21)/(1-2*AG6*AG12*$AC18+AG12^2*$AC18^2)</f>
        <v>0.10779222497932175</v>
      </c>
      <c r="AH18" s="2">
        <f>AH20*(2*$AD18*AH21*AH6*AH12-$AD18*AH12^2-AH21)/(1-2*AH6*AH12*$AD18+AH12^2*$AD18^2)</f>
        <v>7.7879140034863459E-2</v>
      </c>
    </row>
    <row xmlns:x14ac="http://schemas.microsoft.com/office/spreadsheetml/2009/9/ac" r="19" x14ac:dyDescent="0.45">
      <c r="A19">
        <v>0.06</v>
      </c>
      <c r="B19">
        <f t="shared" si="0"/>
        <v>5.85496499211378E-2</v>
      </c>
      <c r="C19" t="b">
        <f t="shared" si="12"/>
        <v>0</v>
      </c>
      <c r="D19" t="b">
        <f t="shared" si="13"/>
        <v>0</v>
      </c>
      <c r="E19" t="b">
        <f t="shared" si="8"/>
        <v>0</v>
      </c>
      <c r="F19" t="b">
        <f t="shared" si="14"/>
        <v>0</v>
      </c>
      <c r="G19">
        <f t="shared" si="1"/>
        <v>0.1385496499211378</v>
      </c>
      <c r="H19">
        <f t="shared" si="2"/>
        <v>-5.1732115687931537E-3</v>
      </c>
      <c r="I19" t="b">
        <f t="shared" si="15"/>
        <v>0</v>
      </c>
      <c r="J19" t="b">
        <f t="shared" si="3"/>
        <v>0</v>
      </c>
      <c r="K19" t="b">
        <f t="shared" si="16"/>
        <v>0</v>
      </c>
      <c r="L19">
        <f t="shared" si="4"/>
        <v>7.4826788431206853E-2</v>
      </c>
      <c r="M19">
        <f t="shared" si="5"/>
        <v>0.1096535768624137</v>
      </c>
      <c r="N19">
        <f t="shared" si="6"/>
        <v>0.10895886011812757</v>
      </c>
      <c r="O19">
        <f t="shared" si="7"/>
        <v>0.10277946608181984</v>
      </c>
      <c r="P19">
        <f t="shared" si="22"/>
        <v>0.08</v>
      </c>
      <c r="Q19">
        <f t="shared" si="17"/>
        <v>0.08</v>
      </c>
      <c r="R19">
        <f t="shared" si="9"/>
        <v>0.08</v>
      </c>
      <c r="S19">
        <f t="shared" si="10"/>
        <v>0.06</v>
      </c>
      <c r="T19">
        <f t="shared" si="11"/>
        <v>0.1</v>
      </c>
      <c r="U19">
        <f t="shared" si="18"/>
        <v>0.08</v>
      </c>
      <c r="V19" t="e">
        <f>MAX(IF(AA20,MAX(H19,$AB$6+$AF$13),MAX(T19,$AB$6+$AF$13)),O19,N19)</f>
        <v>#VALUE!</v>
      </c>
      <c r="W19">
        <f t="shared" si="19"/>
        <v>6.7155697892319968E-2</v>
      </c>
      <c r="X19">
        <f t="shared" si="20"/>
        <v>0.11860481452003192</v>
      </c>
      <c r="AA19" t="s">
        <v>44</v>
      </c>
      <c r="AB19" s="1">
        <v>0.01</v>
      </c>
      <c r="AE19" t="s">
        <v>27</v>
      </c>
      <c r="AF19" s="2">
        <f>AF20*(4*$AB19*AF21*AF12^2*AF6^2-$AB19*AF21*AF12^2-2*$AB19*AF12^3*AF6-2*AF21*AF12*AF6+AF12^2)/(1-2*AF6*AF12*$AB19+AF12^2*$AB19^2)</f>
        <v>1.1192061981786054</v>
      </c>
      <c r="AG19" s="2">
        <f>AG20*(4*$AC18*AG21*AG12^2*AG6^2-$AC18*AG21*AG12^2-2*$AC18*AG12^3*AG6-2*AG21*AG12*AG6+AG12^2)/(1-2*AG6*AG12*$AC18+AG12^2*$AC18^2)</f>
        <v>0.70649224152191892</v>
      </c>
      <c r="AH19" s="2">
        <f>AH20*(4*$AD18*AH21*AH12^2*AH6^2-$AD18*AH21*AH12^2-2*$AD18*AH12^3*AH6-2*AH21*AH12*AH6+AH12^2)/(1-2*AH6*AH12*$AD18+AH12^2*$AD18^2)</f>
        <v>1.1092961456517529</v>
      </c>
    </row>
    <row xmlns:x14ac="http://schemas.microsoft.com/office/spreadsheetml/2009/9/ac" r="20" x14ac:dyDescent="0.45">
      <c r="A20">
        <v>6.5000000000000002E-2</v>
      </c>
      <c r="B20">
        <f t="shared" si="0"/>
        <v>6.4220522846771558E-2</v>
      </c>
      <c r="C20" t="b">
        <f t="shared" si="12"/>
        <v>0</v>
      </c>
      <c r="D20" t="b">
        <f t="shared" si="13"/>
        <v>0</v>
      </c>
      <c r="E20" t="b">
        <f t="shared" si="8"/>
        <v>0</v>
      </c>
      <c r="F20" t="b">
        <f t="shared" si="14"/>
        <v>0</v>
      </c>
      <c r="G20">
        <f t="shared" si="1"/>
        <v>0.14422052284677156</v>
      </c>
      <c r="H20">
        <f t="shared" si="2"/>
        <v>-2.9921065973955545E-3</v>
      </c>
      <c r="I20" t="b">
        <f t="shared" si="15"/>
        <v>0</v>
      </c>
      <c r="J20" t="b">
        <f t="shared" si="3"/>
        <v>0</v>
      </c>
      <c r="K20" t="b">
        <f t="shared" si="16"/>
        <v>0</v>
      </c>
      <c r="L20">
        <f t="shared" si="4"/>
        <v>7.7007893402604444E-2</v>
      </c>
      <c r="M20">
        <f t="shared" si="5"/>
        <v>0.11401578680520889</v>
      </c>
      <c r="N20">
        <f t="shared" si="6"/>
        <v>0.11338956260588633</v>
      </c>
      <c r="O20">
        <f t="shared" si="7"/>
        <v>0.10587809902669612</v>
      </c>
      <c r="P20">
        <f t="shared" si="22"/>
        <v>0.08</v>
      </c>
      <c r="Q20">
        <f t="shared" si="17"/>
        <v>0.08</v>
      </c>
      <c r="R20">
        <f t="shared" si="9"/>
        <v>0.08</v>
      </c>
      <c r="S20">
        <f t="shared" si="10"/>
        <v>0.06</v>
      </c>
      <c r="T20">
        <f t="shared" si="11"/>
        <v>0.1</v>
      </c>
      <c r="U20">
        <f t="shared" si="18"/>
        <v>0.08</v>
      </c>
      <c r="V20" t="e">
        <f>MAX(IF(AA21,MAX(H20,$AB$6+$AF$13),MAX(T20,$AB$6+$AF$13)),O20,N20)</f>
        <v>#VALUE!</v>
      </c>
      <c r="W20">
        <f t="shared" si="19"/>
        <v>6.888489391261042E-2</v>
      </c>
      <c r="X20">
        <f t="shared" si="20"/>
        <v>0.12310072417278708</v>
      </c>
      <c r="AA20" t="s">
        <v>55</v>
      </c>
      <c r="AB20" s="1">
        <v>-0.01</v>
      </c>
      <c r="AE20" t="s">
        <v>47</v>
      </c>
      <c r="AF20" s="2">
        <f>2*AB9*$AB19*$AB20</f>
        <v>-1E-3</v>
      </c>
      <c r="AG20" s="2">
        <f>2*AC9*$AB19*$AB20</f>
        <v>-1.25E-3</v>
      </c>
      <c r="AH20" s="2">
        <f>2*AD9*$AD18*$AB20</f>
        <v>-6.9444444444444447E-4</v>
      </c>
    </row>
    <row xmlns:x14ac="http://schemas.microsoft.com/office/spreadsheetml/2009/9/ac" r="21" x14ac:dyDescent="0.45">
      <c r="A21">
        <v>7.0000000000000007E-2</v>
      </c>
      <c r="B21">
        <f t="shared" si="0"/>
        <v>7.0087255862874176E-2</v>
      </c>
      <c r="C21" t="b">
        <f t="shared" si="12"/>
        <v>0</v>
      </c>
      <c r="D21" t="b">
        <f t="shared" si="13"/>
        <v>0</v>
      </c>
      <c r="E21" t="b">
        <f t="shared" si="8"/>
        <v>0</v>
      </c>
      <c r="F21" t="b">
        <f t="shared" si="14"/>
        <v>0</v>
      </c>
      <c r="G21">
        <f t="shared" si="1"/>
        <v>0.15008725586287419</v>
      </c>
      <c r="H21">
        <f t="shared" si="2"/>
        <v>-7.3567082197147429E-4</v>
      </c>
      <c r="I21" t="b">
        <f t="shared" si="15"/>
        <v>0</v>
      </c>
      <c r="J21" t="b">
        <f t="shared" si="3"/>
        <v>0</v>
      </c>
      <c r="K21" t="b">
        <f t="shared" si="16"/>
        <v>0</v>
      </c>
      <c r="L21">
        <f t="shared" si="4"/>
        <v>7.9264329178028531E-2</v>
      </c>
      <c r="M21">
        <f t="shared" si="5"/>
        <v>0.11852865835605705</v>
      </c>
      <c r="N21">
        <f t="shared" si="6"/>
        <v>0.11801359506796205</v>
      </c>
      <c r="O21">
        <f t="shared" si="7"/>
        <v>0.10904063887396867</v>
      </c>
      <c r="P21">
        <f t="shared" si="22"/>
        <v>0.08</v>
      </c>
      <c r="Q21">
        <f t="shared" si="17"/>
        <v>0.08</v>
      </c>
      <c r="R21">
        <f t="shared" si="9"/>
        <v>0.08</v>
      </c>
      <c r="S21">
        <f t="shared" si="10"/>
        <v>0.06</v>
      </c>
      <c r="T21">
        <f t="shared" si="11"/>
        <v>0.1</v>
      </c>
      <c r="U21">
        <f t="shared" si="18"/>
        <v>0.08</v>
      </c>
      <c r="V21">
        <f t="shared" ref="V21:V84" si="23">MAX(IF(Y21,MAX(H21,$AB$6+$AF$13),MAX(T21,$AB$6+$AF$13)),O21,N21)</f>
        <v>0.11801359506796205</v>
      </c>
      <c r="W21">
        <f t="shared" si="19"/>
        <v>7.0750084146351644E-2</v>
      </c>
      <c r="X21">
        <f t="shared" si="20"/>
        <v>0.12795021878051427</v>
      </c>
      <c r="Y21" t="b">
        <f>IF(P21&lt;P20,TRUE)</f>
        <v>0</v>
      </c>
      <c r="AA21" t="s">
        <v>46</v>
      </c>
      <c r="AB21" s="1">
        <v>1</v>
      </c>
      <c r="AE21" t="s">
        <v>48</v>
      </c>
      <c r="AF21" s="2">
        <f>(2*AB9+AB8*$AB19)/(2*AB9*$AB19)</f>
        <v>110</v>
      </c>
      <c r="AG21" s="2">
        <f>(2*AC9+AC8*$AC18)/(2*AC9*$AC18)</f>
        <v>86.4</v>
      </c>
      <c r="AH21" s="2">
        <f>(2*AD9+AD8*$AD18)/(2*AD9*$AB19)</f>
        <v>112</v>
      </c>
    </row>
    <row xmlns:x14ac="http://schemas.microsoft.com/office/spreadsheetml/2009/9/ac" r="22" x14ac:dyDescent="0.45">
      <c r="A22">
        <v>7.4999999999999997E-2</v>
      </c>
      <c r="B22">
        <f t="shared" si="0"/>
        <v>7.6112269807149482E-2</v>
      </c>
      <c r="C22" t="b">
        <f t="shared" si="12"/>
        <v>0</v>
      </c>
      <c r="D22" t="b">
        <f t="shared" si="13"/>
        <v>0</v>
      </c>
      <c r="E22" t="b">
        <f t="shared" si="8"/>
        <v>0</v>
      </c>
      <c r="F22" t="b">
        <f t="shared" si="14"/>
        <v>0</v>
      </c>
      <c r="G22">
        <f t="shared" si="1"/>
        <v>0.15611226980714948</v>
      </c>
      <c r="H22">
        <f t="shared" si="2"/>
        <v>1.5816422335190282E-3</v>
      </c>
      <c r="I22" t="b">
        <f t="shared" si="15"/>
        <v>0</v>
      </c>
      <c r="J22" t="b">
        <f t="shared" si="3"/>
        <v>0</v>
      </c>
      <c r="K22" t="b">
        <f t="shared" si="16"/>
        <v>0</v>
      </c>
      <c r="L22">
        <f t="shared" si="4"/>
        <v>8.1581642233519033E-2</v>
      </c>
      <c r="M22">
        <f t="shared" si="5"/>
        <v>0.12316328446703806</v>
      </c>
      <c r="N22">
        <f t="shared" si="6"/>
        <v>0.12280428553636102</v>
      </c>
      <c r="O22">
        <f t="shared" si="7"/>
        <v>0.11224562972799322</v>
      </c>
      <c r="P22">
        <f t="shared" si="22"/>
        <v>0.08</v>
      </c>
      <c r="Q22">
        <f t="shared" si="17"/>
        <v>0.08</v>
      </c>
      <c r="R22">
        <f t="shared" si="9"/>
        <v>0.08</v>
      </c>
      <c r="S22">
        <f t="shared" si="10"/>
        <v>0.06</v>
      </c>
      <c r="T22">
        <f t="shared" si="11"/>
        <v>0.1</v>
      </c>
      <c r="U22">
        <f t="shared" si="18"/>
        <v>0.08</v>
      </c>
      <c r="V22">
        <f t="shared" si="23"/>
        <v>0.12280428553636102</v>
      </c>
      <c r="W22">
        <f t="shared" si="19"/>
        <v>7.2735820171532184E-2</v>
      </c>
      <c r="X22">
        <f t="shared" si="20"/>
        <v>0.13311313244598366</v>
      </c>
      <c r="Y22" t="b">
        <f t="shared" ref="Y22:Y85" si="24">IF(Y21,TRUE,IF(P22&lt;P21,TRUE))</f>
        <v>0</v>
      </c>
      <c r="AE22" t="s">
        <v>49</v>
      </c>
      <c r="AF22" s="2">
        <f>AB20*50</f>
        <v>-0.5</v>
      </c>
    </row>
    <row xmlns:x14ac="http://schemas.microsoft.com/office/spreadsheetml/2009/9/ac" r="23" x14ac:dyDescent="0.45">
      <c r="A23">
        <v>0.08</v>
      </c>
      <c r="B23">
        <f t="shared" si="0"/>
        <v>8.2259046364833083E-2</v>
      </c>
      <c r="C23" t="b">
        <f t="shared" si="12"/>
        <v>0</v>
      </c>
      <c r="D23" t="b">
        <f t="shared" si="13"/>
        <v>0</v>
      </c>
      <c r="E23" t="b">
        <f t="shared" si="8"/>
        <v>0</v>
      </c>
      <c r="F23" t="b">
        <f t="shared" si="14"/>
        <v>0</v>
      </c>
      <c r="G23">
        <f t="shared" si="1"/>
        <v>0.16225904636483307</v>
      </c>
      <c r="H23">
        <f t="shared" si="2"/>
        <v>3.9457870633973387E-3</v>
      </c>
      <c r="I23" t="b">
        <f t="shared" si="15"/>
        <v>0</v>
      </c>
      <c r="J23" t="b">
        <f t="shared" si="3"/>
        <v>0</v>
      </c>
      <c r="K23" t="b">
        <f t="shared" si="16"/>
        <v>0</v>
      </c>
      <c r="L23">
        <f t="shared" si="4"/>
        <v>8.3945787063397337E-2</v>
      </c>
      <c r="M23">
        <f t="shared" si="5"/>
        <v>0.12789157412679469</v>
      </c>
      <c r="N23">
        <f t="shared" si="6"/>
        <v>0.12773503929111818</v>
      </c>
      <c r="O23">
        <f t="shared" si="7"/>
        <v>0.11547288058236296</v>
      </c>
      <c r="P23">
        <f t="shared" si="22"/>
        <v>0.08</v>
      </c>
      <c r="Q23">
        <f t="shared" si="17"/>
        <v>0.08</v>
      </c>
      <c r="R23">
        <f t="shared" si="9"/>
        <v>0.08</v>
      </c>
      <c r="S23">
        <f t="shared" si="10"/>
        <v>0.06</v>
      </c>
      <c r="T23">
        <f t="shared" si="11"/>
        <v>0.1</v>
      </c>
      <c r="U23">
        <f t="shared" si="18"/>
        <v>0.08</v>
      </c>
      <c r="V23">
        <f t="shared" si="23"/>
        <v>0.12773503929111818</v>
      </c>
      <c r="W23">
        <f t="shared" si="19"/>
        <v>7.4826788431206853E-2</v>
      </c>
      <c r="X23">
        <f t="shared" si="20"/>
        <v>0.1385496499211378</v>
      </c>
      <c r="Y23" t="b">
        <f t="shared" si="24"/>
        <v>0</v>
      </c>
      <c r="AE23" t="s">
        <v>50</v>
      </c>
      <c r="AF23" s="2">
        <f>ABS(-(2*H+Damp*Tpll)*Rocof)</f>
        <v>0.11</v>
      </c>
    </row>
    <row xmlns:x14ac="http://schemas.microsoft.com/office/spreadsheetml/2009/9/ac" r="24" x14ac:dyDescent="0.45">
      <c r="A24">
        <v>8.5000000000000006E-2</v>
      </c>
      <c r="B24">
        <f t="shared" si="0"/>
        <v>8.8492256824605181E-2</v>
      </c>
      <c r="C24" t="b">
        <f t="shared" si="12"/>
        <v>0</v>
      </c>
      <c r="D24" t="b">
        <f t="shared" si="13"/>
        <v>0</v>
      </c>
      <c r="E24" t="b">
        <f t="shared" si="8"/>
        <v>0</v>
      </c>
      <c r="F24" t="b">
        <f t="shared" si="14"/>
        <v>0</v>
      </c>
      <c r="G24">
        <f t="shared" si="1"/>
        <v>0.16849225682460517</v>
      </c>
      <c r="H24">
        <f t="shared" si="2"/>
        <v>6.3431757017712205E-3</v>
      </c>
      <c r="I24" t="b">
        <f t="shared" si="15"/>
        <v>0</v>
      </c>
      <c r="J24" t="b">
        <f t="shared" si="3"/>
        <v>0</v>
      </c>
      <c r="K24" t="b">
        <f t="shared" si="16"/>
        <v>0</v>
      </c>
      <c r="L24">
        <f t="shared" si="4"/>
        <v>8.6343175701771219E-2</v>
      </c>
      <c r="M24">
        <f t="shared" si="5"/>
        <v>0.13268635140354246</v>
      </c>
      <c r="N24">
        <f t="shared" si="6"/>
        <v>0.13277946134593133</v>
      </c>
      <c r="O24">
        <f t="shared" si="7"/>
        <v>0.11870348483296955</v>
      </c>
      <c r="P24">
        <f t="shared" si="22"/>
        <v>0.08</v>
      </c>
      <c r="Q24">
        <f t="shared" si="17"/>
        <v>0.08</v>
      </c>
      <c r="R24">
        <f t="shared" si="9"/>
        <v>0.08</v>
      </c>
      <c r="S24">
        <f t="shared" si="10"/>
        <v>0.06</v>
      </c>
      <c r="T24">
        <f t="shared" si="11"/>
        <v>0.1</v>
      </c>
      <c r="U24">
        <f t="shared" si="18"/>
        <v>0.08</v>
      </c>
      <c r="V24">
        <f t="shared" si="23"/>
        <v>0.13277946134593133</v>
      </c>
      <c r="W24">
        <f t="shared" si="19"/>
        <v>7.7007893402604444E-2</v>
      </c>
      <c r="X24">
        <f t="shared" si="20"/>
        <v>0.14422052284677156</v>
      </c>
      <c r="Y24" t="b">
        <f t="shared" si="24"/>
        <v>0</v>
      </c>
      <c r="AE24" t="s">
        <v>51</v>
      </c>
      <c r="AF24" s="2">
        <f>-(2*H)*Rocof</f>
        <v>0.1</v>
      </c>
    </row>
    <row xmlns:x14ac="http://schemas.microsoft.com/office/spreadsheetml/2009/9/ac" r="25" x14ac:dyDescent="0.45">
      <c r="A25">
        <v>0.09</v>
      </c>
      <c r="B25">
        <f t="shared" si="0"/>
        <v>9.4777876581053244E-2</v>
      </c>
      <c r="C25" t="b">
        <f t="shared" si="12"/>
        <v>0</v>
      </c>
      <c r="D25" t="b">
        <f t="shared" si="13"/>
        <v>0</v>
      </c>
      <c r="E25" t="b">
        <f t="shared" si="8"/>
        <v>0</v>
      </c>
      <c r="F25" t="b">
        <f t="shared" si="14"/>
        <v>0</v>
      </c>
      <c r="G25">
        <f t="shared" si="1"/>
        <v>0.17477787658105326</v>
      </c>
      <c r="H25">
        <f t="shared" si="2"/>
        <v>8.7607217619435525E-3</v>
      </c>
      <c r="I25" t="b">
        <f t="shared" si="15"/>
        <v>0</v>
      </c>
      <c r="J25" t="b">
        <f t="shared" si="3"/>
        <v>0</v>
      </c>
      <c r="K25" t="b">
        <f t="shared" si="16"/>
        <v>0</v>
      </c>
      <c r="L25">
        <f t="shared" si="4"/>
        <v>8.8760721761943551E-2</v>
      </c>
      <c r="M25">
        <f t="shared" si="5"/>
        <v>0.13752144352388712</v>
      </c>
      <c r="N25">
        <f t="shared" si="6"/>
        <v>0.1379114721385282</v>
      </c>
      <c r="O25">
        <f t="shared" si="7"/>
        <v>0.12191983207646886</v>
      </c>
      <c r="P25">
        <f t="shared" si="22"/>
        <v>0.08</v>
      </c>
      <c r="Q25">
        <f t="shared" si="17"/>
        <v>0.08</v>
      </c>
      <c r="R25">
        <f t="shared" si="9"/>
        <v>0.08</v>
      </c>
      <c r="S25">
        <f t="shared" si="10"/>
        <v>0.06</v>
      </c>
      <c r="T25">
        <f t="shared" si="11"/>
        <v>0.1</v>
      </c>
      <c r="U25">
        <f t="shared" si="18"/>
        <v>0.08</v>
      </c>
      <c r="V25">
        <f t="shared" si="23"/>
        <v>0.1379114721385282</v>
      </c>
      <c r="W25">
        <f t="shared" si="19"/>
        <v>7.9264329178028531E-2</v>
      </c>
      <c r="X25">
        <f t="shared" si="20"/>
        <v>0.15008725586287419</v>
      </c>
      <c r="Y25" t="b">
        <f t="shared" si="24"/>
        <v>0</v>
      </c>
      <c r="AE25" t="s">
        <v>52</v>
      </c>
      <c r="AF25" s="2">
        <f>-(Damp*Tpll)*Rocof</f>
        <v>0.01</v>
      </c>
    </row>
    <row xmlns:x14ac="http://schemas.microsoft.com/office/spreadsheetml/2009/9/ac" r="26" x14ac:dyDescent="0.45">
      <c r="A26">
        <v>9.5000000000000001E-2</v>
      </c>
      <c r="B26">
        <f t="shared" si="0"/>
        <v>0.10108328642949982</v>
      </c>
      <c r="C26" t="b">
        <f t="shared" si="12"/>
        <v>0</v>
      </c>
      <c r="D26" t="b">
        <f t="shared" si="13"/>
        <v>0</v>
      </c>
      <c r="E26" t="b">
        <f t="shared" si="8"/>
        <v>0</v>
      </c>
      <c r="F26" t="b">
        <f t="shared" si="14"/>
        <v>0</v>
      </c>
      <c r="G26">
        <f t="shared" si="1"/>
        <v>0.18108328642949983</v>
      </c>
      <c r="H26">
        <f t="shared" si="2"/>
        <v>1.1185879395961464E-2</v>
      </c>
      <c r="I26" t="b">
        <f t="shared" si="15"/>
        <v>0</v>
      </c>
      <c r="J26" t="b">
        <f t="shared" si="3"/>
        <v>0</v>
      </c>
      <c r="K26" t="b">
        <f t="shared" si="16"/>
        <v>0</v>
      </c>
      <c r="L26">
        <f t="shared" si="4"/>
        <v>9.1185879395961469E-2</v>
      </c>
      <c r="M26">
        <f t="shared" si="5"/>
        <v>0.14237175879192293</v>
      </c>
      <c r="N26">
        <f t="shared" si="6"/>
        <v>0.1431054167979583</v>
      </c>
      <c r="O26">
        <f t="shared" si="7"/>
        <v>0.12510561241874441</v>
      </c>
      <c r="P26">
        <f t="shared" si="22"/>
        <v>0.08</v>
      </c>
      <c r="Q26">
        <f t="shared" si="17"/>
        <v>0.08</v>
      </c>
      <c r="R26">
        <f t="shared" si="9"/>
        <v>0.08</v>
      </c>
      <c r="S26">
        <f t="shared" si="10"/>
        <v>0.06</v>
      </c>
      <c r="T26">
        <f t="shared" si="11"/>
        <v>0.1</v>
      </c>
      <c r="U26">
        <f t="shared" si="18"/>
        <v>0.08</v>
      </c>
      <c r="V26">
        <f t="shared" si="23"/>
        <v>0.1431054167979583</v>
      </c>
      <c r="W26">
        <f t="shared" si="19"/>
        <v>8.1581642233519033E-2</v>
      </c>
      <c r="X26">
        <f t="shared" si="20"/>
        <v>0.15611226980714948</v>
      </c>
      <c r="Y26" t="b">
        <f t="shared" si="24"/>
        <v>0</v>
      </c>
    </row>
    <row xmlns:x14ac="http://schemas.microsoft.com/office/spreadsheetml/2009/9/ac" r="27" x14ac:dyDescent="0.45">
      <c r="A27">
        <v>0.1</v>
      </c>
      <c r="B27">
        <f t="shared" si="0"/>
        <v>0.10737736135769116</v>
      </c>
      <c r="C27" t="b">
        <f t="shared" si="12"/>
        <v>0</v>
      </c>
      <c r="D27" t="b">
        <f t="shared" si="13"/>
        <v>0</v>
      </c>
      <c r="E27" t="b">
        <f t="shared" si="8"/>
        <v>0</v>
      </c>
      <c r="F27" t="b">
        <f t="shared" si="14"/>
        <v>0</v>
      </c>
      <c r="G27">
        <f t="shared" si="1"/>
        <v>0.18737736135769117</v>
      </c>
      <c r="H27">
        <f t="shared" si="2"/>
        <v>1.3606677445265825E-2</v>
      </c>
      <c r="I27" t="b">
        <f t="shared" si="15"/>
        <v>0</v>
      </c>
      <c r="J27" t="b">
        <f t="shared" si="3"/>
        <v>0</v>
      </c>
      <c r="K27" t="b">
        <f t="shared" si="16"/>
        <v>0</v>
      </c>
      <c r="L27">
        <f t="shared" si="4"/>
        <v>9.3606677445265823E-2</v>
      </c>
      <c r="M27">
        <f t="shared" si="5"/>
        <v>0.14721335489053167</v>
      </c>
      <c r="N27">
        <f t="shared" si="6"/>
        <v>0.14833616815555001</v>
      </c>
      <c r="O27">
        <f t="shared" si="7"/>
        <v>0.12824581365448323</v>
      </c>
      <c r="P27">
        <f t="shared" si="22"/>
        <v>0.08</v>
      </c>
      <c r="Q27">
        <f t="shared" si="17"/>
        <v>0.08</v>
      </c>
      <c r="R27">
        <f t="shared" si="9"/>
        <v>0.08</v>
      </c>
      <c r="S27">
        <f t="shared" si="10"/>
        <v>0.06</v>
      </c>
      <c r="T27">
        <f t="shared" si="11"/>
        <v>0.1</v>
      </c>
      <c r="U27">
        <f t="shared" si="18"/>
        <v>0.08</v>
      </c>
      <c r="V27">
        <f t="shared" si="23"/>
        <v>0.14833616815555001</v>
      </c>
      <c r="W27">
        <f t="shared" si="19"/>
        <v>8.3945787063397337E-2</v>
      </c>
      <c r="X27">
        <f t="shared" si="20"/>
        <v>0.16225904636483307</v>
      </c>
      <c r="Y27" t="b">
        <f t="shared" si="24"/>
        <v>0</v>
      </c>
    </row>
    <row xmlns:x14ac="http://schemas.microsoft.com/office/spreadsheetml/2009/9/ac" r="28" x14ac:dyDescent="0.45">
      <c r="A28">
        <v>0.105</v>
      </c>
      <c r="B28">
        <f t="shared" si="0"/>
        <v>0.11363054734988857</v>
      </c>
      <c r="C28" t="b">
        <f t="shared" si="12"/>
        <v>0</v>
      </c>
      <c r="D28" t="b">
        <f t="shared" si="13"/>
        <v>0</v>
      </c>
      <c r="E28" t="b">
        <f t="shared" si="8"/>
        <v>0</v>
      </c>
      <c r="F28" t="b">
        <f t="shared" si="14"/>
        <v>0</v>
      </c>
      <c r="G28">
        <f t="shared" si="1"/>
        <v>0.19363054734988858</v>
      </c>
      <c r="H28">
        <f t="shared" si="2"/>
        <v>1.6011748980726371E-2</v>
      </c>
      <c r="I28" t="b">
        <f t="shared" si="15"/>
        <v>0</v>
      </c>
      <c r="J28" t="b">
        <f t="shared" si="3"/>
        <v>0</v>
      </c>
      <c r="K28" t="b">
        <f t="shared" si="16"/>
        <v>0</v>
      </c>
      <c r="L28">
        <f t="shared" si="4"/>
        <v>9.6011748980726369E-2</v>
      </c>
      <c r="M28">
        <f t="shared" si="5"/>
        <v>0.15202349796145276</v>
      </c>
      <c r="N28">
        <f t="shared" si="6"/>
        <v>0.15357922353986864</v>
      </c>
      <c r="O28">
        <f t="shared" si="7"/>
        <v>0.13132671175361446</v>
      </c>
      <c r="P28">
        <f t="shared" si="22"/>
        <v>0.08</v>
      </c>
      <c r="Q28">
        <f t="shared" si="17"/>
        <v>0.08</v>
      </c>
      <c r="R28">
        <f t="shared" si="9"/>
        <v>0.08</v>
      </c>
      <c r="S28">
        <f t="shared" si="10"/>
        <v>0.06</v>
      </c>
      <c r="T28">
        <f t="shared" si="11"/>
        <v>0.1</v>
      </c>
      <c r="U28">
        <f t="shared" si="18"/>
        <v>0.08</v>
      </c>
      <c r="V28">
        <f t="shared" si="23"/>
        <v>0.15357922353986864</v>
      </c>
      <c r="W28">
        <f t="shared" si="19"/>
        <v>8.6343175701771219E-2</v>
      </c>
      <c r="X28">
        <f t="shared" si="20"/>
        <v>0.16849225682460517</v>
      </c>
      <c r="Y28" t="b">
        <f t="shared" si="24"/>
        <v>0</v>
      </c>
    </row>
    <row xmlns:x14ac="http://schemas.microsoft.com/office/spreadsheetml/2009/9/ac" r="29" x14ac:dyDescent="0.45">
      <c r="A29">
        <v>0.11</v>
      </c>
      <c r="B29">
        <f t="shared" si="0"/>
        <v>0.11981492662106193</v>
      </c>
      <c r="C29" t="b">
        <f t="shared" si="12"/>
        <v>0</v>
      </c>
      <c r="D29" t="b">
        <f t="shared" si="13"/>
        <v>0</v>
      </c>
      <c r="E29" t="b">
        <f t="shared" si="8"/>
        <v>0</v>
      </c>
      <c r="F29" t="b">
        <f t="shared" si="14"/>
        <v>0</v>
      </c>
      <c r="G29">
        <f t="shared" si="1"/>
        <v>0.19981492662106193</v>
      </c>
      <c r="H29">
        <f t="shared" si="2"/>
        <v>1.8390356392716124E-2</v>
      </c>
      <c r="I29" t="b">
        <f t="shared" si="15"/>
        <v>0</v>
      </c>
      <c r="J29" t="b">
        <f t="shared" si="3"/>
        <v>0</v>
      </c>
      <c r="K29" t="b">
        <f t="shared" si="16"/>
        <v>0</v>
      </c>
      <c r="L29">
        <f t="shared" si="4"/>
        <v>9.8390356392716122E-2</v>
      </c>
      <c r="M29">
        <f t="shared" si="5"/>
        <v>0.15678071278543226</v>
      </c>
      <c r="N29">
        <f t="shared" si="6"/>
        <v>0.15881079532255687</v>
      </c>
      <c r="O29">
        <f t="shared" si="7"/>
        <v>0.13433585512977386</v>
      </c>
      <c r="P29">
        <f t="shared" si="22"/>
        <v>0.08</v>
      </c>
      <c r="Q29">
        <f t="shared" si="17"/>
        <v>0.08</v>
      </c>
      <c r="R29">
        <f t="shared" si="9"/>
        <v>0.08</v>
      </c>
      <c r="S29">
        <f t="shared" si="10"/>
        <v>0.06</v>
      </c>
      <c r="T29">
        <f t="shared" si="11"/>
        <v>0.1</v>
      </c>
      <c r="U29">
        <f t="shared" si="18"/>
        <v>0.08</v>
      </c>
      <c r="V29">
        <f t="shared" si="23"/>
        <v>0.15881079532255687</v>
      </c>
      <c r="W29">
        <f t="shared" si="19"/>
        <v>8.8760721761943551E-2</v>
      </c>
      <c r="X29">
        <f t="shared" si="20"/>
        <v>0.17477787658105326</v>
      </c>
      <c r="Y29" t="b">
        <f t="shared" si="24"/>
        <v>0</v>
      </c>
    </row>
    <row xmlns:x14ac="http://schemas.microsoft.com/office/spreadsheetml/2009/9/ac" r="30" x14ac:dyDescent="0.45">
      <c r="A30">
        <v>0.115</v>
      </c>
      <c r="B30">
        <f t="shared" si="0"/>
        <v>0.12590427165498361</v>
      </c>
      <c r="C30" t="b">
        <f t="shared" si="12"/>
        <v>0</v>
      </c>
      <c r="D30" t="b">
        <f t="shared" si="13"/>
        <v>0</v>
      </c>
      <c r="E30" t="b">
        <f t="shared" si="8"/>
        <v>0</v>
      </c>
      <c r="F30" t="b">
        <f t="shared" si="14"/>
        <v>0</v>
      </c>
      <c r="G30">
        <f t="shared" si="1"/>
        <v>0.20590427165498359</v>
      </c>
      <c r="H30">
        <f t="shared" si="2"/>
        <v>2.0732412174993695E-2</v>
      </c>
      <c r="I30" t="b">
        <f t="shared" si="15"/>
        <v>0</v>
      </c>
      <c r="J30" t="b">
        <f t="shared" si="3"/>
        <v>0</v>
      </c>
      <c r="K30" t="b">
        <f t="shared" si="16"/>
        <v>0</v>
      </c>
      <c r="L30">
        <f t="shared" si="4"/>
        <v>0.10073241217499369</v>
      </c>
      <c r="M30">
        <f t="shared" si="5"/>
        <v>0.16146482434998738</v>
      </c>
      <c r="N30">
        <f t="shared" si="6"/>
        <v>0.16400789514388925</v>
      </c>
      <c r="O30">
        <f t="shared" si="7"/>
        <v>0.13726204318488069</v>
      </c>
      <c r="P30">
        <f t="shared" si="22"/>
        <v>0.08</v>
      </c>
      <c r="Q30">
        <f t="shared" si="17"/>
        <v>0.08</v>
      </c>
      <c r="R30">
        <f t="shared" si="9"/>
        <v>0.08</v>
      </c>
      <c r="S30">
        <f t="shared" si="10"/>
        <v>0.06</v>
      </c>
      <c r="T30">
        <f t="shared" si="11"/>
        <v>0.1</v>
      </c>
      <c r="U30">
        <f t="shared" si="18"/>
        <v>0.08</v>
      </c>
      <c r="V30">
        <f t="shared" si="23"/>
        <v>0.16400789514388925</v>
      </c>
      <c r="W30">
        <f t="shared" si="19"/>
        <v>9.1185879395961469E-2</v>
      </c>
      <c r="X30">
        <f t="shared" si="20"/>
        <v>0.18108328642949983</v>
      </c>
      <c r="Y30" t="b">
        <f t="shared" si="24"/>
        <v>0</v>
      </c>
    </row>
    <row xmlns:x14ac="http://schemas.microsoft.com/office/spreadsheetml/2009/9/ac" r="31" x14ac:dyDescent="0.45">
      <c r="A31">
        <v>0.12</v>
      </c>
      <c r="B31">
        <f t="shared" si="0"/>
        <v>0.13187408840751003</v>
      </c>
      <c r="C31" t="b">
        <f t="shared" si="12"/>
        <v>0</v>
      </c>
      <c r="D31" t="b">
        <f t="shared" si="13"/>
        <v>0</v>
      </c>
      <c r="E31" t="b">
        <f t="shared" si="8"/>
        <v>0</v>
      </c>
      <c r="F31" t="b">
        <f t="shared" si="14"/>
        <v>0</v>
      </c>
      <c r="G31">
        <f t="shared" si="1"/>
        <v>0.21187408840751004</v>
      </c>
      <c r="H31">
        <f t="shared" si="2"/>
        <v>2.3028495541350006E-2</v>
      </c>
      <c r="I31" t="b">
        <f t="shared" si="15"/>
        <v>0</v>
      </c>
      <c r="J31" t="b">
        <f t="shared" si="3"/>
        <v>0</v>
      </c>
      <c r="K31" t="b">
        <f t="shared" si="16"/>
        <v>0</v>
      </c>
      <c r="L31">
        <f t="shared" si="4"/>
        <v>0.10302849554135</v>
      </c>
      <c r="M31">
        <f t="shared" si="5"/>
        <v>0.1660569910827</v>
      </c>
      <c r="N31">
        <f t="shared" si="6"/>
        <v>0.16914841173242462</v>
      </c>
      <c r="O31">
        <f t="shared" si="7"/>
        <v>0.14009529963052136</v>
      </c>
      <c r="P31">
        <f t="shared" si="22"/>
        <v>0.08</v>
      </c>
      <c r="Q31">
        <f t="shared" si="17"/>
        <v>0.08</v>
      </c>
      <c r="R31">
        <f t="shared" si="9"/>
        <v>0.08</v>
      </c>
      <c r="S31">
        <f t="shared" si="10"/>
        <v>0.06</v>
      </c>
      <c r="T31">
        <f t="shared" si="11"/>
        <v>0.1</v>
      </c>
      <c r="U31">
        <f t="shared" si="18"/>
        <v>0.08</v>
      </c>
      <c r="V31">
        <f t="shared" si="23"/>
        <v>0.16914841173242462</v>
      </c>
      <c r="W31">
        <f t="shared" si="19"/>
        <v>9.3606677445265823E-2</v>
      </c>
      <c r="X31">
        <f t="shared" si="20"/>
        <v>0.18737736135769117</v>
      </c>
      <c r="Y31" t="b">
        <f t="shared" si="24"/>
        <v>0</v>
      </c>
    </row>
    <row xmlns:x14ac="http://schemas.microsoft.com/office/spreadsheetml/2009/9/ac" r="32" x14ac:dyDescent="0.45">
      <c r="A32">
        <v>0.125</v>
      </c>
      <c r="B32">
        <f t="shared" si="0"/>
        <v>0.13770164904152926</v>
      </c>
      <c r="C32" t="b">
        <f t="shared" si="12"/>
        <v>0</v>
      </c>
      <c r="D32" t="b">
        <f t="shared" si="13"/>
        <v>0</v>
      </c>
      <c r="E32" t="b">
        <f t="shared" si="8"/>
        <v>0</v>
      </c>
      <c r="F32" t="b">
        <f t="shared" si="14"/>
        <v>0</v>
      </c>
      <c r="G32">
        <f t="shared" si="1"/>
        <v>0.21770164904152928</v>
      </c>
      <c r="H32">
        <f t="shared" si="2"/>
        <v>2.5269865015972792E-2</v>
      </c>
      <c r="I32" t="b">
        <f t="shared" si="15"/>
        <v>0</v>
      </c>
      <c r="J32" t="b">
        <f t="shared" si="3"/>
        <v>0</v>
      </c>
      <c r="K32" t="b">
        <f t="shared" si="16"/>
        <v>0</v>
      </c>
      <c r="L32">
        <f t="shared" si="4"/>
        <v>0.1052698650159728</v>
      </c>
      <c r="M32">
        <f t="shared" si="5"/>
        <v>0.17053973003194559</v>
      </c>
      <c r="N32">
        <f t="shared" si="6"/>
        <v>0.17421118223433257</v>
      </c>
      <c r="O32">
        <f t="shared" si="7"/>
        <v>0.14282684108571456</v>
      </c>
      <c r="P32">
        <f t="shared" si="22"/>
        <v>0.08</v>
      </c>
      <c r="Q32">
        <f t="shared" si="17"/>
        <v>0.08</v>
      </c>
      <c r="R32">
        <f t="shared" si="9"/>
        <v>0.08</v>
      </c>
      <c r="S32">
        <f t="shared" si="10"/>
        <v>0.06</v>
      </c>
      <c r="T32">
        <f t="shared" si="11"/>
        <v>0.1</v>
      </c>
      <c r="U32">
        <f t="shared" si="18"/>
        <v>0.08</v>
      </c>
      <c r="V32">
        <f t="shared" si="23"/>
        <v>0.17421118223433257</v>
      </c>
      <c r="W32">
        <f t="shared" si="19"/>
        <v>9.6011748980726369E-2</v>
      </c>
      <c r="X32">
        <f t="shared" si="20"/>
        <v>0.19363054734988858</v>
      </c>
      <c r="Y32" t="b">
        <f t="shared" si="24"/>
        <v>0</v>
      </c>
    </row>
    <row xmlns:x14ac="http://schemas.microsoft.com/office/spreadsheetml/2009/9/ac" r="33" x14ac:dyDescent="0.45">
      <c r="A33">
        <v>0.13</v>
      </c>
      <c r="B33">
        <f t="shared" si="0"/>
        <v>0.14336601457465895</v>
      </c>
      <c r="C33" t="b">
        <f t="shared" si="12"/>
        <v>0</v>
      </c>
      <c r="D33" t="b">
        <f t="shared" si="13"/>
        <v>0</v>
      </c>
      <c r="E33" t="b">
        <f t="shared" si="8"/>
        <v>0</v>
      </c>
      <c r="F33" t="b">
        <f t="shared" si="14"/>
        <v>0</v>
      </c>
      <c r="G33">
        <f t="shared" si="1"/>
        <v>0.22336601457465893</v>
      </c>
      <c r="H33">
        <f t="shared" si="2"/>
        <v>2.7448467144099594E-2</v>
      </c>
      <c r="I33" t="b">
        <f t="shared" si="15"/>
        <v>0</v>
      </c>
      <c r="J33" t="b">
        <f t="shared" si="3"/>
        <v>0</v>
      </c>
      <c r="K33" t="b">
        <f t="shared" si="16"/>
        <v>0</v>
      </c>
      <c r="L33">
        <f t="shared" si="4"/>
        <v>0.1074484671440996</v>
      </c>
      <c r="M33">
        <f t="shared" si="5"/>
        <v>0.17489693428819919</v>
      </c>
      <c r="N33">
        <f t="shared" si="6"/>
        <v>0.17917605697942296</v>
      </c>
      <c r="O33">
        <f t="shared" si="7"/>
        <v>0.14544904144438875</v>
      </c>
      <c r="P33">
        <f t="shared" si="22"/>
        <v>0.08</v>
      </c>
      <c r="Q33">
        <f t="shared" si="17"/>
        <v>0.08</v>
      </c>
      <c r="R33">
        <f t="shared" si="9"/>
        <v>0.08</v>
      </c>
      <c r="S33">
        <f t="shared" si="10"/>
        <v>0.06</v>
      </c>
      <c r="T33">
        <f t="shared" si="11"/>
        <v>0.1</v>
      </c>
      <c r="U33">
        <f t="shared" si="18"/>
        <v>0.08</v>
      </c>
      <c r="V33">
        <f t="shared" si="23"/>
        <v>0.17917605697942296</v>
      </c>
      <c r="W33">
        <f t="shared" si="19"/>
        <v>9.8390356392716122E-2</v>
      </c>
      <c r="X33">
        <f t="shared" si="20"/>
        <v>0.19981492662106193</v>
      </c>
      <c r="Y33" t="b">
        <f t="shared" si="24"/>
        <v>0</v>
      </c>
    </row>
    <row xmlns:x14ac="http://schemas.microsoft.com/office/spreadsheetml/2009/9/ac" r="34" x14ac:dyDescent="0.45">
      <c r="A34">
        <v>0.13500000000000001</v>
      </c>
      <c r="B34">
        <f t="shared" si="0"/>
        <v>0.14884804783977101</v>
      </c>
      <c r="C34" t="b">
        <f t="shared" si="12"/>
        <v>0</v>
      </c>
      <c r="D34" t="b">
        <f t="shared" si="13"/>
        <v>0</v>
      </c>
      <c r="E34" t="b">
        <f t="shared" si="8"/>
        <v>0</v>
      </c>
      <c r="F34" t="b">
        <f t="shared" si="14"/>
        <v>0</v>
      </c>
      <c r="G34">
        <f t="shared" si="1"/>
        <v>0.22884804783977103</v>
      </c>
      <c r="H34">
        <f t="shared" si="2"/>
        <v>2.9556941476835009E-2</v>
      </c>
      <c r="I34" t="b">
        <f t="shared" si="15"/>
        <v>0</v>
      </c>
      <c r="J34" t="b">
        <f t="shared" si="3"/>
        <v>0</v>
      </c>
      <c r="K34" t="b">
        <f t="shared" si="16"/>
        <v>0</v>
      </c>
      <c r="L34">
        <f t="shared" si="4"/>
        <v>0.10955694147683501</v>
      </c>
      <c r="M34">
        <f t="shared" si="5"/>
        <v>0.17911388295367003</v>
      </c>
      <c r="N34">
        <f t="shared" si="6"/>
        <v>0.184023957628979</v>
      </c>
      <c r="O34">
        <f t="shared" si="7"/>
        <v>0.1479553924960641</v>
      </c>
      <c r="P34">
        <f t="shared" si="22"/>
        <v>0.08</v>
      </c>
      <c r="Q34">
        <f t="shared" si="17"/>
        <v>0.08</v>
      </c>
      <c r="R34">
        <f t="shared" si="9"/>
        <v>0.08</v>
      </c>
      <c r="S34">
        <f t="shared" si="10"/>
        <v>0.06</v>
      </c>
      <c r="T34">
        <f t="shared" si="11"/>
        <v>0.1</v>
      </c>
      <c r="U34">
        <f t="shared" si="18"/>
        <v>0.08</v>
      </c>
      <c r="V34">
        <f t="shared" si="23"/>
        <v>0.184023957628979</v>
      </c>
      <c r="W34">
        <f t="shared" si="19"/>
        <v>0.10073241217499369</v>
      </c>
      <c r="X34">
        <f t="shared" si="20"/>
        <v>0.20590427165498359</v>
      </c>
      <c r="Y34" t="b">
        <f t="shared" si="24"/>
        <v>0</v>
      </c>
    </row>
    <row xmlns:x14ac="http://schemas.microsoft.com/office/spreadsheetml/2009/9/ac" r="35" x14ac:dyDescent="0.45">
      <c r="A35">
        <v>0.14000000000000001</v>
      </c>
      <c r="B35">
        <f t="shared" si="0"/>
        <v>0.15413041717877435</v>
      </c>
      <c r="C35" t="b">
        <f t="shared" si="12"/>
        <v>0</v>
      </c>
      <c r="D35" t="b">
        <f t="shared" si="13"/>
        <v>0</v>
      </c>
      <c r="E35" t="b">
        <f t="shared" si="8"/>
        <v>0</v>
      </c>
      <c r="F35" t="b">
        <f t="shared" si="14"/>
        <v>0</v>
      </c>
      <c r="G35">
        <f t="shared" si="1"/>
        <v>0.23413041717877436</v>
      </c>
      <c r="H35">
        <f t="shared" si="2"/>
        <v>3.1588621991836291E-2</v>
      </c>
      <c r="I35" t="b">
        <f t="shared" si="15"/>
        <v>0</v>
      </c>
      <c r="J35" t="b">
        <f t="shared" si="3"/>
        <v>0</v>
      </c>
      <c r="K35" t="b">
        <f t="shared" si="16"/>
        <v>0</v>
      </c>
      <c r="L35">
        <f t="shared" si="4"/>
        <v>0.11158862199183629</v>
      </c>
      <c r="M35">
        <f t="shared" si="5"/>
        <v>0.18317724398367258</v>
      </c>
      <c r="N35">
        <f t="shared" si="6"/>
        <v>0.18873692867270009</v>
      </c>
      <c r="O35">
        <f t="shared" si="7"/>
        <v>0.15034046127071451</v>
      </c>
      <c r="P35">
        <f t="shared" si="22"/>
        <v>0.08</v>
      </c>
      <c r="Q35">
        <f t="shared" si="17"/>
        <v>0.08</v>
      </c>
      <c r="R35">
        <f t="shared" si="9"/>
        <v>0.08</v>
      </c>
      <c r="S35">
        <f t="shared" si="10"/>
        <v>0.06</v>
      </c>
      <c r="T35">
        <f t="shared" si="11"/>
        <v>0.1</v>
      </c>
      <c r="U35">
        <f t="shared" si="18"/>
        <v>0.08</v>
      </c>
      <c r="V35">
        <f t="shared" si="23"/>
        <v>0.18873692867270009</v>
      </c>
      <c r="W35">
        <f t="shared" si="19"/>
        <v>0.10302849554135</v>
      </c>
      <c r="X35">
        <f t="shared" si="20"/>
        <v>0.21187408840751004</v>
      </c>
      <c r="Y35" t="b">
        <f t="shared" si="24"/>
        <v>0</v>
      </c>
    </row>
    <row xmlns:x14ac="http://schemas.microsoft.com/office/spreadsheetml/2009/9/ac" r="36" x14ac:dyDescent="0.45">
      <c r="A36">
        <v>0.14499999999999999</v>
      </c>
      <c r="B36">
        <f t="shared" si="0"/>
        <v>0.15919759130998296</v>
      </c>
      <c r="C36" t="b">
        <f t="shared" si="12"/>
        <v>0</v>
      </c>
      <c r="D36" t="b">
        <f t="shared" si="13"/>
        <v>0</v>
      </c>
      <c r="E36" t="b">
        <f t="shared" si="8"/>
        <v>0</v>
      </c>
      <c r="F36" t="b">
        <f t="shared" si="14"/>
        <v>0</v>
      </c>
      <c r="G36">
        <f t="shared" si="1"/>
        <v>0.23919759130998297</v>
      </c>
      <c r="H36">
        <f t="shared" si="2"/>
        <v>3.3537535119224207E-2</v>
      </c>
      <c r="I36" t="b">
        <f t="shared" si="15"/>
        <v>0</v>
      </c>
      <c r="J36" t="b">
        <f t="shared" si="3"/>
        <v>0</v>
      </c>
      <c r="K36" t="b">
        <f t="shared" si="16"/>
        <v>0</v>
      </c>
      <c r="L36">
        <f t="shared" si="4"/>
        <v>0.11353753511922421</v>
      </c>
      <c r="M36">
        <f t="shared" si="5"/>
        <v>0.18707507023844844</v>
      </c>
      <c r="N36">
        <f t="shared" si="6"/>
        <v>0.19329818226670004</v>
      </c>
      <c r="O36">
        <f t="shared" si="7"/>
        <v>0.15259984456419401</v>
      </c>
      <c r="P36">
        <f t="shared" si="22"/>
        <v>0.08</v>
      </c>
      <c r="Q36">
        <f t="shared" si="17"/>
        <v>0.08</v>
      </c>
      <c r="R36">
        <f t="shared" si="9"/>
        <v>0.08</v>
      </c>
      <c r="S36">
        <f t="shared" si="10"/>
        <v>0.06</v>
      </c>
      <c r="T36">
        <f t="shared" si="11"/>
        <v>0.1</v>
      </c>
      <c r="U36">
        <f t="shared" si="18"/>
        <v>0.08</v>
      </c>
      <c r="V36">
        <f t="shared" si="23"/>
        <v>0.19329818226670004</v>
      </c>
      <c r="W36">
        <f t="shared" si="19"/>
        <v>0.1052698650159728</v>
      </c>
      <c r="X36">
        <f t="shared" si="20"/>
        <v>0.21770164904152928</v>
      </c>
      <c r="Y36" t="b">
        <f t="shared" si="24"/>
        <v>0</v>
      </c>
    </row>
    <row xmlns:x14ac="http://schemas.microsoft.com/office/spreadsheetml/2009/9/ac" r="37" x14ac:dyDescent="0.45">
      <c r="A37">
        <v>0.15</v>
      </c>
      <c r="B37">
        <f t="shared" si="0"/>
        <v>0.16403582582776396</v>
      </c>
      <c r="C37" t="b">
        <f t="shared" si="12"/>
        <v>0</v>
      </c>
      <c r="D37" t="b">
        <f t="shared" si="13"/>
        <v>0</v>
      </c>
      <c r="E37" t="b">
        <f t="shared" si="8"/>
        <v>0</v>
      </c>
      <c r="F37" t="b">
        <f t="shared" si="14"/>
        <v>0</v>
      </c>
      <c r="G37">
        <f t="shared" si="1"/>
        <v>0.24403582582776395</v>
      </c>
      <c r="H37">
        <f t="shared" si="2"/>
        <v>3.5398394549139983E-2</v>
      </c>
      <c r="I37" t="b">
        <f t="shared" si="15"/>
        <v>0</v>
      </c>
      <c r="J37" t="b">
        <f t="shared" si="3"/>
        <v>0</v>
      </c>
      <c r="K37" t="b">
        <f t="shared" si="16"/>
        <v>0</v>
      </c>
      <c r="L37">
        <f t="shared" si="4"/>
        <v>0.11539839454913998</v>
      </c>
      <c r="M37">
        <f t="shared" si="5"/>
        <v>0.19079678909827996</v>
      </c>
      <c r="N37">
        <f t="shared" si="6"/>
        <v>0.19769213643041139</v>
      </c>
      <c r="O37">
        <f t="shared" si="7"/>
        <v>0.15473012108434675</v>
      </c>
      <c r="P37">
        <f t="shared" si="22"/>
        <v>0.08</v>
      </c>
      <c r="Q37">
        <f t="shared" si="17"/>
        <v>0.08</v>
      </c>
      <c r="R37">
        <f t="shared" si="9"/>
        <v>0.08</v>
      </c>
      <c r="S37">
        <f t="shared" si="10"/>
        <v>0.06</v>
      </c>
      <c r="T37">
        <f t="shared" si="11"/>
        <v>0.1</v>
      </c>
      <c r="U37">
        <f t="shared" si="18"/>
        <v>0.08</v>
      </c>
      <c r="V37">
        <f t="shared" si="23"/>
        <v>0.19769213643041139</v>
      </c>
      <c r="W37">
        <f t="shared" si="19"/>
        <v>0.1074484671440996</v>
      </c>
      <c r="X37">
        <f t="shared" si="20"/>
        <v>0.22336601457465893</v>
      </c>
      <c r="Y37" t="b">
        <f t="shared" si="24"/>
        <v>0</v>
      </c>
    </row>
    <row xmlns:x14ac="http://schemas.microsoft.com/office/spreadsheetml/2009/9/ac" r="38" x14ac:dyDescent="0.45">
      <c r="A38">
        <v>0.155</v>
      </c>
      <c r="B38">
        <f t="shared" si="0"/>
        <v>0.16863314180937086</v>
      </c>
      <c r="C38" t="b">
        <f t="shared" si="12"/>
        <v>0</v>
      </c>
      <c r="D38" t="b">
        <f t="shared" si="13"/>
        <v>0</v>
      </c>
      <c r="E38" t="b">
        <f t="shared" si="8"/>
        <v>0</v>
      </c>
      <c r="F38" t="b">
        <f t="shared" si="14"/>
        <v>0</v>
      </c>
      <c r="G38">
        <f t="shared" si="1"/>
        <v>0.24863314180937085</v>
      </c>
      <c r="H38">
        <f t="shared" si="2"/>
        <v>3.7166593003604184E-2</v>
      </c>
      <c r="I38" t="b">
        <f t="shared" si="15"/>
        <v>0</v>
      </c>
      <c r="J38" t="b">
        <f t="shared" si="3"/>
        <v>0</v>
      </c>
      <c r="K38" t="b">
        <f t="shared" si="16"/>
        <v>0</v>
      </c>
      <c r="L38">
        <f t="shared" si="4"/>
        <v>0.11716659300360419</v>
      </c>
      <c r="M38">
        <f t="shared" si="5"/>
        <v>0.19433318600720836</v>
      </c>
      <c r="N38">
        <f t="shared" si="6"/>
        <v>0.20190444664659707</v>
      </c>
      <c r="O38">
        <f t="shared" si="7"/>
        <v>0.1567288016402977</v>
      </c>
      <c r="P38">
        <f t="shared" si="22"/>
        <v>0.08</v>
      </c>
      <c r="Q38">
        <f t="shared" si="17"/>
        <v>0.08</v>
      </c>
      <c r="R38">
        <f t="shared" si="9"/>
        <v>0.08</v>
      </c>
      <c r="S38">
        <f t="shared" si="10"/>
        <v>0.06</v>
      </c>
      <c r="T38">
        <f t="shared" si="11"/>
        <v>0.1</v>
      </c>
      <c r="U38">
        <f t="shared" si="18"/>
        <v>0.08</v>
      </c>
      <c r="V38">
        <f t="shared" si="23"/>
        <v>0.20190444664659707</v>
      </c>
      <c r="W38">
        <f t="shared" si="19"/>
        <v>0.10955694147683501</v>
      </c>
      <c r="X38">
        <f t="shared" si="20"/>
        <v>0.22884804783977103</v>
      </c>
      <c r="Y38" t="b">
        <f t="shared" si="24"/>
        <v>0</v>
      </c>
    </row>
    <row xmlns:x14ac="http://schemas.microsoft.com/office/spreadsheetml/2009/9/ac" r="39" x14ac:dyDescent="0.45">
      <c r="A39">
        <v>0.16</v>
      </c>
      <c r="B39">
        <f t="shared" si="0"/>
        <v>0.1729792970175886</v>
      </c>
      <c r="C39" t="b">
        <f t="shared" si="12"/>
        <v>0</v>
      </c>
      <c r="D39" t="b">
        <f t="shared" si="13"/>
        <v>0</v>
      </c>
      <c r="E39" t="b">
        <f t="shared" si="8"/>
        <v>0</v>
      </c>
      <c r="F39" t="b">
        <f t="shared" si="14"/>
        <v>0</v>
      </c>
      <c r="G39">
        <f t="shared" si="1"/>
        <v>0.25297929701758859</v>
      </c>
      <c r="H39">
        <f t="shared" si="2"/>
        <v>3.8838191160611005E-2</v>
      </c>
      <c r="I39" t="b">
        <f t="shared" si="15"/>
        <v>0</v>
      </c>
      <c r="J39" t="b">
        <f t="shared" si="3"/>
        <v>0</v>
      </c>
      <c r="K39" t="b">
        <f t="shared" si="16"/>
        <v>0</v>
      </c>
      <c r="L39">
        <f t="shared" si="4"/>
        <v>0.11883819116061101</v>
      </c>
      <c r="M39">
        <f t="shared" si="5"/>
        <v>0.19767638232122201</v>
      </c>
      <c r="N39">
        <f t="shared" si="6"/>
        <v>0.20592203093489636</v>
      </c>
      <c r="O39">
        <f t="shared" si="7"/>
        <v>0.15859427777867699</v>
      </c>
      <c r="P39">
        <f t="shared" si="22"/>
        <v>0.08</v>
      </c>
      <c r="Q39">
        <f t="shared" si="17"/>
        <v>0.08</v>
      </c>
      <c r="R39">
        <f t="shared" si="9"/>
        <v>0.08</v>
      </c>
      <c r="S39">
        <f t="shared" si="10"/>
        <v>0.06</v>
      </c>
      <c r="T39">
        <f t="shared" si="11"/>
        <v>0.1</v>
      </c>
      <c r="U39">
        <f t="shared" si="18"/>
        <v>0.08</v>
      </c>
      <c r="V39">
        <f t="shared" si="23"/>
        <v>0.20592203093489636</v>
      </c>
      <c r="W39">
        <f t="shared" si="19"/>
        <v>0.11158862199183629</v>
      </c>
      <c r="X39">
        <f t="shared" si="20"/>
        <v>0.23413041717877436</v>
      </c>
      <c r="Y39" t="b">
        <f t="shared" si="24"/>
        <v>0</v>
      </c>
    </row>
    <row xmlns:x14ac="http://schemas.microsoft.com/office/spreadsheetml/2009/9/ac" r="40" x14ac:dyDescent="0.45">
      <c r="A40">
        <v>0.16500000000000001</v>
      </c>
      <c r="B40">
        <f t="shared" si="0"/>
        <v>0.177065750198872</v>
      </c>
      <c r="C40" t="b">
        <f t="shared" si="12"/>
        <v>0</v>
      </c>
      <c r="D40" t="b">
        <f t="shared" si="13"/>
        <v>0</v>
      </c>
      <c r="E40" t="b">
        <f t="shared" si="8"/>
        <v>0</v>
      </c>
      <c r="F40" t="b">
        <f t="shared" si="14"/>
        <v>0</v>
      </c>
      <c r="G40">
        <f t="shared" si="1"/>
        <v>0.25706575019887201</v>
      </c>
      <c r="H40">
        <f t="shared" si="2"/>
        <v>4.0409903922643084E-2</v>
      </c>
      <c r="I40" t="b">
        <f t="shared" si="15"/>
        <v>0</v>
      </c>
      <c r="J40" t="b">
        <f t="shared" si="3"/>
        <v>0</v>
      </c>
      <c r="K40" t="b">
        <f t="shared" si="16"/>
        <v>0</v>
      </c>
      <c r="L40">
        <f t="shared" si="4"/>
        <v>0.12040990392264309</v>
      </c>
      <c r="M40">
        <f t="shared" si="5"/>
        <v>0.20081980784528616</v>
      </c>
      <c r="N40">
        <f t="shared" si="6"/>
        <v>0.20973308849501754</v>
      </c>
      <c r="O40">
        <f t="shared" si="7"/>
        <v>0.16032576925088313</v>
      </c>
      <c r="P40">
        <f t="shared" si="22"/>
        <v>0.08</v>
      </c>
      <c r="Q40">
        <f t="shared" si="17"/>
        <v>0.08</v>
      </c>
      <c r="R40">
        <f t="shared" si="9"/>
        <v>0.08</v>
      </c>
      <c r="S40">
        <f t="shared" si="10"/>
        <v>0.06</v>
      </c>
      <c r="T40">
        <f t="shared" si="11"/>
        <v>0.1</v>
      </c>
      <c r="U40">
        <f t="shared" si="18"/>
        <v>0.08</v>
      </c>
      <c r="V40">
        <f t="shared" si="23"/>
        <v>0.20973308849501754</v>
      </c>
      <c r="W40">
        <f t="shared" si="19"/>
        <v>0.11353753511922421</v>
      </c>
      <c r="X40">
        <f t="shared" si="20"/>
        <v>0.23919759130998297</v>
      </c>
      <c r="Y40" t="b">
        <f t="shared" si="24"/>
        <v>0</v>
      </c>
    </row>
    <row xmlns:x14ac="http://schemas.microsoft.com/office/spreadsheetml/2009/9/ac" r="41" x14ac:dyDescent="0.45">
      <c r="A41">
        <v>0.17</v>
      </c>
      <c r="B41">
        <f t="shared" si="0"/>
        <v>0.18088561898499711</v>
      </c>
      <c r="C41" t="b">
        <f t="shared" si="12"/>
        <v>0</v>
      </c>
      <c r="D41" t="b">
        <f t="shared" si="13"/>
        <v>0</v>
      </c>
      <c r="E41" t="b">
        <f t="shared" si="8"/>
        <v>0</v>
      </c>
      <c r="F41" t="b">
        <f t="shared" si="14"/>
        <v>0</v>
      </c>
      <c r="G41">
        <f t="shared" si="1"/>
        <v>0.26088561898499713</v>
      </c>
      <c r="H41">
        <f t="shared" si="2"/>
        <v>4.1879084224998891E-2</v>
      </c>
      <c r="I41" t="b">
        <f t="shared" si="15"/>
        <v>0</v>
      </c>
      <c r="J41" t="b">
        <f t="shared" si="3"/>
        <v>0</v>
      </c>
      <c r="K41" t="b">
        <f t="shared" si="16"/>
        <v>0</v>
      </c>
      <c r="L41">
        <f t="shared" si="4"/>
        <v>0.12187908422499889</v>
      </c>
      <c r="M41">
        <f t="shared" si="5"/>
        <v>0.20375816844999778</v>
      </c>
      <c r="N41">
        <f t="shared" si="6"/>
        <v>0.21332711204054616</v>
      </c>
      <c r="O41">
        <f t="shared" si="7"/>
        <v>0.16192327067511897</v>
      </c>
      <c r="P41">
        <f t="shared" si="22"/>
        <v>0.08</v>
      </c>
      <c r="Q41">
        <f t="shared" si="17"/>
        <v>0.08</v>
      </c>
      <c r="R41">
        <f t="shared" si="9"/>
        <v>0.08</v>
      </c>
      <c r="S41">
        <f t="shared" si="10"/>
        <v>0.06</v>
      </c>
      <c r="T41">
        <f t="shared" si="11"/>
        <v>0.1</v>
      </c>
      <c r="U41">
        <f t="shared" si="18"/>
        <v>0.08</v>
      </c>
      <c r="V41">
        <f t="shared" si="23"/>
        <v>0.21332711204054616</v>
      </c>
      <c r="W41">
        <f t="shared" si="19"/>
        <v>0.11539839454913998</v>
      </c>
      <c r="X41">
        <f t="shared" si="20"/>
        <v>0.24403582582776395</v>
      </c>
      <c r="Y41" t="b">
        <f t="shared" si="24"/>
        <v>0</v>
      </c>
    </row>
    <row xmlns:x14ac="http://schemas.microsoft.com/office/spreadsheetml/2009/9/ac" r="42" x14ac:dyDescent="0.45">
      <c r="A42">
        <v>0.17499999999999999</v>
      </c>
      <c r="B42">
        <f t="shared" si="0"/>
        <v>0.18443363191187109</v>
      </c>
      <c r="C42" t="b">
        <f t="shared" si="12"/>
        <v>0</v>
      </c>
      <c r="D42" t="b">
        <f t="shared" si="13"/>
        <v>0</v>
      </c>
      <c r="E42" t="b">
        <f t="shared" si="8"/>
        <v>0</v>
      </c>
      <c r="F42" t="b">
        <f t="shared" si="14"/>
        <v>0</v>
      </c>
      <c r="G42">
        <f t="shared" si="1"/>
        <v>0.26443363191187108</v>
      </c>
      <c r="H42">
        <f t="shared" si="2"/>
        <v>4.3243704581488879E-2</v>
      </c>
      <c r="I42" t="b">
        <f t="shared" si="15"/>
        <v>0</v>
      </c>
      <c r="J42" t="b">
        <f t="shared" si="3"/>
        <v>0</v>
      </c>
      <c r="K42" t="b">
        <f t="shared" si="16"/>
        <v>0</v>
      </c>
      <c r="L42">
        <f t="shared" si="4"/>
        <v>0.12324370458148888</v>
      </c>
      <c r="M42">
        <f t="shared" si="5"/>
        <v>0.20648740916297775</v>
      </c>
      <c r="N42">
        <f t="shared" si="6"/>
        <v>0.21669489396813829</v>
      </c>
      <c r="O42">
        <f t="shared" si="7"/>
        <v>0.16338749773601133</v>
      </c>
      <c r="P42">
        <f t="shared" si="22"/>
        <v>0.08</v>
      </c>
      <c r="Q42">
        <f t="shared" si="17"/>
        <v>0.08</v>
      </c>
      <c r="R42">
        <f t="shared" si="9"/>
        <v>0.08</v>
      </c>
      <c r="S42">
        <f t="shared" si="10"/>
        <v>0.06</v>
      </c>
      <c r="T42">
        <f t="shared" si="11"/>
        <v>0.1</v>
      </c>
      <c r="U42">
        <f t="shared" si="18"/>
        <v>0.08</v>
      </c>
      <c r="V42">
        <f t="shared" si="23"/>
        <v>0.21669489396813829</v>
      </c>
      <c r="W42">
        <f t="shared" si="19"/>
        <v>0.11716659300360419</v>
      </c>
      <c r="X42">
        <f t="shared" si="20"/>
        <v>0.24863314180937085</v>
      </c>
      <c r="Y42" t="b">
        <f t="shared" si="24"/>
        <v>0</v>
      </c>
    </row>
    <row xmlns:x14ac="http://schemas.microsoft.com/office/spreadsheetml/2009/9/ac" r="43" x14ac:dyDescent="0.45">
      <c r="A43">
        <v>0.18</v>
      </c>
      <c r="B43">
        <f t="shared" si="0"/>
        <v>0.18770607507211848</v>
      </c>
      <c r="C43" t="b">
        <f t="shared" si="12"/>
        <v>0</v>
      </c>
      <c r="D43" t="b">
        <f t="shared" si="13"/>
        <v>0</v>
      </c>
      <c r="E43" t="b">
        <f t="shared" si="8"/>
        <v>0</v>
      </c>
      <c r="F43" t="b">
        <f t="shared" si="14"/>
        <v>0</v>
      </c>
      <c r="G43">
        <f t="shared" si="1"/>
        <v>0.26770607507211847</v>
      </c>
      <c r="H43">
        <f t="shared" si="2"/>
        <v>4.450233656619941E-2</v>
      </c>
      <c r="I43" t="b">
        <f t="shared" si="15"/>
        <v>0</v>
      </c>
      <c r="J43" t="b">
        <f t="shared" si="3"/>
        <v>0</v>
      </c>
      <c r="K43" t="b">
        <f t="shared" si="16"/>
        <v>0</v>
      </c>
      <c r="L43">
        <f t="shared" si="4"/>
        <v>0.12450233656619941</v>
      </c>
      <c r="M43">
        <f t="shared" si="5"/>
        <v>0.20900467313239884</v>
      </c>
      <c r="N43">
        <f t="shared" si="6"/>
        <v>0.21982852652945739</v>
      </c>
      <c r="O43">
        <f t="shared" si="7"/>
        <v>0.16471983324330444</v>
      </c>
      <c r="P43">
        <f t="shared" si="22"/>
        <v>0.08</v>
      </c>
      <c r="Q43">
        <f t="shared" si="17"/>
        <v>0.08</v>
      </c>
      <c r="R43">
        <f t="shared" si="9"/>
        <v>0.08</v>
      </c>
      <c r="S43">
        <f t="shared" si="10"/>
        <v>0.06</v>
      </c>
      <c r="T43">
        <f t="shared" si="11"/>
        <v>0.1</v>
      </c>
      <c r="U43">
        <f t="shared" si="18"/>
        <v>0.08</v>
      </c>
      <c r="V43">
        <f t="shared" si="23"/>
        <v>0.21982852652945739</v>
      </c>
      <c r="W43">
        <f t="shared" si="19"/>
        <v>0.11883819116061101</v>
      </c>
      <c r="X43">
        <f t="shared" si="20"/>
        <v>0.25297929701758859</v>
      </c>
      <c r="Y43" t="b">
        <f t="shared" si="24"/>
        <v>0</v>
      </c>
    </row>
    <row xmlns:x14ac="http://schemas.microsoft.com/office/spreadsheetml/2009/9/ac" r="44" x14ac:dyDescent="0.45">
      <c r="A44">
        <v>0.185</v>
      </c>
      <c r="B44">
        <f t="shared" si="0"/>
        <v>0.19070073391846426</v>
      </c>
      <c r="C44" t="b">
        <f t="shared" si="12"/>
        <v>0</v>
      </c>
      <c r="D44" t="b">
        <f t="shared" si="13"/>
        <v>0</v>
      </c>
      <c r="E44" t="b">
        <f t="shared" si="8"/>
        <v>0</v>
      </c>
      <c r="F44" t="b">
        <f t="shared" si="14"/>
        <v>0</v>
      </c>
      <c r="G44">
        <f t="shared" si="1"/>
        <v>0.27070073391846428</v>
      </c>
      <c r="H44">
        <f t="shared" si="2"/>
        <v>4.5654128430178562E-2</v>
      </c>
      <c r="I44" t="b">
        <f t="shared" si="15"/>
        <v>0</v>
      </c>
      <c r="J44" t="b">
        <f t="shared" si="3"/>
        <v>0</v>
      </c>
      <c r="K44" t="b">
        <f t="shared" si="16"/>
        <v>0</v>
      </c>
      <c r="L44">
        <f t="shared" si="4"/>
        <v>0.12565412843017856</v>
      </c>
      <c r="M44">
        <f t="shared" si="5"/>
        <v>0.21130825686035715</v>
      </c>
      <c r="N44">
        <f t="shared" si="6"/>
        <v>0.2227213961944654</v>
      </c>
      <c r="O44">
        <f t="shared" si="7"/>
        <v>0.16592227334954684</v>
      </c>
      <c r="P44">
        <f t="shared" si="22"/>
        <v>0.08</v>
      </c>
      <c r="Q44">
        <f t="shared" si="17"/>
        <v>0.08</v>
      </c>
      <c r="R44">
        <f t="shared" si="9"/>
        <v>0.08</v>
      </c>
      <c r="S44">
        <f t="shared" si="10"/>
        <v>0.06</v>
      </c>
      <c r="T44">
        <f t="shared" si="11"/>
        <v>0.1</v>
      </c>
      <c r="U44">
        <f t="shared" si="18"/>
        <v>0.08</v>
      </c>
      <c r="V44">
        <f t="shared" si="23"/>
        <v>0.2227213961944654</v>
      </c>
      <c r="W44">
        <f t="shared" si="19"/>
        <v>0.12040990392264309</v>
      </c>
      <c r="X44">
        <f t="shared" si="20"/>
        <v>0.25706575019887201</v>
      </c>
      <c r="Y44" t="b">
        <f t="shared" si="24"/>
        <v>0</v>
      </c>
    </row>
    <row xmlns:x14ac="http://schemas.microsoft.com/office/spreadsheetml/2009/9/ac" r="45" x14ac:dyDescent="0.45">
      <c r="A45">
        <v>0.19</v>
      </c>
      <c r="B45">
        <f t="shared" si="0"/>
        <v>0.19341683073287241</v>
      </c>
      <c r="C45" t="b">
        <f t="shared" si="12"/>
        <v>0</v>
      </c>
      <c r="D45" t="b">
        <f t="shared" si="13"/>
        <v>0</v>
      </c>
      <c r="E45" t="b">
        <f t="shared" si="8"/>
        <v>0</v>
      </c>
      <c r="F45" t="b">
        <f t="shared" si="14"/>
        <v>0</v>
      </c>
      <c r="G45">
        <f t="shared" si="1"/>
        <v>0.27341683073287243</v>
      </c>
      <c r="H45">
        <f t="shared" si="2"/>
        <v>4.6698781051104768E-2</v>
      </c>
      <c r="I45" t="b">
        <f t="shared" si="15"/>
        <v>0</v>
      </c>
      <c r="J45" t="b">
        <f t="shared" si="3"/>
        <v>0</v>
      </c>
      <c r="K45" t="b">
        <f t="shared" si="16"/>
        <v>0</v>
      </c>
      <c r="L45">
        <f t="shared" si="4"/>
        <v>0.12669878105110477</v>
      </c>
      <c r="M45">
        <f t="shared" si="5"/>
        <v>0.21339756210220956</v>
      </c>
      <c r="N45">
        <f t="shared" si="6"/>
        <v>0.22536817241450013</v>
      </c>
      <c r="O45">
        <f t="shared" si="7"/>
        <v>0.16699737420500257</v>
      </c>
      <c r="P45">
        <f t="shared" si="22"/>
        <v>0.08</v>
      </c>
      <c r="Q45">
        <f t="shared" si="17"/>
        <v>0.08</v>
      </c>
      <c r="R45">
        <f t="shared" si="9"/>
        <v>0.08</v>
      </c>
      <c r="S45">
        <f t="shared" si="10"/>
        <v>0.06</v>
      </c>
      <c r="T45">
        <f t="shared" si="11"/>
        <v>0.1</v>
      </c>
      <c r="U45">
        <f t="shared" si="18"/>
        <v>0.08</v>
      </c>
      <c r="V45">
        <f t="shared" si="23"/>
        <v>0.22536817241450013</v>
      </c>
      <c r="W45">
        <f t="shared" si="19"/>
        <v>0.12187908422499889</v>
      </c>
      <c r="X45">
        <f t="shared" si="20"/>
        <v>0.26088561898499713</v>
      </c>
      <c r="Y45" t="b">
        <f t="shared" si="24"/>
        <v>0</v>
      </c>
    </row>
    <row xmlns:x14ac="http://schemas.microsoft.com/office/spreadsheetml/2009/9/ac" r="46" x14ac:dyDescent="0.45">
      <c r="A46">
        <v>0.19500000000000001</v>
      </c>
      <c r="B46">
        <f t="shared" si="0"/>
        <v>0.19585495827198957</v>
      </c>
      <c r="C46" t="b">
        <f t="shared" si="12"/>
        <v>0</v>
      </c>
      <c r="D46" t="b">
        <f t="shared" si="13"/>
        <v>0</v>
      </c>
      <c r="E46" t="b">
        <f t="shared" si="8"/>
        <v>0</v>
      </c>
      <c r="F46" t="b">
        <f t="shared" si="14"/>
        <v>0</v>
      </c>
      <c r="G46">
        <f t="shared" si="1"/>
        <v>0.27585495827198958</v>
      </c>
      <c r="H46">
        <f t="shared" si="2"/>
        <v>4.7636522412303678E-2</v>
      </c>
      <c r="I46" t="b">
        <f t="shared" si="15"/>
        <v>0</v>
      </c>
      <c r="J46" t="b">
        <f t="shared" si="3"/>
        <v>0</v>
      </c>
      <c r="K46" t="b">
        <f t="shared" si="16"/>
        <v>0</v>
      </c>
      <c r="L46">
        <f t="shared" si="4"/>
        <v>0.12763652241230367</v>
      </c>
      <c r="M46">
        <f t="shared" si="5"/>
        <v>0.21527304482460735</v>
      </c>
      <c r="N46">
        <f t="shared" si="6"/>
        <v>0.2277647910118939</v>
      </c>
      <c r="O46">
        <f t="shared" si="7"/>
        <v>0.16794819930633906</v>
      </c>
      <c r="P46">
        <f t="shared" si="22"/>
        <v>0.08</v>
      </c>
      <c r="Q46">
        <f t="shared" si="17"/>
        <v>0.08</v>
      </c>
      <c r="R46">
        <f t="shared" si="9"/>
        <v>0.08</v>
      </c>
      <c r="S46">
        <f t="shared" si="10"/>
        <v>0.06</v>
      </c>
      <c r="T46">
        <f t="shared" si="11"/>
        <v>0.1</v>
      </c>
      <c r="U46">
        <f t="shared" si="18"/>
        <v>0.08</v>
      </c>
      <c r="V46">
        <f t="shared" si="23"/>
        <v>0.2277647910118939</v>
      </c>
      <c r="W46">
        <f t="shared" si="19"/>
        <v>0.12324370458148888</v>
      </c>
      <c r="X46">
        <f t="shared" si="20"/>
        <v>0.26443363191187108</v>
      </c>
      <c r="Y46" t="b">
        <f t="shared" si="24"/>
        <v>0</v>
      </c>
    </row>
    <row xmlns:x14ac="http://schemas.microsoft.com/office/spreadsheetml/2009/9/ac" r="47" x14ac:dyDescent="0.45">
      <c r="A47">
        <v>0.2</v>
      </c>
      <c r="B47">
        <f t="shared" si="0"/>
        <v>0.19801701009282088</v>
      </c>
      <c r="C47" t="b">
        <f t="shared" si="12"/>
        <v>0</v>
      </c>
      <c r="D47" t="b">
        <f t="shared" si="13"/>
        <v>0</v>
      </c>
      <c r="E47" t="b">
        <f t="shared" si="8"/>
        <v>0</v>
      </c>
      <c r="F47" t="b">
        <f t="shared" si="14"/>
        <v>0</v>
      </c>
      <c r="G47">
        <f t="shared" si="1"/>
        <v>0.27801701009282087</v>
      </c>
      <c r="H47">
        <f t="shared" si="2"/>
        <v>4.8468080804931105E-2</v>
      </c>
      <c r="I47" t="b">
        <f t="shared" si="15"/>
        <v>0</v>
      </c>
      <c r="J47" t="b">
        <f t="shared" si="3"/>
        <v>0</v>
      </c>
      <c r="K47" t="b">
        <f t="shared" si="16"/>
        <v>0</v>
      </c>
      <c r="L47">
        <f t="shared" si="4"/>
        <v>0.12846808080493111</v>
      </c>
      <c r="M47">
        <f t="shared" si="5"/>
        <v>0.21693616160986223</v>
      </c>
      <c r="N47">
        <f t="shared" si="6"/>
        <v>0.22990843243965803</v>
      </c>
      <c r="O47">
        <f t="shared" si="7"/>
        <v>0.16877826777409033</v>
      </c>
      <c r="P47">
        <f t="shared" si="22"/>
        <v>0.08</v>
      </c>
      <c r="Q47">
        <f t="shared" si="17"/>
        <v>0.08</v>
      </c>
      <c r="R47">
        <f t="shared" si="9"/>
        <v>0.08</v>
      </c>
      <c r="S47">
        <f t="shared" si="10"/>
        <v>0.06</v>
      </c>
      <c r="T47">
        <f t="shared" si="11"/>
        <v>0.1</v>
      </c>
      <c r="U47">
        <f t="shared" si="18"/>
        <v>0.08</v>
      </c>
      <c r="V47">
        <f t="shared" si="23"/>
        <v>0.22990843243965803</v>
      </c>
      <c r="W47">
        <f t="shared" si="19"/>
        <v>0.12450233656619941</v>
      </c>
      <c r="X47">
        <f t="shared" si="20"/>
        <v>0.26770607507211847</v>
      </c>
      <c r="Y47" t="b">
        <f t="shared" si="24"/>
        <v>0</v>
      </c>
    </row>
    <row xmlns:x14ac="http://schemas.microsoft.com/office/spreadsheetml/2009/9/ac" r="48" x14ac:dyDescent="0.45">
      <c r="A48">
        <v>0.20499999999999999</v>
      </c>
      <c r="B48">
        <f t="shared" si="0"/>
        <v>0.19990610805385717</v>
      </c>
      <c r="C48" t="b">
        <f t="shared" si="12"/>
        <v>0</v>
      </c>
      <c r="D48" t="b">
        <f t="shared" si="13"/>
        <v>0</v>
      </c>
      <c r="E48" t="b">
        <f t="shared" si="8"/>
        <v>0</v>
      </c>
      <c r="F48" t="b">
        <f t="shared" si="14"/>
        <v>0</v>
      </c>
      <c r="G48">
        <f t="shared" si="1"/>
        <v>0.27990610805385718</v>
      </c>
      <c r="H48">
        <f t="shared" si="2"/>
        <v>4.9194656943791215E-2</v>
      </c>
      <c r="I48" t="b">
        <f t="shared" si="15"/>
        <v>0</v>
      </c>
      <c r="J48" t="b">
        <f t="shared" si="3"/>
        <v>0</v>
      </c>
      <c r="K48" t="b">
        <f t="shared" si="16"/>
        <v>0</v>
      </c>
      <c r="L48">
        <f t="shared" si="4"/>
        <v>0.12919465694379123</v>
      </c>
      <c r="M48">
        <f t="shared" si="5"/>
        <v>0.21838931388758243</v>
      </c>
      <c r="N48">
        <f t="shared" si="6"/>
        <v>0.23179749516993736</v>
      </c>
      <c r="O48">
        <f t="shared" si="7"/>
        <v>0.16949150377257421</v>
      </c>
      <c r="P48">
        <f t="shared" si="22"/>
        <v>0.08</v>
      </c>
      <c r="Q48">
        <f t="shared" si="17"/>
        <v>0.08</v>
      </c>
      <c r="R48">
        <f t="shared" si="9"/>
        <v>0.08</v>
      </c>
      <c r="S48">
        <f t="shared" si="10"/>
        <v>0.06</v>
      </c>
      <c r="T48">
        <f t="shared" si="11"/>
        <v>0.1</v>
      </c>
      <c r="U48">
        <f t="shared" si="18"/>
        <v>0.08</v>
      </c>
      <c r="V48">
        <f t="shared" si="23"/>
        <v>0.23179749516993736</v>
      </c>
      <c r="W48">
        <f t="shared" si="19"/>
        <v>0.12565412843017856</v>
      </c>
      <c r="X48">
        <f t="shared" si="20"/>
        <v>0.27070073391846428</v>
      </c>
      <c r="Y48" t="b">
        <f t="shared" si="24"/>
        <v>0</v>
      </c>
    </row>
    <row xmlns:x14ac="http://schemas.microsoft.com/office/spreadsheetml/2009/9/ac" r="49" x14ac:dyDescent="0.45">
      <c r="A49">
        <v>0.21</v>
      </c>
      <c r="B49">
        <f t="shared" si="0"/>
        <v>0.20152652747622768</v>
      </c>
      <c r="C49" t="b">
        <f t="shared" si="12"/>
        <v>0</v>
      </c>
      <c r="D49" t="b">
        <f t="shared" si="13"/>
        <v>0</v>
      </c>
      <c r="E49" t="b">
        <f t="shared" si="8"/>
        <v>0</v>
      </c>
      <c r="F49" t="b">
        <f t="shared" si="14"/>
        <v>0</v>
      </c>
      <c r="G49">
        <f t="shared" si="1"/>
        <v>0.28152652747622769</v>
      </c>
      <c r="H49">
        <f t="shared" si="2"/>
        <v>4.9817895183164485E-2</v>
      </c>
      <c r="I49" t="b">
        <f t="shared" si="15"/>
        <v>0</v>
      </c>
      <c r="J49" t="b">
        <f t="shared" si="3"/>
        <v>0</v>
      </c>
      <c r="K49" t="b">
        <f t="shared" si="16"/>
        <v>0</v>
      </c>
      <c r="L49">
        <f t="shared" si="4"/>
        <v>0.1298178951831645</v>
      </c>
      <c r="M49">
        <f t="shared" si="5"/>
        <v>0.21963579036632896</v>
      </c>
      <c r="N49">
        <f t="shared" si="6"/>
        <v>0.23343156448350066</v>
      </c>
      <c r="O49">
        <f t="shared" si="7"/>
        <v>0.17009218726495309</v>
      </c>
      <c r="P49">
        <f t="shared" si="22"/>
        <v>0.08</v>
      </c>
      <c r="Q49">
        <f t="shared" si="17"/>
        <v>0.08</v>
      </c>
      <c r="R49">
        <f t="shared" si="9"/>
        <v>0.08</v>
      </c>
      <c r="S49">
        <f t="shared" si="10"/>
        <v>0.06</v>
      </c>
      <c r="T49">
        <f t="shared" si="11"/>
        <v>0.1</v>
      </c>
      <c r="U49">
        <f t="shared" si="18"/>
        <v>0.08</v>
      </c>
      <c r="V49">
        <f t="shared" si="23"/>
        <v>0.23343156448350066</v>
      </c>
      <c r="W49">
        <f t="shared" si="19"/>
        <v>0.12669878105110477</v>
      </c>
      <c r="X49">
        <f t="shared" si="20"/>
        <v>0.27341683073287243</v>
      </c>
      <c r="Y49" t="b">
        <f t="shared" si="24"/>
        <v>0</v>
      </c>
    </row>
    <row xmlns:x14ac="http://schemas.microsoft.com/office/spreadsheetml/2009/9/ac" r="50" x14ac:dyDescent="0.45">
      <c r="A50">
        <v>0.215</v>
      </c>
      <c r="B50">
        <f t="shared" si="0"/>
        <v>0.20288362043700847</v>
      </c>
      <c r="C50" t="b">
        <f t="shared" si="12"/>
        <v>0</v>
      </c>
      <c r="D50" t="b">
        <f t="shared" si="13"/>
        <v>0</v>
      </c>
      <c r="E50" t="b">
        <f t="shared" si="8"/>
        <v>0</v>
      </c>
      <c r="F50" t="b">
        <f t="shared" si="14"/>
        <v>0</v>
      </c>
      <c r="G50">
        <f t="shared" si="1"/>
        <v>0.28288362043700849</v>
      </c>
      <c r="H50">
        <f t="shared" si="2"/>
        <v>5.033985401423402E-2</v>
      </c>
      <c r="I50" t="b">
        <f t="shared" si="15"/>
        <v>0</v>
      </c>
      <c r="J50" t="b">
        <f t="shared" si="3"/>
        <v>0</v>
      </c>
      <c r="K50" t="b">
        <f t="shared" si="16"/>
        <v>0</v>
      </c>
      <c r="L50">
        <f t="shared" si="4"/>
        <v>0.13033985401423404</v>
      </c>
      <c r="M50">
        <f t="shared" si="5"/>
        <v>0.22067970802846804</v>
      </c>
      <c r="N50">
        <f t="shared" si="6"/>
        <v>0.23481137694446585</v>
      </c>
      <c r="O50">
        <f t="shared" si="7"/>
        <v>0.17058490627556072</v>
      </c>
      <c r="P50">
        <f t="shared" si="22"/>
        <v>0.08</v>
      </c>
      <c r="Q50">
        <f t="shared" si="17"/>
        <v>0.08</v>
      </c>
      <c r="R50">
        <f t="shared" si="9"/>
        <v>0.08</v>
      </c>
      <c r="S50">
        <f t="shared" si="10"/>
        <v>0.06</v>
      </c>
      <c r="T50">
        <f t="shared" si="11"/>
        <v>0.1</v>
      </c>
      <c r="U50">
        <f t="shared" si="18"/>
        <v>0.08</v>
      </c>
      <c r="V50">
        <f t="shared" si="23"/>
        <v>0.23481137694446585</v>
      </c>
      <c r="W50">
        <f t="shared" si="19"/>
        <v>0.12763652241230367</v>
      </c>
      <c r="X50">
        <f t="shared" si="20"/>
        <v>0.27585495827198958</v>
      </c>
      <c r="Y50" t="b">
        <f t="shared" si="24"/>
        <v>0</v>
      </c>
    </row>
    <row xmlns:x14ac="http://schemas.microsoft.com/office/spreadsheetml/2009/9/ac" r="51" x14ac:dyDescent="0.45">
      <c r="A51">
        <v>0.22</v>
      </c>
      <c r="B51">
        <f t="shared" si="0"/>
        <v>0.20398373765272515</v>
      </c>
      <c r="C51" t="b">
        <f t="shared" si="12"/>
        <v>0</v>
      </c>
      <c r="D51" t="b">
        <f t="shared" si="13"/>
        <v>0</v>
      </c>
      <c r="E51" t="b">
        <f t="shared" si="8"/>
        <v>0</v>
      </c>
      <c r="F51" t="b">
        <f t="shared" si="14"/>
        <v>0</v>
      </c>
      <c r="G51">
        <f t="shared" si="1"/>
        <v>0.28398373765272517</v>
      </c>
      <c r="H51">
        <f t="shared" si="2"/>
        <v>5.0762976020278905E-2</v>
      </c>
      <c r="I51" t="b">
        <f t="shared" si="15"/>
        <v>0</v>
      </c>
      <c r="J51" t="b">
        <f t="shared" si="3"/>
        <v>0</v>
      </c>
      <c r="K51" t="b">
        <f t="shared" si="16"/>
        <v>0</v>
      </c>
      <c r="L51">
        <f t="shared" si="4"/>
        <v>0.13076297602027892</v>
      </c>
      <c r="M51">
        <f t="shared" si="5"/>
        <v>0.22152595204055781</v>
      </c>
      <c r="N51">
        <f t="shared" si="6"/>
        <v>0.23593878085475301</v>
      </c>
      <c r="O51">
        <f t="shared" si="7"/>
        <v>0.17097451081155324</v>
      </c>
      <c r="P51">
        <f t="shared" si="22"/>
        <v>0.08</v>
      </c>
      <c r="Q51">
        <f t="shared" si="17"/>
        <v>0.08</v>
      </c>
      <c r="R51">
        <f t="shared" si="9"/>
        <v>0.08</v>
      </c>
      <c r="S51">
        <f t="shared" si="10"/>
        <v>0.06</v>
      </c>
      <c r="T51">
        <f t="shared" si="11"/>
        <v>0.1</v>
      </c>
      <c r="U51">
        <f t="shared" si="18"/>
        <v>0.08</v>
      </c>
      <c r="V51">
        <f t="shared" si="23"/>
        <v>0.23593878085475301</v>
      </c>
      <c r="W51">
        <f t="shared" si="19"/>
        <v>0.12846808080493111</v>
      </c>
      <c r="X51">
        <f t="shared" si="20"/>
        <v>0.27801701009282087</v>
      </c>
      <c r="Y51" t="b">
        <f t="shared" si="24"/>
        <v>0</v>
      </c>
    </row>
    <row xmlns:x14ac="http://schemas.microsoft.com/office/spreadsheetml/2009/9/ac" r="52" x14ac:dyDescent="0.45">
      <c r="A52">
        <v>0.22500000000000001</v>
      </c>
      <c r="B52">
        <f t="shared" si="0"/>
        <v>0.20483414939549055</v>
      </c>
      <c r="C52" t="b">
        <f t="shared" si="12"/>
        <v>0</v>
      </c>
      <c r="D52" t="b">
        <f t="shared" si="13"/>
        <v>0</v>
      </c>
      <c r="E52" t="b">
        <f t="shared" si="8"/>
        <v>0</v>
      </c>
      <c r="F52" t="b">
        <f t="shared" si="14"/>
        <v>0</v>
      </c>
      <c r="G52">
        <f t="shared" si="1"/>
        <v>0.28483414939549057</v>
      </c>
      <c r="H52">
        <f t="shared" si="2"/>
        <v>5.109005745980405E-2</v>
      </c>
      <c r="I52" t="b">
        <f t="shared" si="15"/>
        <v>0</v>
      </c>
      <c r="J52" t="b">
        <f t="shared" si="3"/>
        <v>0</v>
      </c>
      <c r="K52" t="b">
        <f t="shared" si="16"/>
        <v>0</v>
      </c>
      <c r="L52">
        <f t="shared" si="4"/>
        <v>0.13109005745980407</v>
      </c>
      <c r="M52">
        <f t="shared" si="5"/>
        <v>0.2221801149196081</v>
      </c>
      <c r="N52">
        <f t="shared" si="6"/>
        <v>0.23681669299141705</v>
      </c>
      <c r="O52">
        <f t="shared" si="7"/>
        <v>0.17126606857645466</v>
      </c>
      <c r="P52">
        <f t="shared" si="22"/>
        <v>0.08</v>
      </c>
      <c r="Q52">
        <f t="shared" si="17"/>
        <v>0.08</v>
      </c>
      <c r="R52">
        <f t="shared" si="9"/>
        <v>0.08</v>
      </c>
      <c r="S52">
        <f t="shared" si="10"/>
        <v>0.06</v>
      </c>
      <c r="T52">
        <f t="shared" si="11"/>
        <v>0.1</v>
      </c>
      <c r="U52">
        <f t="shared" si="18"/>
        <v>0.08</v>
      </c>
      <c r="V52">
        <f t="shared" si="23"/>
        <v>0.23681669299141705</v>
      </c>
      <c r="W52">
        <f t="shared" si="19"/>
        <v>0.12919465694379123</v>
      </c>
      <c r="X52">
        <f t="shared" si="20"/>
        <v>0.27990610805385718</v>
      </c>
      <c r="Y52" t="b">
        <f t="shared" si="24"/>
        <v>0</v>
      </c>
    </row>
    <row xmlns:x14ac="http://schemas.microsoft.com/office/spreadsheetml/2009/9/ac" r="53" x14ac:dyDescent="0.45">
      <c r="A53">
        <v>0.23</v>
      </c>
      <c r="B53">
        <f t="shared" si="0"/>
        <v>0.20544296586726785</v>
      </c>
      <c r="C53" t="b">
        <f t="shared" si="12"/>
        <v>0</v>
      </c>
      <c r="D53" t="b">
        <f t="shared" si="13"/>
        <v>0</v>
      </c>
      <c r="E53" t="b">
        <f t="shared" si="8"/>
        <v>0</v>
      </c>
      <c r="F53" t="b">
        <f t="shared" si="14"/>
        <v>0</v>
      </c>
      <c r="G53">
        <f t="shared" si="1"/>
        <v>0.28544296586726786</v>
      </c>
      <c r="H53">
        <f t="shared" si="2"/>
        <v>5.1324217641256858E-2</v>
      </c>
      <c r="I53" t="b">
        <f t="shared" si="15"/>
        <v>0</v>
      </c>
      <c r="J53" t="b">
        <f t="shared" si="3"/>
        <v>0</v>
      </c>
      <c r="K53" t="b">
        <f t="shared" si="16"/>
        <v>0</v>
      </c>
      <c r="L53">
        <f t="shared" si="4"/>
        <v>0.13132421764125685</v>
      </c>
      <c r="M53">
        <f t="shared" si="5"/>
        <v>0.22264843528251371</v>
      </c>
      <c r="N53">
        <f t="shared" si="6"/>
        <v>0.23744905193705423</v>
      </c>
      <c r="O53">
        <f t="shared" si="7"/>
        <v>0.17146482258931839</v>
      </c>
      <c r="P53">
        <f t="shared" si="22"/>
        <v>0.08</v>
      </c>
      <c r="Q53">
        <f t="shared" si="17"/>
        <v>0.08</v>
      </c>
      <c r="R53">
        <f t="shared" si="9"/>
        <v>0.08</v>
      </c>
      <c r="S53">
        <f t="shared" si="10"/>
        <v>0.06</v>
      </c>
      <c r="T53">
        <f t="shared" si="11"/>
        <v>0.1</v>
      </c>
      <c r="U53">
        <f t="shared" si="18"/>
        <v>0.08</v>
      </c>
      <c r="V53">
        <f t="shared" si="23"/>
        <v>0.23744905193705423</v>
      </c>
      <c r="W53">
        <f t="shared" si="19"/>
        <v>0.1298178951831645</v>
      </c>
      <c r="X53">
        <f t="shared" si="20"/>
        <v>0.28152652747622769</v>
      </c>
      <c r="Y53" t="b">
        <f t="shared" si="24"/>
        <v>0</v>
      </c>
    </row>
    <row xmlns:x14ac="http://schemas.microsoft.com/office/spreadsheetml/2009/9/ac" r="54" x14ac:dyDescent="0.45">
      <c r="A54">
        <v>0.23499999999999999</v>
      </c>
      <c r="B54">
        <f t="shared" si="0"/>
        <v>0.20581905743958989</v>
      </c>
      <c r="C54" t="b">
        <f t="shared" si="12"/>
        <v>0</v>
      </c>
      <c r="D54" t="b">
        <f t="shared" si="13"/>
        <v>0</v>
      </c>
      <c r="E54" t="b">
        <f t="shared" si="8"/>
        <v>0</v>
      </c>
      <c r="F54" t="b">
        <f t="shared" si="14"/>
        <v>0</v>
      </c>
      <c r="G54">
        <f t="shared" si="1"/>
        <v>0.28581905743958991</v>
      </c>
      <c r="H54">
        <f t="shared" si="2"/>
        <v>5.1468868245996113E-2</v>
      </c>
      <c r="I54" t="b">
        <f t="shared" si="15"/>
        <v>0</v>
      </c>
      <c r="J54" t="b">
        <f t="shared" si="3"/>
        <v>0</v>
      </c>
      <c r="K54" t="b">
        <f t="shared" si="16"/>
        <v>0</v>
      </c>
      <c r="L54">
        <f t="shared" si="4"/>
        <v>0.13146886824599613</v>
      </c>
      <c r="M54">
        <f t="shared" si="5"/>
        <v>0.22293773649199222</v>
      </c>
      <c r="N54">
        <f t="shared" si="6"/>
        <v>0.23784076831890538</v>
      </c>
      <c r="O54">
        <f t="shared" si="7"/>
        <v>0.17157615080507799</v>
      </c>
      <c r="P54">
        <f t="shared" si="22"/>
        <v>0.08</v>
      </c>
      <c r="Q54">
        <f t="shared" si="17"/>
        <v>0.08</v>
      </c>
      <c r="R54">
        <f t="shared" si="9"/>
        <v>0.08</v>
      </c>
      <c r="S54">
        <f t="shared" si="10"/>
        <v>0.06</v>
      </c>
      <c r="T54">
        <f t="shared" si="11"/>
        <v>0.1</v>
      </c>
      <c r="U54">
        <f t="shared" si="18"/>
        <v>0.08</v>
      </c>
      <c r="V54">
        <f t="shared" si="23"/>
        <v>0.23784076831890538</v>
      </c>
      <c r="W54">
        <f t="shared" si="19"/>
        <v>0.13033985401423404</v>
      </c>
      <c r="X54">
        <f t="shared" si="20"/>
        <v>0.28288362043700849</v>
      </c>
      <c r="Y54" t="b">
        <f t="shared" si="24"/>
        <v>0</v>
      </c>
    </row>
    <row xmlns:x14ac="http://schemas.microsoft.com/office/spreadsheetml/2009/9/ac" r="55" x14ac:dyDescent="0.45">
      <c r="A55">
        <v>0.24</v>
      </c>
      <c r="B55">
        <f t="shared" si="0"/>
        <v>0.20597197514684248</v>
      </c>
      <c r="C55" t="b">
        <f t="shared" si="12"/>
        <v>0</v>
      </c>
      <c r="D55" t="b">
        <f t="shared" si="13"/>
        <v>0</v>
      </c>
      <c r="E55" t="b">
        <f t="shared" si="8"/>
        <v>0</v>
      </c>
      <c r="F55" t="b">
        <f t="shared" si="14"/>
        <v>0</v>
      </c>
      <c r="G55">
        <f t="shared" si="1"/>
        <v>0.28597197514684247</v>
      </c>
      <c r="H55">
        <f t="shared" si="2"/>
        <v>5.1527682748785567E-2</v>
      </c>
      <c r="I55" t="b">
        <f t="shared" si="15"/>
        <v>0</v>
      </c>
      <c r="J55" t="b">
        <f t="shared" si="3"/>
        <v>0</v>
      </c>
      <c r="K55" t="b">
        <f t="shared" si="16"/>
        <v>0</v>
      </c>
      <c r="L55">
        <f t="shared" si="4"/>
        <v>0.13152768274878557</v>
      </c>
      <c r="M55">
        <f t="shared" si="5"/>
        <v>0.22305536549757116</v>
      </c>
      <c r="N55">
        <f t="shared" si="6"/>
        <v>0.23799767227613916</v>
      </c>
      <c r="O55">
        <f t="shared" si="7"/>
        <v>0.17160552781425614</v>
      </c>
      <c r="P55">
        <f t="shared" si="22"/>
        <v>0.08</v>
      </c>
      <c r="Q55">
        <f t="shared" si="17"/>
        <v>0.08</v>
      </c>
      <c r="R55">
        <f t="shared" si="9"/>
        <v>0.08</v>
      </c>
      <c r="S55">
        <f t="shared" si="10"/>
        <v>0.06</v>
      </c>
      <c r="T55">
        <f t="shared" si="11"/>
        <v>0.1</v>
      </c>
      <c r="U55">
        <f t="shared" si="18"/>
        <v>0.08</v>
      </c>
      <c r="V55">
        <f t="shared" si="23"/>
        <v>0.23799767227613916</v>
      </c>
      <c r="W55">
        <f t="shared" si="19"/>
        <v>0.13076297602027892</v>
      </c>
      <c r="X55">
        <f t="shared" si="20"/>
        <v>0.28398373765272517</v>
      </c>
      <c r="Y55" t="b">
        <f t="shared" si="24"/>
        <v>0</v>
      </c>
    </row>
    <row xmlns:x14ac="http://schemas.microsoft.com/office/spreadsheetml/2009/9/ac" r="56" x14ac:dyDescent="0.45">
      <c r="A56">
        <v>0.245</v>
      </c>
      <c r="B56">
        <f t="shared" si="0"/>
        <v>0.20591187180107801</v>
      </c>
      <c r="C56" t="b">
        <f t="shared" si="12"/>
        <v>1</v>
      </c>
      <c r="D56" t="b">
        <f t="shared" si="13"/>
        <v>0</v>
      </c>
      <c r="E56" t="b">
        <f t="shared" si="8"/>
        <v>0</v>
      </c>
      <c r="F56" t="b">
        <f t="shared" si="14"/>
        <v>0</v>
      </c>
      <c r="G56">
        <f t="shared" si="1"/>
        <v>0.28591187180107802</v>
      </c>
      <c r="H56">
        <f t="shared" si="2"/>
        <v>5.1504566077337693E-2</v>
      </c>
      <c r="I56" t="b">
        <f t="shared" si="15"/>
        <v>1</v>
      </c>
      <c r="J56">
        <f t="shared" si="3"/>
        <v>0.245</v>
      </c>
      <c r="K56">
        <f t="shared" si="16"/>
        <v>5.1504566077337693E-2</v>
      </c>
      <c r="L56">
        <f t="shared" si="4"/>
        <v>0.13150456607733768</v>
      </c>
      <c r="M56">
        <f t="shared" si="5"/>
        <v>0.22300913215467538</v>
      </c>
      <c r="N56">
        <f t="shared" si="6"/>
        <v>0.23792645847710503</v>
      </c>
      <c r="O56">
        <f t="shared" si="7"/>
        <v>0.17155848868358625</v>
      </c>
      <c r="P56">
        <f t="shared" si="22"/>
        <v>0.08</v>
      </c>
      <c r="Q56">
        <f t="shared" si="17"/>
        <v>0.08</v>
      </c>
      <c r="R56">
        <f t="shared" si="9"/>
        <v>0.08</v>
      </c>
      <c r="S56">
        <f t="shared" si="10"/>
        <v>0.06</v>
      </c>
      <c r="T56">
        <f t="shared" si="11"/>
        <v>0.1</v>
      </c>
      <c r="U56">
        <f t="shared" si="18"/>
        <v>0.08</v>
      </c>
      <c r="V56">
        <f t="shared" si="23"/>
        <v>0.23792645847710503</v>
      </c>
      <c r="W56">
        <f t="shared" si="19"/>
        <v>0.13109005745980407</v>
      </c>
      <c r="X56">
        <f t="shared" si="20"/>
        <v>0.28483414939549057</v>
      </c>
      <c r="Y56" t="b">
        <f t="shared" si="24"/>
        <v>0</v>
      </c>
    </row>
    <row xmlns:x14ac="http://schemas.microsoft.com/office/spreadsheetml/2009/9/ac" r="57" x14ac:dyDescent="0.45">
      <c r="A57">
        <v>0.25</v>
      </c>
      <c r="B57">
        <f t="shared" si="0"/>
        <v>0.20564942407540743</v>
      </c>
      <c r="C57" t="b">
        <f t="shared" si="12"/>
        <v>1</v>
      </c>
      <c r="D57" t="b">
        <f t="shared" si="13"/>
        <v>0</v>
      </c>
      <c r="E57" t="b">
        <f t="shared" si="8"/>
        <v>0</v>
      </c>
      <c r="F57" t="b">
        <f t="shared" si="14"/>
        <v>0</v>
      </c>
      <c r="G57">
        <f t="shared" si="1"/>
        <v>0.28564942407540744</v>
      </c>
      <c r="H57">
        <f t="shared" si="2"/>
        <v>5.1403624644387469E-2</v>
      </c>
      <c r="I57" t="b">
        <f t="shared" si="15"/>
        <v>1</v>
      </c>
      <c r="J57">
        <f t="shared" si="3"/>
        <v>0.25</v>
      </c>
      <c r="K57">
        <f t="shared" si="16"/>
        <v>5.1403624644387469E-2</v>
      </c>
      <c r="L57">
        <f t="shared" si="4"/>
        <v>0.13169656285501369</v>
      </c>
      <c r="M57">
        <f t="shared" si="5"/>
        <v>0.22280724928877493</v>
      </c>
      <c r="N57">
        <f t="shared" si="6"/>
        <v>0.23763462900914617</v>
      </c>
      <c r="O57">
        <f t="shared" si="7"/>
        <v>0.17144059498331041</v>
      </c>
      <c r="P57">
        <f t="shared" si="22"/>
        <v>0.08</v>
      </c>
      <c r="Q57">
        <f t="shared" si="17"/>
        <v>0.08</v>
      </c>
      <c r="R57">
        <f t="shared" si="9"/>
        <v>0.08</v>
      </c>
      <c r="S57">
        <f t="shared" si="10"/>
        <v>0.06</v>
      </c>
      <c r="T57">
        <f t="shared" si="11"/>
        <v>0.1</v>
      </c>
      <c r="U57">
        <f t="shared" si="18"/>
        <v>0.08</v>
      </c>
      <c r="V57">
        <f t="shared" si="23"/>
        <v>0.23763462900914617</v>
      </c>
      <c r="W57">
        <f t="shared" si="19"/>
        <v>0.13132421764125685</v>
      </c>
      <c r="X57">
        <f t="shared" si="20"/>
        <v>0.28544296586726786</v>
      </c>
      <c r="Y57" t="b">
        <f t="shared" si="24"/>
        <v>0</v>
      </c>
    </row>
    <row xmlns:x14ac="http://schemas.microsoft.com/office/spreadsheetml/2009/9/ac" r="58" x14ac:dyDescent="0.45">
      <c r="A58">
        <v>0.255</v>
      </c>
      <c r="B58">
        <f t="shared" si="0"/>
        <v>0.20519575588145836</v>
      </c>
      <c r="C58" t="b">
        <f t="shared" si="12"/>
        <v>1</v>
      </c>
      <c r="D58" t="b">
        <f t="shared" si="13"/>
        <v>0</v>
      </c>
      <c r="E58" t="b">
        <f t="shared" si="8"/>
        <v>0</v>
      </c>
      <c r="F58" t="b">
        <f t="shared" si="14"/>
        <v>0</v>
      </c>
      <c r="G58">
        <f t="shared" si="1"/>
        <v>0.28519575588145835</v>
      </c>
      <c r="H58">
        <f t="shared" si="2"/>
        <v>5.1229136877483983E-2</v>
      </c>
      <c r="I58" t="b">
        <f t="shared" si="15"/>
        <v>1</v>
      </c>
      <c r="J58">
        <f t="shared" si="3"/>
        <v>0.255</v>
      </c>
      <c r="K58">
        <f t="shared" si="16"/>
        <v>5.1229136877483983E-2</v>
      </c>
      <c r="L58">
        <f t="shared" si="4"/>
        <v>0.1318876020447661</v>
      </c>
      <c r="M58">
        <f t="shared" si="5"/>
        <v>0.22245827375496796</v>
      </c>
      <c r="N58">
        <f t="shared" si="6"/>
        <v>0.23713043446290083</v>
      </c>
      <c r="O58">
        <f t="shared" si="7"/>
        <v>0.17125740303197606</v>
      </c>
      <c r="P58">
        <f t="shared" si="22"/>
        <v>0.08</v>
      </c>
      <c r="Q58">
        <f t="shared" si="17"/>
        <v>0.08</v>
      </c>
      <c r="R58">
        <f t="shared" si="9"/>
        <v>0.08</v>
      </c>
      <c r="S58">
        <f t="shared" si="10"/>
        <v>0.06</v>
      </c>
      <c r="T58">
        <f t="shared" si="11"/>
        <v>0.1</v>
      </c>
      <c r="U58">
        <f t="shared" si="18"/>
        <v>0.08</v>
      </c>
      <c r="V58">
        <f t="shared" si="23"/>
        <v>0.23713043446290083</v>
      </c>
      <c r="W58">
        <f t="shared" si="19"/>
        <v>0.13146886824599613</v>
      </c>
      <c r="X58">
        <f t="shared" si="20"/>
        <v>0.28581905743958991</v>
      </c>
      <c r="Y58" t="b">
        <f t="shared" si="24"/>
        <v>0</v>
      </c>
    </row>
    <row xmlns:x14ac="http://schemas.microsoft.com/office/spreadsheetml/2009/9/ac" r="59" x14ac:dyDescent="0.45">
      <c r="A59">
        <v>0.26</v>
      </c>
      <c r="B59">
        <f t="shared" si="0"/>
        <v>0.20456236334432337</v>
      </c>
      <c r="C59" t="b">
        <f t="shared" si="12"/>
        <v>1</v>
      </c>
      <c r="D59" t="b">
        <f t="shared" si="13"/>
        <v>0</v>
      </c>
      <c r="E59" t="b">
        <f t="shared" si="8"/>
        <v>0</v>
      </c>
      <c r="F59" t="b">
        <f t="shared" si="14"/>
        <v>0</v>
      </c>
      <c r="G59">
        <f t="shared" si="1"/>
        <v>0.28456236334432339</v>
      </c>
      <c r="H59">
        <f t="shared" si="2"/>
        <v>5.0985524363201293E-2</v>
      </c>
      <c r="I59" t="b">
        <f t="shared" si="15"/>
        <v>1</v>
      </c>
      <c r="J59">
        <f t="shared" si="3"/>
        <v>0.26</v>
      </c>
      <c r="K59">
        <f t="shared" si="16"/>
        <v>5.0985524363201293E-2</v>
      </c>
      <c r="L59">
        <f t="shared" si="4"/>
        <v>0.1320776884225846</v>
      </c>
      <c r="M59">
        <f t="shared" si="5"/>
        <v>0.22197104872640261</v>
      </c>
      <c r="N59">
        <f t="shared" si="6"/>
        <v>0.23642281353093719</v>
      </c>
      <c r="O59">
        <f t="shared" si="7"/>
        <v>0.17101443437548525</v>
      </c>
      <c r="P59">
        <f t="shared" si="22"/>
        <v>0.08</v>
      </c>
      <c r="Q59">
        <f t="shared" si="17"/>
        <v>0.08</v>
      </c>
      <c r="R59">
        <f t="shared" si="9"/>
        <v>0.08</v>
      </c>
      <c r="S59">
        <f t="shared" si="10"/>
        <v>0.06</v>
      </c>
      <c r="T59">
        <f t="shared" si="11"/>
        <v>0.1</v>
      </c>
      <c r="U59">
        <f t="shared" si="18"/>
        <v>0.08</v>
      </c>
      <c r="V59">
        <f t="shared" si="23"/>
        <v>0.23642281353093719</v>
      </c>
      <c r="W59">
        <f t="shared" si="19"/>
        <v>0.13152768274878557</v>
      </c>
      <c r="X59">
        <f t="shared" si="20"/>
        <v>0.28597197514684247</v>
      </c>
      <c r="Y59" t="b">
        <f t="shared" si="24"/>
        <v>0</v>
      </c>
    </row>
    <row xmlns:x14ac="http://schemas.microsoft.com/office/spreadsheetml/2009/9/ac" r="60" x14ac:dyDescent="0.45">
      <c r="A60">
        <v>0.26500000000000001</v>
      </c>
      <c r="B60">
        <f t="shared" si="0"/>
        <v>0.20376104165598122</v>
      </c>
      <c r="C60" t="b">
        <f t="shared" si="12"/>
        <v>1</v>
      </c>
      <c r="D60" t="b">
        <f t="shared" si="13"/>
        <v>0</v>
      </c>
      <c r="E60" t="b">
        <f t="shared" si="8"/>
        <v>0</v>
      </c>
      <c r="F60" t="b">
        <f t="shared" si="14"/>
        <v>0</v>
      </c>
      <c r="G60">
        <f t="shared" si="1"/>
        <v>0.28376104165598121</v>
      </c>
      <c r="H60">
        <f t="shared" si="2"/>
        <v>5.0677323713838929E-2</v>
      </c>
      <c r="I60" t="b">
        <f t="shared" si="15"/>
        <v>1</v>
      </c>
      <c r="J60">
        <f t="shared" si="3"/>
        <v>0.26500000000000001</v>
      </c>
      <c r="K60">
        <f t="shared" si="16"/>
        <v>5.0677323713838929E-2</v>
      </c>
      <c r="L60">
        <f t="shared" si="4"/>
        <v>0.13226682674063855</v>
      </c>
      <c r="M60">
        <f t="shared" si="5"/>
        <v>0.22135464742767785</v>
      </c>
      <c r="N60">
        <f t="shared" si="6"/>
        <v>0.235521331437129</v>
      </c>
      <c r="O60">
        <f t="shared" si="7"/>
        <v>0.17071714850396985</v>
      </c>
      <c r="P60">
        <f t="shared" si="22"/>
        <v>0.08</v>
      </c>
      <c r="Q60">
        <f t="shared" si="17"/>
        <v>0.08</v>
      </c>
      <c r="R60">
        <f t="shared" si="9"/>
        <v>0.08</v>
      </c>
      <c r="S60">
        <f t="shared" si="10"/>
        <v>0.06</v>
      </c>
      <c r="T60">
        <f t="shared" si="11"/>
        <v>0.1</v>
      </c>
      <c r="U60">
        <f t="shared" si="18"/>
        <v>0.08</v>
      </c>
      <c r="V60">
        <f t="shared" si="23"/>
        <v>0.235521331437129</v>
      </c>
      <c r="W60">
        <f t="shared" si="19"/>
        <v>0.13150456607733768</v>
      </c>
      <c r="X60">
        <f t="shared" si="20"/>
        <v>0.28591187180107802</v>
      </c>
      <c r="Y60" t="b">
        <f t="shared" si="24"/>
        <v>0</v>
      </c>
    </row>
    <row xmlns:x14ac="http://schemas.microsoft.com/office/spreadsheetml/2009/9/ac" r="61" x14ac:dyDescent="0.45">
      <c r="A61">
        <v>0.27</v>
      </c>
      <c r="B61">
        <f t="shared" si="0"/>
        <v>0.20280381406548634</v>
      </c>
      <c r="C61" t="b">
        <f t="shared" si="12"/>
        <v>1</v>
      </c>
      <c r="D61" t="b">
        <f t="shared" si="13"/>
        <v>0</v>
      </c>
      <c r="E61" t="b">
        <f t="shared" si="8"/>
        <v>0</v>
      </c>
      <c r="F61" t="b">
        <f t="shared" si="14"/>
        <v>0</v>
      </c>
      <c r="G61">
        <f t="shared" si="1"/>
        <v>0.28280381406548633</v>
      </c>
      <c r="H61">
        <f t="shared" si="2"/>
        <v>5.0309159255956276E-2</v>
      </c>
      <c r="I61" t="b">
        <f t="shared" si="15"/>
        <v>1</v>
      </c>
      <c r="J61">
        <f t="shared" si="3"/>
        <v>0.27</v>
      </c>
      <c r="K61">
        <f t="shared" si="16"/>
        <v>5.0309159255956276E-2</v>
      </c>
      <c r="L61">
        <f t="shared" si="4"/>
        <v>0.13245502172739573</v>
      </c>
      <c r="M61">
        <f t="shared" si="5"/>
        <v>0.22061831851191255</v>
      </c>
      <c r="N61">
        <f t="shared" si="6"/>
        <v>0.23443611750842919</v>
      </c>
      <c r="O61">
        <f t="shared" si="7"/>
        <v>0.17037091779778041</v>
      </c>
      <c r="P61">
        <f t="shared" si="22"/>
        <v>0.08</v>
      </c>
      <c r="Q61">
        <f t="shared" si="17"/>
        <v>0.08</v>
      </c>
      <c r="R61">
        <f t="shared" si="9"/>
        <v>0.08</v>
      </c>
      <c r="S61">
        <f t="shared" si="10"/>
        <v>0.06</v>
      </c>
      <c r="T61">
        <f t="shared" si="11"/>
        <v>0.1</v>
      </c>
      <c r="U61">
        <f t="shared" si="18"/>
        <v>0.08</v>
      </c>
      <c r="V61">
        <f t="shared" si="23"/>
        <v>0.23443611750842919</v>
      </c>
      <c r="W61">
        <f t="shared" si="19"/>
        <v>0.13169656285501369</v>
      </c>
      <c r="X61">
        <f t="shared" si="20"/>
        <v>0.28564942407540744</v>
      </c>
      <c r="Y61" t="b">
        <f t="shared" si="24"/>
        <v>0</v>
      </c>
    </row>
    <row xmlns:x14ac="http://schemas.microsoft.com/office/spreadsheetml/2009/9/ac" r="62" x14ac:dyDescent="0.45">
      <c r="A62">
        <v>0.27500000000000002</v>
      </c>
      <c r="B62">
        <f t="shared" si="0"/>
        <v>0.20170286324140016</v>
      </c>
      <c r="C62" t="b">
        <f t="shared" si="12"/>
        <v>1</v>
      </c>
      <c r="D62" t="b">
        <f t="shared" si="13"/>
        <v>0</v>
      </c>
      <c r="E62" t="b">
        <f t="shared" si="8"/>
        <v>0</v>
      </c>
      <c r="F62" t="b">
        <f t="shared" si="14"/>
        <v>0</v>
      </c>
      <c r="G62">
        <f t="shared" si="1"/>
        <v>0.28170286324140015</v>
      </c>
      <c r="H62">
        <f t="shared" si="2"/>
        <v>4.9885716631307753E-2</v>
      </c>
      <c r="I62" t="b">
        <f t="shared" si="15"/>
        <v>1</v>
      </c>
      <c r="J62">
        <f t="shared" si="3"/>
        <v>0.27500000000000002</v>
      </c>
      <c r="K62">
        <f t="shared" si="16"/>
        <v>4.9885716631307753E-2</v>
      </c>
      <c r="L62">
        <f t="shared" si="4"/>
        <v>0.13264227808774065</v>
      </c>
      <c r="M62">
        <f t="shared" si="5"/>
        <v>0.2197714332626155</v>
      </c>
      <c r="N62">
        <f t="shared" si="6"/>
        <v>0.23317780219471562</v>
      </c>
      <c r="O62">
        <f t="shared" si="7"/>
        <v>0.16998100468249216</v>
      </c>
      <c r="P62">
        <f t="shared" si="22"/>
        <v>0.08</v>
      </c>
      <c r="Q62">
        <f t="shared" si="17"/>
        <v>0.08</v>
      </c>
      <c r="R62">
        <f t="shared" si="9"/>
        <v>0.08</v>
      </c>
      <c r="S62">
        <f t="shared" si="10"/>
        <v>0.06</v>
      </c>
      <c r="T62">
        <f t="shared" si="11"/>
        <v>0.1</v>
      </c>
      <c r="U62">
        <f t="shared" si="18"/>
        <v>0.08</v>
      </c>
      <c r="V62">
        <f t="shared" si="23"/>
        <v>0.23317780219471562</v>
      </c>
      <c r="W62">
        <f t="shared" si="19"/>
        <v>0.1318876020447661</v>
      </c>
      <c r="X62">
        <f t="shared" si="20"/>
        <v>0.28519575588145835</v>
      </c>
      <c r="Y62" t="b">
        <f t="shared" si="24"/>
        <v>0</v>
      </c>
    </row>
    <row xmlns:x14ac="http://schemas.microsoft.com/office/spreadsheetml/2009/9/ac" r="63" x14ac:dyDescent="0.45">
      <c r="A63">
        <v>0.28000000000000003</v>
      </c>
      <c r="B63">
        <f t="shared" si="0"/>
        <v>0.2004704652191085</v>
      </c>
      <c r="C63" t="b">
        <f t="shared" si="12"/>
        <v>1</v>
      </c>
      <c r="D63" t="b">
        <f t="shared" si="13"/>
        <v>0</v>
      </c>
      <c r="E63" t="b">
        <f t="shared" si="8"/>
        <v>0</v>
      </c>
      <c r="F63" t="b">
        <f t="shared" si="14"/>
        <v>0</v>
      </c>
      <c r="G63">
        <f t="shared" si="1"/>
        <v>0.28047046521910851</v>
      </c>
      <c r="H63">
        <f t="shared" si="2"/>
        <v>4.9411717391964802E-2</v>
      </c>
      <c r="I63" t="b">
        <f t="shared" si="15"/>
        <v>1</v>
      </c>
      <c r="J63">
        <f t="shared" si="3"/>
        <v>0.28000000000000003</v>
      </c>
      <c r="K63">
        <f t="shared" si="16"/>
        <v>4.9411717391964802E-2</v>
      </c>
      <c r="L63">
        <f t="shared" si="4"/>
        <v>0.13282860050309203</v>
      </c>
      <c r="M63">
        <f t="shared" si="5"/>
        <v>0.21882343478392963</v>
      </c>
      <c r="N63">
        <f t="shared" si="6"/>
        <v>0.23175745383521712</v>
      </c>
      <c r="O63">
        <f t="shared" si="7"/>
        <v>0.16955254096234645</v>
      </c>
      <c r="P63">
        <f t="shared" si="22"/>
        <v>0.08</v>
      </c>
      <c r="Q63">
        <f t="shared" si="17"/>
        <v>0.08</v>
      </c>
      <c r="R63">
        <f t="shared" si="9"/>
        <v>0.08</v>
      </c>
      <c r="S63">
        <f t="shared" si="10"/>
        <v>0.06</v>
      </c>
      <c r="T63">
        <f t="shared" si="11"/>
        <v>0.1</v>
      </c>
      <c r="U63">
        <f t="shared" si="18"/>
        <v>0.08</v>
      </c>
      <c r="V63">
        <f t="shared" si="23"/>
        <v>0.23175745383521712</v>
      </c>
      <c r="W63">
        <f t="shared" si="19"/>
        <v>0.1320776884225846</v>
      </c>
      <c r="X63">
        <f t="shared" si="20"/>
        <v>0.28456236334432339</v>
      </c>
      <c r="Y63" t="b">
        <f t="shared" si="24"/>
        <v>0</v>
      </c>
    </row>
    <row xmlns:x14ac="http://schemas.microsoft.com/office/spreadsheetml/2009/9/ac" r="64" x14ac:dyDescent="0.45">
      <c r="A64">
        <v>0.28499999999999998</v>
      </c>
      <c r="B64">
        <f t="shared" si="0"/>
        <v>0.19911892612293131</v>
      </c>
      <c r="C64" t="b">
        <f t="shared" si="12"/>
        <v>1</v>
      </c>
      <c r="D64" t="b">
        <f t="shared" si="13"/>
        <v>0</v>
      </c>
      <c r="E64" t="b">
        <f t="shared" si="8"/>
        <v>0</v>
      </c>
      <c r="F64" t="b">
        <f t="shared" si="14"/>
        <v>0</v>
      </c>
      <c r="G64">
        <f t="shared" si="1"/>
        <v>0.27911892612293132</v>
      </c>
      <c r="H64">
        <f t="shared" si="2"/>
        <v>4.8891894662665886E-2</v>
      </c>
      <c r="I64" t="b">
        <f t="shared" si="15"/>
        <v>1</v>
      </c>
      <c r="J64">
        <f t="shared" si="3"/>
        <v>0.28499999999999998</v>
      </c>
      <c r="K64">
        <f t="shared" si="16"/>
        <v>4.8891894662665886E-2</v>
      </c>
      <c r="L64">
        <f t="shared" si="4"/>
        <v>0.13301399363151997</v>
      </c>
      <c r="M64">
        <f t="shared" si="5"/>
        <v>0.21778378932533177</v>
      </c>
      <c r="N64">
        <f t="shared" si="6"/>
        <v>0.23018651546175811</v>
      </c>
      <c r="O64">
        <f t="shared" si="7"/>
        <v>0.16909050929195249</v>
      </c>
      <c r="P64">
        <f t="shared" si="22"/>
        <v>0.08</v>
      </c>
      <c r="Q64">
        <f t="shared" si="17"/>
        <v>0.08</v>
      </c>
      <c r="R64">
        <f t="shared" si="9"/>
        <v>0.08</v>
      </c>
      <c r="S64">
        <f t="shared" si="10"/>
        <v>0.06</v>
      </c>
      <c r="T64">
        <f t="shared" si="11"/>
        <v>0.1</v>
      </c>
      <c r="U64">
        <f t="shared" si="18"/>
        <v>0.08</v>
      </c>
      <c r="V64">
        <f t="shared" si="23"/>
        <v>0.23018651546175811</v>
      </c>
      <c r="W64">
        <f t="shared" si="19"/>
        <v>0.13226682674063855</v>
      </c>
      <c r="X64">
        <f t="shared" si="20"/>
        <v>0.28376104165598121</v>
      </c>
      <c r="Y64" t="b">
        <f t="shared" si="24"/>
        <v>0</v>
      </c>
    </row>
    <row xmlns:x14ac="http://schemas.microsoft.com/office/spreadsheetml/2009/9/ac" r="65" x14ac:dyDescent="0.45">
      <c r="A65">
        <v>0.28999999999999998</v>
      </c>
      <c r="B65">
        <f t="shared" si="0"/>
        <v>0.19766052183039626</v>
      </c>
      <c r="C65" t="b">
        <f t="shared" si="12"/>
        <v>1</v>
      </c>
      <c r="D65" t="b">
        <f t="shared" si="13"/>
        <v>0</v>
      </c>
      <c r="E65" t="b">
        <f t="shared" si="8"/>
        <v>0</v>
      </c>
      <c r="F65" t="b">
        <f t="shared" si="14"/>
        <v>0</v>
      </c>
      <c r="G65">
        <f t="shared" si="1"/>
        <v>0.27766052183039625</v>
      </c>
      <c r="H65">
        <f t="shared" si="2"/>
        <v>4.8330969934767792E-2</v>
      </c>
      <c r="I65" t="b">
        <f t="shared" si="15"/>
        <v>1</v>
      </c>
      <c r="J65">
        <f t="shared" si="3"/>
        <v>0.28999999999999998</v>
      </c>
      <c r="K65">
        <f t="shared" si="16"/>
        <v>4.8330969934767792E-2</v>
      </c>
      <c r="L65">
        <f t="shared" si="4"/>
        <v>0.13319846210786235</v>
      </c>
      <c r="M65">
        <f t="shared" si="5"/>
        <v>0.21666193986953558</v>
      </c>
      <c r="N65">
        <f t="shared" si="6"/>
        <v>0.22847674191975803</v>
      </c>
      <c r="O65">
        <f t="shared" si="7"/>
        <v>0.16859972673736501</v>
      </c>
      <c r="P65">
        <f t="shared" si="22"/>
        <v>0.08</v>
      </c>
      <c r="Q65">
        <f t="shared" si="17"/>
        <v>0.08</v>
      </c>
      <c r="R65">
        <f t="shared" si="9"/>
        <v>0.08</v>
      </c>
      <c r="S65">
        <f t="shared" si="10"/>
        <v>0.06</v>
      </c>
      <c r="T65">
        <f t="shared" si="11"/>
        <v>0.1</v>
      </c>
      <c r="U65">
        <f t="shared" si="18"/>
        <v>0.08</v>
      </c>
      <c r="V65">
        <f t="shared" si="23"/>
        <v>0.22847674191975803</v>
      </c>
      <c r="W65">
        <f t="shared" si="19"/>
        <v>0.13245502172739573</v>
      </c>
      <c r="X65">
        <f t="shared" si="20"/>
        <v>0.28280381406548633</v>
      </c>
      <c r="Y65" t="b">
        <f t="shared" si="24"/>
        <v>0</v>
      </c>
    </row>
    <row xmlns:x14ac="http://schemas.microsoft.com/office/spreadsheetml/2009/9/ac" r="66" x14ac:dyDescent="0.45">
      <c r="A66">
        <v>0.29499999999999998</v>
      </c>
      <c r="B66">
        <f t="shared" si="0"/>
        <v>0.19610744072381098</v>
      </c>
      <c r="C66" t="b">
        <f t="shared" si="12"/>
        <v>1</v>
      </c>
      <c r="D66" t="b">
        <f t="shared" si="13"/>
        <v>0</v>
      </c>
      <c r="E66" t="b">
        <f t="shared" si="8"/>
        <v>0</v>
      </c>
      <c r="F66" t="b">
        <f t="shared" si="14"/>
        <v>0</v>
      </c>
      <c r="G66">
        <f t="shared" si="1"/>
        <v>0.27610744072381099</v>
      </c>
      <c r="H66">
        <f t="shared" si="2"/>
        <v>4.7733631047619601E-2</v>
      </c>
      <c r="I66" t="b">
        <f t="shared" si="15"/>
        <v>1</v>
      </c>
      <c r="J66">
        <f t="shared" si="3"/>
        <v>0.29499999999999998</v>
      </c>
      <c r="K66">
        <f t="shared" si="16"/>
        <v>4.7733631047619601E-2</v>
      </c>
      <c r="L66">
        <f t="shared" si="4"/>
        <v>0.13338201054384066</v>
      </c>
      <c r="M66">
        <f t="shared" si="5"/>
        <v>0.2154672620952392</v>
      </c>
      <c r="N66">
        <f t="shared" si="6"/>
        <v>0.22664013757765084</v>
      </c>
      <c r="O66">
        <f t="shared" si="7"/>
        <v>0.16808483036981034</v>
      </c>
      <c r="P66">
        <f t="shared" si="22"/>
        <v>0.08</v>
      </c>
      <c r="Q66">
        <f t="shared" si="17"/>
        <v>0.08</v>
      </c>
      <c r="R66">
        <f t="shared" si="9"/>
        <v>0.08</v>
      </c>
      <c r="S66">
        <f t="shared" si="10"/>
        <v>0.06</v>
      </c>
      <c r="T66">
        <f t="shared" si="11"/>
        <v>0.1</v>
      </c>
      <c r="U66">
        <f t="shared" si="18"/>
        <v>0.08</v>
      </c>
      <c r="V66">
        <f t="shared" si="23"/>
        <v>0.22664013757765084</v>
      </c>
      <c r="W66">
        <f t="shared" si="19"/>
        <v>0.13264227808774065</v>
      </c>
      <c r="X66">
        <f t="shared" si="20"/>
        <v>0.28170286324140015</v>
      </c>
      <c r="Y66" t="b">
        <f t="shared" si="24"/>
        <v>0</v>
      </c>
    </row>
    <row xmlns:x14ac="http://schemas.microsoft.com/office/spreadsheetml/2009/9/ac" r="67" x14ac:dyDescent="0.45">
      <c r="A67">
        <v>0.3</v>
      </c>
      <c r="B67">
        <f t="shared" si="0"/>
        <v>0.19447172965242079</v>
      </c>
      <c r="C67" t="b">
        <f t="shared" si="12"/>
        <v>1</v>
      </c>
      <c r="D67" t="b">
        <f t="shared" si="13"/>
        <v>0</v>
      </c>
      <c r="E67" t="b">
        <f t="shared" si="8"/>
        <v>0</v>
      </c>
      <c r="F67" t="b">
        <f t="shared" si="14"/>
        <v>0</v>
      </c>
      <c r="G67">
        <f t="shared" si="1"/>
        <v>0.27447172965242078</v>
      </c>
      <c r="H67">
        <f t="shared" si="2"/>
        <v>4.7104511404777227E-2</v>
      </c>
      <c r="I67" t="b">
        <f t="shared" si="15"/>
        <v>1</v>
      </c>
      <c r="J67">
        <f t="shared" si="3"/>
        <v>0.3</v>
      </c>
      <c r="K67">
        <f t="shared" si="16"/>
        <v>4.7104511404777227E-2</v>
      </c>
      <c r="L67">
        <f t="shared" si="4"/>
        <v>0.1335646435281754</v>
      </c>
      <c r="M67">
        <f t="shared" si="5"/>
        <v>0.21420902280955445</v>
      </c>
      <c r="N67">
        <f t="shared" si="6"/>
        <v>0.22468889488424459</v>
      </c>
      <c r="O67">
        <f t="shared" si="7"/>
        <v>0.16755026482834229</v>
      </c>
      <c r="P67">
        <f t="shared" si="22"/>
        <v>0.08</v>
      </c>
      <c r="Q67">
        <f t="shared" si="17"/>
        <v>0.08</v>
      </c>
      <c r="R67">
        <f t="shared" si="9"/>
        <v>0.08</v>
      </c>
      <c r="S67">
        <f t="shared" si="10"/>
        <v>0.06</v>
      </c>
      <c r="T67">
        <f t="shared" si="11"/>
        <v>0.1</v>
      </c>
      <c r="U67">
        <f t="shared" si="18"/>
        <v>0.08</v>
      </c>
      <c r="V67">
        <f t="shared" si="23"/>
        <v>0.22468889488424459</v>
      </c>
      <c r="W67">
        <f t="shared" si="19"/>
        <v>0.13282860050309203</v>
      </c>
      <c r="X67">
        <f t="shared" si="20"/>
        <v>0.28047046521910851</v>
      </c>
      <c r="Y67" t="b">
        <f t="shared" si="24"/>
        <v>0</v>
      </c>
    </row>
    <row xmlns:x14ac="http://schemas.microsoft.com/office/spreadsheetml/2009/9/ac" r="68" x14ac:dyDescent="0.45">
      <c r="A68">
        <v>0.30499999999999999</v>
      </c>
      <c r="B68">
        <f t="shared" si="0"/>
        <v>0.1927652432070692</v>
      </c>
      <c r="C68" t="b">
        <f t="shared" si="12"/>
        <v>1</v>
      </c>
      <c r="D68" t="b">
        <f t="shared" si="13"/>
        <v>0</v>
      </c>
      <c r="E68" t="b">
        <f t="shared" si="8"/>
        <v>0</v>
      </c>
      <c r="F68" t="b">
        <f t="shared" si="14"/>
        <v>0</v>
      </c>
      <c r="G68">
        <f t="shared" si="1"/>
        <v>0.27276524320706919</v>
      </c>
      <c r="H68">
        <f t="shared" si="2"/>
        <v>4.6448170464257379E-2</v>
      </c>
      <c r="I68" t="b">
        <f t="shared" si="15"/>
        <v>1</v>
      </c>
      <c r="J68">
        <f t="shared" si="3"/>
        <v>0.30499999999999999</v>
      </c>
      <c r="K68">
        <f t="shared" si="16"/>
        <v>4.6448170464257379E-2</v>
      </c>
      <c r="L68">
        <f t="shared" si="4"/>
        <v>0.13374636562670067</v>
      </c>
      <c r="M68">
        <f t="shared" si="5"/>
        <v>0.21289634092851478</v>
      </c>
      <c r="N68">
        <f t="shared" si="6"/>
        <v>0.22263533402157809</v>
      </c>
      <c r="O68">
        <f t="shared" si="7"/>
        <v>0.16700027178154403</v>
      </c>
      <c r="P68">
        <f t="shared" si="22"/>
        <v>0.08</v>
      </c>
      <c r="Q68">
        <f t="shared" si="17"/>
        <v>0.08</v>
      </c>
      <c r="R68">
        <f t="shared" si="9"/>
        <v>0.08</v>
      </c>
      <c r="S68">
        <f t="shared" si="10"/>
        <v>0.06</v>
      </c>
      <c r="T68">
        <f t="shared" si="11"/>
        <v>0.1</v>
      </c>
      <c r="U68">
        <f t="shared" si="18"/>
        <v>0.08</v>
      </c>
      <c r="V68">
        <f t="shared" si="23"/>
        <v>0.22263533402157809</v>
      </c>
      <c r="W68">
        <f t="shared" si="19"/>
        <v>0.13301399363151997</v>
      </c>
      <c r="X68">
        <f t="shared" si="20"/>
        <v>0.27911892612293132</v>
      </c>
      <c r="Y68" t="b">
        <f t="shared" si="24"/>
        <v>0</v>
      </c>
    </row>
    <row xmlns:x14ac="http://schemas.microsoft.com/office/spreadsheetml/2009/9/ac" r="69" x14ac:dyDescent="0.45">
      <c r="A69">
        <v>0.31</v>
      </c>
      <c r="B69">
        <f t="shared" si="0"/>
        <v>0.19099959638845973</v>
      </c>
      <c r="C69" t="b">
        <f t="shared" si="12"/>
        <v>1</v>
      </c>
      <c r="D69" t="b">
        <f t="shared" si="13"/>
        <v>0</v>
      </c>
      <c r="E69" t="b">
        <f t="shared" si="8"/>
        <v>0</v>
      </c>
      <c r="F69" t="b">
        <f t="shared" si="14"/>
        <v>0</v>
      </c>
      <c r="G69">
        <f t="shared" si="1"/>
        <v>0.27099959638845972</v>
      </c>
      <c r="H69">
        <f t="shared" si="2"/>
        <v>4.5769075534022971E-2</v>
      </c>
      <c r="I69" t="b">
        <f t="shared" si="15"/>
        <v>1</v>
      </c>
      <c r="J69">
        <f t="shared" si="3"/>
        <v>0.31</v>
      </c>
      <c r="K69">
        <f t="shared" si="16"/>
        <v>4.5769075534022971E-2</v>
      </c>
      <c r="L69">
        <f t="shared" si="4"/>
        <v>0.13392718138247839</v>
      </c>
      <c r="M69">
        <f t="shared" si="5"/>
        <v>0.21153815106804597</v>
      </c>
      <c r="N69">
        <f t="shared" si="6"/>
        <v>0.22049184388814835</v>
      </c>
      <c r="O69">
        <f t="shared" si="7"/>
        <v>0.1664388812130343</v>
      </c>
      <c r="P69">
        <f t="shared" si="22"/>
        <v>0.08</v>
      </c>
      <c r="Q69">
        <f t="shared" si="17"/>
        <v>0.08</v>
      </c>
      <c r="R69">
        <f t="shared" si="9"/>
        <v>0.08</v>
      </c>
      <c r="S69">
        <f t="shared" si="10"/>
        <v>0.06</v>
      </c>
      <c r="T69">
        <f t="shared" si="11"/>
        <v>0.1</v>
      </c>
      <c r="U69">
        <f t="shared" si="18"/>
        <v>0.08</v>
      </c>
      <c r="V69">
        <f t="shared" si="23"/>
        <v>0.22049184388814835</v>
      </c>
      <c r="W69">
        <f t="shared" si="19"/>
        <v>0.13319846210786235</v>
      </c>
      <c r="X69">
        <f t="shared" si="20"/>
        <v>0.27766052183039625</v>
      </c>
      <c r="Y69" t="b">
        <f t="shared" si="24"/>
        <v>0</v>
      </c>
    </row>
    <row xmlns:x14ac="http://schemas.microsoft.com/office/spreadsheetml/2009/9/ac" r="70" x14ac:dyDescent="0.45">
      <c r="A70">
        <v>0.315</v>
      </c>
      <c r="B70">
        <f t="shared" si="0"/>
        <v>0.18918612072993168</v>
      </c>
      <c r="C70" t="b">
        <f t="shared" si="12"/>
        <v>1</v>
      </c>
      <c r="D70" t="b">
        <f>IF(D69,D69,IF(C70,B70&gt;B69,C70))</f>
        <v>0</v>
      </c>
      <c r="E70" t="b">
        <f t="shared" si="8"/>
        <v>0</v>
      </c>
      <c r="F70" t="b">
        <f t="shared" si="14"/>
        <v>0</v>
      </c>
      <c r="G70">
        <f t="shared" si="1"/>
        <v>0.2691861207299317</v>
      </c>
      <c r="H70">
        <f t="shared" si="2"/>
        <v>4.5071584896127573E-2</v>
      </c>
      <c r="I70" t="b">
        <f t="shared" si="15"/>
        <v>1</v>
      </c>
      <c r="J70">
        <f t="shared" si="3"/>
        <v>0.315</v>
      </c>
      <c r="K70">
        <f t="shared" si="16"/>
        <v>4.5071584896127573E-2</v>
      </c>
      <c r="L70">
        <f t="shared" si="4"/>
        <v>0.13410709531591186</v>
      </c>
      <c r="M70">
        <f t="shared" si="5"/>
        <v>0.21014316979225517</v>
      </c>
      <c r="N70">
        <f t="shared" si="6"/>
        <v>0.21827082463404618</v>
      </c>
      <c r="O70">
        <f t="shared" si="7"/>
        <v>0.16586990445095151</v>
      </c>
      <c r="P70">
        <f t="shared" si="22"/>
        <v>0.08</v>
      </c>
      <c r="Q70">
        <f t="shared" si="17"/>
        <v>0.08</v>
      </c>
      <c r="R70">
        <f t="shared" si="9"/>
        <v>0.08</v>
      </c>
      <c r="S70">
        <f t="shared" si="10"/>
        <v>0.06</v>
      </c>
      <c r="T70">
        <f t="shared" si="11"/>
        <v>0.1</v>
      </c>
      <c r="U70">
        <f t="shared" si="18"/>
        <v>0.08</v>
      </c>
      <c r="V70">
        <f t="shared" si="23"/>
        <v>0.21827082463404618</v>
      </c>
      <c r="W70">
        <f t="shared" si="19"/>
        <v>0.13338201054384066</v>
      </c>
      <c r="X70">
        <f t="shared" si="20"/>
        <v>0.27610744072381099</v>
      </c>
      <c r="Y70" t="b">
        <f t="shared" si="24"/>
        <v>0</v>
      </c>
    </row>
    <row xmlns:x14ac="http://schemas.microsoft.com/office/spreadsheetml/2009/9/ac" r="71" x14ac:dyDescent="0.45">
      <c r="A71">
        <v>0.32</v>
      </c>
      <c r="B71">
        <f t="shared" ref="B71:B134" si="25">-(1+Marge_haute)*(A+B/Tpll*EXP(-$A71/Tpll)+C_*EXP(-epsilon*Wn*$A71)*COS(Wd*$A71)+C_*(D/C_-epsilon*Wn)/Wd*EXP(-epsilon*Wn*$A71)*SIN(Wd*$A71))+SIGN(DeltaPexpected)*Tunnel</f>
        <v>0.1873358239161633</v>
      </c>
      <c r="C71" t="b">
        <f t="shared" si="12"/>
        <v>1</v>
      </c>
      <c r="D71" t="b">
        <f t="shared" ref="D71:D134" si="26">IF(D70,D70,IF(C71,B71&gt;B70,C71))</f>
        <v>0</v>
      </c>
      <c r="E71" t="b">
        <f t="shared" si="8"/>
        <v>0</v>
      </c>
      <c r="F71" t="b">
        <f t="shared" si="14"/>
        <v>0</v>
      </c>
      <c r="G71">
        <f t="shared" ref="G71:G134" si="27">P0-SIGN(Rocof)*IF(D71,DeltaPexpected+SIGN(DeltaPexpected)*Tunnel+(MIN(F$7:F$1495)-DeltaPexpected-+SIGN(DeltaPexpected)*Tunnel)*EXP(-(A71-MIN(E$7:E$1495))/Texpodecrease),B71)</f>
        <v>0.26733582391616328</v>
      </c>
      <c r="H71">
        <f t="shared" ref="H71:H134" si="28">-(1-marge_basse)*(A+B/Tpll*EXP(-$A71/Tpll)+C_*EXP(-epsilon*Wn*$A71)*COS(Wd*$A71)+C_*(D/C_-epsilon*Wn)/Wd*EXP(-epsilon*Wn*$A71)*SIN(Wd*$A71))-Tunnel</f>
        <v>4.435993227544742E-2</v>
      </c>
      <c r="I71" t="b">
        <f t="shared" si="15"/>
        <v>1</v>
      </c>
      <c r="J71">
        <f t="shared" ref="J71:J134" si="29">IF(I71,A71,I71)</f>
        <v>0.32</v>
      </c>
      <c r="K71">
        <f t="shared" si="16"/>
        <v>4.435993227544742E-2</v>
      </c>
      <c r="L71">
        <f t="shared" ref="L71:L134" si="30">P0-SIGN(Rocof)*IF(I71,AF$23-AF$13+(MAX(K$7:K$1495)-AF$23+AF$13)*EXP(-(A71-MIN(J$7:J$1495))/AB$21),H71)</f>
        <v>0.13428611192485884</v>
      </c>
      <c r="M71">
        <f t="shared" ref="M71:M134" si="31">P0-(1)*(A+B/Tpll*EXP(-$A71/Tpll)+C_*EXP(-epsilon*Wn*$A71)*COS(Wd*$A71)+C_*(D/C_-epsilon*Wn)/Wd*EXP(-epsilon*Wn*$A71)*SIN(Wd*$A71))</f>
        <v>0.20871986455089486</v>
      </c>
      <c r="N71">
        <f t="shared" ref="N71:N134" si="32">AB$6-(AG$17+AG$16/AC$18*EXP(-$A71/AC$18)+AG$18*EXP(-AG$6*AG$12*$A71)*COS(AG$5*$A71)+AG$18*(AG$19/AG$18-AG$6*AG$12)/AG$5*EXP(-AG$6*AG$12*$A71)*SIN(AG$5*$A71))</f>
        <v>0.215984631955632</v>
      </c>
      <c r="O71">
        <f t="shared" ref="O71:O134" si="33">AB$6-(AH$17+AH$16/AD$18*EXP(-$A71/AD$18)+AH$18*EXP(-AH$6*AH$12*$A71)*COS(AH$5*$A71)+AH$18*(AH$19/AH$18-AH$6*AH$12)/AH$5*EXP(-AH$6*AH$12*$A71)*SIN(AH$5*$A71))</f>
        <v>0.16529692885775635</v>
      </c>
      <c r="P71">
        <f t="shared" si="22"/>
        <v>0.08</v>
      </c>
      <c r="Q71">
        <f t="shared" si="17"/>
        <v>0.08</v>
      </c>
      <c r="R71">
        <f t="shared" si="9"/>
        <v>0.08</v>
      </c>
      <c r="S71">
        <f t="shared" si="10"/>
        <v>0.06</v>
      </c>
      <c r="T71">
        <f t="shared" si="11"/>
        <v>0.1</v>
      </c>
      <c r="U71">
        <f t="shared" si="18"/>
        <v>0.08</v>
      </c>
      <c r="V71">
        <f t="shared" si="23"/>
        <v>0.215984631955632</v>
      </c>
      <c r="W71">
        <f t="shared" si="19"/>
        <v>0.1335646435281754</v>
      </c>
      <c r="X71">
        <f t="shared" si="20"/>
        <v>0.27447172965242078</v>
      </c>
      <c r="Y71" t="b">
        <f t="shared" si="24"/>
        <v>0</v>
      </c>
    </row>
    <row xmlns:x14ac="http://schemas.microsoft.com/office/spreadsheetml/2009/9/ac" r="72" x14ac:dyDescent="0.45">
      <c r="A72">
        <v>0.32500000000000001</v>
      </c>
      <c r="B72">
        <f t="shared" si="25"/>
        <v>0.18545935292047483</v>
      </c>
      <c r="C72" t="b">
        <f t="shared" si="12"/>
        <v>1</v>
      </c>
      <c r="D72" t="b">
        <f t="shared" si="26"/>
        <v>0</v>
      </c>
      <c r="E72" t="b">
        <f t="shared" ref="E72:E135" si="34">IF(D72,A72,D72)</f>
        <v>0</v>
      </c>
      <c r="F72" t="b">
        <f t="shared" si="14"/>
        <v>0</v>
      </c>
      <c r="G72">
        <f t="shared" si="27"/>
        <v>0.26545935292047484</v>
      </c>
      <c r="H72">
        <f t="shared" si="28"/>
        <v>4.363821266172109E-2</v>
      </c>
      <c r="I72" t="b">
        <f t="shared" si="15"/>
        <v>1</v>
      </c>
      <c r="J72">
        <f t="shared" si="29"/>
        <v>0.32500000000000001</v>
      </c>
      <c r="K72">
        <f t="shared" si="16"/>
        <v>4.363821266172109E-2</v>
      </c>
      <c r="L72">
        <f t="shared" si="30"/>
        <v>0.1344642356847438</v>
      </c>
      <c r="M72">
        <f t="shared" si="31"/>
        <v>0.2072764253234422</v>
      </c>
      <c r="N72">
        <f t="shared" si="32"/>
        <v>0.21364552334299314</v>
      </c>
      <c r="O72">
        <f t="shared" si="33"/>
        <v>0.16472331409357333</v>
      </c>
      <c r="P72">
        <f t="shared" si="22"/>
        <v>0.08</v>
      </c>
      <c r="Q72">
        <f t="shared" si="17"/>
        <v>0.08</v>
      </c>
      <c r="R72">
        <f t="shared" ref="R72:R135" si="35">$AB$6-(1+AB$17)*EXP(-AF$6*AF$12*A72)*(COS(AF$5*A72)-(AF$6*AF$12-1)/(AF$5)*SIN(AF$5*A72))*AF$15</f>
        <v>0.08</v>
      </c>
      <c r="S72">
        <f t="shared" ref="S72:S135" si="36">R72-AF$13</f>
        <v>0.06</v>
      </c>
      <c r="T72">
        <f t="shared" ref="T72:T135" si="37">R72+AF$13</f>
        <v>0.1</v>
      </c>
      <c r="U72">
        <f t="shared" si="18"/>
        <v>0.08</v>
      </c>
      <c r="V72">
        <f t="shared" si="23"/>
        <v>0.21364552334299314</v>
      </c>
      <c r="W72">
        <f t="shared" si="19"/>
        <v>0.13374636562670067</v>
      </c>
      <c r="X72">
        <f t="shared" si="20"/>
        <v>0.27276524320706919</v>
      </c>
      <c r="Y72" t="b">
        <f t="shared" si="24"/>
        <v>0</v>
      </c>
    </row>
    <row xmlns:x14ac="http://schemas.microsoft.com/office/spreadsheetml/2009/9/ac" r="73" x14ac:dyDescent="0.45">
      <c r="A73">
        <v>0.33</v>
      </c>
      <c r="B73">
        <f t="shared" si="25"/>
        <v>0.18356696066546602</v>
      </c>
      <c r="C73" t="b">
        <f t="shared" ref="C73:C136" si="38">IF(C72,C72,(B73&lt;B72))</f>
        <v>1</v>
      </c>
      <c r="D73" t="b">
        <f t="shared" si="26"/>
        <v>0</v>
      </c>
      <c r="E73" t="b">
        <f t="shared" si="34"/>
        <v>0</v>
      </c>
      <c r="F73" t="b">
        <f t="shared" ref="F73:F136" si="39">IF(D73,B73,D73)</f>
        <v>0</v>
      </c>
      <c r="G73">
        <f t="shared" si="27"/>
        <v>0.26356696066546603</v>
      </c>
      <c r="H73">
        <f t="shared" si="28"/>
        <v>4.2910369486717698E-2</v>
      </c>
      <c r="I73" t="b">
        <f t="shared" ref="I73:I136" si="40">IF(I72,I72,H72&gt;H73)</f>
        <v>1</v>
      </c>
      <c r="J73">
        <f t="shared" si="29"/>
        <v>0.33</v>
      </c>
      <c r="K73">
        <f t="shared" ref="K73:K136" si="41">IF(I73,H73,I73)</f>
        <v>4.2910369486717698E-2</v>
      </c>
      <c r="L73">
        <f t="shared" si="30"/>
        <v>0.13464147104867008</v>
      </c>
      <c r="M73">
        <f t="shared" si="31"/>
        <v>0.20582073897343539</v>
      </c>
      <c r="N73">
        <f t="shared" si="32"/>
        <v>0.21126560645861842</v>
      </c>
      <c r="O73">
        <f t="shared" si="33"/>
        <v>0.16415218986385799</v>
      </c>
      <c r="P73">
        <f t="shared" si="22"/>
        <v>0.08</v>
      </c>
      <c r="Q73">
        <f t="shared" ref="Q73:Q136" si="42">$AB$6-(1+AB$17)*EXP(-AF$6*AF$12*A71)*(COS(AF$5*A71)-(AF$6*AF$12-1)/(AF$5)*SIN(AF$5*A71))*AF$15</f>
        <v>0.08</v>
      </c>
      <c r="R73">
        <f t="shared" si="35"/>
        <v>0.08</v>
      </c>
      <c r="S73">
        <f t="shared" si="36"/>
        <v>0.06</v>
      </c>
      <c r="T73">
        <f t="shared" si="37"/>
        <v>0.1</v>
      </c>
      <c r="U73">
        <f t="shared" ref="U73:U136" si="43">$AB$6-AB$18*EXP(-AF$6*AF$12*A71)*(COS(AF$5*A71)-(AF$6*AF$12-1)/(AF$5)*SIN(AF$5*A71))*AF$15</f>
        <v>0.08</v>
      </c>
      <c r="V73">
        <f t="shared" si="23"/>
        <v>0.21126560645861842</v>
      </c>
      <c r="W73">
        <f t="shared" si="19"/>
        <v>0.13392718138247839</v>
      </c>
      <c r="X73">
        <f t="shared" si="20"/>
        <v>0.27099959638845972</v>
      </c>
      <c r="Y73" t="b">
        <f t="shared" si="24"/>
        <v>0</v>
      </c>
    </row>
    <row xmlns:x14ac="http://schemas.microsoft.com/office/spreadsheetml/2009/9/ac" r="74" x14ac:dyDescent="0.45">
      <c r="A74">
        <v>0.33500000000000002</v>
      </c>
      <c r="B74">
        <f t="shared" si="25"/>
        <v>0.18166847619463655</v>
      </c>
      <c r="C74" t="b">
        <f t="shared" si="38"/>
        <v>1</v>
      </c>
      <c r="D74" t="b">
        <f t="shared" si="26"/>
        <v>0</v>
      </c>
      <c r="E74" t="b">
        <f t="shared" si="34"/>
        <v>0</v>
      </c>
      <c r="F74" t="b">
        <f t="shared" si="39"/>
        <v>0</v>
      </c>
      <c r="G74">
        <f t="shared" si="27"/>
        <v>0.26166847619463657</v>
      </c>
      <c r="H74">
        <f t="shared" si="28"/>
        <v>4.218018315178329E-2</v>
      </c>
      <c r="I74" t="b">
        <f t="shared" si="40"/>
        <v>1</v>
      </c>
      <c r="J74">
        <f t="shared" si="29"/>
        <v>0.33500000000000002</v>
      </c>
      <c r="K74">
        <f t="shared" si="41"/>
        <v>4.218018315178329E-2</v>
      </c>
      <c r="L74">
        <f t="shared" si="30"/>
        <v>0.13481782244753099</v>
      </c>
      <c r="M74">
        <f t="shared" si="31"/>
        <v>0.20436036630356658</v>
      </c>
      <c r="N74">
        <f t="shared" si="32"/>
        <v>0.20885678981059552</v>
      </c>
      <c r="O74">
        <f t="shared" si="33"/>
        <v>0.16358645506038913</v>
      </c>
      <c r="P74">
        <f t="shared" si="22"/>
        <v>0.08</v>
      </c>
      <c r="Q74">
        <f t="shared" si="42"/>
        <v>0.08</v>
      </c>
      <c r="R74">
        <f t="shared" si="35"/>
        <v>0.08</v>
      </c>
      <c r="S74">
        <f t="shared" si="36"/>
        <v>0.06</v>
      </c>
      <c r="T74">
        <f t="shared" si="37"/>
        <v>0.1</v>
      </c>
      <c r="U74">
        <f t="shared" si="43"/>
        <v>0.08</v>
      </c>
      <c r="V74">
        <f t="shared" si="23"/>
        <v>0.20885678981059552</v>
      </c>
      <c r="W74">
        <f t="shared" si="19"/>
        <v>0.13410709531591186</v>
      </c>
      <c r="X74">
        <f t="shared" si="20"/>
        <v>0.2691861207299317</v>
      </c>
      <c r="Y74" t="b">
        <f t="shared" si="24"/>
        <v>0</v>
      </c>
    </row>
    <row xmlns:x14ac="http://schemas.microsoft.com/office/spreadsheetml/2009/9/ac" r="75" x14ac:dyDescent="0.45">
      <c r="A75">
        <v>0.34</v>
      </c>
      <c r="B75">
        <f t="shared" si="25"/>
        <v>0.17977327832644593</v>
      </c>
      <c r="C75" t="b">
        <f t="shared" si="38"/>
        <v>1</v>
      </c>
      <c r="D75" t="b">
        <f t="shared" si="26"/>
        <v>0</v>
      </c>
      <c r="E75" t="b">
        <f t="shared" si="34"/>
        <v>0</v>
      </c>
      <c r="F75" t="b">
        <f t="shared" si="39"/>
        <v>0</v>
      </c>
      <c r="G75">
        <f t="shared" si="27"/>
        <v>0.25977327832644592</v>
      </c>
      <c r="H75">
        <f t="shared" si="28"/>
        <v>4.1451260894786901E-2</v>
      </c>
      <c r="I75" t="b">
        <f t="shared" si="40"/>
        <v>1</v>
      </c>
      <c r="J75">
        <f t="shared" si="29"/>
        <v>0.34</v>
      </c>
      <c r="K75">
        <f t="shared" si="41"/>
        <v>4.1451260894786901E-2</v>
      </c>
      <c r="L75">
        <f t="shared" si="30"/>
        <v>0.13499329429012069</v>
      </c>
      <c r="M75">
        <f t="shared" si="31"/>
        <v>0.2029025217895738</v>
      </c>
      <c r="N75">
        <f t="shared" si="32"/>
        <v>0.20643073586825039</v>
      </c>
      <c r="O75">
        <f t="shared" si="33"/>
        <v>0.16302877820341324</v>
      </c>
      <c r="P75">
        <f t="shared" si="22"/>
        <v>0.08</v>
      </c>
      <c r="Q75">
        <f t="shared" si="42"/>
        <v>0.08</v>
      </c>
      <c r="R75">
        <f t="shared" si="35"/>
        <v>0.08</v>
      </c>
      <c r="S75">
        <f t="shared" si="36"/>
        <v>0.06</v>
      </c>
      <c r="T75">
        <f t="shared" si="37"/>
        <v>0.1</v>
      </c>
      <c r="U75">
        <f t="shared" si="43"/>
        <v>0.08</v>
      </c>
      <c r="V75">
        <f t="shared" si="23"/>
        <v>0.20643073586825039</v>
      </c>
      <c r="W75">
        <f t="shared" ref="W75:W138" si="44">IF(EMT_Simulation,L71,L75)</f>
        <v>0.13428611192485884</v>
      </c>
      <c r="X75">
        <f t="shared" ref="X75:X138" si="45">IF(EMT_Simulation,G71,G75)</f>
        <v>0.26733582391616328</v>
      </c>
      <c r="Y75" t="b">
        <f t="shared" si="24"/>
        <v>0</v>
      </c>
    </row>
    <row xmlns:x14ac="http://schemas.microsoft.com/office/spreadsheetml/2009/9/ac" r="76" x14ac:dyDescent="0.45">
      <c r="A76">
        <v>0.34499999999999997</v>
      </c>
      <c r="B76">
        <f t="shared" si="25"/>
        <v>0.17789027274700175</v>
      </c>
      <c r="C76" t="b">
        <f t="shared" si="38"/>
        <v>1</v>
      </c>
      <c r="D76" t="b">
        <f t="shared" si="26"/>
        <v>0</v>
      </c>
      <c r="E76" t="b">
        <f t="shared" si="34"/>
        <v>0</v>
      </c>
      <c r="F76" t="b">
        <f t="shared" si="39"/>
        <v>0</v>
      </c>
      <c r="G76">
        <f t="shared" si="27"/>
        <v>0.25789027274700177</v>
      </c>
      <c r="H76">
        <f t="shared" si="28"/>
        <v>4.0727027979616068E-2</v>
      </c>
      <c r="I76" t="b">
        <f t="shared" si="40"/>
        <v>1</v>
      </c>
      <c r="J76">
        <f t="shared" si="29"/>
        <v>0.34499999999999997</v>
      </c>
      <c r="K76">
        <f t="shared" si="41"/>
        <v>4.0727027979616068E-2</v>
      </c>
      <c r="L76">
        <f t="shared" si="30"/>
        <v>0.13516789096324433</v>
      </c>
      <c r="M76">
        <f t="shared" si="31"/>
        <v>0.20145405595923213</v>
      </c>
      <c r="N76">
        <f t="shared" si="32"/>
        <v>0.20399881675258685</v>
      </c>
      <c r="O76">
        <f t="shared" si="33"/>
        <v>0.16248159909217377</v>
      </c>
      <c r="P76">
        <f t="shared" si="22"/>
        <v>0.08</v>
      </c>
      <c r="Q76">
        <f t="shared" si="42"/>
        <v>0.08</v>
      </c>
      <c r="R76">
        <f t="shared" si="35"/>
        <v>0.08</v>
      </c>
      <c r="S76">
        <f t="shared" si="36"/>
        <v>0.06</v>
      </c>
      <c r="T76">
        <f t="shared" si="37"/>
        <v>0.1</v>
      </c>
      <c r="U76">
        <f t="shared" si="43"/>
        <v>0.08</v>
      </c>
      <c r="V76">
        <f t="shared" si="23"/>
        <v>0.20399881675258685</v>
      </c>
      <c r="W76">
        <f t="shared" si="44"/>
        <v>0.1344642356847438</v>
      </c>
      <c r="X76">
        <f t="shared" si="45"/>
        <v>0.26545935292047484</v>
      </c>
      <c r="Y76" t="b">
        <f t="shared" si="24"/>
        <v>0</v>
      </c>
    </row>
    <row xmlns:x14ac="http://schemas.microsoft.com/office/spreadsheetml/2009/9/ac" r="77" x14ac:dyDescent="0.45">
      <c r="A77">
        <v>0.35</v>
      </c>
      <c r="B77">
        <f t="shared" si="25"/>
        <v>0.17602787248325352</v>
      </c>
      <c r="C77" t="b">
        <f t="shared" si="38"/>
        <v>1</v>
      </c>
      <c r="D77" t="b">
        <f t="shared" si="26"/>
        <v>0</v>
      </c>
      <c r="E77" t="b">
        <f t="shared" si="34"/>
        <v>0</v>
      </c>
      <c r="F77" t="b">
        <f t="shared" si="39"/>
        <v>0</v>
      </c>
      <c r="G77">
        <f t="shared" si="27"/>
        <v>0.25602787248325354</v>
      </c>
      <c r="H77">
        <f t="shared" si="28"/>
        <v>4.0010720185866738E-2</v>
      </c>
      <c r="I77" t="b">
        <f t="shared" si="40"/>
        <v>1</v>
      </c>
      <c r="J77">
        <f t="shared" si="29"/>
        <v>0.35</v>
      </c>
      <c r="K77">
        <f t="shared" si="41"/>
        <v>4.0010720185866738E-2</v>
      </c>
      <c r="L77">
        <f t="shared" si="30"/>
        <v>0.13534161683182794</v>
      </c>
      <c r="M77">
        <f t="shared" si="31"/>
        <v>0.20002144037173347</v>
      </c>
      <c r="N77">
        <f t="shared" si="32"/>
        <v>0.20157207261822319</v>
      </c>
      <c r="O77">
        <f t="shared" si="33"/>
        <v>0.16194713157100138</v>
      </c>
      <c r="P77">
        <f t="shared" si="22"/>
        <v>0.08</v>
      </c>
      <c r="Q77">
        <f t="shared" si="42"/>
        <v>0.08</v>
      </c>
      <c r="R77">
        <f t="shared" si="35"/>
        <v>0.08</v>
      </c>
      <c r="S77">
        <f t="shared" si="36"/>
        <v>0.06</v>
      </c>
      <c r="T77">
        <f t="shared" si="37"/>
        <v>0.1</v>
      </c>
      <c r="U77">
        <f t="shared" si="43"/>
        <v>0.08</v>
      </c>
      <c r="V77">
        <f t="shared" si="23"/>
        <v>0.20157207261822319</v>
      </c>
      <c r="W77">
        <f t="shared" si="44"/>
        <v>0.13464147104867008</v>
      </c>
      <c r="X77">
        <f t="shared" si="45"/>
        <v>0.26356696066546603</v>
      </c>
      <c r="Y77" t="b">
        <f t="shared" si="24"/>
        <v>0</v>
      </c>
    </row>
    <row xmlns:x14ac="http://schemas.microsoft.com/office/spreadsheetml/2009/9/ac" r="78" x14ac:dyDescent="0.45">
      <c r="A78">
        <v>0.35499999999999998</v>
      </c>
      <c r="B78">
        <f t="shared" si="25"/>
        <v>0.17419398168523234</v>
      </c>
      <c r="C78" t="b">
        <f t="shared" si="38"/>
        <v>1</v>
      </c>
      <c r="D78" t="b">
        <f t="shared" si="26"/>
        <v>0</v>
      </c>
      <c r="E78" t="b">
        <f t="shared" si="34"/>
        <v>0</v>
      </c>
      <c r="F78" t="b">
        <f t="shared" si="39"/>
        <v>0</v>
      </c>
      <c r="G78">
        <f t="shared" si="27"/>
        <v>0.25419398168523233</v>
      </c>
      <c r="H78">
        <f t="shared" si="28"/>
        <v>3.9305377571243208E-2</v>
      </c>
      <c r="I78" t="b">
        <f t="shared" si="40"/>
        <v>1</v>
      </c>
      <c r="J78">
        <f t="shared" si="29"/>
        <v>0.35499999999999998</v>
      </c>
      <c r="K78">
        <f t="shared" si="41"/>
        <v>3.9305377571243208E-2</v>
      </c>
      <c r="L78">
        <f t="shared" si="30"/>
        <v>0.13551447623902718</v>
      </c>
      <c r="M78">
        <f t="shared" si="31"/>
        <v>0.19861075514248644</v>
      </c>
      <c r="N78">
        <f t="shared" si="32"/>
        <v>0.19916117282783408</v>
      </c>
      <c r="O78">
        <f t="shared" si="33"/>
        <v>0.1614273673185907</v>
      </c>
      <c r="P78">
        <f t="shared" ref="P78:P141" si="46">$AB$6-EXP(-AF$6*AF$12*A78)*(COS(AF$5*A78)-(AF$6*AF$12-1)/(AF$5)*SIN(AF$5*A78))*AF$15</f>
        <v>0.08</v>
      </c>
      <c r="Q78">
        <f t="shared" si="42"/>
        <v>0.08</v>
      </c>
      <c r="R78">
        <f t="shared" si="35"/>
        <v>0.08</v>
      </c>
      <c r="S78">
        <f t="shared" si="36"/>
        <v>0.06</v>
      </c>
      <c r="T78">
        <f t="shared" si="37"/>
        <v>0.1</v>
      </c>
      <c r="U78">
        <f t="shared" si="43"/>
        <v>0.08</v>
      </c>
      <c r="V78">
        <f t="shared" si="23"/>
        <v>0.19916117282783408</v>
      </c>
      <c r="W78">
        <f t="shared" si="44"/>
        <v>0.13481782244753099</v>
      </c>
      <c r="X78">
        <f t="shared" si="45"/>
        <v>0.26166847619463657</v>
      </c>
      <c r="Y78" t="b">
        <f t="shared" si="24"/>
        <v>0</v>
      </c>
    </row>
    <row xmlns:x14ac="http://schemas.microsoft.com/office/spreadsheetml/2009/9/ac" r="79" x14ac:dyDescent="0.45">
      <c r="A79">
        <v>0.36</v>
      </c>
      <c r="B79">
        <f t="shared" si="25"/>
        <v>0.17239598263353223</v>
      </c>
      <c r="C79" t="b">
        <f t="shared" si="38"/>
        <v>1</v>
      </c>
      <c r="D79" t="b">
        <f t="shared" si="26"/>
        <v>0</v>
      </c>
      <c r="E79" t="b">
        <f t="shared" si="34"/>
        <v>0</v>
      </c>
      <c r="F79" t="b">
        <f t="shared" si="39"/>
        <v>0</v>
      </c>
      <c r="G79">
        <f t="shared" si="27"/>
        <v>0.25239598263353225</v>
      </c>
      <c r="H79">
        <f t="shared" si="28"/>
        <v>3.8613839474435474E-2</v>
      </c>
      <c r="I79" t="b">
        <f t="shared" si="40"/>
        <v>1</v>
      </c>
      <c r="J79">
        <f t="shared" si="29"/>
        <v>0.36</v>
      </c>
      <c r="K79">
        <f t="shared" si="41"/>
        <v>3.8613839474435474E-2</v>
      </c>
      <c r="L79">
        <f t="shared" si="30"/>
        <v>0.13568647350633628</v>
      </c>
      <c r="M79">
        <f t="shared" si="31"/>
        <v>0.19722767894887094</v>
      </c>
      <c r="N79">
        <f t="shared" si="32"/>
        <v>0.19677638000445824</v>
      </c>
      <c r="O79">
        <f t="shared" si="33"/>
        <v>0.16092408056900209</v>
      </c>
      <c r="P79">
        <f t="shared" si="46"/>
        <v>0.08</v>
      </c>
      <c r="Q79">
        <f t="shared" si="42"/>
        <v>0.08</v>
      </c>
      <c r="R79">
        <f t="shared" si="35"/>
        <v>0.08</v>
      </c>
      <c r="S79">
        <f t="shared" si="36"/>
        <v>0.06</v>
      </c>
      <c r="T79">
        <f t="shared" si="37"/>
        <v>0.1</v>
      </c>
      <c r="U79">
        <f t="shared" si="43"/>
        <v>0.08</v>
      </c>
      <c r="V79">
        <f t="shared" si="23"/>
        <v>0.19677638000445824</v>
      </c>
      <c r="W79">
        <f t="shared" si="44"/>
        <v>0.13499329429012069</v>
      </c>
      <c r="X79">
        <f t="shared" si="45"/>
        <v>0.25977327832644592</v>
      </c>
      <c r="Y79" t="b">
        <f t="shared" si="24"/>
        <v>0</v>
      </c>
    </row>
    <row xmlns:x14ac="http://schemas.microsoft.com/office/spreadsheetml/2009/9/ac" r="80" x14ac:dyDescent="0.45">
      <c r="A80">
        <v>0.36499999999999999</v>
      </c>
      <c r="B80">
        <f t="shared" si="25"/>
        <v>0.17064072587688844</v>
      </c>
      <c r="C80" t="b">
        <f t="shared" si="38"/>
        <v>1</v>
      </c>
      <c r="D80" t="b">
        <f t="shared" si="26"/>
        <v>0</v>
      </c>
      <c r="E80" t="b">
        <f t="shared" si="34"/>
        <v>0</v>
      </c>
      <c r="F80" t="b">
        <f t="shared" si="39"/>
        <v>0</v>
      </c>
      <c r="G80">
        <f t="shared" si="27"/>
        <v>0.25064072587688846</v>
      </c>
      <c r="H80">
        <f t="shared" si="28"/>
        <v>3.7938740721880165E-2</v>
      </c>
      <c r="I80" t="b">
        <f t="shared" si="40"/>
        <v>1</v>
      </c>
      <c r="J80">
        <f t="shared" si="29"/>
        <v>0.36499999999999999</v>
      </c>
      <c r="K80">
        <f t="shared" si="41"/>
        <v>3.7938740721880165E-2</v>
      </c>
      <c r="L80">
        <f t="shared" si="30"/>
        <v>0.13585761293369586</v>
      </c>
      <c r="M80">
        <f t="shared" si="31"/>
        <v>0.19587748144376033</v>
      </c>
      <c r="N80">
        <f t="shared" si="32"/>
        <v>0.1944275170314993</v>
      </c>
      <c r="O80">
        <f t="shared" si="33"/>
        <v>0.16043883367426937</v>
      </c>
      <c r="P80">
        <f t="shared" si="46"/>
        <v>0.08</v>
      </c>
      <c r="Q80">
        <f t="shared" si="42"/>
        <v>0.08</v>
      </c>
      <c r="R80">
        <f t="shared" si="35"/>
        <v>0.08</v>
      </c>
      <c r="S80">
        <f t="shared" si="36"/>
        <v>0.06</v>
      </c>
      <c r="T80">
        <f t="shared" si="37"/>
        <v>0.1</v>
      </c>
      <c r="U80">
        <f t="shared" si="43"/>
        <v>0.08</v>
      </c>
      <c r="V80">
        <f t="shared" si="23"/>
        <v>0.1944275170314993</v>
      </c>
      <c r="W80">
        <f t="shared" si="44"/>
        <v>0.13516789096324433</v>
      </c>
      <c r="X80">
        <f t="shared" si="45"/>
        <v>0.25789027274700177</v>
      </c>
      <c r="Y80" t="b">
        <f t="shared" si="24"/>
        <v>0</v>
      </c>
    </row>
    <row xmlns:x14ac="http://schemas.microsoft.com/office/spreadsheetml/2009/9/ac" r="81" x14ac:dyDescent="0.45">
      <c r="A81">
        <v>0.37</v>
      </c>
      <c r="B81">
        <f t="shared" si="25"/>
        <v>0.16893452339437409</v>
      </c>
      <c r="C81" t="b">
        <f t="shared" si="38"/>
        <v>1</v>
      </c>
      <c r="D81" t="b">
        <f t="shared" si="26"/>
        <v>0</v>
      </c>
      <c r="E81" t="b">
        <f t="shared" si="34"/>
        <v>0</v>
      </c>
      <c r="F81" t="b">
        <f t="shared" si="39"/>
        <v>0</v>
      </c>
      <c r="G81">
        <f t="shared" si="27"/>
        <v>0.24893452339437411</v>
      </c>
      <c r="H81">
        <f t="shared" si="28"/>
        <v>3.7282508997836195E-2</v>
      </c>
      <c r="I81" t="b">
        <f t="shared" si="40"/>
        <v>1</v>
      </c>
      <c r="J81">
        <f t="shared" si="29"/>
        <v>0.37</v>
      </c>
      <c r="K81">
        <f t="shared" si="41"/>
        <v>3.7282508997836195E-2</v>
      </c>
      <c r="L81">
        <f t="shared" si="30"/>
        <v>0.13602789879960056</v>
      </c>
      <c r="M81">
        <f t="shared" si="31"/>
        <v>0.19456501799567238</v>
      </c>
      <c r="N81">
        <f t="shared" si="32"/>
        <v>0.19212393705489045</v>
      </c>
      <c r="O81">
        <f t="shared" si="33"/>
        <v>0.15997298342022867</v>
      </c>
      <c r="P81">
        <f t="shared" si="46"/>
        <v>0.08</v>
      </c>
      <c r="Q81">
        <f t="shared" si="42"/>
        <v>0.08</v>
      </c>
      <c r="R81">
        <f t="shared" si="35"/>
        <v>0.08</v>
      </c>
      <c r="S81">
        <f t="shared" si="36"/>
        <v>0.06</v>
      </c>
      <c r="T81">
        <f t="shared" si="37"/>
        <v>0.1</v>
      </c>
      <c r="U81">
        <f t="shared" si="43"/>
        <v>0.08</v>
      </c>
      <c r="V81">
        <f t="shared" si="23"/>
        <v>0.19212393705489045</v>
      </c>
      <c r="W81">
        <f t="shared" si="44"/>
        <v>0.13534161683182794</v>
      </c>
      <c r="X81">
        <f t="shared" si="45"/>
        <v>0.25602787248325354</v>
      </c>
      <c r="Y81" t="b">
        <f t="shared" si="24"/>
        <v>0</v>
      </c>
    </row>
    <row xmlns:x14ac="http://schemas.microsoft.com/office/spreadsheetml/2009/9/ac" r="82" x14ac:dyDescent="0.45">
      <c r="A82">
        <v>0.375</v>
      </c>
      <c r="B82">
        <f t="shared" si="25"/>
        <v>0.16728314466741293</v>
      </c>
      <c r="C82" t="b">
        <f t="shared" si="38"/>
        <v>1</v>
      </c>
      <c r="D82" t="b">
        <f t="shared" si="26"/>
        <v>0</v>
      </c>
      <c r="E82" t="b">
        <f t="shared" si="34"/>
        <v>0</v>
      </c>
      <c r="F82" t="b">
        <f t="shared" si="39"/>
        <v>0</v>
      </c>
      <c r="G82">
        <f t="shared" si="27"/>
        <v>0.24728314466741291</v>
      </c>
      <c r="H82">
        <f t="shared" si="28"/>
        <v>3.6647363333620356E-2</v>
      </c>
      <c r="I82" t="b">
        <f t="shared" si="40"/>
        <v>1</v>
      </c>
      <c r="J82">
        <f t="shared" si="29"/>
        <v>0.375</v>
      </c>
      <c r="K82">
        <f t="shared" si="41"/>
        <v>3.6647363333620356E-2</v>
      </c>
      <c r="L82">
        <f t="shared" si="30"/>
        <v>0.13619733536120585</v>
      </c>
      <c r="M82">
        <f t="shared" si="31"/>
        <v>0.19329472666724073</v>
      </c>
      <c r="N82">
        <f t="shared" si="32"/>
        <v>0.18987449652677652</v>
      </c>
      <c r="O82">
        <f t="shared" si="33"/>
        <v>0.15952768800927142</v>
      </c>
      <c r="P82">
        <f t="shared" si="46"/>
        <v>0.08</v>
      </c>
      <c r="Q82">
        <f t="shared" si="42"/>
        <v>0.08</v>
      </c>
      <c r="R82">
        <f t="shared" si="35"/>
        <v>0.08</v>
      </c>
      <c r="S82">
        <f t="shared" si="36"/>
        <v>0.06</v>
      </c>
      <c r="T82">
        <f t="shared" si="37"/>
        <v>0.1</v>
      </c>
      <c r="U82">
        <f t="shared" si="43"/>
        <v>0.08</v>
      </c>
      <c r="V82">
        <f t="shared" si="23"/>
        <v>0.18987449652677652</v>
      </c>
      <c r="W82">
        <f t="shared" si="44"/>
        <v>0.13551447623902718</v>
      </c>
      <c r="X82">
        <f t="shared" si="45"/>
        <v>0.25419398168523233</v>
      </c>
      <c r="Y82" t="b">
        <f t="shared" si="24"/>
        <v>0</v>
      </c>
    </row>
    <row xmlns:x14ac="http://schemas.microsoft.com/office/spreadsheetml/2009/9/ac" r="83" x14ac:dyDescent="0.45">
      <c r="A83">
        <v>0.38</v>
      </c>
      <c r="B83">
        <f t="shared" si="25"/>
        <v>0.16569181553848439</v>
      </c>
      <c r="C83" t="b">
        <f t="shared" si="38"/>
        <v>1</v>
      </c>
      <c r="D83" t="b">
        <f t="shared" si="26"/>
        <v>0</v>
      </c>
      <c r="E83" t="b">
        <f t="shared" si="34"/>
        <v>0</v>
      </c>
      <c r="F83" t="b">
        <f t="shared" si="39"/>
        <v>0</v>
      </c>
      <c r="G83">
        <f t="shared" si="27"/>
        <v>0.2456918155384844</v>
      </c>
      <c r="H83">
        <f t="shared" si="28"/>
        <v>3.6035313668647845E-2</v>
      </c>
      <c r="I83" t="b">
        <f t="shared" si="40"/>
        <v>1</v>
      </c>
      <c r="J83">
        <f t="shared" si="29"/>
        <v>0.38</v>
      </c>
      <c r="K83">
        <f t="shared" si="41"/>
        <v>3.6035313668647845E-2</v>
      </c>
      <c r="L83">
        <f t="shared" si="30"/>
        <v>0.1363659268544346</v>
      </c>
      <c r="M83">
        <f t="shared" si="31"/>
        <v>0.19207062733729569</v>
      </c>
      <c r="N83">
        <f t="shared" si="32"/>
        <v>0.18768753131525187</v>
      </c>
      <c r="O83">
        <f t="shared" si="33"/>
        <v>0.15910391462613308</v>
      </c>
      <c r="P83">
        <f t="shared" si="46"/>
        <v>0.08</v>
      </c>
      <c r="Q83">
        <f t="shared" si="42"/>
        <v>0.08</v>
      </c>
      <c r="R83">
        <f t="shared" si="35"/>
        <v>0.08</v>
      </c>
      <c r="S83">
        <f t="shared" si="36"/>
        <v>0.06</v>
      </c>
      <c r="T83">
        <f t="shared" si="37"/>
        <v>0.1</v>
      </c>
      <c r="U83">
        <f t="shared" si="43"/>
        <v>0.08</v>
      </c>
      <c r="V83">
        <f t="shared" si="23"/>
        <v>0.18768753131525187</v>
      </c>
      <c r="W83">
        <f t="shared" si="44"/>
        <v>0.13568647350633628</v>
      </c>
      <c r="X83">
        <f t="shared" si="45"/>
        <v>0.25239598263353225</v>
      </c>
      <c r="Y83" t="b">
        <f t="shared" si="24"/>
        <v>0</v>
      </c>
    </row>
    <row xmlns:x14ac="http://schemas.microsoft.com/office/spreadsheetml/2009/9/ac" r="84" x14ac:dyDescent="0.45">
      <c r="A84">
        <v>0.38500000000000001</v>
      </c>
      <c r="B84">
        <f t="shared" si="25"/>
        <v>0.16416521972607254</v>
      </c>
      <c r="C84" t="b">
        <f t="shared" si="38"/>
        <v>1</v>
      </c>
      <c r="D84" t="b">
        <f t="shared" si="26"/>
        <v>0</v>
      </c>
      <c r="E84" t="b">
        <f t="shared" si="34"/>
        <v>0</v>
      </c>
      <c r="F84" t="b">
        <f t="shared" si="39"/>
        <v>0</v>
      </c>
      <c r="G84">
        <f t="shared" si="27"/>
        <v>0.24416521972607252</v>
      </c>
      <c r="H84">
        <f t="shared" si="28"/>
        <v>3.5448161433104822E-2</v>
      </c>
      <c r="I84" t="b">
        <f t="shared" si="40"/>
        <v>1</v>
      </c>
      <c r="J84">
        <f t="shared" si="29"/>
        <v>0.38500000000000001</v>
      </c>
      <c r="K84">
        <f t="shared" si="41"/>
        <v>3.5448161433104822E-2</v>
      </c>
      <c r="L84">
        <f t="shared" si="30"/>
        <v>0.13653367749408296</v>
      </c>
      <c r="M84">
        <f t="shared" si="31"/>
        <v>0.19089632286620967</v>
      </c>
      <c r="N84">
        <f t="shared" si="32"/>
        <v>0.1855708358902326</v>
      </c>
      <c r="O84">
        <f t="shared" si="33"/>
        <v>0.15870244750551996</v>
      </c>
      <c r="P84">
        <f t="shared" si="46"/>
        <v>0.08</v>
      </c>
      <c r="Q84">
        <f t="shared" si="42"/>
        <v>0.08</v>
      </c>
      <c r="R84">
        <f t="shared" si="35"/>
        <v>0.08</v>
      </c>
      <c r="S84">
        <f t="shared" si="36"/>
        <v>0.06</v>
      </c>
      <c r="T84">
        <f t="shared" si="37"/>
        <v>0.1</v>
      </c>
      <c r="U84">
        <f t="shared" si="43"/>
        <v>0.08</v>
      </c>
      <c r="V84">
        <f t="shared" si="23"/>
        <v>0.1855708358902326</v>
      </c>
      <c r="W84">
        <f t="shared" si="44"/>
        <v>0.13585761293369586</v>
      </c>
      <c r="X84">
        <f t="shared" si="45"/>
        <v>0.25064072587688846</v>
      </c>
      <c r="Y84" t="b">
        <f t="shared" si="24"/>
        <v>0</v>
      </c>
    </row>
    <row xmlns:x14ac="http://schemas.microsoft.com/office/spreadsheetml/2009/9/ac" r="85" x14ac:dyDescent="0.45">
      <c r="A85">
        <v>0.39</v>
      </c>
      <c r="B85">
        <f t="shared" si="25"/>
        <v>0.16270750285906488</v>
      </c>
      <c r="C85" t="b">
        <f t="shared" si="38"/>
        <v>1</v>
      </c>
      <c r="D85" t="b">
        <f t="shared" si="26"/>
        <v>0</v>
      </c>
      <c r="E85" t="b">
        <f t="shared" si="34"/>
        <v>0</v>
      </c>
      <c r="F85" t="b">
        <f t="shared" si="39"/>
        <v>0</v>
      </c>
      <c r="G85">
        <f t="shared" si="27"/>
        <v>0.24270750285906489</v>
      </c>
      <c r="H85">
        <f t="shared" si="28"/>
        <v>3.4887501099640339E-2</v>
      </c>
      <c r="I85" t="b">
        <f t="shared" si="40"/>
        <v>1</v>
      </c>
      <c r="J85">
        <f t="shared" si="29"/>
        <v>0.39</v>
      </c>
      <c r="K85">
        <f t="shared" si="41"/>
        <v>3.4887501099640339E-2</v>
      </c>
      <c r="L85">
        <f t="shared" si="30"/>
        <v>0.13670059147392563</v>
      </c>
      <c r="M85">
        <f t="shared" si="31"/>
        <v>0.18977500219928067</v>
      </c>
      <c r="N85">
        <f t="shared" si="32"/>
        <v>0.18353164558149471</v>
      </c>
      <c r="O85">
        <f t="shared" si="33"/>
        <v>0.15832389642331945</v>
      </c>
      <c r="P85">
        <f t="shared" si="46"/>
        <v>0.08</v>
      </c>
      <c r="Q85">
        <f t="shared" si="42"/>
        <v>0.08</v>
      </c>
      <c r="R85">
        <f t="shared" si="35"/>
        <v>0.08</v>
      </c>
      <c r="S85">
        <f t="shared" si="36"/>
        <v>0.06</v>
      </c>
      <c r="T85">
        <f t="shared" si="37"/>
        <v>0.1</v>
      </c>
      <c r="U85">
        <f t="shared" si="43"/>
        <v>0.08</v>
      </c>
      <c r="V85">
        <f t="shared" ref="V85:V148" si="47">MAX(IF(Y85,MAX(H85,$AB$6+$AF$13),MAX(T85,$AB$6+$AF$13)),O85,N85)</f>
        <v>0.18353164558149471</v>
      </c>
      <c r="W85">
        <f t="shared" si="44"/>
        <v>0.13602789879960056</v>
      </c>
      <c r="X85">
        <f t="shared" si="45"/>
        <v>0.24893452339437411</v>
      </c>
      <c r="Y85" t="b">
        <f t="shared" si="24"/>
        <v>0</v>
      </c>
    </row>
    <row xmlns:x14ac="http://schemas.microsoft.com/office/spreadsheetml/2009/9/ac" r="86" x14ac:dyDescent="0.45">
      <c r="A86">
        <v>0.39500000000000002</v>
      </c>
      <c r="B86">
        <f t="shared" si="25"/>
        <v>0.16132227888842701</v>
      </c>
      <c r="C86" t="b">
        <f t="shared" si="38"/>
        <v>1</v>
      </c>
      <c r="D86" t="b">
        <f t="shared" si="26"/>
        <v>0</v>
      </c>
      <c r="E86" t="b">
        <f t="shared" si="34"/>
        <v>0</v>
      </c>
      <c r="F86" t="b">
        <f t="shared" si="39"/>
        <v>0</v>
      </c>
      <c r="G86">
        <f t="shared" si="27"/>
        <v>0.241322278888427</v>
      </c>
      <c r="H86">
        <f t="shared" si="28"/>
        <v>3.4354722649395E-2</v>
      </c>
      <c r="I86" t="b">
        <f t="shared" si="40"/>
        <v>1</v>
      </c>
      <c r="J86">
        <f t="shared" si="29"/>
        <v>0.39500000000000002</v>
      </c>
      <c r="K86">
        <f t="shared" si="41"/>
        <v>3.4354722649395E-2</v>
      </c>
      <c r="L86">
        <f t="shared" si="30"/>
        <v>0.13686667296682081</v>
      </c>
      <c r="M86">
        <f t="shared" si="31"/>
        <v>0.18870944529879002</v>
      </c>
      <c r="N86">
        <f t="shared" si="32"/>
        <v>0.1815766218913199</v>
      </c>
      <c r="O86">
        <f t="shared" si="33"/>
        <v>0.15796870553629497</v>
      </c>
      <c r="P86">
        <f t="shared" si="46"/>
        <v>0.08</v>
      </c>
      <c r="Q86">
        <f t="shared" si="42"/>
        <v>0.08</v>
      </c>
      <c r="R86">
        <f t="shared" si="35"/>
        <v>0.08</v>
      </c>
      <c r="S86">
        <f t="shared" si="36"/>
        <v>0.06</v>
      </c>
      <c r="T86">
        <f t="shared" si="37"/>
        <v>0.1</v>
      </c>
      <c r="U86">
        <f t="shared" si="43"/>
        <v>0.08</v>
      </c>
      <c r="V86">
        <f t="shared" si="47"/>
        <v>0.1815766218913199</v>
      </c>
      <c r="W86">
        <f t="shared" si="44"/>
        <v>0.13619733536120585</v>
      </c>
      <c r="X86">
        <f t="shared" si="45"/>
        <v>0.24728314466741291</v>
      </c>
      <c r="Y86" t="b">
        <f t="shared" ref="Y86:Y149" si="48">IF(Y85,TRUE,IF(P86&lt;P85,TRUE))</f>
        <v>0</v>
      </c>
    </row>
    <row xmlns:x14ac="http://schemas.microsoft.com/office/spreadsheetml/2009/9/ac" r="87" x14ac:dyDescent="0.45">
      <c r="A87">
        <v>0.4</v>
      </c>
      <c r="B87">
        <f t="shared" si="25"/>
        <v>0.16001263872954088</v>
      </c>
      <c r="C87" t="b">
        <f t="shared" si="38"/>
        <v>1</v>
      </c>
      <c r="D87" t="b">
        <f t="shared" si="26"/>
        <v>0</v>
      </c>
      <c r="E87" t="b">
        <f t="shared" si="34"/>
        <v>0</v>
      </c>
      <c r="F87" t="b">
        <f t="shared" si="39"/>
        <v>0</v>
      </c>
      <c r="G87">
        <f t="shared" si="27"/>
        <v>0.24001263872954087</v>
      </c>
      <c r="H87">
        <f t="shared" si="28"/>
        <v>3.3851014895977263E-2</v>
      </c>
      <c r="I87" t="b">
        <f t="shared" si="40"/>
        <v>1</v>
      </c>
      <c r="J87">
        <f t="shared" si="29"/>
        <v>0.4</v>
      </c>
      <c r="K87">
        <f t="shared" si="41"/>
        <v>3.3851014895977263E-2</v>
      </c>
      <c r="L87">
        <f t="shared" si="30"/>
        <v>0.13703192612481446</v>
      </c>
      <c r="M87">
        <f t="shared" si="31"/>
        <v>0.18770202979195455</v>
      </c>
      <c r="N87">
        <f t="shared" si="32"/>
        <v>0.17971184083110991</v>
      </c>
      <c r="O87">
        <f t="shared" si="33"/>
        <v>0.1576371624985114</v>
      </c>
      <c r="P87">
        <f t="shared" si="46"/>
        <v>0.08</v>
      </c>
      <c r="Q87">
        <f t="shared" si="42"/>
        <v>0.08</v>
      </c>
      <c r="R87">
        <f t="shared" si="35"/>
        <v>0.08</v>
      </c>
      <c r="S87">
        <f t="shared" si="36"/>
        <v>0.06</v>
      </c>
      <c r="T87">
        <f t="shared" si="37"/>
        <v>0.1</v>
      </c>
      <c r="U87">
        <f t="shared" si="43"/>
        <v>0.08</v>
      </c>
      <c r="V87">
        <f t="shared" si="47"/>
        <v>0.17971184083110991</v>
      </c>
      <c r="W87">
        <f t="shared" si="44"/>
        <v>0.1363659268544346</v>
      </c>
      <c r="X87">
        <f t="shared" si="45"/>
        <v>0.2456918155384844</v>
      </c>
      <c r="Y87" t="b">
        <f t="shared" si="48"/>
        <v>0</v>
      </c>
    </row>
    <row xmlns:x14ac="http://schemas.microsoft.com/office/spreadsheetml/2009/9/ac" r="88" x14ac:dyDescent="0.45">
      <c r="A88">
        <v>0.40500000000000003</v>
      </c>
      <c r="B88">
        <f t="shared" si="25"/>
        <v>0.15878116098507372</v>
      </c>
      <c r="C88" t="b">
        <f t="shared" si="38"/>
        <v>1</v>
      </c>
      <c r="D88" t="b">
        <f t="shared" si="26"/>
        <v>0</v>
      </c>
      <c r="E88" t="b">
        <f t="shared" si="34"/>
        <v>0</v>
      </c>
      <c r="F88" t="b">
        <f t="shared" si="39"/>
        <v>0</v>
      </c>
      <c r="G88">
        <f t="shared" si="27"/>
        <v>0.23878116098507374</v>
      </c>
      <c r="H88">
        <f t="shared" si="28"/>
        <v>3.3377369609643742E-2</v>
      </c>
      <c r="I88" t="b">
        <f t="shared" si="40"/>
        <v>1</v>
      </c>
      <c r="J88">
        <f t="shared" si="29"/>
        <v>0.40500000000000003</v>
      </c>
      <c r="K88">
        <f t="shared" si="41"/>
        <v>3.3377369609643742E-2</v>
      </c>
      <c r="L88">
        <f t="shared" si="30"/>
        <v>0.1371963550792441</v>
      </c>
      <c r="M88">
        <f t="shared" si="31"/>
        <v>0.18675473921928748</v>
      </c>
      <c r="N88">
        <f t="shared" si="32"/>
        <v>0.17794278423879634</v>
      </c>
      <c r="O88">
        <f t="shared" si="33"/>
        <v>0.15732940778623183</v>
      </c>
      <c r="P88">
        <f t="shared" si="46"/>
        <v>0.08</v>
      </c>
      <c r="Q88">
        <f t="shared" si="42"/>
        <v>0.08</v>
      </c>
      <c r="R88">
        <f t="shared" si="35"/>
        <v>0.08</v>
      </c>
      <c r="S88">
        <f t="shared" si="36"/>
        <v>0.06</v>
      </c>
      <c r="T88">
        <f t="shared" si="37"/>
        <v>0.1</v>
      </c>
      <c r="U88">
        <f t="shared" si="43"/>
        <v>0.08</v>
      </c>
      <c r="V88">
        <f t="shared" si="47"/>
        <v>0.17794278423879634</v>
      </c>
      <c r="W88">
        <f t="shared" si="44"/>
        <v>0.13653367749408296</v>
      </c>
      <c r="X88">
        <f t="shared" si="45"/>
        <v>0.24416521972607252</v>
      </c>
      <c r="Y88" t="b">
        <f t="shared" si="48"/>
        <v>0</v>
      </c>
    </row>
    <row xmlns:x14ac="http://schemas.microsoft.com/office/spreadsheetml/2009/9/ac" r="89" x14ac:dyDescent="0.45">
      <c r="A89">
        <v>0.41</v>
      </c>
      <c r="B89">
        <f t="shared" si="25"/>
        <v>0.15762992459561453</v>
      </c>
      <c r="C89" t="b">
        <f t="shared" si="38"/>
        <v>1</v>
      </c>
      <c r="D89" t="b">
        <f t="shared" si="26"/>
        <v>0</v>
      </c>
      <c r="E89" t="b">
        <f t="shared" si="34"/>
        <v>0</v>
      </c>
      <c r="F89" t="b">
        <f t="shared" si="39"/>
        <v>0</v>
      </c>
      <c r="G89">
        <f t="shared" si="27"/>
        <v>0.23762992459561455</v>
      </c>
      <c r="H89">
        <f t="shared" si="28"/>
        <v>3.2934586382928663E-2</v>
      </c>
      <c r="I89" t="b">
        <f t="shared" si="40"/>
        <v>1</v>
      </c>
      <c r="J89">
        <f t="shared" si="29"/>
        <v>0.41</v>
      </c>
      <c r="K89">
        <f t="shared" si="41"/>
        <v>3.2934586382928663E-2</v>
      </c>
      <c r="L89">
        <f t="shared" si="30"/>
        <v>0.13735996394084224</v>
      </c>
      <c r="M89">
        <f t="shared" si="31"/>
        <v>0.18586917276585735</v>
      </c>
      <c r="N89">
        <f t="shared" si="32"/>
        <v>0.17627433402192705</v>
      </c>
      <c r="O89">
        <f t="shared" si="33"/>
        <v>0.15704544416664781</v>
      </c>
      <c r="P89">
        <f t="shared" si="46"/>
        <v>0.08</v>
      </c>
      <c r="Q89">
        <f t="shared" si="42"/>
        <v>0.08</v>
      </c>
      <c r="R89">
        <f t="shared" si="35"/>
        <v>0.08</v>
      </c>
      <c r="S89">
        <f t="shared" si="36"/>
        <v>0.06</v>
      </c>
      <c r="T89">
        <f t="shared" si="37"/>
        <v>0.1</v>
      </c>
      <c r="U89">
        <f t="shared" si="43"/>
        <v>0.08</v>
      </c>
      <c r="V89">
        <f t="shared" si="47"/>
        <v>0.17627433402192705</v>
      </c>
      <c r="W89">
        <f t="shared" si="44"/>
        <v>0.13670059147392563</v>
      </c>
      <c r="X89">
        <f t="shared" si="45"/>
        <v>0.24270750285906489</v>
      </c>
      <c r="Y89" t="b">
        <f t="shared" si="48"/>
        <v>0</v>
      </c>
    </row>
    <row xmlns:x14ac="http://schemas.microsoft.com/office/spreadsheetml/2009/9/ac" r="90" x14ac:dyDescent="0.45">
      <c r="A90">
        <v>0.41499999999999998</v>
      </c>
      <c r="B90">
        <f t="shared" si="25"/>
        <v>0.15656052326354353</v>
      </c>
      <c r="C90" t="b">
        <f t="shared" si="38"/>
        <v>1</v>
      </c>
      <c r="D90" t="b">
        <f t="shared" si="26"/>
        <v>0</v>
      </c>
      <c r="E90" t="b">
        <f t="shared" si="34"/>
        <v>0</v>
      </c>
      <c r="F90" t="b">
        <f t="shared" si="39"/>
        <v>0</v>
      </c>
      <c r="G90">
        <f t="shared" si="27"/>
        <v>0.23656052326354354</v>
      </c>
      <c r="H90">
        <f t="shared" si="28"/>
        <v>3.2523278178285972E-2</v>
      </c>
      <c r="I90" t="b">
        <f t="shared" si="40"/>
        <v>1</v>
      </c>
      <c r="J90">
        <f t="shared" si="29"/>
        <v>0.41499999999999998</v>
      </c>
      <c r="K90">
        <f t="shared" si="41"/>
        <v>3.2523278178285972E-2</v>
      </c>
      <c r="L90">
        <f t="shared" si="30"/>
        <v>0.13752275679983889</v>
      </c>
      <c r="M90">
        <f t="shared" si="31"/>
        <v>0.18504655635657194</v>
      </c>
      <c r="N90">
        <f t="shared" si="32"/>
        <v>0.17471076925998738</v>
      </c>
      <c r="O90">
        <f t="shared" si="33"/>
        <v>0.15678514624952106</v>
      </c>
      <c r="P90">
        <f t="shared" si="46"/>
        <v>0.08</v>
      </c>
      <c r="Q90">
        <f t="shared" si="42"/>
        <v>0.08</v>
      </c>
      <c r="R90">
        <f t="shared" si="35"/>
        <v>0.08</v>
      </c>
      <c r="S90">
        <f t="shared" si="36"/>
        <v>0.06</v>
      </c>
      <c r="T90">
        <f t="shared" si="37"/>
        <v>0.1</v>
      </c>
      <c r="U90">
        <f t="shared" si="43"/>
        <v>0.08</v>
      </c>
      <c r="V90">
        <f t="shared" si="47"/>
        <v>0.17471076925998738</v>
      </c>
      <c r="W90">
        <f t="shared" si="44"/>
        <v>0.13686667296682081</v>
      </c>
      <c r="X90">
        <f t="shared" si="45"/>
        <v>0.241322278888427</v>
      </c>
      <c r="Y90" t="b">
        <f t="shared" si="48"/>
        <v>0</v>
      </c>
    </row>
    <row xmlns:x14ac="http://schemas.microsoft.com/office/spreadsheetml/2009/9/ac" r="91" x14ac:dyDescent="0.45">
      <c r="A91">
        <v>0.42</v>
      </c>
      <c r="B91">
        <f t="shared" si="25"/>
        <v>0.15557408149465407</v>
      </c>
      <c r="C91" t="b">
        <f t="shared" si="38"/>
        <v>1</v>
      </c>
      <c r="D91" t="b">
        <f t="shared" si="26"/>
        <v>0</v>
      </c>
      <c r="E91" t="b">
        <f t="shared" si="34"/>
        <v>0</v>
      </c>
      <c r="F91" t="b">
        <f t="shared" si="39"/>
        <v>0</v>
      </c>
      <c r="G91">
        <f t="shared" si="27"/>
        <v>0.23557408149465409</v>
      </c>
      <c r="H91">
        <f t="shared" si="28"/>
        <v>3.2143877497943868E-2</v>
      </c>
      <c r="I91" t="b">
        <f t="shared" si="40"/>
        <v>1</v>
      </c>
      <c r="J91">
        <f t="shared" si="29"/>
        <v>0.42</v>
      </c>
      <c r="K91">
        <f t="shared" si="41"/>
        <v>3.2143877497943868E-2</v>
      </c>
      <c r="L91">
        <f t="shared" si="30"/>
        <v>0.13768473772606402</v>
      </c>
      <c r="M91">
        <f t="shared" si="31"/>
        <v>0.18428775499588773</v>
      </c>
      <c r="N91">
        <f t="shared" si="32"/>
        <v>0.17325576608884324</v>
      </c>
      <c r="O91">
        <f t="shared" si="33"/>
        <v>0.15654827006460226</v>
      </c>
      <c r="P91">
        <f t="shared" si="46"/>
        <v>0.08</v>
      </c>
      <c r="Q91">
        <f t="shared" si="42"/>
        <v>0.08</v>
      </c>
      <c r="R91">
        <f t="shared" si="35"/>
        <v>0.08</v>
      </c>
      <c r="S91">
        <f t="shared" si="36"/>
        <v>0.06</v>
      </c>
      <c r="T91">
        <f t="shared" si="37"/>
        <v>0.1</v>
      </c>
      <c r="U91">
        <f t="shared" si="43"/>
        <v>0.08</v>
      </c>
      <c r="V91">
        <f t="shared" si="47"/>
        <v>0.17325576608884324</v>
      </c>
      <c r="W91">
        <f t="shared" si="44"/>
        <v>0.13703192612481446</v>
      </c>
      <c r="X91">
        <f t="shared" si="45"/>
        <v>0.24001263872954087</v>
      </c>
      <c r="Y91" t="b">
        <f t="shared" si="48"/>
        <v>0</v>
      </c>
    </row>
    <row xmlns:x14ac="http://schemas.microsoft.com/office/spreadsheetml/2009/9/ac" r="92" x14ac:dyDescent="0.45">
      <c r="A92">
        <v>0.42499999999999999</v>
      </c>
      <c r="B92">
        <f t="shared" si="25"/>
        <v>0.15467127210189083</v>
      </c>
      <c r="C92" t="b">
        <f t="shared" si="38"/>
        <v>1</v>
      </c>
      <c r="D92" t="b">
        <f t="shared" si="26"/>
        <v>0</v>
      </c>
      <c r="E92" t="b">
        <f t="shared" si="34"/>
        <v>0</v>
      </c>
      <c r="F92" t="b">
        <f t="shared" si="39"/>
        <v>0</v>
      </c>
      <c r="G92">
        <f t="shared" si="27"/>
        <v>0.23467127210189082</v>
      </c>
      <c r="H92">
        <f t="shared" si="28"/>
        <v>3.1796643116111856E-2</v>
      </c>
      <c r="I92" t="b">
        <f t="shared" si="40"/>
        <v>1</v>
      </c>
      <c r="J92">
        <f t="shared" si="29"/>
        <v>0.42499999999999999</v>
      </c>
      <c r="K92">
        <f t="shared" si="41"/>
        <v>3.1796643116111856E-2</v>
      </c>
      <c r="L92">
        <f t="shared" si="30"/>
        <v>0.1378459107690492</v>
      </c>
      <c r="M92">
        <f t="shared" si="31"/>
        <v>0.18359328623222371</v>
      </c>
      <c r="N92">
        <f t="shared" si="32"/>
        <v>0.17191240028020355</v>
      </c>
      <c r="O92">
        <f t="shared" si="33"/>
        <v>0.15633446261152129</v>
      </c>
      <c r="P92">
        <f t="shared" si="46"/>
        <v>0.08</v>
      </c>
      <c r="Q92">
        <f t="shared" si="42"/>
        <v>0.08</v>
      </c>
      <c r="R92">
        <f t="shared" si="35"/>
        <v>0.08</v>
      </c>
      <c r="S92">
        <f t="shared" si="36"/>
        <v>0.06</v>
      </c>
      <c r="T92">
        <f t="shared" si="37"/>
        <v>0.1</v>
      </c>
      <c r="U92">
        <f t="shared" si="43"/>
        <v>0.08</v>
      </c>
      <c r="V92">
        <f t="shared" si="47"/>
        <v>0.17191240028020355</v>
      </c>
      <c r="W92">
        <f t="shared" si="44"/>
        <v>0.1371963550792441</v>
      </c>
      <c r="X92">
        <f t="shared" si="45"/>
        <v>0.23878116098507374</v>
      </c>
      <c r="Y92" t="b">
        <f t="shared" si="48"/>
        <v>0</v>
      </c>
    </row>
    <row xmlns:x14ac="http://schemas.microsoft.com/office/spreadsheetml/2009/9/ac" r="93" x14ac:dyDescent="0.45">
      <c r="A93">
        <v>0.43</v>
      </c>
      <c r="B93">
        <f t="shared" si="25"/>
        <v>0.15385233501616385</v>
      </c>
      <c r="C93" t="b">
        <f t="shared" si="38"/>
        <v>1</v>
      </c>
      <c r="D93" t="b">
        <f t="shared" si="26"/>
        <v>0</v>
      </c>
      <c r="E93" t="b">
        <f t="shared" si="34"/>
        <v>0</v>
      </c>
      <c r="F93" t="b">
        <f t="shared" si="39"/>
        <v>0</v>
      </c>
      <c r="G93">
        <f t="shared" si="27"/>
        <v>0.23385233501616387</v>
      </c>
      <c r="H93">
        <f t="shared" si="28"/>
        <v>3.1481667313909181E-2</v>
      </c>
      <c r="I93" t="b">
        <f t="shared" si="40"/>
        <v>1</v>
      </c>
      <c r="J93">
        <f t="shared" si="29"/>
        <v>0.43</v>
      </c>
      <c r="K93">
        <f t="shared" si="41"/>
        <v>3.1481667313909181E-2</v>
      </c>
      <c r="L93">
        <f t="shared" si="30"/>
        <v>0.13800627995812892</v>
      </c>
      <c r="M93">
        <f t="shared" si="31"/>
        <v>0.18296333462781836</v>
      </c>
      <c r="N93">
        <f t="shared" si="32"/>
        <v>0.17068315241971255</v>
      </c>
      <c r="O93">
        <f t="shared" si="33"/>
        <v>0.15614327133269576</v>
      </c>
      <c r="P93">
        <f t="shared" si="46"/>
        <v>0.08</v>
      </c>
      <c r="Q93">
        <f t="shared" si="42"/>
        <v>0.08</v>
      </c>
      <c r="R93">
        <f t="shared" si="35"/>
        <v>0.08</v>
      </c>
      <c r="S93">
        <f t="shared" si="36"/>
        <v>0.06</v>
      </c>
      <c r="T93">
        <f t="shared" si="37"/>
        <v>0.1</v>
      </c>
      <c r="U93">
        <f t="shared" si="43"/>
        <v>0.08</v>
      </c>
      <c r="V93">
        <f t="shared" si="47"/>
        <v>0.17068315241971255</v>
      </c>
      <c r="W93">
        <f t="shared" si="44"/>
        <v>0.13735996394084224</v>
      </c>
      <c r="X93">
        <f t="shared" si="45"/>
        <v>0.23762992459561455</v>
      </c>
      <c r="Y93" t="b">
        <f t="shared" si="48"/>
        <v>0</v>
      </c>
    </row>
    <row xmlns:x14ac="http://schemas.microsoft.com/office/spreadsheetml/2009/9/ac" r="94" x14ac:dyDescent="0.45">
      <c r="A94">
        <v>0.435</v>
      </c>
      <c r="B94">
        <f t="shared" si="25"/>
        <v>0.15311709725050762</v>
      </c>
      <c r="C94" t="b">
        <f t="shared" si="38"/>
        <v>1</v>
      </c>
      <c r="D94" t="b">
        <f t="shared" si="26"/>
        <v>0</v>
      </c>
      <c r="E94" t="b">
        <f t="shared" si="34"/>
        <v>0</v>
      </c>
      <c r="F94" t="b">
        <f t="shared" si="39"/>
        <v>0</v>
      </c>
      <c r="G94">
        <f t="shared" si="27"/>
        <v>0.23311709725050761</v>
      </c>
      <c r="H94">
        <f t="shared" si="28"/>
        <v>3.1198883557887549E-2</v>
      </c>
      <c r="I94" t="b">
        <f t="shared" si="40"/>
        <v>1</v>
      </c>
      <c r="J94">
        <f t="shared" si="29"/>
        <v>0.435</v>
      </c>
      <c r="K94">
        <f t="shared" si="41"/>
        <v>3.1198883557887549E-2</v>
      </c>
      <c r="L94">
        <f t="shared" si="30"/>
        <v>0.13816584930254125</v>
      </c>
      <c r="M94">
        <f t="shared" si="31"/>
        <v>0.1823977671157751</v>
      </c>
      <c r="N94">
        <f t="shared" si="32"/>
        <v>0.16956991557871845</v>
      </c>
      <c r="O94">
        <f t="shared" si="33"/>
        <v>0.15597415346365393</v>
      </c>
      <c r="P94">
        <f t="shared" si="46"/>
        <v>0.08</v>
      </c>
      <c r="Q94">
        <f t="shared" si="42"/>
        <v>0.08</v>
      </c>
      <c r="R94">
        <f t="shared" si="35"/>
        <v>0.08</v>
      </c>
      <c r="S94">
        <f t="shared" si="36"/>
        <v>0.06</v>
      </c>
      <c r="T94">
        <f t="shared" si="37"/>
        <v>0.1</v>
      </c>
      <c r="U94">
        <f t="shared" si="43"/>
        <v>0.08</v>
      </c>
      <c r="V94">
        <f t="shared" si="47"/>
        <v>0.16956991557871845</v>
      </c>
      <c r="W94">
        <f t="shared" si="44"/>
        <v>0.13752275679983889</v>
      </c>
      <c r="X94">
        <f t="shared" si="45"/>
        <v>0.23656052326354354</v>
      </c>
      <c r="Y94" t="b">
        <f t="shared" si="48"/>
        <v>0</v>
      </c>
    </row>
    <row xmlns:x14ac="http://schemas.microsoft.com/office/spreadsheetml/2009/9/ac" r="95" x14ac:dyDescent="0.45">
      <c r="A95">
        <v>0.44</v>
      </c>
      <c r="B95">
        <f t="shared" si="25"/>
        <v>0.15246499386583348</v>
      </c>
      <c r="C95" t="b">
        <f t="shared" si="38"/>
        <v>1</v>
      </c>
      <c r="D95" t="b">
        <f t="shared" si="26"/>
        <v>0</v>
      </c>
      <c r="E95" t="b">
        <f t="shared" si="34"/>
        <v>0</v>
      </c>
      <c r="F95" t="b">
        <f t="shared" si="39"/>
        <v>0</v>
      </c>
      <c r="G95">
        <f t="shared" si="27"/>
        <v>0.23246499386583347</v>
      </c>
      <c r="H95">
        <f t="shared" si="28"/>
        <v>3.0948074563782107E-2</v>
      </c>
      <c r="I95" t="b">
        <f t="shared" si="40"/>
        <v>1</v>
      </c>
      <c r="J95">
        <f t="shared" si="29"/>
        <v>0.44</v>
      </c>
      <c r="K95">
        <f t="shared" si="41"/>
        <v>3.0948074563782107E-2</v>
      </c>
      <c r="L95">
        <f t="shared" si="30"/>
        <v>0.1383246227915281</v>
      </c>
      <c r="M95">
        <f t="shared" si="31"/>
        <v>0.18189614912756422</v>
      </c>
      <c r="N95">
        <f t="shared" si="32"/>
        <v>0.16857400536693973</v>
      </c>
      <c r="O95">
        <f t="shared" si="33"/>
        <v>0.15582648521899456</v>
      </c>
      <c r="P95">
        <f t="shared" si="46"/>
        <v>0.08</v>
      </c>
      <c r="Q95">
        <f t="shared" si="42"/>
        <v>0.08</v>
      </c>
      <c r="R95">
        <f t="shared" si="35"/>
        <v>0.08</v>
      </c>
      <c r="S95">
        <f t="shared" si="36"/>
        <v>0.06</v>
      </c>
      <c r="T95">
        <f t="shared" si="37"/>
        <v>0.1</v>
      </c>
      <c r="U95">
        <f t="shared" si="43"/>
        <v>0.08</v>
      </c>
      <c r="V95">
        <f t="shared" si="47"/>
        <v>0.16857400536693973</v>
      </c>
      <c r="W95">
        <f t="shared" si="44"/>
        <v>0.13768473772606402</v>
      </c>
      <c r="X95">
        <f t="shared" si="45"/>
        <v>0.23557408149465409</v>
      </c>
      <c r="Y95" t="b">
        <f t="shared" si="48"/>
        <v>0</v>
      </c>
    </row>
    <row xmlns:x14ac="http://schemas.microsoft.com/office/spreadsheetml/2009/9/ac" r="96" x14ac:dyDescent="0.45">
      <c r="A96">
        <v>0.44500000000000001</v>
      </c>
      <c r="B96">
        <f t="shared" si="25"/>
        <v>0.15189508978913491</v>
      </c>
      <c r="C96" t="b">
        <f t="shared" si="38"/>
        <v>1</v>
      </c>
      <c r="D96" t="b">
        <f t="shared" si="26"/>
        <v>0</v>
      </c>
      <c r="E96" t="b">
        <f t="shared" si="34"/>
        <v>0</v>
      </c>
      <c r="F96" t="b">
        <f t="shared" si="39"/>
        <v>0</v>
      </c>
      <c r="G96">
        <f t="shared" si="27"/>
        <v>0.23189508978913492</v>
      </c>
      <c r="H96">
        <f t="shared" si="28"/>
        <v>3.0728880688128814E-2</v>
      </c>
      <c r="I96" t="b">
        <f t="shared" si="40"/>
        <v>1</v>
      </c>
      <c r="J96">
        <f t="shared" si="29"/>
        <v>0.44500000000000001</v>
      </c>
      <c r="K96">
        <f t="shared" si="41"/>
        <v>3.0728880688128814E-2</v>
      </c>
      <c r="L96">
        <f t="shared" si="30"/>
        <v>0.13848260439443499</v>
      </c>
      <c r="M96">
        <f t="shared" si="31"/>
        <v>0.18145776137625763</v>
      </c>
      <c r="N96">
        <f t="shared" si="32"/>
        <v>0.16769617224617336</v>
      </c>
      <c r="O96">
        <f t="shared" si="33"/>
        <v>0.15569957077599411</v>
      </c>
      <c r="P96">
        <f t="shared" si="46"/>
        <v>0.08</v>
      </c>
      <c r="Q96">
        <f t="shared" si="42"/>
        <v>0.08</v>
      </c>
      <c r="R96">
        <f t="shared" si="35"/>
        <v>0.08</v>
      </c>
      <c r="S96">
        <f t="shared" si="36"/>
        <v>0.06</v>
      </c>
      <c r="T96">
        <f t="shared" si="37"/>
        <v>0.1</v>
      </c>
      <c r="U96">
        <f t="shared" si="43"/>
        <v>0.08</v>
      </c>
      <c r="V96">
        <f t="shared" si="47"/>
        <v>0.16769617224617336</v>
      </c>
      <c r="W96">
        <f t="shared" si="44"/>
        <v>0.1378459107690492</v>
      </c>
      <c r="X96">
        <f t="shared" si="45"/>
        <v>0.23467127210189082</v>
      </c>
      <c r="Y96" t="b">
        <f t="shared" si="48"/>
        <v>0</v>
      </c>
    </row>
    <row xmlns:x14ac="http://schemas.microsoft.com/office/spreadsheetml/2009/9/ac" r="97" x14ac:dyDescent="0.45">
      <c r="A97">
        <v>0.45</v>
      </c>
      <c r="B97">
        <f t="shared" si="25"/>
        <v>0.15140610233819987</v>
      </c>
      <c r="C97" t="b">
        <f t="shared" si="38"/>
        <v>1</v>
      </c>
      <c r="D97" t="b">
        <f t="shared" si="26"/>
        <v>0</v>
      </c>
      <c r="E97" t="b">
        <f t="shared" si="34"/>
        <v>0</v>
      </c>
      <c r="F97" t="b">
        <f t="shared" si="39"/>
        <v>0</v>
      </c>
      <c r="G97">
        <f t="shared" si="27"/>
        <v>0.23140610233819986</v>
      </c>
      <c r="H97">
        <f t="shared" si="28"/>
        <v>3.0540808591615332E-2</v>
      </c>
      <c r="I97" t="b">
        <f t="shared" si="40"/>
        <v>1</v>
      </c>
      <c r="J97">
        <f t="shared" si="29"/>
        <v>0.45</v>
      </c>
      <c r="K97">
        <f t="shared" si="41"/>
        <v>3.0540808591615332E-2</v>
      </c>
      <c r="L97">
        <f t="shared" si="30"/>
        <v>0.13863979806081023</v>
      </c>
      <c r="M97">
        <f t="shared" si="31"/>
        <v>0.18108161718323068</v>
      </c>
      <c r="N97">
        <f t="shared" si="32"/>
        <v>0.16693661597887299</v>
      </c>
      <c r="O97">
        <f t="shared" si="33"/>
        <v>0.155592651021598</v>
      </c>
      <c r="P97">
        <f t="shared" si="46"/>
        <v>0.08</v>
      </c>
      <c r="Q97">
        <f t="shared" si="42"/>
        <v>0.08</v>
      </c>
      <c r="R97">
        <f t="shared" si="35"/>
        <v>0.08</v>
      </c>
      <c r="S97">
        <f t="shared" si="36"/>
        <v>0.06</v>
      </c>
      <c r="T97">
        <f t="shared" si="37"/>
        <v>0.1</v>
      </c>
      <c r="U97">
        <f t="shared" si="43"/>
        <v>0.08</v>
      </c>
      <c r="V97">
        <f t="shared" si="47"/>
        <v>0.16693661597887299</v>
      </c>
      <c r="W97">
        <f t="shared" si="44"/>
        <v>0.13800627995812892</v>
      </c>
      <c r="X97">
        <f t="shared" si="45"/>
        <v>0.23385233501616387</v>
      </c>
      <c r="Y97" t="b">
        <f t="shared" si="48"/>
        <v>0</v>
      </c>
    </row>
    <row xmlns:x14ac="http://schemas.microsoft.com/office/spreadsheetml/2009/9/ac" r="98" x14ac:dyDescent="0.45">
      <c r="A98">
        <v>0.45500000000000002</v>
      </c>
      <c r="B98">
        <f t="shared" si="25"/>
        <v>0.15099642431062271</v>
      </c>
      <c r="C98" t="b">
        <f t="shared" si="38"/>
        <v>1</v>
      </c>
      <c r="D98" t="b">
        <f t="shared" si="26"/>
        <v>0</v>
      </c>
      <c r="E98" t="b">
        <f t="shared" si="34"/>
        <v>0</v>
      </c>
      <c r="F98" t="b">
        <f t="shared" si="39"/>
        <v>0</v>
      </c>
      <c r="G98">
        <f t="shared" si="27"/>
        <v>0.23099642431062273</v>
      </c>
      <c r="H98">
        <f t="shared" si="28"/>
        <v>3.0383240119470276E-2</v>
      </c>
      <c r="I98" t="b">
        <f t="shared" si="40"/>
        <v>1</v>
      </c>
      <c r="J98">
        <f t="shared" si="29"/>
        <v>0.45500000000000002</v>
      </c>
      <c r="K98">
        <f t="shared" si="41"/>
        <v>3.0383240119470276E-2</v>
      </c>
      <c r="L98">
        <f t="shared" si="30"/>
        <v>0.13879620772050361</v>
      </c>
      <c r="M98">
        <f t="shared" si="31"/>
        <v>0.18076648023894054</v>
      </c>
      <c r="N98">
        <f t="shared" si="32"/>
        <v>0.16629500207986658</v>
      </c>
      <c r="O98">
        <f t="shared" si="33"/>
        <v>0.15550491203218603</v>
      </c>
      <c r="P98">
        <f t="shared" si="46"/>
        <v>0.08</v>
      </c>
      <c r="Q98">
        <f t="shared" si="42"/>
        <v>0.08</v>
      </c>
      <c r="R98">
        <f t="shared" si="35"/>
        <v>0.08</v>
      </c>
      <c r="S98">
        <f t="shared" si="36"/>
        <v>0.06</v>
      </c>
      <c r="T98">
        <f t="shared" si="37"/>
        <v>0.1</v>
      </c>
      <c r="U98">
        <f t="shared" si="43"/>
        <v>0.08</v>
      </c>
      <c r="V98">
        <f t="shared" si="47"/>
        <v>0.16629500207986658</v>
      </c>
      <c r="W98">
        <f t="shared" si="44"/>
        <v>0.13816584930254125</v>
      </c>
      <c r="X98">
        <f t="shared" si="45"/>
        <v>0.23311709725050761</v>
      </c>
      <c r="Y98" t="b">
        <f t="shared" si="48"/>
        <v>0</v>
      </c>
    </row>
    <row xmlns:x14ac="http://schemas.microsoft.com/office/spreadsheetml/2009/9/ac" r="99" x14ac:dyDescent="0.45">
      <c r="A99">
        <v>0.46</v>
      </c>
      <c r="B99">
        <f t="shared" si="25"/>
        <v>0.1506641474991452</v>
      </c>
      <c r="C99" t="b">
        <f t="shared" si="38"/>
        <v>1</v>
      </c>
      <c r="D99" t="b">
        <f t="shared" si="26"/>
        <v>0</v>
      </c>
      <c r="E99" t="b">
        <f t="shared" si="34"/>
        <v>0</v>
      </c>
      <c r="F99" t="b">
        <f t="shared" si="39"/>
        <v>0</v>
      </c>
      <c r="G99">
        <f t="shared" si="27"/>
        <v>0.23066414749914521</v>
      </c>
      <c r="H99">
        <f t="shared" si="28"/>
        <v>3.0255441345825081E-2</v>
      </c>
      <c r="I99" t="b">
        <f t="shared" si="40"/>
        <v>1</v>
      </c>
      <c r="J99">
        <f t="shared" si="29"/>
        <v>0.46</v>
      </c>
      <c r="K99">
        <f t="shared" si="41"/>
        <v>3.0255441345825081E-2</v>
      </c>
      <c r="L99">
        <f t="shared" si="30"/>
        <v>0.13895183728376481</v>
      </c>
      <c r="M99">
        <f t="shared" si="31"/>
        <v>0.18051088269165017</v>
      </c>
      <c r="N99">
        <f t="shared" si="32"/>
        <v>0.16577048013469337</v>
      </c>
      <c r="O99">
        <f t="shared" si="33"/>
        <v>0.1554354932590658</v>
      </c>
      <c r="P99">
        <f t="shared" si="46"/>
        <v>0.08</v>
      </c>
      <c r="Q99">
        <f t="shared" si="42"/>
        <v>0.08</v>
      </c>
      <c r="R99">
        <f t="shared" si="35"/>
        <v>0.08</v>
      </c>
      <c r="S99">
        <f t="shared" si="36"/>
        <v>0.06</v>
      </c>
      <c r="T99">
        <f t="shared" si="37"/>
        <v>0.1</v>
      </c>
      <c r="U99">
        <f t="shared" si="43"/>
        <v>0.08</v>
      </c>
      <c r="V99">
        <f t="shared" si="47"/>
        <v>0.16577048013469337</v>
      </c>
      <c r="W99">
        <f t="shared" si="44"/>
        <v>0.1383246227915281</v>
      </c>
      <c r="X99">
        <f t="shared" si="45"/>
        <v>0.23246499386583347</v>
      </c>
      <c r="Y99" t="b">
        <f t="shared" si="48"/>
        <v>0</v>
      </c>
    </row>
    <row xmlns:x14ac="http://schemas.microsoft.com/office/spreadsheetml/2009/9/ac" r="100" x14ac:dyDescent="0.45">
      <c r="A100">
        <v>0.46500000000000002</v>
      </c>
      <c r="B100">
        <f t="shared" si="25"/>
        <v>0.15040708650004436</v>
      </c>
      <c r="C100" t="b">
        <f t="shared" si="38"/>
        <v>1</v>
      </c>
      <c r="D100" t="b">
        <f t="shared" si="26"/>
        <v>0</v>
      </c>
      <c r="E100" t="b">
        <f t="shared" si="34"/>
        <v>0</v>
      </c>
      <c r="F100" t="b">
        <f t="shared" si="39"/>
        <v>0</v>
      </c>
      <c r="G100">
        <f t="shared" si="27"/>
        <v>0.23040708650004438</v>
      </c>
      <c r="H100">
        <f t="shared" si="28"/>
        <v>3.0156571730786296E-2</v>
      </c>
      <c r="I100" t="b">
        <f t="shared" si="40"/>
        <v>1</v>
      </c>
      <c r="J100">
        <f t="shared" si="29"/>
        <v>0.46500000000000002</v>
      </c>
      <c r="K100">
        <f t="shared" si="41"/>
        <v>3.0156571730786296E-2</v>
      </c>
      <c r="L100">
        <f t="shared" si="30"/>
        <v>0.13910669064134101</v>
      </c>
      <c r="M100">
        <f t="shared" si="31"/>
        <v>0.18031314346157259</v>
      </c>
      <c r="N100">
        <f t="shared" si="32"/>
        <v>0.1653617038440045</v>
      </c>
      <c r="O100">
        <f t="shared" si="33"/>
        <v>0.15538349539610957</v>
      </c>
      <c r="P100">
        <f t="shared" si="46"/>
        <v>0.08</v>
      </c>
      <c r="Q100">
        <f t="shared" si="42"/>
        <v>0.08</v>
      </c>
      <c r="R100">
        <f t="shared" si="35"/>
        <v>0.08</v>
      </c>
      <c r="S100">
        <f t="shared" si="36"/>
        <v>0.06</v>
      </c>
      <c r="T100">
        <f t="shared" si="37"/>
        <v>0.1</v>
      </c>
      <c r="U100">
        <f t="shared" si="43"/>
        <v>0.08</v>
      </c>
      <c r="V100">
        <f t="shared" si="47"/>
        <v>0.1653617038440045</v>
      </c>
      <c r="W100">
        <f t="shared" si="44"/>
        <v>0.13848260439443499</v>
      </c>
      <c r="X100">
        <f t="shared" si="45"/>
        <v>0.23189508978913492</v>
      </c>
      <c r="Y100" t="b">
        <f t="shared" si="48"/>
        <v>0</v>
      </c>
    </row>
    <row xmlns:x14ac="http://schemas.microsoft.com/office/spreadsheetml/2009/9/ac" r="101" x14ac:dyDescent="0.45">
      <c r="A101">
        <v>0.47</v>
      </c>
      <c r="B101">
        <f t="shared" si="25"/>
        <v>0.15022280268638441</v>
      </c>
      <c r="C101" t="b">
        <f t="shared" si="38"/>
        <v>1</v>
      </c>
      <c r="D101" t="b">
        <f t="shared" si="26"/>
        <v>0</v>
      </c>
      <c r="E101" t="b">
        <f t="shared" si="34"/>
        <v>0</v>
      </c>
      <c r="F101" t="b">
        <f t="shared" si="39"/>
        <v>0</v>
      </c>
      <c r="G101">
        <f t="shared" si="27"/>
        <v>0.2302228026863844</v>
      </c>
      <c r="H101">
        <f t="shared" si="28"/>
        <v>3.0085693340917079E-2</v>
      </c>
      <c r="I101" t="b">
        <f t="shared" si="40"/>
        <v>1</v>
      </c>
      <c r="J101">
        <f t="shared" si="29"/>
        <v>0.47</v>
      </c>
      <c r="K101">
        <f t="shared" si="41"/>
        <v>3.0085693340917079E-2</v>
      </c>
      <c r="L101">
        <f t="shared" si="30"/>
        <v>0.13926077166457423</v>
      </c>
      <c r="M101">
        <f t="shared" si="31"/>
        <v>0.18017138668183416</v>
      </c>
      <c r="N101">
        <f t="shared" si="32"/>
        <v>0.16506685265019516</v>
      </c>
      <c r="O101">
        <f t="shared" si="33"/>
        <v>0.15534798790929813</v>
      </c>
      <c r="P101">
        <f t="shared" si="46"/>
        <v>0.08</v>
      </c>
      <c r="Q101">
        <f t="shared" si="42"/>
        <v>0.08</v>
      </c>
      <c r="R101">
        <f t="shared" si="35"/>
        <v>0.08</v>
      </c>
      <c r="S101">
        <f t="shared" si="36"/>
        <v>0.06</v>
      </c>
      <c r="T101">
        <f t="shared" si="37"/>
        <v>0.1</v>
      </c>
      <c r="U101">
        <f t="shared" si="43"/>
        <v>0.08</v>
      </c>
      <c r="V101">
        <f t="shared" si="47"/>
        <v>0.16506685265019516</v>
      </c>
      <c r="W101">
        <f t="shared" si="44"/>
        <v>0.13863979806081023</v>
      </c>
      <c r="X101">
        <f t="shared" si="45"/>
        <v>0.23140610233819986</v>
      </c>
      <c r="Y101" t="b">
        <f t="shared" si="48"/>
        <v>0</v>
      </c>
    </row>
    <row xmlns:x14ac="http://schemas.microsoft.com/office/spreadsheetml/2009/9/ac" r="102" x14ac:dyDescent="0.45">
      <c r="A102">
        <v>0.47499999999999998</v>
      </c>
      <c r="B102">
        <f t="shared" si="25"/>
        <v>0.15010862822341203</v>
      </c>
      <c r="C102" t="b">
        <f t="shared" si="38"/>
        <v>1</v>
      </c>
      <c r="D102" t="b">
        <f t="shared" si="26"/>
        <v>0</v>
      </c>
      <c r="E102" t="b">
        <f t="shared" si="34"/>
        <v>0</v>
      </c>
      <c r="F102" t="b">
        <f t="shared" si="39"/>
        <v>0</v>
      </c>
      <c r="G102">
        <f t="shared" si="27"/>
        <v>0.23010862822341205</v>
      </c>
      <c r="H102">
        <f t="shared" si="28"/>
        <v>3.004178008592771E-2</v>
      </c>
      <c r="I102" t="b">
        <f t="shared" si="40"/>
        <v>1</v>
      </c>
      <c r="J102">
        <f t="shared" si="29"/>
        <v>0.47499999999999998</v>
      </c>
      <c r="K102">
        <f t="shared" si="41"/>
        <v>3.004178008592771E-2</v>
      </c>
      <c r="L102">
        <f t="shared" si="30"/>
        <v>0.13941408420549806</v>
      </c>
      <c r="M102">
        <f t="shared" si="31"/>
        <v>0.18008356017185542</v>
      </c>
      <c r="N102">
        <f t="shared" si="32"/>
        <v>0.16488365479990336</v>
      </c>
      <c r="O102">
        <f t="shared" si="33"/>
        <v>0.1553280162111596</v>
      </c>
      <c r="P102">
        <f t="shared" si="46"/>
        <v>0.08</v>
      </c>
      <c r="Q102">
        <f t="shared" si="42"/>
        <v>0.08</v>
      </c>
      <c r="R102">
        <f t="shared" si="35"/>
        <v>0.08</v>
      </c>
      <c r="S102">
        <f t="shared" si="36"/>
        <v>0.06</v>
      </c>
      <c r="T102">
        <f t="shared" si="37"/>
        <v>0.1</v>
      </c>
      <c r="U102">
        <f t="shared" si="43"/>
        <v>0.08</v>
      </c>
      <c r="V102">
        <f t="shared" si="47"/>
        <v>0.16488365479990336</v>
      </c>
      <c r="W102">
        <f t="shared" si="44"/>
        <v>0.13879620772050361</v>
      </c>
      <c r="X102">
        <f t="shared" si="45"/>
        <v>0.23099642431062273</v>
      </c>
      <c r="Y102" t="b">
        <f t="shared" si="48"/>
        <v>0</v>
      </c>
    </row>
    <row xmlns:x14ac="http://schemas.microsoft.com/office/spreadsheetml/2009/9/ac" r="103" x14ac:dyDescent="0.45">
      <c r="A103">
        <v>0.48</v>
      </c>
      <c r="B103">
        <f t="shared" si="25"/>
        <v>0.15006169000915881</v>
      </c>
      <c r="C103" t="b">
        <f t="shared" si="38"/>
        <v>1</v>
      </c>
      <c r="D103" t="b">
        <f t="shared" si="26"/>
        <v>0</v>
      </c>
      <c r="E103" t="b">
        <f t="shared" si="34"/>
        <v>0</v>
      </c>
      <c r="F103" t="b">
        <f t="shared" si="39"/>
        <v>0</v>
      </c>
      <c r="G103">
        <f t="shared" si="27"/>
        <v>0.23006169000915883</v>
      </c>
      <c r="H103">
        <f t="shared" si="28"/>
        <v>3.0023726926599544E-2</v>
      </c>
      <c r="I103" t="b">
        <f t="shared" si="40"/>
        <v>1</v>
      </c>
      <c r="J103">
        <f t="shared" si="29"/>
        <v>0.48</v>
      </c>
      <c r="K103">
        <f t="shared" si="41"/>
        <v>3.0023726926599544E-2</v>
      </c>
      <c r="L103">
        <f t="shared" si="30"/>
        <v>0.13956663209693401</v>
      </c>
      <c r="M103">
        <f t="shared" si="31"/>
        <v>0.18004745385319909</v>
      </c>
      <c r="N103">
        <f t="shared" si="32"/>
        <v>0.16480941169420923</v>
      </c>
      <c r="O103">
        <f t="shared" si="33"/>
        <v>0.15532260846618268</v>
      </c>
      <c r="P103">
        <f t="shared" si="46"/>
        <v>0.08</v>
      </c>
      <c r="Q103">
        <f t="shared" si="42"/>
        <v>0.08</v>
      </c>
      <c r="R103">
        <f t="shared" si="35"/>
        <v>0.08</v>
      </c>
      <c r="S103">
        <f t="shared" si="36"/>
        <v>0.06</v>
      </c>
      <c r="T103">
        <f t="shared" si="37"/>
        <v>0.1</v>
      </c>
      <c r="U103">
        <f t="shared" si="43"/>
        <v>0.08</v>
      </c>
      <c r="V103">
        <f t="shared" si="47"/>
        <v>0.16480941169420923</v>
      </c>
      <c r="W103">
        <f t="shared" si="44"/>
        <v>0.13895183728376481</v>
      </c>
      <c r="X103">
        <f t="shared" si="45"/>
        <v>0.23066414749914521</v>
      </c>
      <c r="Y103" t="b">
        <f t="shared" si="48"/>
        <v>0</v>
      </c>
    </row>
    <row xmlns:x14ac="http://schemas.microsoft.com/office/spreadsheetml/2009/9/ac" r="104" x14ac:dyDescent="0.45">
      <c r="A104">
        <v>0.48499999999999999</v>
      </c>
      <c r="B104">
        <f t="shared" si="25"/>
        <v>0.15007893342937423</v>
      </c>
      <c r="C104" t="b">
        <f t="shared" si="38"/>
        <v>1</v>
      </c>
      <c r="D104" t="b">
        <f t="shared" si="26"/>
        <v>1</v>
      </c>
      <c r="E104">
        <f t="shared" si="34"/>
        <v>0.48499999999999999</v>
      </c>
      <c r="F104">
        <f t="shared" si="39"/>
        <v>0.15007893342937423</v>
      </c>
      <c r="G104">
        <f t="shared" si="27"/>
        <v>0.23007893342937424</v>
      </c>
      <c r="H104">
        <f t="shared" si="28"/>
        <v>3.0030359011297778E-2</v>
      </c>
      <c r="I104" t="b">
        <f t="shared" si="40"/>
        <v>1</v>
      </c>
      <c r="J104">
        <f t="shared" si="29"/>
        <v>0.48499999999999999</v>
      </c>
      <c r="K104">
        <f t="shared" si="41"/>
        <v>3.0030359011297778E-2</v>
      </c>
      <c r="L104">
        <f t="shared" si="30"/>
        <v>0.13971841915258731</v>
      </c>
      <c r="M104">
        <f t="shared" si="31"/>
        <v>0.18006071802259555</v>
      </c>
      <c r="N104">
        <f t="shared" si="32"/>
        <v>0.16484102337728868</v>
      </c>
      <c r="O104">
        <f t="shared" si="33"/>
        <v>0.15533078201623593</v>
      </c>
      <c r="P104">
        <f t="shared" si="46"/>
        <v>0.08</v>
      </c>
      <c r="Q104">
        <f t="shared" si="42"/>
        <v>0.08</v>
      </c>
      <c r="R104">
        <f t="shared" si="35"/>
        <v>0.08</v>
      </c>
      <c r="S104">
        <f t="shared" si="36"/>
        <v>0.06</v>
      </c>
      <c r="T104">
        <f t="shared" si="37"/>
        <v>0.1</v>
      </c>
      <c r="U104">
        <f t="shared" si="43"/>
        <v>0.08</v>
      </c>
      <c r="V104">
        <f t="shared" si="47"/>
        <v>0.16484102337728868</v>
      </c>
      <c r="W104">
        <f t="shared" si="44"/>
        <v>0.13910669064134101</v>
      </c>
      <c r="X104">
        <f t="shared" si="45"/>
        <v>0.23040708650004438</v>
      </c>
      <c r="Y104" t="b">
        <f t="shared" si="48"/>
        <v>0</v>
      </c>
    </row>
    <row xmlns:x14ac="http://schemas.microsoft.com/office/spreadsheetml/2009/9/ac" r="105" x14ac:dyDescent="0.45">
      <c r="A105">
        <v>0.49</v>
      </c>
      <c r="B105">
        <f t="shared" si="25"/>
        <v>0.15015714582220949</v>
      </c>
      <c r="C105" t="b">
        <f t="shared" si="38"/>
        <v>1</v>
      </c>
      <c r="D105" t="b">
        <f t="shared" si="26"/>
        <v>1</v>
      </c>
      <c r="E105">
        <f t="shared" si="34"/>
        <v>0.49</v>
      </c>
      <c r="F105">
        <f t="shared" si="39"/>
        <v>0.15015714582220949</v>
      </c>
      <c r="G105">
        <f t="shared" si="27"/>
        <v>0.22997878933110649</v>
      </c>
      <c r="H105">
        <f t="shared" si="28"/>
        <v>3.0060440700849806E-2</v>
      </c>
      <c r="I105" t="b">
        <f t="shared" si="40"/>
        <v>1</v>
      </c>
      <c r="J105">
        <f t="shared" si="29"/>
        <v>0.49</v>
      </c>
      <c r="K105">
        <f t="shared" si="41"/>
        <v>3.0060440700849806E-2</v>
      </c>
      <c r="L105">
        <f t="shared" si="30"/>
        <v>0.13986944916714225</v>
      </c>
      <c r="M105">
        <f t="shared" si="31"/>
        <v>0.18012088140169963</v>
      </c>
      <c r="N105">
        <f t="shared" si="32"/>
        <v>0.16497501501389245</v>
      </c>
      <c r="O105">
        <f t="shared" si="33"/>
        <v>0.15535154941783069</v>
      </c>
      <c r="P105">
        <f t="shared" si="46"/>
        <v>0.08</v>
      </c>
      <c r="Q105">
        <f t="shared" si="42"/>
        <v>0.08</v>
      </c>
      <c r="R105">
        <f t="shared" si="35"/>
        <v>0.08</v>
      </c>
      <c r="S105">
        <f t="shared" si="36"/>
        <v>0.06</v>
      </c>
      <c r="T105">
        <f t="shared" si="37"/>
        <v>0.1</v>
      </c>
      <c r="U105">
        <f t="shared" si="43"/>
        <v>0.08</v>
      </c>
      <c r="V105">
        <f t="shared" si="47"/>
        <v>0.16497501501389245</v>
      </c>
      <c r="W105">
        <f t="shared" si="44"/>
        <v>0.13926077166457423</v>
      </c>
      <c r="X105">
        <f t="shared" si="45"/>
        <v>0.2302228026863844</v>
      </c>
      <c r="Y105" t="b">
        <f t="shared" si="48"/>
        <v>0</v>
      </c>
    </row>
    <row xmlns:x14ac="http://schemas.microsoft.com/office/spreadsheetml/2009/9/ac" r="106" x14ac:dyDescent="0.45">
      <c r="A106">
        <v>0.495</v>
      </c>
      <c r="B106">
        <f t="shared" si="25"/>
        <v>0.15029297955456056</v>
      </c>
      <c r="C106" t="b">
        <f t="shared" si="38"/>
        <v>1</v>
      </c>
      <c r="D106" t="b">
        <f t="shared" si="26"/>
        <v>1</v>
      </c>
      <c r="E106">
        <f t="shared" si="34"/>
        <v>0.495</v>
      </c>
      <c r="F106">
        <f t="shared" si="39"/>
        <v>0.15029297955456056</v>
      </c>
      <c r="G106">
        <f t="shared" si="27"/>
        <v>0.22987914470361259</v>
      </c>
      <c r="H106">
        <f t="shared" si="28"/>
        <v>3.0112684444061757E-2</v>
      </c>
      <c r="I106" t="b">
        <f t="shared" si="40"/>
        <v>1</v>
      </c>
      <c r="J106">
        <f t="shared" si="29"/>
        <v>0.495</v>
      </c>
      <c r="K106">
        <f t="shared" si="41"/>
        <v>3.0112684444061757E-2</v>
      </c>
      <c r="L106">
        <f t="shared" si="30"/>
        <v>0.14001972591635709</v>
      </c>
      <c r="M106">
        <f t="shared" si="31"/>
        <v>0.18022536888812352</v>
      </c>
      <c r="N106">
        <f t="shared" si="32"/>
        <v>0.16520756420632127</v>
      </c>
      <c r="O106">
        <f t="shared" si="33"/>
        <v>0.1553839240857198</v>
      </c>
      <c r="P106">
        <f t="shared" si="46"/>
        <v>0.08</v>
      </c>
      <c r="Q106">
        <f t="shared" si="42"/>
        <v>0.08</v>
      </c>
      <c r="R106">
        <f t="shared" si="35"/>
        <v>0.08</v>
      </c>
      <c r="S106">
        <f t="shared" si="36"/>
        <v>0.06</v>
      </c>
      <c r="T106">
        <f t="shared" si="37"/>
        <v>0.1</v>
      </c>
      <c r="U106">
        <f t="shared" si="43"/>
        <v>0.08</v>
      </c>
      <c r="V106">
        <f t="shared" si="47"/>
        <v>0.16520756420632127</v>
      </c>
      <c r="W106">
        <f t="shared" si="44"/>
        <v>0.13941408420549806</v>
      </c>
      <c r="X106">
        <f t="shared" si="45"/>
        <v>0.23010862822341205</v>
      </c>
      <c r="Y106" t="b">
        <f t="shared" si="48"/>
        <v>0</v>
      </c>
    </row>
    <row xmlns:x14ac="http://schemas.microsoft.com/office/spreadsheetml/2009/9/ac" r="107" x14ac:dyDescent="0.45">
      <c r="A107">
        <v>0.5</v>
      </c>
      <c r="B107">
        <f t="shared" si="25"/>
        <v>0.15048297461862092</v>
      </c>
      <c r="C107" t="b">
        <f t="shared" si="38"/>
        <v>1</v>
      </c>
      <c r="D107" t="b">
        <f t="shared" si="26"/>
        <v>1</v>
      </c>
      <c r="E107">
        <f t="shared" si="34"/>
        <v>0.5</v>
      </c>
      <c r="F107">
        <f t="shared" si="39"/>
        <v>0.15048297461862092</v>
      </c>
      <c r="G107">
        <f t="shared" si="27"/>
        <v>0.22977999705577162</v>
      </c>
      <c r="H107">
        <f t="shared" si="28"/>
        <v>3.0185759468700359E-2</v>
      </c>
      <c r="I107" t="b">
        <f t="shared" si="40"/>
        <v>1</v>
      </c>
      <c r="J107">
        <f t="shared" si="29"/>
        <v>0.5</v>
      </c>
      <c r="K107">
        <f t="shared" si="41"/>
        <v>3.0185759468700359E-2</v>
      </c>
      <c r="L107">
        <f t="shared" si="30"/>
        <v>0.14016925315715834</v>
      </c>
      <c r="M107">
        <f t="shared" si="31"/>
        <v>0.18037151893740072</v>
      </c>
      <c r="N107">
        <f t="shared" si="32"/>
        <v>0.16553452900252211</v>
      </c>
      <c r="O107">
        <f t="shared" si="33"/>
        <v>0.1554269255398241</v>
      </c>
      <c r="P107">
        <f t="shared" si="46"/>
        <v>0.08</v>
      </c>
      <c r="Q107">
        <f t="shared" si="42"/>
        <v>0.08</v>
      </c>
      <c r="R107">
        <f t="shared" si="35"/>
        <v>0.08</v>
      </c>
      <c r="S107">
        <f t="shared" si="36"/>
        <v>0.06</v>
      </c>
      <c r="T107">
        <f t="shared" si="37"/>
        <v>0.1</v>
      </c>
      <c r="U107">
        <f t="shared" si="43"/>
        <v>0.08</v>
      </c>
      <c r="V107">
        <f t="shared" si="47"/>
        <v>0.16553452900252211</v>
      </c>
      <c r="W107">
        <f t="shared" si="44"/>
        <v>0.13956663209693401</v>
      </c>
      <c r="X107">
        <f t="shared" si="45"/>
        <v>0.23006169000915883</v>
      </c>
      <c r="Y107" t="b">
        <f t="shared" si="48"/>
        <v>0</v>
      </c>
    </row>
    <row xmlns:x14ac="http://schemas.microsoft.com/office/spreadsheetml/2009/9/ac" r="108" x14ac:dyDescent="0.45">
      <c r="A108">
        <v>0.505</v>
      </c>
      <c r="B108">
        <f t="shared" si="25"/>
        <v>0.15072358066394931</v>
      </c>
      <c r="C108" t="b">
        <f t="shared" si="38"/>
        <v>1</v>
      </c>
      <c r="D108" t="b">
        <f t="shared" si="26"/>
        <v>1</v>
      </c>
      <c r="E108">
        <f t="shared" si="34"/>
        <v>0.505</v>
      </c>
      <c r="F108">
        <f t="shared" si="39"/>
        <v>0.15072358066394931</v>
      </c>
      <c r="G108">
        <f t="shared" si="27"/>
        <v>0.22968134390888728</v>
      </c>
      <c r="H108">
        <f t="shared" si="28"/>
        <v>3.0278300255365122E-2</v>
      </c>
      <c r="I108" t="b">
        <f t="shared" si="40"/>
        <v>1</v>
      </c>
      <c r="J108">
        <f t="shared" si="29"/>
        <v>0.505</v>
      </c>
      <c r="K108">
        <f t="shared" si="41"/>
        <v>3.0278300255365122E-2</v>
      </c>
      <c r="L108">
        <f t="shared" si="30"/>
        <v>0.14031803462773484</v>
      </c>
      <c r="M108">
        <f t="shared" si="31"/>
        <v>0.18055660051073025</v>
      </c>
      <c r="N108">
        <f t="shared" si="32"/>
        <v>0.16595147644851968</v>
      </c>
      <c r="O108">
        <f t="shared" si="33"/>
        <v>0.15547958425482214</v>
      </c>
      <c r="P108">
        <f t="shared" si="46"/>
        <v>0.08</v>
      </c>
      <c r="Q108">
        <f t="shared" si="42"/>
        <v>0.08</v>
      </c>
      <c r="R108">
        <f t="shared" si="35"/>
        <v>0.08</v>
      </c>
      <c r="S108">
        <f t="shared" si="36"/>
        <v>0.06</v>
      </c>
      <c r="T108">
        <f t="shared" si="37"/>
        <v>0.1</v>
      </c>
      <c r="U108">
        <f t="shared" si="43"/>
        <v>0.08</v>
      </c>
      <c r="V108">
        <f t="shared" si="47"/>
        <v>0.16595147644851968</v>
      </c>
      <c r="W108">
        <f t="shared" si="44"/>
        <v>0.13971841915258731</v>
      </c>
      <c r="X108">
        <f t="shared" si="45"/>
        <v>0.23007893342937424</v>
      </c>
      <c r="Y108" t="b">
        <f t="shared" si="48"/>
        <v>0</v>
      </c>
    </row>
    <row xmlns:x14ac="http://schemas.microsoft.com/office/spreadsheetml/2009/9/ac" r="109" x14ac:dyDescent="0.45">
      <c r="A109">
        <v>0.51</v>
      </c>
      <c r="B109">
        <f t="shared" si="25"/>
        <v>0.15101117838718886</v>
      </c>
      <c r="C109" t="b">
        <f t="shared" si="38"/>
        <v>1</v>
      </c>
      <c r="D109" t="b">
        <f t="shared" si="26"/>
        <v>1</v>
      </c>
      <c r="E109">
        <f t="shared" si="34"/>
        <v>0.51</v>
      </c>
      <c r="F109">
        <f t="shared" si="39"/>
        <v>0.15101117838718886</v>
      </c>
      <c r="G109">
        <f t="shared" si="27"/>
        <v>0.22958318279662571</v>
      </c>
      <c r="H109">
        <f t="shared" si="28"/>
        <v>3.0388914764303405E-2</v>
      </c>
      <c r="I109" t="b">
        <f t="shared" si="40"/>
        <v>1</v>
      </c>
      <c r="J109">
        <f t="shared" si="29"/>
        <v>0.51</v>
      </c>
      <c r="K109">
        <f t="shared" si="41"/>
        <v>3.0388914764303405E-2</v>
      </c>
      <c r="L109">
        <f t="shared" si="30"/>
        <v>0.14046607404763109</v>
      </c>
      <c r="M109">
        <f t="shared" si="31"/>
        <v>0.18077782952860683</v>
      </c>
      <c r="N109">
        <f t="shared" si="32"/>
        <v>0.1664537115405893</v>
      </c>
      <c r="O109">
        <f t="shared" si="33"/>
        <v>0.1555409461139205</v>
      </c>
      <c r="P109">
        <f t="shared" si="46"/>
        <v>0.08</v>
      </c>
      <c r="Q109">
        <f t="shared" si="42"/>
        <v>0.08</v>
      </c>
      <c r="R109">
        <f t="shared" si="35"/>
        <v>0.08</v>
      </c>
      <c r="S109">
        <f t="shared" si="36"/>
        <v>0.06</v>
      </c>
      <c r="T109">
        <f t="shared" si="37"/>
        <v>0.1</v>
      </c>
      <c r="U109">
        <f t="shared" si="43"/>
        <v>0.08</v>
      </c>
      <c r="V109">
        <f t="shared" si="47"/>
        <v>0.1664537115405893</v>
      </c>
      <c r="W109">
        <f t="shared" si="44"/>
        <v>0.13986944916714225</v>
      </c>
      <c r="X109">
        <f t="shared" si="45"/>
        <v>0.22997878933110649</v>
      </c>
      <c r="Y109" t="b">
        <f t="shared" si="48"/>
        <v>0</v>
      </c>
    </row>
    <row xmlns:x14ac="http://schemas.microsoft.com/office/spreadsheetml/2009/9/ac" r="110" x14ac:dyDescent="0.45">
      <c r="A110">
        <v>0.51500000000000001</v>
      </c>
      <c r="B110">
        <f t="shared" si="25"/>
        <v>0.15134210020844469</v>
      </c>
      <c r="C110" t="b">
        <f t="shared" si="38"/>
        <v>1</v>
      </c>
      <c r="D110" t="b">
        <f t="shared" si="26"/>
        <v>1</v>
      </c>
      <c r="E110">
        <f t="shared" si="34"/>
        <v>0.51500000000000001</v>
      </c>
      <c r="F110">
        <f t="shared" si="39"/>
        <v>0.15134210020844469</v>
      </c>
      <c r="G110">
        <f t="shared" si="27"/>
        <v>0.22948551126495403</v>
      </c>
      <c r="H110">
        <f t="shared" si="28"/>
        <v>3.051619238786334E-2</v>
      </c>
      <c r="I110" t="b">
        <f t="shared" si="40"/>
        <v>1</v>
      </c>
      <c r="J110">
        <f t="shared" si="29"/>
        <v>0.51500000000000001</v>
      </c>
      <c r="K110">
        <f t="shared" si="41"/>
        <v>3.051619238786334E-2</v>
      </c>
      <c r="L110">
        <f t="shared" si="30"/>
        <v>0.14061337511784031</v>
      </c>
      <c r="M110">
        <f t="shared" si="31"/>
        <v>0.1810323847757267</v>
      </c>
      <c r="N110">
        <f t="shared" si="32"/>
        <v>0.16703630643534745</v>
      </c>
      <c r="O110">
        <f t="shared" si="33"/>
        <v>0.15561007647034708</v>
      </c>
      <c r="P110">
        <f t="shared" si="46"/>
        <v>0.08</v>
      </c>
      <c r="Q110">
        <f t="shared" si="42"/>
        <v>0.08</v>
      </c>
      <c r="R110">
        <f t="shared" si="35"/>
        <v>0.08</v>
      </c>
      <c r="S110">
        <f t="shared" si="36"/>
        <v>0.06</v>
      </c>
      <c r="T110">
        <f t="shared" si="37"/>
        <v>0.1</v>
      </c>
      <c r="U110">
        <f t="shared" si="43"/>
        <v>0.08</v>
      </c>
      <c r="V110">
        <f t="shared" si="47"/>
        <v>0.16703630643534745</v>
      </c>
      <c r="W110">
        <f t="shared" si="44"/>
        <v>0.14001972591635709</v>
      </c>
      <c r="X110">
        <f t="shared" si="45"/>
        <v>0.22987914470361259</v>
      </c>
      <c r="Y110" t="b">
        <f t="shared" si="48"/>
        <v>0</v>
      </c>
    </row>
    <row xmlns:x14ac="http://schemas.microsoft.com/office/spreadsheetml/2009/9/ac" r="111" x14ac:dyDescent="0.45">
      <c r="A111">
        <v>0.52</v>
      </c>
      <c r="B111">
        <f t="shared" si="25"/>
        <v>0.15171265017020077</v>
      </c>
      <c r="C111" t="b">
        <f t="shared" si="38"/>
        <v>1</v>
      </c>
      <c r="D111" t="b">
        <f t="shared" si="26"/>
        <v>1</v>
      </c>
      <c r="E111">
        <f t="shared" si="34"/>
        <v>0.52</v>
      </c>
      <c r="F111">
        <f t="shared" si="39"/>
        <v>0.15171265017020077</v>
      </c>
      <c r="G111">
        <f t="shared" si="27"/>
        <v>0.22938832687207888</v>
      </c>
      <c r="H111">
        <f t="shared" si="28"/>
        <v>3.0658711603923371E-2</v>
      </c>
      <c r="I111" t="b">
        <f t="shared" si="40"/>
        <v>1</v>
      </c>
      <c r="J111">
        <f t="shared" si="29"/>
        <v>0.52</v>
      </c>
      <c r="K111">
        <f t="shared" si="41"/>
        <v>3.0658711603923371E-2</v>
      </c>
      <c r="L111">
        <f t="shared" si="30"/>
        <v>0.14075994152089691</v>
      </c>
      <c r="M111">
        <f t="shared" si="31"/>
        <v>0.18131742320784675</v>
      </c>
      <c r="N111">
        <f t="shared" si="32"/>
        <v>0.16769412977925086</v>
      </c>
      <c r="O111">
        <f t="shared" si="33"/>
        <v>0.15568606382197236</v>
      </c>
      <c r="P111">
        <f t="shared" si="46"/>
        <v>0.08</v>
      </c>
      <c r="Q111">
        <f t="shared" si="42"/>
        <v>0.08</v>
      </c>
      <c r="R111">
        <f t="shared" si="35"/>
        <v>0.08</v>
      </c>
      <c r="S111">
        <f t="shared" si="36"/>
        <v>0.06</v>
      </c>
      <c r="T111">
        <f t="shared" si="37"/>
        <v>0.1</v>
      </c>
      <c r="U111">
        <f t="shared" si="43"/>
        <v>0.08</v>
      </c>
      <c r="V111">
        <f t="shared" si="47"/>
        <v>0.16769412977925086</v>
      </c>
      <c r="W111">
        <f t="shared" si="44"/>
        <v>0.14016925315715834</v>
      </c>
      <c r="X111">
        <f t="shared" si="45"/>
        <v>0.22977999705577162</v>
      </c>
      <c r="Y111" t="b">
        <f t="shared" si="48"/>
        <v>0</v>
      </c>
    </row>
    <row xmlns:x14ac="http://schemas.microsoft.com/office/spreadsheetml/2009/9/ac" r="112" x14ac:dyDescent="0.45">
      <c r="A112">
        <v>0.52500000000000002</v>
      </c>
      <c r="B112">
        <f t="shared" si="25"/>
        <v>0.15211912300150413</v>
      </c>
      <c r="C112" t="b">
        <f t="shared" si="38"/>
        <v>1</v>
      </c>
      <c r="D112" t="b">
        <f t="shared" si="26"/>
        <v>1</v>
      </c>
      <c r="E112">
        <f t="shared" si="34"/>
        <v>0.52500000000000002</v>
      </c>
      <c r="F112">
        <f t="shared" si="39"/>
        <v>0.15211912300150413</v>
      </c>
      <c r="G112">
        <f t="shared" si="27"/>
        <v>0.22929162718838531</v>
      </c>
      <c r="H112">
        <f t="shared" si="28"/>
        <v>3.081504730827082E-2</v>
      </c>
      <c r="I112" t="b">
        <f t="shared" si="40"/>
        <v>1</v>
      </c>
      <c r="J112">
        <f t="shared" si="29"/>
        <v>0.52500000000000002</v>
      </c>
      <c r="K112">
        <f t="shared" si="41"/>
        <v>3.081504730827082E-2</v>
      </c>
      <c r="L112">
        <f t="shared" si="30"/>
        <v>0.14090577692096862</v>
      </c>
      <c r="M112">
        <f t="shared" si="31"/>
        <v>0.18163009461654164</v>
      </c>
      <c r="N112">
        <f t="shared" si="32"/>
        <v>0.16842187602282482</v>
      </c>
      <c r="O112">
        <f t="shared" si="33"/>
        <v>0.15576802310617027</v>
      </c>
      <c r="P112">
        <f t="shared" si="46"/>
        <v>0.08</v>
      </c>
      <c r="Q112">
        <f t="shared" si="42"/>
        <v>0.08</v>
      </c>
      <c r="R112">
        <f t="shared" si="35"/>
        <v>0.08</v>
      </c>
      <c r="S112">
        <f t="shared" si="36"/>
        <v>0.06</v>
      </c>
      <c r="T112">
        <f t="shared" si="37"/>
        <v>0.1</v>
      </c>
      <c r="U112">
        <f t="shared" si="43"/>
        <v>0.08</v>
      </c>
      <c r="V112">
        <f t="shared" si="47"/>
        <v>0.16842187602282482</v>
      </c>
      <c r="W112">
        <f t="shared" si="44"/>
        <v>0.14031803462773484</v>
      </c>
      <c r="X112">
        <f t="shared" si="45"/>
        <v>0.22968134390888728</v>
      </c>
      <c r="Y112" t="b">
        <f t="shared" si="48"/>
        <v>0</v>
      </c>
    </row>
    <row xmlns:x14ac="http://schemas.microsoft.com/office/spreadsheetml/2009/9/ac" r="113" x14ac:dyDescent="0.45">
      <c r="A113">
        <v>0.53</v>
      </c>
      <c r="B113">
        <f t="shared" si="25"/>
        <v>0.15255782229692991</v>
      </c>
      <c r="C113" t="b">
        <f t="shared" si="38"/>
        <v>1</v>
      </c>
      <c r="D113" t="b">
        <f t="shared" si="26"/>
        <v>1</v>
      </c>
      <c r="E113">
        <f t="shared" si="34"/>
        <v>0.53</v>
      </c>
      <c r="F113">
        <f t="shared" si="39"/>
        <v>0.15255782229692991</v>
      </c>
      <c r="G113">
        <f t="shared" si="27"/>
        <v>0.2291954097963762</v>
      </c>
      <c r="H113">
        <f t="shared" si="28"/>
        <v>3.0983777806511504E-2</v>
      </c>
      <c r="I113" t="b">
        <f t="shared" si="40"/>
        <v>1</v>
      </c>
      <c r="J113">
        <f t="shared" si="29"/>
        <v>0.53</v>
      </c>
      <c r="K113">
        <f t="shared" si="41"/>
        <v>3.0983777806511504E-2</v>
      </c>
      <c r="L113">
        <f t="shared" si="30"/>
        <v>0.14105088496394805</v>
      </c>
      <c r="M113">
        <f t="shared" si="31"/>
        <v>0.18196755561302302</v>
      </c>
      <c r="N113">
        <f t="shared" si="32"/>
        <v>0.16921409458925052</v>
      </c>
      <c r="O113">
        <f t="shared" si="33"/>
        <v>0.15585509862357738</v>
      </c>
      <c r="P113">
        <f t="shared" si="46"/>
        <v>0.08</v>
      </c>
      <c r="Q113">
        <f t="shared" si="42"/>
        <v>0.08</v>
      </c>
      <c r="R113">
        <f t="shared" si="35"/>
        <v>0.08</v>
      </c>
      <c r="S113">
        <f t="shared" si="36"/>
        <v>0.06</v>
      </c>
      <c r="T113">
        <f t="shared" si="37"/>
        <v>0.1</v>
      </c>
      <c r="U113">
        <f t="shared" si="43"/>
        <v>0.08</v>
      </c>
      <c r="V113">
        <f t="shared" si="47"/>
        <v>0.16921409458925052</v>
      </c>
      <c r="W113">
        <f t="shared" si="44"/>
        <v>0.14046607404763109</v>
      </c>
      <c r="X113">
        <f t="shared" si="45"/>
        <v>0.22958318279662571</v>
      </c>
      <c r="Y113" t="b">
        <f t="shared" si="48"/>
        <v>0</v>
      </c>
    </row>
    <row xmlns:x14ac="http://schemas.microsoft.com/office/spreadsheetml/2009/9/ac" r="114" x14ac:dyDescent="0.45">
      <c r="A114">
        <v>0.53500000000000003</v>
      </c>
      <c r="B114">
        <f t="shared" si="25"/>
        <v>0.1530250777665384</v>
      </c>
      <c r="C114" t="b">
        <f t="shared" si="38"/>
        <v>1</v>
      </c>
      <c r="D114" t="b">
        <f t="shared" si="26"/>
        <v>1</v>
      </c>
      <c r="E114">
        <f t="shared" si="34"/>
        <v>0.53500000000000003</v>
      </c>
      <c r="F114">
        <f t="shared" si="39"/>
        <v>0.1530250777665384</v>
      </c>
      <c r="G114">
        <f t="shared" si="27"/>
        <v>0.22909967229061179</v>
      </c>
      <c r="H114">
        <f t="shared" si="28"/>
        <v>3.1163491448668621E-2</v>
      </c>
      <c r="I114" t="b">
        <f t="shared" si="40"/>
        <v>1</v>
      </c>
      <c r="J114">
        <f t="shared" si="29"/>
        <v>0.53500000000000003</v>
      </c>
      <c r="K114">
        <f t="shared" si="41"/>
        <v>3.1163491448668621E-2</v>
      </c>
      <c r="L114">
        <f t="shared" si="30"/>
        <v>0.14119526927754378</v>
      </c>
      <c r="M114">
        <f t="shared" si="31"/>
        <v>0.18232698289733723</v>
      </c>
      <c r="N114">
        <f t="shared" si="32"/>
        <v>0.17006521877169728</v>
      </c>
      <c r="O114">
        <f t="shared" si="33"/>
        <v>0.15594646660080524</v>
      </c>
      <c r="P114">
        <f t="shared" si="46"/>
        <v>0.08</v>
      </c>
      <c r="Q114">
        <f t="shared" si="42"/>
        <v>0.08</v>
      </c>
      <c r="R114">
        <f t="shared" si="35"/>
        <v>0.08</v>
      </c>
      <c r="S114">
        <f t="shared" si="36"/>
        <v>0.06</v>
      </c>
      <c r="T114">
        <f t="shared" si="37"/>
        <v>0.1</v>
      </c>
      <c r="U114">
        <f t="shared" si="43"/>
        <v>0.08</v>
      </c>
      <c r="V114">
        <f t="shared" si="47"/>
        <v>0.17006521877169728</v>
      </c>
      <c r="W114">
        <f t="shared" si="44"/>
        <v>0.14061337511784031</v>
      </c>
      <c r="X114">
        <f t="shared" si="45"/>
        <v>0.22948551126495403</v>
      </c>
      <c r="Y114" t="b">
        <f t="shared" si="48"/>
        <v>0</v>
      </c>
    </row>
    <row xmlns:x14ac="http://schemas.microsoft.com/office/spreadsheetml/2009/9/ac" r="115" x14ac:dyDescent="0.45">
      <c r="A115">
        <v>0.54</v>
      </c>
      <c r="B115">
        <f t="shared" si="25"/>
        <v>0.1535172615196142</v>
      </c>
      <c r="C115" t="b">
        <f t="shared" si="38"/>
        <v>1</v>
      </c>
      <c r="D115" t="b">
        <f t="shared" si="26"/>
        <v>1</v>
      </c>
      <c r="E115">
        <f t="shared" si="34"/>
        <v>0.54</v>
      </c>
      <c r="F115">
        <f t="shared" si="39"/>
        <v>0.1535172615196142</v>
      </c>
      <c r="G115">
        <f t="shared" si="27"/>
        <v>0.22900441227764945</v>
      </c>
      <c r="H115">
        <f t="shared" si="28"/>
        <v>3.1352792892159309E-2</v>
      </c>
      <c r="I115" t="b">
        <f t="shared" si="40"/>
        <v>1</v>
      </c>
      <c r="J115">
        <f t="shared" si="29"/>
        <v>0.54</v>
      </c>
      <c r="K115">
        <f t="shared" si="41"/>
        <v>3.1352792892159309E-2</v>
      </c>
      <c r="L115">
        <f t="shared" si="30"/>
        <v>0.14133893347137122</v>
      </c>
      <c r="M115">
        <f t="shared" si="31"/>
        <v>0.18270558578431861</v>
      </c>
      <c r="N115">
        <f t="shared" si="32"/>
        <v>0.1709695942389528</v>
      </c>
      <c r="O115">
        <f t="shared" si="33"/>
        <v>0.15604133740340306</v>
      </c>
      <c r="P115">
        <f t="shared" si="46"/>
        <v>0.08</v>
      </c>
      <c r="Q115">
        <f t="shared" si="42"/>
        <v>0.08</v>
      </c>
      <c r="R115">
        <f t="shared" si="35"/>
        <v>0.08</v>
      </c>
      <c r="S115">
        <f t="shared" si="36"/>
        <v>0.06</v>
      </c>
      <c r="T115">
        <f t="shared" si="37"/>
        <v>0.1</v>
      </c>
      <c r="U115">
        <f t="shared" si="43"/>
        <v>0.08</v>
      </c>
      <c r="V115">
        <f t="shared" si="47"/>
        <v>0.1709695942389528</v>
      </c>
      <c r="W115">
        <f t="shared" si="44"/>
        <v>0.14075994152089691</v>
      </c>
      <c r="X115">
        <f t="shared" si="45"/>
        <v>0.22938832687207888</v>
      </c>
      <c r="Y115" t="b">
        <f t="shared" si="48"/>
        <v>0</v>
      </c>
    </row>
    <row xmlns:x14ac="http://schemas.microsoft.com/office/spreadsheetml/2009/9/ac" r="116" x14ac:dyDescent="0.45">
      <c r="A116">
        <v>0.54500000000000004</v>
      </c>
      <c r="B116">
        <f t="shared" si="25"/>
        <v>0.15403080335141447</v>
      </c>
      <c r="C116" t="b">
        <f t="shared" si="38"/>
        <v>1</v>
      </c>
      <c r="D116" t="b">
        <f t="shared" si="26"/>
        <v>1</v>
      </c>
      <c r="E116">
        <f t="shared" si="34"/>
        <v>0.54500000000000004</v>
      </c>
      <c r="F116">
        <f t="shared" si="39"/>
        <v>0.15403080335141447</v>
      </c>
      <c r="G116">
        <f t="shared" si="27"/>
        <v>0.2289096273759838</v>
      </c>
      <c r="H116">
        <f t="shared" si="28"/>
        <v>3.1550308981313266E-2</v>
      </c>
      <c r="I116" t="b">
        <f t="shared" si="40"/>
        <v>1</v>
      </c>
      <c r="J116">
        <f t="shared" si="29"/>
        <v>0.54500000000000004</v>
      </c>
      <c r="K116">
        <f t="shared" si="41"/>
        <v>3.1550308981313266E-2</v>
      </c>
      <c r="L116">
        <f t="shared" si="30"/>
        <v>0.14148188113704269</v>
      </c>
      <c r="M116">
        <f t="shared" si="31"/>
        <v>0.18310061796262653</v>
      </c>
      <c r="N116">
        <f t="shared" si="32"/>
        <v>0.17192150703444523</v>
      </c>
      <c r="O116">
        <f t="shared" si="33"/>
        <v>0.15613895741146444</v>
      </c>
      <c r="P116">
        <f t="shared" si="46"/>
        <v>0.08</v>
      </c>
      <c r="Q116">
        <f t="shared" si="42"/>
        <v>0.08</v>
      </c>
      <c r="R116">
        <f t="shared" si="35"/>
        <v>0.08</v>
      </c>
      <c r="S116">
        <f t="shared" si="36"/>
        <v>0.06</v>
      </c>
      <c r="T116">
        <f t="shared" si="37"/>
        <v>0.1</v>
      </c>
      <c r="U116">
        <f t="shared" si="43"/>
        <v>0.08</v>
      </c>
      <c r="V116">
        <f t="shared" si="47"/>
        <v>0.17192150703444523</v>
      </c>
      <c r="W116">
        <f t="shared" si="44"/>
        <v>0.14090577692096862</v>
      </c>
      <c r="X116">
        <f t="shared" si="45"/>
        <v>0.22929162718838531</v>
      </c>
      <c r="Y116" t="b">
        <f t="shared" si="48"/>
        <v>0</v>
      </c>
    </row>
    <row xmlns:x14ac="http://schemas.microsoft.com/office/spreadsheetml/2009/9/ac" r="117" x14ac:dyDescent="0.45">
      <c r="A117">
        <v>0.55000000000000004</v>
      </c>
      <c r="B117">
        <f t="shared" si="25"/>
        <v>0.15456220500842419</v>
      </c>
      <c r="C117" t="b">
        <f t="shared" si="38"/>
        <v>1</v>
      </c>
      <c r="D117" t="b">
        <f t="shared" si="26"/>
        <v>1</v>
      </c>
      <c r="E117">
        <f t="shared" si="34"/>
        <v>0.55000000000000004</v>
      </c>
      <c r="F117">
        <f t="shared" si="39"/>
        <v>0.15456220500842419</v>
      </c>
      <c r="G117">
        <f t="shared" si="27"/>
        <v>0.22881531521598747</v>
      </c>
      <c r="H117">
        <f t="shared" si="28"/>
        <v>3.1754694234009312E-2</v>
      </c>
      <c r="I117" t="b">
        <f t="shared" si="40"/>
        <v>1</v>
      </c>
      <c r="J117">
        <f t="shared" si="29"/>
        <v>0.55000000000000004</v>
      </c>
      <c r="K117">
        <f t="shared" si="41"/>
        <v>3.1754694234009312E-2</v>
      </c>
      <c r="L117">
        <f t="shared" si="30"/>
        <v>0.14162411584825724</v>
      </c>
      <c r="M117">
        <f t="shared" si="31"/>
        <v>0.18350938846801862</v>
      </c>
      <c r="N117">
        <f t="shared" si="32"/>
        <v>0.17291521095963236</v>
      </c>
      <c r="O117">
        <f t="shared" si="33"/>
        <v>0.15623861057122615</v>
      </c>
      <c r="P117">
        <f t="shared" si="46"/>
        <v>0.08</v>
      </c>
      <c r="Q117">
        <f t="shared" si="42"/>
        <v>0.08</v>
      </c>
      <c r="R117">
        <f t="shared" si="35"/>
        <v>0.08</v>
      </c>
      <c r="S117">
        <f t="shared" si="36"/>
        <v>0.06</v>
      </c>
      <c r="T117">
        <f t="shared" si="37"/>
        <v>0.1</v>
      </c>
      <c r="U117">
        <f t="shared" si="43"/>
        <v>0.08</v>
      </c>
      <c r="V117">
        <f t="shared" si="47"/>
        <v>0.17291521095963236</v>
      </c>
      <c r="W117">
        <f t="shared" si="44"/>
        <v>0.14105088496394805</v>
      </c>
      <c r="X117">
        <f t="shared" si="45"/>
        <v>0.2291954097963762</v>
      </c>
      <c r="Y117" t="b">
        <f t="shared" si="48"/>
        <v>0</v>
      </c>
    </row>
    <row xmlns:x14ac="http://schemas.microsoft.com/office/spreadsheetml/2009/9/ac" r="118" x14ac:dyDescent="0.45">
      <c r="A118">
        <v>0.55500000000000005</v>
      </c>
      <c r="B118">
        <f t="shared" si="25"/>
        <v>0.15510805341369646</v>
      </c>
      <c r="C118" t="b">
        <f t="shared" si="38"/>
        <v>1</v>
      </c>
      <c r="D118" t="b">
        <f t="shared" si="26"/>
        <v>1</v>
      </c>
      <c r="E118">
        <f t="shared" si="34"/>
        <v>0.55500000000000005</v>
      </c>
      <c r="F118">
        <f t="shared" si="39"/>
        <v>0.15510805341369646</v>
      </c>
      <c r="G118">
        <f t="shared" si="27"/>
        <v>0.2287214734398515</v>
      </c>
      <c r="H118">
        <f t="shared" si="28"/>
        <v>3.1964635928344795E-2</v>
      </c>
      <c r="I118" t="b">
        <f t="shared" si="40"/>
        <v>1</v>
      </c>
      <c r="J118">
        <f t="shared" si="29"/>
        <v>0.55500000000000005</v>
      </c>
      <c r="K118">
        <f t="shared" si="41"/>
        <v>3.1964635928344795E-2</v>
      </c>
      <c r="L118">
        <f t="shared" si="30"/>
        <v>0.14176564116089008</v>
      </c>
      <c r="M118">
        <f t="shared" si="31"/>
        <v>0.18392927185668959</v>
      </c>
      <c r="N118">
        <f t="shared" si="32"/>
        <v>0.17394495423891376</v>
      </c>
      <c r="O118">
        <f t="shared" si="33"/>
        <v>0.15633961963682155</v>
      </c>
      <c r="P118">
        <f t="shared" si="46"/>
        <v>0.08</v>
      </c>
      <c r="Q118">
        <f t="shared" si="42"/>
        <v>0.08</v>
      </c>
      <c r="R118">
        <f t="shared" si="35"/>
        <v>0.08</v>
      </c>
      <c r="S118">
        <f t="shared" si="36"/>
        <v>0.06</v>
      </c>
      <c r="T118">
        <f t="shared" si="37"/>
        <v>0.1</v>
      </c>
      <c r="U118">
        <f t="shared" si="43"/>
        <v>0.08</v>
      </c>
      <c r="V118">
        <f t="shared" si="47"/>
        <v>0.17394495423891376</v>
      </c>
      <c r="W118">
        <f t="shared" si="44"/>
        <v>0.14119526927754378</v>
      </c>
      <c r="X118">
        <f t="shared" si="45"/>
        <v>0.22909967229061179</v>
      </c>
      <c r="Y118" t="b">
        <f t="shared" si="48"/>
        <v>0</v>
      </c>
    </row>
    <row xmlns:x14ac="http://schemas.microsoft.com/office/spreadsheetml/2009/9/ac" r="119" x14ac:dyDescent="0.45">
      <c r="A119">
        <v>0.56000000000000005</v>
      </c>
      <c r="B119">
        <f t="shared" si="25"/>
        <v>0.15566503283972996</v>
      </c>
      <c r="C119" t="b">
        <f t="shared" si="38"/>
        <v>1</v>
      </c>
      <c r="D119" t="b">
        <f t="shared" si="26"/>
        <v>1</v>
      </c>
      <c r="E119">
        <f t="shared" si="34"/>
        <v>0.56000000000000005</v>
      </c>
      <c r="F119">
        <f t="shared" si="39"/>
        <v>0.15566503283972996</v>
      </c>
      <c r="G119">
        <f t="shared" si="27"/>
        <v>0.22862809970152659</v>
      </c>
      <c r="H119">
        <f t="shared" si="28"/>
        <v>3.217885878451153E-2</v>
      </c>
      <c r="I119" t="b">
        <f t="shared" si="40"/>
        <v>1</v>
      </c>
      <c r="J119">
        <f t="shared" si="29"/>
        <v>0.56000000000000005</v>
      </c>
      <c r="K119">
        <f t="shared" si="41"/>
        <v>3.217885878451153E-2</v>
      </c>
      <c r="L119">
        <f t="shared" si="30"/>
        <v>0.14190646061308143</v>
      </c>
      <c r="M119">
        <f t="shared" si="31"/>
        <v>0.18435771756902306</v>
      </c>
      <c r="N119">
        <f t="shared" si="32"/>
        <v>0.1750050053696684</v>
      </c>
      <c r="O119">
        <f t="shared" si="33"/>
        <v>0.15644134711703442</v>
      </c>
      <c r="P119">
        <f t="shared" si="46"/>
        <v>0.08</v>
      </c>
      <c r="Q119">
        <f t="shared" si="42"/>
        <v>0.08</v>
      </c>
      <c r="R119">
        <f t="shared" si="35"/>
        <v>0.08</v>
      </c>
      <c r="S119">
        <f t="shared" si="36"/>
        <v>0.06</v>
      </c>
      <c r="T119">
        <f t="shared" si="37"/>
        <v>0.1</v>
      </c>
      <c r="U119">
        <f t="shared" si="43"/>
        <v>0.08</v>
      </c>
      <c r="V119">
        <f t="shared" si="47"/>
        <v>0.1750050053696684</v>
      </c>
      <c r="W119">
        <f t="shared" si="44"/>
        <v>0.14133893347137122</v>
      </c>
      <c r="X119">
        <f t="shared" si="45"/>
        <v>0.22900441227764945</v>
      </c>
      <c r="Y119" t="b">
        <f t="shared" si="48"/>
        <v>0</v>
      </c>
    </row>
    <row xmlns:x14ac="http://schemas.microsoft.com/office/spreadsheetml/2009/9/ac" r="120" x14ac:dyDescent="0.45">
      <c r="A120">
        <v>0.56499999999999995</v>
      </c>
      <c r="B120">
        <f t="shared" si="25"/>
        <v>0.15622993602198201</v>
      </c>
      <c r="C120" t="b">
        <f t="shared" si="38"/>
        <v>1</v>
      </c>
      <c r="D120" t="b">
        <f t="shared" si="26"/>
        <v>1</v>
      </c>
      <c r="E120">
        <f t="shared" si="34"/>
        <v>0.56499999999999995</v>
      </c>
      <c r="F120">
        <f t="shared" si="39"/>
        <v>0.15622993602198201</v>
      </c>
      <c r="G120">
        <f t="shared" si="27"/>
        <v>0.22853519166666442</v>
      </c>
      <c r="H120">
        <f t="shared" si="28"/>
        <v>3.2396129239223859E-2</v>
      </c>
      <c r="I120" t="b">
        <f t="shared" si="40"/>
        <v>1</v>
      </c>
      <c r="J120">
        <f t="shared" si="29"/>
        <v>0.56499999999999995</v>
      </c>
      <c r="K120">
        <f t="shared" si="41"/>
        <v>3.2396129239223859E-2</v>
      </c>
      <c r="L120">
        <f t="shared" si="30"/>
        <v>0.14204657772532486</v>
      </c>
      <c r="M120">
        <f t="shared" si="31"/>
        <v>0.18479225847844771</v>
      </c>
      <c r="N120">
        <f t="shared" si="32"/>
        <v>0.17608967806769255</v>
      </c>
      <c r="O120">
        <f t="shared" si="33"/>
        <v>0.15654319594245414</v>
      </c>
      <c r="P120">
        <f t="shared" si="46"/>
        <v>0.08</v>
      </c>
      <c r="Q120">
        <f t="shared" si="42"/>
        <v>0.08</v>
      </c>
      <c r="R120">
        <f t="shared" si="35"/>
        <v>0.08</v>
      </c>
      <c r="S120">
        <f t="shared" si="36"/>
        <v>0.06</v>
      </c>
      <c r="T120">
        <f t="shared" si="37"/>
        <v>0.1</v>
      </c>
      <c r="U120">
        <f t="shared" si="43"/>
        <v>0.08</v>
      </c>
      <c r="V120">
        <f t="shared" si="47"/>
        <v>0.17608967806769255</v>
      </c>
      <c r="W120">
        <f t="shared" si="44"/>
        <v>0.14148188113704269</v>
      </c>
      <c r="X120">
        <f t="shared" si="45"/>
        <v>0.2289096273759838</v>
      </c>
      <c r="Y120" t="b">
        <f t="shared" si="48"/>
        <v>0</v>
      </c>
    </row>
    <row xmlns:x14ac="http://schemas.microsoft.com/office/spreadsheetml/2009/9/ac" r="121" x14ac:dyDescent="0.45">
      <c r="A121">
        <v>0.56999999999999995</v>
      </c>
      <c r="B121">
        <f t="shared" si="25"/>
        <v>0.15679967421151944</v>
      </c>
      <c r="C121" t="b">
        <f t="shared" si="38"/>
        <v>1</v>
      </c>
      <c r="D121" t="b">
        <f t="shared" si="26"/>
        <v>1</v>
      </c>
      <c r="E121">
        <f t="shared" si="34"/>
        <v>0.56999999999999995</v>
      </c>
      <c r="F121">
        <f t="shared" si="39"/>
        <v>0.15679967421151944</v>
      </c>
      <c r="G121">
        <f t="shared" si="27"/>
        <v>0.22844274701255934</v>
      </c>
      <c r="H121">
        <f t="shared" si="28"/>
        <v>3.2615259312122863E-2</v>
      </c>
      <c r="I121" t="b">
        <f t="shared" si="40"/>
        <v>1</v>
      </c>
      <c r="J121">
        <f t="shared" si="29"/>
        <v>0.56999999999999995</v>
      </c>
      <c r="K121">
        <f t="shared" si="41"/>
        <v>3.2615259312122863E-2</v>
      </c>
      <c r="L121">
        <f t="shared" si="30"/>
        <v>0.14218599600055554</v>
      </c>
      <c r="M121">
        <f t="shared" si="31"/>
        <v>0.18523051862424572</v>
      </c>
      <c r="N121">
        <f t="shared" si="32"/>
        <v>0.17719335522517837</v>
      </c>
      <c r="O121">
        <f t="shared" si="33"/>
        <v>0.1566446098688675</v>
      </c>
      <c r="P121">
        <f t="shared" si="46"/>
        <v>0.08</v>
      </c>
      <c r="Q121">
        <f t="shared" si="42"/>
        <v>0.08</v>
      </c>
      <c r="R121">
        <f t="shared" si="35"/>
        <v>0.08</v>
      </c>
      <c r="S121">
        <f t="shared" si="36"/>
        <v>0.06</v>
      </c>
      <c r="T121">
        <f t="shared" si="37"/>
        <v>0.1</v>
      </c>
      <c r="U121">
        <f t="shared" si="43"/>
        <v>0.08</v>
      </c>
      <c r="V121">
        <f t="shared" si="47"/>
        <v>0.17719335522517837</v>
      </c>
      <c r="W121">
        <f t="shared" si="44"/>
        <v>0.14162411584825724</v>
      </c>
      <c r="X121">
        <f t="shared" si="45"/>
        <v>0.22881531521598747</v>
      </c>
      <c r="Y121" t="b">
        <f t="shared" si="48"/>
        <v>0</v>
      </c>
    </row>
    <row xmlns:x14ac="http://schemas.microsoft.com/office/spreadsheetml/2009/9/ac" r="122" x14ac:dyDescent="0.45">
      <c r="A122">
        <v>0.57499999999999996</v>
      </c>
      <c r="B122">
        <f t="shared" si="25"/>
        <v>0.15737128617045815</v>
      </c>
      <c r="C122" t="b">
        <f t="shared" si="38"/>
        <v>1</v>
      </c>
      <c r="D122" t="b">
        <f t="shared" si="26"/>
        <v>1</v>
      </c>
      <c r="E122">
        <f t="shared" si="34"/>
        <v>0.57499999999999996</v>
      </c>
      <c r="F122">
        <f t="shared" si="39"/>
        <v>0.15737128617045815</v>
      </c>
      <c r="G122">
        <f t="shared" si="27"/>
        <v>0.22835076342809008</v>
      </c>
      <c r="H122">
        <f t="shared" si="28"/>
        <v>3.2835110065560821E-2</v>
      </c>
      <c r="I122" t="b">
        <f t="shared" si="40"/>
        <v>1</v>
      </c>
      <c r="J122">
        <f t="shared" si="29"/>
        <v>0.57499999999999996</v>
      </c>
      <c r="K122">
        <f t="shared" si="41"/>
        <v>3.2835110065560821E-2</v>
      </c>
      <c r="L122">
        <f t="shared" si="30"/>
        <v>0.14232471892423759</v>
      </c>
      <c r="M122">
        <f t="shared" si="31"/>
        <v>0.18567022013112167</v>
      </c>
      <c r="N122">
        <f t="shared" si="32"/>
        <v>0.17831051180538793</v>
      </c>
      <c r="O122">
        <f t="shared" si="33"/>
        <v>0.15674507363304066</v>
      </c>
      <c r="P122">
        <f t="shared" si="46"/>
        <v>0.08</v>
      </c>
      <c r="Q122">
        <f t="shared" si="42"/>
        <v>0.08</v>
      </c>
      <c r="R122">
        <f t="shared" si="35"/>
        <v>0.08</v>
      </c>
      <c r="S122">
        <f t="shared" si="36"/>
        <v>0.06</v>
      </c>
      <c r="T122">
        <f t="shared" si="37"/>
        <v>0.1</v>
      </c>
      <c r="U122">
        <f t="shared" si="43"/>
        <v>0.08</v>
      </c>
      <c r="V122">
        <f t="shared" si="47"/>
        <v>0.17831051180538793</v>
      </c>
      <c r="W122">
        <f t="shared" si="44"/>
        <v>0.14176564116089008</v>
      </c>
      <c r="X122">
        <f t="shared" si="45"/>
        <v>0.2287214734398515</v>
      </c>
      <c r="Y122" t="b">
        <f t="shared" si="48"/>
        <v>0</v>
      </c>
    </row>
    <row xmlns:x14ac="http://schemas.microsoft.com/office/spreadsheetml/2009/9/ac" r="123" x14ac:dyDescent="0.45">
      <c r="A123">
        <v>0.57999999999999996</v>
      </c>
      <c r="B123">
        <f t="shared" si="25"/>
        <v>0.15794194611872045</v>
      </c>
      <c r="C123" t="b">
        <f t="shared" si="38"/>
        <v>1</v>
      </c>
      <c r="D123" t="b">
        <f t="shared" si="26"/>
        <v>1</v>
      </c>
      <c r="E123">
        <f t="shared" si="34"/>
        <v>0.57999999999999996</v>
      </c>
      <c r="F123">
        <f t="shared" si="39"/>
        <v>0.15794194611872045</v>
      </c>
      <c r="G123">
        <f t="shared" si="27"/>
        <v>0.22825923861366232</v>
      </c>
      <c r="H123">
        <f t="shared" si="28"/>
        <v>3.3054594661046335E-2</v>
      </c>
      <c r="I123" t="b">
        <f t="shared" si="40"/>
        <v>1</v>
      </c>
      <c r="J123">
        <f t="shared" si="29"/>
        <v>0.57999999999999996</v>
      </c>
      <c r="K123">
        <f t="shared" si="41"/>
        <v>3.3054594661046335E-2</v>
      </c>
      <c r="L123">
        <f t="shared" si="30"/>
        <v>0.14246274996445132</v>
      </c>
      <c r="M123">
        <f t="shared" si="31"/>
        <v>0.18610918932209267</v>
      </c>
      <c r="N123">
        <f t="shared" si="32"/>
        <v>0.17943573660531564</v>
      </c>
      <c r="O123">
        <f t="shared" si="33"/>
        <v>0.15684411287725444</v>
      </c>
      <c r="P123">
        <f t="shared" si="46"/>
        <v>0.08</v>
      </c>
      <c r="Q123">
        <f t="shared" si="42"/>
        <v>0.08</v>
      </c>
      <c r="R123">
        <f t="shared" si="35"/>
        <v>0.08</v>
      </c>
      <c r="S123">
        <f t="shared" si="36"/>
        <v>0.06</v>
      </c>
      <c r="T123">
        <f t="shared" si="37"/>
        <v>0.1</v>
      </c>
      <c r="U123">
        <f t="shared" si="43"/>
        <v>0.08</v>
      </c>
      <c r="V123">
        <f t="shared" si="47"/>
        <v>0.17943573660531564</v>
      </c>
      <c r="W123">
        <f t="shared" si="44"/>
        <v>0.14190646061308143</v>
      </c>
      <c r="X123">
        <f t="shared" si="45"/>
        <v>0.22862809970152659</v>
      </c>
      <c r="Y123" t="b">
        <f t="shared" si="48"/>
        <v>0</v>
      </c>
    </row>
    <row xmlns:x14ac="http://schemas.microsoft.com/office/spreadsheetml/2009/9/ac" r="124" x14ac:dyDescent="0.45">
      <c r="A124">
        <v>0.58499999999999996</v>
      </c>
      <c r="B124">
        <f t="shared" si="25"/>
        <v>0.15850897064524161</v>
      </c>
      <c r="C124" t="b">
        <f t="shared" si="38"/>
        <v>1</v>
      </c>
      <c r="D124" t="b">
        <f t="shared" si="26"/>
        <v>1</v>
      </c>
      <c r="E124">
        <f t="shared" si="34"/>
        <v>0.58499999999999996</v>
      </c>
      <c r="F124">
        <f t="shared" si="39"/>
        <v>0.15850897064524161</v>
      </c>
      <c r="G124">
        <f t="shared" si="27"/>
        <v>0.22816817028115088</v>
      </c>
      <c r="H124">
        <f t="shared" si="28"/>
        <v>3.3272681017400621E-2</v>
      </c>
      <c r="I124" t="b">
        <f t="shared" si="40"/>
        <v>1</v>
      </c>
      <c r="J124">
        <f t="shared" si="29"/>
        <v>0.58499999999999996</v>
      </c>
      <c r="K124">
        <f t="shared" si="41"/>
        <v>3.3272681017400621E-2</v>
      </c>
      <c r="L124">
        <f t="shared" si="30"/>
        <v>0.14260009257197992</v>
      </c>
      <c r="M124">
        <f t="shared" si="31"/>
        <v>0.18654536203480124</v>
      </c>
      <c r="N124">
        <f t="shared" si="32"/>
        <v>0.18056375282484624</v>
      </c>
      <c r="O124">
        <f t="shared" si="33"/>
        <v>0.15694129385906369</v>
      </c>
      <c r="P124">
        <f t="shared" si="46"/>
        <v>0.08</v>
      </c>
      <c r="Q124">
        <f t="shared" si="42"/>
        <v>0.08</v>
      </c>
      <c r="R124">
        <f t="shared" si="35"/>
        <v>0.08</v>
      </c>
      <c r="S124">
        <f t="shared" si="36"/>
        <v>0.06</v>
      </c>
      <c r="T124">
        <f t="shared" si="37"/>
        <v>0.1</v>
      </c>
      <c r="U124">
        <f t="shared" si="43"/>
        <v>0.08</v>
      </c>
      <c r="V124">
        <f t="shared" si="47"/>
        <v>0.18056375282484624</v>
      </c>
      <c r="W124">
        <f t="shared" si="44"/>
        <v>0.14204657772532486</v>
      </c>
      <c r="X124">
        <f t="shared" si="45"/>
        <v>0.22853519166666442</v>
      </c>
      <c r="Y124" t="b">
        <f t="shared" si="48"/>
        <v>0</v>
      </c>
    </row>
    <row xmlns:x14ac="http://schemas.microsoft.com/office/spreadsheetml/2009/9/ac" r="125" x14ac:dyDescent="0.45">
      <c r="A125">
        <v>0.59</v>
      </c>
      <c r="B125">
        <f t="shared" si="25"/>
        <v>0.15906982460106747</v>
      </c>
      <c r="C125" t="b">
        <f t="shared" si="38"/>
        <v>1</v>
      </c>
      <c r="D125" t="b">
        <f t="shared" si="26"/>
        <v>1</v>
      </c>
      <c r="E125">
        <f t="shared" si="34"/>
        <v>0.59</v>
      </c>
      <c r="F125">
        <f t="shared" si="39"/>
        <v>0.15906982460106747</v>
      </c>
      <c r="G125">
        <f t="shared" si="27"/>
        <v>0.22807755615384279</v>
      </c>
      <c r="H125">
        <f t="shared" si="28"/>
        <v>3.3488394077333644E-2</v>
      </c>
      <c r="I125" t="b">
        <f t="shared" si="40"/>
        <v>1</v>
      </c>
      <c r="J125">
        <f t="shared" si="29"/>
        <v>0.59</v>
      </c>
      <c r="K125">
        <f t="shared" si="41"/>
        <v>3.3488394077333644E-2</v>
      </c>
      <c r="L125">
        <f t="shared" si="30"/>
        <v>0.14273675018039578</v>
      </c>
      <c r="M125">
        <f t="shared" si="31"/>
        <v>0.18697678815466728</v>
      </c>
      <c r="N125">
        <f t="shared" si="32"/>
        <v>0.18168943738818089</v>
      </c>
      <c r="O125">
        <f t="shared" si="33"/>
        <v>0.1570362229627619</v>
      </c>
      <c r="P125">
        <f t="shared" si="46"/>
        <v>0.08</v>
      </c>
      <c r="Q125">
        <f t="shared" si="42"/>
        <v>0.08</v>
      </c>
      <c r="R125">
        <f t="shared" si="35"/>
        <v>0.08</v>
      </c>
      <c r="S125">
        <f t="shared" si="36"/>
        <v>0.06</v>
      </c>
      <c r="T125">
        <f t="shared" si="37"/>
        <v>0.1</v>
      </c>
      <c r="U125">
        <f t="shared" si="43"/>
        <v>0.08</v>
      </c>
      <c r="V125">
        <f t="shared" si="47"/>
        <v>0.18168943738818089</v>
      </c>
      <c r="W125">
        <f t="shared" si="44"/>
        <v>0.14218599600055554</v>
      </c>
      <c r="X125">
        <f t="shared" si="45"/>
        <v>0.22844274701255934</v>
      </c>
      <c r="Y125" t="b">
        <f t="shared" si="48"/>
        <v>0</v>
      </c>
    </row>
    <row xmlns:x14ac="http://schemas.microsoft.com/office/spreadsheetml/2009/9/ac" r="126" x14ac:dyDescent="0.45">
      <c r="A126">
        <v>0.59499999999999997</v>
      </c>
      <c r="B126">
        <f t="shared" si="25"/>
        <v>0.15962212599580805</v>
      </c>
      <c r="C126" t="b">
        <f t="shared" si="38"/>
        <v>1</v>
      </c>
      <c r="D126" t="b">
        <f t="shared" si="26"/>
        <v>1</v>
      </c>
      <c r="E126">
        <f t="shared" si="34"/>
        <v>0.59499999999999997</v>
      </c>
      <c r="F126">
        <f t="shared" si="39"/>
        <v>0.15962212599580805</v>
      </c>
      <c r="G126">
        <f t="shared" si="27"/>
        <v>0.22798739396638001</v>
      </c>
      <c r="H126">
        <f t="shared" si="28"/>
        <v>3.3700817690695412E-2</v>
      </c>
      <c r="I126" t="b">
        <f t="shared" si="40"/>
        <v>1</v>
      </c>
      <c r="J126">
        <f t="shared" si="29"/>
        <v>0.59499999999999997</v>
      </c>
      <c r="K126">
        <f t="shared" si="41"/>
        <v>3.3700817690695412E-2</v>
      </c>
      <c r="L126">
        <f t="shared" si="30"/>
        <v>0.14287272620614616</v>
      </c>
      <c r="M126">
        <f t="shared" si="31"/>
        <v>0.18740163538139082</v>
      </c>
      <c r="N126">
        <f t="shared" si="32"/>
        <v>0.18280783897058117</v>
      </c>
      <c r="O126">
        <f t="shared" si="33"/>
        <v>0.15712854602895415</v>
      </c>
      <c r="P126">
        <f t="shared" si="46"/>
        <v>0.08</v>
      </c>
      <c r="Q126">
        <f t="shared" si="42"/>
        <v>0.08</v>
      </c>
      <c r="R126">
        <f t="shared" si="35"/>
        <v>0.08</v>
      </c>
      <c r="S126">
        <f t="shared" si="36"/>
        <v>0.06</v>
      </c>
      <c r="T126">
        <f t="shared" si="37"/>
        <v>0.1</v>
      </c>
      <c r="U126">
        <f t="shared" si="43"/>
        <v>0.08</v>
      </c>
      <c r="V126">
        <f t="shared" si="47"/>
        <v>0.18280783897058117</v>
      </c>
      <c r="W126">
        <f t="shared" si="44"/>
        <v>0.14232471892423759</v>
      </c>
      <c r="X126">
        <f t="shared" si="45"/>
        <v>0.22835076342809008</v>
      </c>
      <c r="Y126" t="b">
        <f t="shared" si="48"/>
        <v>0</v>
      </c>
    </row>
    <row xmlns:x14ac="http://schemas.microsoft.com/office/spreadsheetml/2009/9/ac" r="127" x14ac:dyDescent="0.45">
      <c r="A127">
        <v>0.6</v>
      </c>
      <c r="B127">
        <f t="shared" si="25"/>
        <v>0.1601636499226301</v>
      </c>
      <c r="C127" t="b">
        <f t="shared" si="38"/>
        <v>1</v>
      </c>
      <c r="D127" t="b">
        <f t="shared" si="26"/>
        <v>1</v>
      </c>
      <c r="E127">
        <f t="shared" si="34"/>
        <v>0.6</v>
      </c>
      <c r="F127">
        <f t="shared" si="39"/>
        <v>0.1601636499226301</v>
      </c>
      <c r="G127">
        <f t="shared" si="27"/>
        <v>0.22789768146470329</v>
      </c>
      <c r="H127">
        <f t="shared" si="28"/>
        <v>3.3909096124088503E-2</v>
      </c>
      <c r="I127" t="b">
        <f t="shared" si="40"/>
        <v>1</v>
      </c>
      <c r="J127">
        <f t="shared" si="29"/>
        <v>0.6</v>
      </c>
      <c r="K127">
        <f t="shared" si="41"/>
        <v>3.3909096124088503E-2</v>
      </c>
      <c r="L127">
        <f t="shared" si="30"/>
        <v>0.14300802404863877</v>
      </c>
      <c r="M127">
        <f t="shared" si="31"/>
        <v>0.187818192248177</v>
      </c>
      <c r="N127">
        <f t="shared" si="32"/>
        <v>0.18391419469073828</v>
      </c>
      <c r="O127">
        <f t="shared" si="33"/>
        <v>0.15721794751848037</v>
      </c>
      <c r="P127">
        <f t="shared" si="46"/>
        <v>0.08</v>
      </c>
      <c r="Q127">
        <f t="shared" si="42"/>
        <v>0.08</v>
      </c>
      <c r="R127">
        <f t="shared" si="35"/>
        <v>0.08</v>
      </c>
      <c r="S127">
        <f t="shared" si="36"/>
        <v>0.06</v>
      </c>
      <c r="T127">
        <f t="shared" si="37"/>
        <v>0.1</v>
      </c>
      <c r="U127">
        <f t="shared" si="43"/>
        <v>0.08</v>
      </c>
      <c r="V127">
        <f t="shared" si="47"/>
        <v>0.18391419469073828</v>
      </c>
      <c r="W127">
        <f t="shared" si="44"/>
        <v>0.14246274996445132</v>
      </c>
      <c r="X127">
        <f t="shared" si="45"/>
        <v>0.22825923861366232</v>
      </c>
      <c r="Y127" t="b">
        <f t="shared" si="48"/>
        <v>0</v>
      </c>
    </row>
    <row xmlns:x14ac="http://schemas.microsoft.com/office/spreadsheetml/2009/9/ac" r="128" x14ac:dyDescent="0.45">
      <c r="A128">
        <v>0.60499999999999998</v>
      </c>
      <c r="B128">
        <f t="shared" si="25"/>
        <v>0.16069233154039139</v>
      </c>
      <c r="C128" t="b">
        <f t="shared" si="38"/>
        <v>1</v>
      </c>
      <c r="D128" t="b">
        <f t="shared" si="26"/>
        <v>1</v>
      </c>
      <c r="E128">
        <f t="shared" si="34"/>
        <v>0.60499999999999998</v>
      </c>
      <c r="F128">
        <f t="shared" si="39"/>
        <v>0.16069233154039139</v>
      </c>
      <c r="G128">
        <f t="shared" si="27"/>
        <v>0.22780841640599531</v>
      </c>
      <c r="H128">
        <f t="shared" si="28"/>
        <v>3.4112435207842851E-2</v>
      </c>
      <c r="I128" t="b">
        <f t="shared" si="40"/>
        <v>1</v>
      </c>
      <c r="J128">
        <f t="shared" si="29"/>
        <v>0.60499999999999998</v>
      </c>
      <c r="K128">
        <f t="shared" si="41"/>
        <v>3.4112435207842851E-2</v>
      </c>
      <c r="L128">
        <f t="shared" si="30"/>
        <v>0.14314264709032681</v>
      </c>
      <c r="M128">
        <f t="shared" si="31"/>
        <v>0.1882248704156857</v>
      </c>
      <c r="N128">
        <f t="shared" si="32"/>
        <v>0.18500394543628079</v>
      </c>
      <c r="O128">
        <f t="shared" si="33"/>
        <v>0.15730414952669308</v>
      </c>
      <c r="P128">
        <f t="shared" si="46"/>
        <v>0.08</v>
      </c>
      <c r="Q128">
        <f t="shared" si="42"/>
        <v>0.08</v>
      </c>
      <c r="R128">
        <f t="shared" si="35"/>
        <v>0.08</v>
      </c>
      <c r="S128">
        <f t="shared" si="36"/>
        <v>0.06</v>
      </c>
      <c r="T128">
        <f t="shared" si="37"/>
        <v>0.1</v>
      </c>
      <c r="U128">
        <f t="shared" si="43"/>
        <v>0.08</v>
      </c>
      <c r="V128">
        <f t="shared" si="47"/>
        <v>0.18500394543628079</v>
      </c>
      <c r="W128">
        <f t="shared" si="44"/>
        <v>0.14260009257197992</v>
      </c>
      <c r="X128">
        <f t="shared" si="45"/>
        <v>0.22816817028115088</v>
      </c>
      <c r="Y128" t="b">
        <f t="shared" si="48"/>
        <v>0</v>
      </c>
    </row>
    <row xmlns:x14ac="http://schemas.microsoft.com/office/spreadsheetml/2009/9/ac" r="129" x14ac:dyDescent="0.45">
      <c r="A129">
        <v>0.61</v>
      </c>
      <c r="B129">
        <f t="shared" si="25"/>
        <v>0.16120626814463593</v>
      </c>
      <c r="C129" t="b">
        <f t="shared" si="38"/>
        <v>1</v>
      </c>
      <c r="D129" t="b">
        <f t="shared" si="26"/>
        <v>1</v>
      </c>
      <c r="E129">
        <f t="shared" si="34"/>
        <v>0.61</v>
      </c>
      <c r="F129">
        <f t="shared" si="39"/>
        <v>0.16120626814463593</v>
      </c>
      <c r="G129">
        <f t="shared" si="27"/>
        <v>0.22771959655862506</v>
      </c>
      <c r="H129">
        <f t="shared" si="28"/>
        <v>3.4310103132552283E-2</v>
      </c>
      <c r="I129" t="b">
        <f t="shared" si="40"/>
        <v>1</v>
      </c>
      <c r="J129">
        <f t="shared" si="29"/>
        <v>0.61</v>
      </c>
      <c r="K129">
        <f t="shared" si="41"/>
        <v>3.4310103132552283E-2</v>
      </c>
      <c r="L129">
        <f t="shared" si="30"/>
        <v>0.14327659869679329</v>
      </c>
      <c r="M129">
        <f t="shared" si="31"/>
        <v>0.18862020626510456</v>
      </c>
      <c r="N129">
        <f t="shared" si="32"/>
        <v>0.18607274979705996</v>
      </c>
      <c r="O129">
        <f t="shared" si="33"/>
        <v>0.15738691066378799</v>
      </c>
      <c r="P129">
        <f t="shared" si="46"/>
        <v>0.08</v>
      </c>
      <c r="Q129">
        <f t="shared" si="42"/>
        <v>0.08</v>
      </c>
      <c r="R129">
        <f t="shared" si="35"/>
        <v>0.08</v>
      </c>
      <c r="S129">
        <f t="shared" si="36"/>
        <v>0.06</v>
      </c>
      <c r="T129">
        <f t="shared" si="37"/>
        <v>0.1</v>
      </c>
      <c r="U129">
        <f t="shared" si="43"/>
        <v>0.08</v>
      </c>
      <c r="V129">
        <f t="shared" si="47"/>
        <v>0.18607274979705996</v>
      </c>
      <c r="W129">
        <f t="shared" si="44"/>
        <v>0.14273675018039578</v>
      </c>
      <c r="X129">
        <f t="shared" si="45"/>
        <v>0.22807755615384279</v>
      </c>
      <c r="Y129" t="b">
        <f t="shared" si="48"/>
        <v>0</v>
      </c>
    </row>
    <row xmlns:x14ac="http://schemas.microsoft.com/office/spreadsheetml/2009/9/ac" r="130" x14ac:dyDescent="0.45">
      <c r="A130">
        <v>0.61499999999999999</v>
      </c>
      <c r="B130">
        <f t="shared" si="25"/>
        <v>0.16170372036197875</v>
      </c>
      <c r="C130" t="b">
        <f t="shared" si="38"/>
        <v>1</v>
      </c>
      <c r="D130" t="b">
        <f t="shared" si="26"/>
        <v>1</v>
      </c>
      <c r="E130">
        <f t="shared" si="34"/>
        <v>0.61499999999999999</v>
      </c>
      <c r="F130">
        <f t="shared" si="39"/>
        <v>0.16170372036197875</v>
      </c>
      <c r="G130">
        <f t="shared" si="27"/>
        <v>0.22763121970209166</v>
      </c>
      <c r="H130">
        <f t="shared" si="28"/>
        <v>3.4501430908453368E-2</v>
      </c>
      <c r="I130" t="b">
        <f t="shared" si="40"/>
        <v>1</v>
      </c>
      <c r="J130">
        <f t="shared" si="29"/>
        <v>0.61499999999999999</v>
      </c>
      <c r="K130">
        <f t="shared" si="41"/>
        <v>3.4501430908453368E-2</v>
      </c>
      <c r="L130">
        <f t="shared" si="30"/>
        <v>0.14340988221683532</v>
      </c>
      <c r="M130">
        <f t="shared" si="31"/>
        <v>0.18900286181690673</v>
      </c>
      <c r="N130">
        <f t="shared" si="32"/>
        <v>0.18711649658786289</v>
      </c>
      <c r="O130">
        <f t="shared" si="33"/>
        <v>0.15746602481651434</v>
      </c>
      <c r="P130">
        <f t="shared" si="46"/>
        <v>0.08</v>
      </c>
      <c r="Q130">
        <f t="shared" si="42"/>
        <v>0.08</v>
      </c>
      <c r="R130">
        <f t="shared" si="35"/>
        <v>0.08</v>
      </c>
      <c r="S130">
        <f t="shared" si="36"/>
        <v>0.06</v>
      </c>
      <c r="T130">
        <f t="shared" si="37"/>
        <v>0.1</v>
      </c>
      <c r="U130">
        <f t="shared" si="43"/>
        <v>0.08</v>
      </c>
      <c r="V130">
        <f t="shared" si="47"/>
        <v>0.18711649658786289</v>
      </c>
      <c r="W130">
        <f t="shared" si="44"/>
        <v>0.14287272620614616</v>
      </c>
      <c r="X130">
        <f t="shared" si="45"/>
        <v>0.22798739396638001</v>
      </c>
      <c r="Y130" t="b">
        <f t="shared" si="48"/>
        <v>0</v>
      </c>
    </row>
    <row xmlns:x14ac="http://schemas.microsoft.com/office/spreadsheetml/2009/9/ac" r="131" x14ac:dyDescent="0.45">
      <c r="A131">
        <v>0.62</v>
      </c>
      <c r="B131">
        <f t="shared" si="25"/>
        <v>0.16218311250492062</v>
      </c>
      <c r="C131" t="b">
        <f t="shared" si="38"/>
        <v>1</v>
      </c>
      <c r="D131" t="b">
        <f t="shared" si="26"/>
        <v>1</v>
      </c>
      <c r="E131">
        <f t="shared" si="34"/>
        <v>0.62</v>
      </c>
      <c r="F131">
        <f t="shared" si="39"/>
        <v>0.16218311250492062</v>
      </c>
      <c r="G131">
        <f t="shared" si="27"/>
        <v>0.22754328362696907</v>
      </c>
      <c r="H131">
        <f t="shared" si="28"/>
        <v>3.4685812501892552E-2</v>
      </c>
      <c r="I131" t="b">
        <f t="shared" si="40"/>
        <v>1</v>
      </c>
      <c r="J131">
        <f t="shared" si="29"/>
        <v>0.62</v>
      </c>
      <c r="K131">
        <f t="shared" si="41"/>
        <v>3.4685812501892552E-2</v>
      </c>
      <c r="L131">
        <f t="shared" si="30"/>
        <v>0.14354250098254789</v>
      </c>
      <c r="M131">
        <f t="shared" si="31"/>
        <v>0.1893716250037851</v>
      </c>
      <c r="N131">
        <f t="shared" si="32"/>
        <v>0.18813131594908011</v>
      </c>
      <c r="O131">
        <f t="shared" si="33"/>
        <v>0.15754131980616592</v>
      </c>
      <c r="P131">
        <f t="shared" si="46"/>
        <v>0.08</v>
      </c>
      <c r="Q131">
        <f t="shared" si="42"/>
        <v>0.08</v>
      </c>
      <c r="R131">
        <f t="shared" si="35"/>
        <v>0.08</v>
      </c>
      <c r="S131">
        <f t="shared" si="36"/>
        <v>0.06</v>
      </c>
      <c r="T131">
        <f t="shared" si="37"/>
        <v>0.1</v>
      </c>
      <c r="U131">
        <f t="shared" si="43"/>
        <v>0.08</v>
      </c>
      <c r="V131">
        <f t="shared" si="47"/>
        <v>0.18813131594908011</v>
      </c>
      <c r="W131">
        <f t="shared" si="44"/>
        <v>0.14300802404863877</v>
      </c>
      <c r="X131">
        <f t="shared" si="45"/>
        <v>0.22789768146470329</v>
      </c>
      <c r="Y131" t="b">
        <f t="shared" si="48"/>
        <v>0</v>
      </c>
    </row>
    <row xmlns:x14ac="http://schemas.microsoft.com/office/spreadsheetml/2009/9/ac" r="132" x14ac:dyDescent="0.45">
      <c r="A132">
        <v>0.625</v>
      </c>
      <c r="B132">
        <f t="shared" si="25"/>
        <v>0.16264303212634076</v>
      </c>
      <c r="C132" t="b">
        <f t="shared" si="38"/>
        <v>1</v>
      </c>
      <c r="D132" t="b">
        <f t="shared" si="26"/>
        <v>1</v>
      </c>
      <c r="E132">
        <f t="shared" si="34"/>
        <v>0.625</v>
      </c>
      <c r="F132">
        <f t="shared" si="39"/>
        <v>0.16264303212634076</v>
      </c>
      <c r="G132">
        <f t="shared" si="27"/>
        <v>0.2274557861348509</v>
      </c>
      <c r="H132">
        <f t="shared" si="28"/>
        <v>3.4862704663977215E-2</v>
      </c>
      <c r="I132" t="b">
        <f t="shared" si="40"/>
        <v>1</v>
      </c>
      <c r="J132">
        <f t="shared" si="29"/>
        <v>0.625</v>
      </c>
      <c r="K132">
        <f t="shared" si="41"/>
        <v>3.4862704663977215E-2</v>
      </c>
      <c r="L132">
        <f t="shared" si="30"/>
        <v>0.14367445830940703</v>
      </c>
      <c r="M132">
        <f t="shared" si="31"/>
        <v>0.18972540932795445</v>
      </c>
      <c r="N132">
        <f t="shared" si="32"/>
        <v>0.18911358902056177</v>
      </c>
      <c r="O132">
        <f t="shared" si="33"/>
        <v>0.15761265595727669</v>
      </c>
      <c r="P132">
        <f t="shared" si="46"/>
        <v>0.08</v>
      </c>
      <c r="Q132">
        <f t="shared" si="42"/>
        <v>0.08</v>
      </c>
      <c r="R132">
        <f t="shared" si="35"/>
        <v>0.08</v>
      </c>
      <c r="S132">
        <f t="shared" si="36"/>
        <v>0.06</v>
      </c>
      <c r="T132">
        <f t="shared" si="37"/>
        <v>0.1</v>
      </c>
      <c r="U132">
        <f t="shared" si="43"/>
        <v>0.08</v>
      </c>
      <c r="V132">
        <f t="shared" si="47"/>
        <v>0.18911358902056177</v>
      </c>
      <c r="W132">
        <f t="shared" si="44"/>
        <v>0.14314264709032681</v>
      </c>
      <c r="X132">
        <f t="shared" si="45"/>
        <v>0.22780841640599531</v>
      </c>
      <c r="Y132" t="b">
        <f t="shared" si="48"/>
        <v>0</v>
      </c>
    </row>
    <row xmlns:x14ac="http://schemas.microsoft.com/office/spreadsheetml/2009/9/ac" r="133" x14ac:dyDescent="0.45">
      <c r="A133">
        <v>0.63</v>
      </c>
      <c r="B133">
        <f t="shared" si="25"/>
        <v>0.16308222881483159</v>
      </c>
      <c r="C133" t="b">
        <f t="shared" si="38"/>
        <v>1</v>
      </c>
      <c r="D133" t="b">
        <f t="shared" si="26"/>
        <v>1</v>
      </c>
      <c r="E133">
        <f t="shared" si="34"/>
        <v>0.63</v>
      </c>
      <c r="F133">
        <f t="shared" si="39"/>
        <v>0.16308222881483159</v>
      </c>
      <c r="G133">
        <f t="shared" si="27"/>
        <v>0.22736872503829525</v>
      </c>
      <c r="H133">
        <f t="shared" si="28"/>
        <v>3.5031626467242921E-2</v>
      </c>
      <c r="I133" t="b">
        <f t="shared" si="40"/>
        <v>1</v>
      </c>
      <c r="J133">
        <f t="shared" si="29"/>
        <v>0.63</v>
      </c>
      <c r="K133">
        <f t="shared" si="41"/>
        <v>3.5031626467242921E-2</v>
      </c>
      <c r="L133">
        <f t="shared" si="30"/>
        <v>0.14380575749635277</v>
      </c>
      <c r="M133">
        <f t="shared" si="31"/>
        <v>0.19006325293448584</v>
      </c>
      <c r="N133">
        <f t="shared" si="32"/>
        <v>0.19005995619041607</v>
      </c>
      <c r="O133">
        <f t="shared" si="33"/>
        <v>0.1576799245909225</v>
      </c>
      <c r="P133">
        <f t="shared" si="46"/>
        <v>0.08</v>
      </c>
      <c r="Q133">
        <f t="shared" si="42"/>
        <v>0.08</v>
      </c>
      <c r="R133">
        <f t="shared" si="35"/>
        <v>0.08</v>
      </c>
      <c r="S133">
        <f t="shared" si="36"/>
        <v>0.06</v>
      </c>
      <c r="T133">
        <f t="shared" si="37"/>
        <v>0.1</v>
      </c>
      <c r="U133">
        <f t="shared" si="43"/>
        <v>0.08</v>
      </c>
      <c r="V133">
        <f t="shared" si="47"/>
        <v>0.19005995619041607</v>
      </c>
      <c r="W133">
        <f t="shared" si="44"/>
        <v>0.14327659869679329</v>
      </c>
      <c r="X133">
        <f t="shared" si="45"/>
        <v>0.22771959655862506</v>
      </c>
      <c r="Y133" t="b">
        <f t="shared" si="48"/>
        <v>0</v>
      </c>
    </row>
    <row xmlns:x14ac="http://schemas.microsoft.com/office/spreadsheetml/2009/9/ac" r="134" x14ac:dyDescent="0.45">
      <c r="A134">
        <v>0.63500000000000001</v>
      </c>
      <c r="B134">
        <f t="shared" si="25"/>
        <v>0.16349961227366244</v>
      </c>
      <c r="C134" t="b">
        <f t="shared" si="38"/>
        <v>1</v>
      </c>
      <c r="D134" t="b">
        <f t="shared" si="26"/>
        <v>1</v>
      </c>
      <c r="E134">
        <f t="shared" si="34"/>
        <v>0.63500000000000001</v>
      </c>
      <c r="F134">
        <f t="shared" si="39"/>
        <v>0.16349961227366244</v>
      </c>
      <c r="G134">
        <f t="shared" si="27"/>
        <v>0.22728209816077016</v>
      </c>
      <c r="H134">
        <f t="shared" si="28"/>
        <v>3.5192158566793252E-2</v>
      </c>
      <c r="I134" t="b">
        <f t="shared" si="40"/>
        <v>1</v>
      </c>
      <c r="J134">
        <f t="shared" si="29"/>
        <v>0.63500000000000001</v>
      </c>
      <c r="K134">
        <f t="shared" si="41"/>
        <v>3.5192158566793252E-2</v>
      </c>
      <c r="L134">
        <f t="shared" si="30"/>
        <v>0.14393640182587164</v>
      </c>
      <c r="M134">
        <f t="shared" si="31"/>
        <v>0.1903843171335865</v>
      </c>
      <c r="N134">
        <f t="shared" si="32"/>
        <v>0.19096732392680987</v>
      </c>
      <c r="O134">
        <f t="shared" si="33"/>
        <v>0.15774304645597059</v>
      </c>
      <c r="P134">
        <f t="shared" si="46"/>
        <v>0.08</v>
      </c>
      <c r="Q134">
        <f t="shared" si="42"/>
        <v>0.08</v>
      </c>
      <c r="R134">
        <f t="shared" si="35"/>
        <v>0.08</v>
      </c>
      <c r="S134">
        <f t="shared" si="36"/>
        <v>0.06</v>
      </c>
      <c r="T134">
        <f t="shared" si="37"/>
        <v>0.1</v>
      </c>
      <c r="U134">
        <f t="shared" si="43"/>
        <v>0.08</v>
      </c>
      <c r="V134">
        <f t="shared" si="47"/>
        <v>0.19096732392680987</v>
      </c>
      <c r="W134">
        <f t="shared" si="44"/>
        <v>0.14340988221683532</v>
      </c>
      <c r="X134">
        <f t="shared" si="45"/>
        <v>0.22763121970209166</v>
      </c>
      <c r="Y134" t="b">
        <f t="shared" si="48"/>
        <v>0</v>
      </c>
    </row>
    <row xmlns:x14ac="http://schemas.microsoft.com/office/spreadsheetml/2009/9/ac" r="135" x14ac:dyDescent="0.45">
      <c r="A135">
        <v>0.64</v>
      </c>
      <c r="B135">
        <f t="shared" ref="B135:B198" si="49">-(1+Marge_haute)*(A+B/Tpll*EXP(-$A135/Tpll)+C_*EXP(-epsilon*Wn*$A135)*COS(Wd*$A135)+C_*(D/C_-epsilon*Wn)/Wd*EXP(-epsilon*Wn*$A135)*SIN(Wd*$A135))+SIGN(DeltaPexpected)*Tunnel</f>
        <v>0.16389424972749952</v>
      </c>
      <c r="C135" t="b">
        <f t="shared" si="38"/>
        <v>1</v>
      </c>
      <c r="D135" t="b">
        <f t="shared" ref="D135:D198" si="50">IF(D134,D134,IF(C135,B135&gt;B134,C135))</f>
        <v>1</v>
      </c>
      <c r="E135">
        <f t="shared" si="34"/>
        <v>0.64</v>
      </c>
      <c r="F135">
        <f t="shared" si="39"/>
        <v>0.16389424972749952</v>
      </c>
      <c r="G135">
        <f t="shared" ref="G135:G198" si="51">P0-SIGN(Rocof)*IF(D135,DeltaPexpected+SIGN(DeltaPexpected)*Tunnel+(MIN(F$7:F$1495)-DeltaPexpected-+SIGN(DeltaPexpected)*Tunnel)*EXP(-(A135-MIN(E$7:E$1495))/Texpodecrease),B135)</f>
        <v>0.22719590333659917</v>
      </c>
      <c r="H135">
        <f t="shared" ref="H135:H198" si="52">-(1-marge_basse)*(A+B/Tpll*EXP(-$A135/Tpll)+C_*EXP(-epsilon*Wn*$A135)*COS(Wd*$A135)+C_*(D/C_-epsilon*Wn)/Wd*EXP(-epsilon*Wn*$A135)*SIN(Wd*$A135))-Tunnel</f>
        <v>3.5343942202884435E-2</v>
      </c>
      <c r="I135" t="b">
        <f t="shared" si="40"/>
        <v>1</v>
      </c>
      <c r="J135">
        <f t="shared" ref="J135:J198" si="53">IF(I135,A135,I135)</f>
        <v>0.64</v>
      </c>
      <c r="K135">
        <f t="shared" si="41"/>
        <v>3.5343942202884435E-2</v>
      </c>
      <c r="L135">
        <f t="shared" ref="L135:L198" si="54">P0-SIGN(Rocof)*IF(I135,AF$23-AF$13+(MAX(K$7:K$1495)-AF$23+AF$13)*EXP(-(A135-MIN(J$7:J$1495))/AB$21),H135)</f>
        <v>0.14406639456407866</v>
      </c>
      <c r="M135">
        <f t="shared" ref="M135:M198" si="55">P0-(1)*(A+B/Tpll*EXP(-$A135/Tpll)+C_*EXP(-epsilon*Wn*$A135)*COS(Wd*$A135)+C_*(D/C_-epsilon*Wn)/Wd*EXP(-epsilon*Wn*$A135)*SIN(Wd*$A135))</f>
        <v>0.19068788440576886</v>
      </c>
      <c r="N135">
        <f t="shared" ref="N135:N198" si="56">AB$6-(AG$17+AG$16/AC$18*EXP(-$A135/AC$18)+AG$18*EXP(-AG$6*AG$12*$A135)*COS(AG$5*$A135)+AG$18*(AG$19/AG$18-AG$6*AG$12)/AG$5*EXP(-AG$6*AG$12*$A135)*SIN(AG$5*$A135))</f>
        <v>0.19183287020690151</v>
      </c>
      <c r="O135">
        <f t="shared" ref="O135:O198" si="57">AB$6-(AH$17+AH$16/AD$18*EXP(-$A135/AD$18)+AH$18*EXP(-AH$6*AH$12*$A135)*COS(AH$5*$A135)+AH$18*(AH$19/AH$18-AH$6*AH$12)/AH$5*EXP(-AH$6*AH$12*$A135)*SIN(AH$5*$A135))</f>
        <v>0.15780197011102551</v>
      </c>
      <c r="P135">
        <f t="shared" si="46"/>
        <v>0.08</v>
      </c>
      <c r="Q135">
        <f t="shared" si="42"/>
        <v>0.08</v>
      </c>
      <c r="R135">
        <f t="shared" si="35"/>
        <v>0.08</v>
      </c>
      <c r="S135">
        <f t="shared" si="36"/>
        <v>0.06</v>
      </c>
      <c r="T135">
        <f t="shared" si="37"/>
        <v>0.1</v>
      </c>
      <c r="U135">
        <f t="shared" si="43"/>
        <v>0.08</v>
      </c>
      <c r="V135">
        <f t="shared" si="47"/>
        <v>0.19183287020690151</v>
      </c>
      <c r="W135">
        <f t="shared" si="44"/>
        <v>0.14354250098254789</v>
      </c>
      <c r="X135">
        <f t="shared" si="45"/>
        <v>0.22754328362696907</v>
      </c>
      <c r="Y135" t="b">
        <f t="shared" si="48"/>
        <v>0</v>
      </c>
    </row>
    <row xmlns:x14ac="http://schemas.microsoft.com/office/spreadsheetml/2009/9/ac" r="136" x14ac:dyDescent="0.45">
      <c r="A136">
        <v>0.64500000000000002</v>
      </c>
      <c r="B136">
        <f t="shared" si="49"/>
        <v>0.16426536270207365</v>
      </c>
      <c r="C136" t="b">
        <f t="shared" si="38"/>
        <v>1</v>
      </c>
      <c r="D136" t="b">
        <f t="shared" si="50"/>
        <v>1</v>
      </c>
      <c r="E136">
        <f t="shared" ref="E136:E199" si="58">IF(D136,A136,D136)</f>
        <v>0.64500000000000002</v>
      </c>
      <c r="F136">
        <f t="shared" si="39"/>
        <v>0.16426536270207365</v>
      </c>
      <c r="G136">
        <f t="shared" si="51"/>
        <v>0.22711013841090727</v>
      </c>
      <c r="H136">
        <f t="shared" si="52"/>
        <v>3.5486677962336025E-2</v>
      </c>
      <c r="I136" t="b">
        <f t="shared" si="40"/>
        <v>1</v>
      </c>
      <c r="J136">
        <f t="shared" si="53"/>
        <v>0.64500000000000002</v>
      </c>
      <c r="K136">
        <f t="shared" si="41"/>
        <v>3.5486677962336025E-2</v>
      </c>
      <c r="L136">
        <f t="shared" si="54"/>
        <v>0.14419573896079907</v>
      </c>
      <c r="M136">
        <f t="shared" si="55"/>
        <v>0.19097335592467204</v>
      </c>
      <c r="N136">
        <f t="shared" si="56"/>
        <v>0.19265404856285429</v>
      </c>
      <c r="O136">
        <f t="shared" si="57"/>
        <v>0.15785667026919953</v>
      </c>
      <c r="P136">
        <f t="shared" si="46"/>
        <v>0.08</v>
      </c>
      <c r="Q136">
        <f t="shared" si="42"/>
        <v>0.08</v>
      </c>
      <c r="R136">
        <f t="shared" ref="R136:R199" si="59">$AB$6-(1+AB$17)*EXP(-AF$6*AF$12*A136)*(COS(AF$5*A136)-(AF$6*AF$12-1)/(AF$5)*SIN(AF$5*A136))*AF$15</f>
        <v>0.08</v>
      </c>
      <c r="S136">
        <f t="shared" ref="S136:S199" si="60">R136-AF$13</f>
        <v>0.06</v>
      </c>
      <c r="T136">
        <f t="shared" ref="T136:T199" si="61">R136+AF$13</f>
        <v>0.1</v>
      </c>
      <c r="U136">
        <f t="shared" si="43"/>
        <v>0.08</v>
      </c>
      <c r="V136">
        <f t="shared" si="47"/>
        <v>0.19265404856285429</v>
      </c>
      <c r="W136">
        <f t="shared" si="44"/>
        <v>0.14367445830940703</v>
      </c>
      <c r="X136">
        <f t="shared" si="45"/>
        <v>0.2274557861348509</v>
      </c>
      <c r="Y136" t="b">
        <f t="shared" si="48"/>
        <v>0</v>
      </c>
    </row>
    <row xmlns:x14ac="http://schemas.microsoft.com/office/spreadsheetml/2009/9/ac" r="137" x14ac:dyDescent="0.45">
      <c r="A137">
        <v>0.65</v>
      </c>
      <c r="B137">
        <f t="shared" si="49"/>
        <v>0.16461232322278208</v>
      </c>
      <c r="C137" t="b">
        <f t="shared" ref="C137:C200" si="62">IF(C136,C136,(B137&lt;B136))</f>
        <v>1</v>
      </c>
      <c r="D137" t="b">
        <f t="shared" si="50"/>
        <v>1</v>
      </c>
      <c r="E137">
        <f t="shared" si="58"/>
        <v>0.65</v>
      </c>
      <c r="F137">
        <f t="shared" ref="F137:F200" si="63">IF(D137,B137,D137)</f>
        <v>0.16461232322278208</v>
      </c>
      <c r="G137">
        <f t="shared" si="51"/>
        <v>0.22702480123956681</v>
      </c>
      <c r="H137">
        <f t="shared" si="52"/>
        <v>3.5620124316454643E-2</v>
      </c>
      <c r="I137" t="b">
        <f t="shared" ref="I137:I200" si="64">IF(I136,I136,H136&gt;H137)</f>
        <v>1</v>
      </c>
      <c r="J137">
        <f t="shared" si="53"/>
        <v>0.65</v>
      </c>
      <c r="K137">
        <f t="shared" ref="K137:K200" si="65">IF(I137,H137,I137)</f>
        <v>3.5620124316454643E-2</v>
      </c>
      <c r="L137">
        <f t="shared" si="54"/>
        <v>0.14432443824964958</v>
      </c>
      <c r="M137">
        <f t="shared" si="55"/>
        <v>0.19124024863290928</v>
      </c>
      <c r="N137">
        <f t="shared" si="56"/>
        <v>0.1934285907704229</v>
      </c>
      <c r="O137">
        <f t="shared" si="57"/>
        <v>0.15790714611719303</v>
      </c>
      <c r="P137">
        <f t="shared" si="46"/>
        <v>0.08</v>
      </c>
      <c r="Q137">
        <f t="shared" ref="Q137:Q200" si="66">$AB$6-(1+AB$17)*EXP(-AF$6*AF$12*A135)*(COS(AF$5*A135)-(AF$6*AF$12-1)/(AF$5)*SIN(AF$5*A135))*AF$15</f>
        <v>0.08</v>
      </c>
      <c r="R137">
        <f t="shared" si="59"/>
        <v>0.08</v>
      </c>
      <c r="S137">
        <f t="shared" si="60"/>
        <v>0.06</v>
      </c>
      <c r="T137">
        <f t="shared" si="61"/>
        <v>0.1</v>
      </c>
      <c r="U137">
        <f t="shared" ref="U137:U200" si="67">$AB$6-AB$18*EXP(-AF$6*AF$12*A135)*(COS(AF$5*A135)-(AF$6*AF$12-1)/(AF$5)*SIN(AF$5*A135))*AF$15</f>
        <v>0.08</v>
      </c>
      <c r="V137">
        <f t="shared" si="47"/>
        <v>0.1934285907704229</v>
      </c>
      <c r="W137">
        <f t="shared" si="44"/>
        <v>0.14380575749635277</v>
      </c>
      <c r="X137">
        <f t="shared" si="45"/>
        <v>0.22736872503829525</v>
      </c>
      <c r="Y137" t="b">
        <f t="shared" si="48"/>
        <v>0</v>
      </c>
    </row>
    <row xmlns:x14ac="http://schemas.microsoft.com/office/spreadsheetml/2009/9/ac" r="138" x14ac:dyDescent="0.45">
      <c r="A138">
        <v>0.65500000000000003</v>
      </c>
      <c r="B138">
        <f t="shared" si="49"/>
        <v>0.16493464947874781</v>
      </c>
      <c r="C138" t="b">
        <f t="shared" si="62"/>
        <v>1</v>
      </c>
      <c r="D138" t="b">
        <f t="shared" si="50"/>
        <v>1</v>
      </c>
      <c r="E138">
        <f t="shared" si="58"/>
        <v>0.65500000000000003</v>
      </c>
      <c r="F138">
        <f t="shared" si="63"/>
        <v>0.16493464947874781</v>
      </c>
      <c r="G138">
        <f t="shared" si="51"/>
        <v>0.22693988968914403</v>
      </c>
      <c r="H138">
        <f t="shared" si="52"/>
        <v>3.5744095953364544E-2</v>
      </c>
      <c r="I138" t="b">
        <f t="shared" si="64"/>
        <v>1</v>
      </c>
      <c r="J138">
        <f t="shared" si="53"/>
        <v>0.65500000000000003</v>
      </c>
      <c r="K138">
        <f t="shared" si="65"/>
        <v>3.5744095953364544E-2</v>
      </c>
      <c r="L138">
        <f t="shared" si="54"/>
        <v>0.14445249564811902</v>
      </c>
      <c r="M138">
        <f t="shared" si="55"/>
        <v>0.19148819190672908</v>
      </c>
      <c r="N138">
        <f t="shared" si="56"/>
        <v>0.1941545082108615</v>
      </c>
      <c r="O138">
        <f t="shared" si="57"/>
        <v>0.15795341961951079</v>
      </c>
      <c r="P138">
        <f t="shared" si="46"/>
        <v>0.08</v>
      </c>
      <c r="Q138">
        <f t="shared" si="66"/>
        <v>0.08</v>
      </c>
      <c r="R138">
        <f t="shared" si="59"/>
        <v>0.08</v>
      </c>
      <c r="S138">
        <f t="shared" si="60"/>
        <v>0.06</v>
      </c>
      <c r="T138">
        <f t="shared" si="61"/>
        <v>0.1</v>
      </c>
      <c r="U138">
        <f t="shared" si="67"/>
        <v>0.08</v>
      </c>
      <c r="V138">
        <f t="shared" si="47"/>
        <v>0.1941545082108615</v>
      </c>
      <c r="W138">
        <f t="shared" si="44"/>
        <v>0.14393640182587164</v>
      </c>
      <c r="X138">
        <f t="shared" si="45"/>
        <v>0.22728209816077016</v>
      </c>
      <c r="Y138" t="b">
        <f t="shared" si="48"/>
        <v>0</v>
      </c>
    </row>
    <row xmlns:x14ac="http://schemas.microsoft.com/office/spreadsheetml/2009/9/ac" r="139" x14ac:dyDescent="0.45">
      <c r="A139">
        <v>0.66</v>
      </c>
      <c r="B139">
        <f t="shared" si="49"/>
        <v>0.16523200099914837</v>
      </c>
      <c r="C139" t="b">
        <f t="shared" si="62"/>
        <v>1</v>
      </c>
      <c r="D139" t="b">
        <f t="shared" si="50"/>
        <v>1</v>
      </c>
      <c r="E139">
        <f t="shared" si="58"/>
        <v>0.66</v>
      </c>
      <c r="F139">
        <f t="shared" si="63"/>
        <v>0.16523200099914837</v>
      </c>
      <c r="G139">
        <f t="shared" si="51"/>
        <v>0.22685540163684575</v>
      </c>
      <c r="H139">
        <f t="shared" si="52"/>
        <v>3.5858461922749371E-2</v>
      </c>
      <c r="I139" t="b">
        <f t="shared" si="64"/>
        <v>1</v>
      </c>
      <c r="J139">
        <f t="shared" si="53"/>
        <v>0.66</v>
      </c>
      <c r="K139">
        <f t="shared" si="65"/>
        <v>3.5858461922749371E-2</v>
      </c>
      <c r="L139">
        <f t="shared" si="54"/>
        <v>0.14457991435764905</v>
      </c>
      <c r="M139">
        <f t="shared" si="55"/>
        <v>0.19171692384549874</v>
      </c>
      <c r="N139">
        <f t="shared" si="56"/>
        <v>0.1948300919418563</v>
      </c>
      <c r="O139">
        <f t="shared" si="57"/>
        <v>0.15799553381796774</v>
      </c>
      <c r="P139">
        <f t="shared" si="46"/>
        <v>0.08</v>
      </c>
      <c r="Q139">
        <f t="shared" si="66"/>
        <v>0.08</v>
      </c>
      <c r="R139">
        <f t="shared" si="59"/>
        <v>0.08</v>
      </c>
      <c r="S139">
        <f t="shared" si="60"/>
        <v>0.06</v>
      </c>
      <c r="T139">
        <f t="shared" si="61"/>
        <v>0.1</v>
      </c>
      <c r="U139">
        <f t="shared" si="67"/>
        <v>0.08</v>
      </c>
      <c r="V139">
        <f t="shared" si="47"/>
        <v>0.1948300919418563</v>
      </c>
      <c r="W139">
        <f t="shared" ref="W139:W202" si="68">IF(EMT_Simulation,L135,L139)</f>
        <v>0.14406639456407866</v>
      </c>
      <c r="X139">
        <f t="shared" ref="X139:X202" si="69">IF(EMT_Simulation,G135,G139)</f>
        <v>0.22719590333659917</v>
      </c>
      <c r="Y139" t="b">
        <f t="shared" si="48"/>
        <v>0</v>
      </c>
    </row>
    <row xmlns:x14ac="http://schemas.microsoft.com/office/spreadsheetml/2009/9/ac" r="140" x14ac:dyDescent="0.45">
      <c r="A140">
        <v>0.66500000000000004</v>
      </c>
      <c r="B140">
        <f t="shared" si="49"/>
        <v>0.16550417338867546</v>
      </c>
      <c r="C140" t="b">
        <f t="shared" si="62"/>
        <v>1</v>
      </c>
      <c r="D140" t="b">
        <f t="shared" si="50"/>
        <v>1</v>
      </c>
      <c r="E140">
        <f t="shared" si="58"/>
        <v>0.66500000000000004</v>
      </c>
      <c r="F140">
        <f t="shared" si="63"/>
        <v>0.16550417338867546</v>
      </c>
      <c r="G140">
        <f t="shared" si="51"/>
        <v>0.22677133497046625</v>
      </c>
      <c r="H140">
        <f t="shared" si="52"/>
        <v>3.5963143611029022E-2</v>
      </c>
      <c r="I140" t="b">
        <f t="shared" si="64"/>
        <v>1</v>
      </c>
      <c r="J140">
        <f t="shared" si="53"/>
        <v>0.66500000000000004</v>
      </c>
      <c r="K140">
        <f t="shared" si="65"/>
        <v>3.5963143611029022E-2</v>
      </c>
      <c r="L140">
        <f t="shared" si="54"/>
        <v>0.14470669756371407</v>
      </c>
      <c r="M140">
        <f t="shared" si="55"/>
        <v>0.19192628722205807</v>
      </c>
      <c r="N140">
        <f t="shared" si="56"/>
        <v>0.19545391151782268</v>
      </c>
      <c r="O140">
        <f t="shared" si="57"/>
        <v>0.15803355113595802</v>
      </c>
      <c r="P140">
        <f t="shared" si="46"/>
        <v>0.08</v>
      </c>
      <c r="Q140">
        <f t="shared" si="66"/>
        <v>0.08</v>
      </c>
      <c r="R140">
        <f t="shared" si="59"/>
        <v>0.08</v>
      </c>
      <c r="S140">
        <f t="shared" si="60"/>
        <v>0.06</v>
      </c>
      <c r="T140">
        <f t="shared" si="61"/>
        <v>0.1</v>
      </c>
      <c r="U140">
        <f t="shared" si="67"/>
        <v>0.08</v>
      </c>
      <c r="V140">
        <f t="shared" si="47"/>
        <v>0.19545391151782268</v>
      </c>
      <c r="W140">
        <f t="shared" si="68"/>
        <v>0.14419573896079907</v>
      </c>
      <c r="X140">
        <f t="shared" si="69"/>
        <v>0.22711013841090727</v>
      </c>
      <c r="Y140" t="b">
        <f t="shared" si="48"/>
        <v>0</v>
      </c>
    </row>
    <row xmlns:x14ac="http://schemas.microsoft.com/office/spreadsheetml/2009/9/ac" r="141" x14ac:dyDescent="0.45">
      <c r="A141">
        <v>0.67</v>
      </c>
      <c r="B141">
        <f t="shared" si="49"/>
        <v>0.16575109266881086</v>
      </c>
      <c r="C141" t="b">
        <f t="shared" si="62"/>
        <v>1</v>
      </c>
      <c r="D141" t="b">
        <f t="shared" si="50"/>
        <v>1</v>
      </c>
      <c r="E141">
        <f t="shared" si="58"/>
        <v>0.67</v>
      </c>
      <c r="F141">
        <f t="shared" si="63"/>
        <v>0.16575109266881086</v>
      </c>
      <c r="G141">
        <f t="shared" si="51"/>
        <v>0.22668768758833457</v>
      </c>
      <c r="H141">
        <f t="shared" si="52"/>
        <v>3.6058112564927261E-2</v>
      </c>
      <c r="I141" t="b">
        <f t="shared" si="64"/>
        <v>1</v>
      </c>
      <c r="J141">
        <f t="shared" si="53"/>
        <v>0.67</v>
      </c>
      <c r="K141">
        <f t="shared" si="65"/>
        <v>3.6058112564927261E-2</v>
      </c>
      <c r="L141">
        <f t="shared" si="54"/>
        <v>0.14483284843590083</v>
      </c>
      <c r="M141">
        <f t="shared" si="55"/>
        <v>0.19211622512985452</v>
      </c>
      <c r="N141">
        <f t="shared" si="56"/>
        <v>0.19602481260422025</v>
      </c>
      <c r="O141">
        <f t="shared" si="57"/>
        <v>0.15806755169627734</v>
      </c>
      <c r="P141">
        <f t="shared" si="46"/>
        <v>0.08</v>
      </c>
      <c r="Q141">
        <f t="shared" si="66"/>
        <v>0.08</v>
      </c>
      <c r="R141">
        <f t="shared" si="59"/>
        <v>0.08</v>
      </c>
      <c r="S141">
        <f t="shared" si="60"/>
        <v>0.06</v>
      </c>
      <c r="T141">
        <f t="shared" si="61"/>
        <v>0.1</v>
      </c>
      <c r="U141">
        <f t="shared" si="67"/>
        <v>0.08</v>
      </c>
      <c r="V141">
        <f t="shared" si="47"/>
        <v>0.19602481260422025</v>
      </c>
      <c r="W141">
        <f t="shared" si="68"/>
        <v>0.14432443824964958</v>
      </c>
      <c r="X141">
        <f t="shared" si="69"/>
        <v>0.22702480123956681</v>
      </c>
      <c r="Y141" t="b">
        <f t="shared" si="48"/>
        <v>0</v>
      </c>
    </row>
    <row xmlns:x14ac="http://schemas.microsoft.com/office/spreadsheetml/2009/9/ac" r="142" x14ac:dyDescent="0.45">
      <c r="A142">
        <v>0.67500000000000004</v>
      </c>
      <c r="B142">
        <f t="shared" si="49"/>
        <v>0.16597280927121219</v>
      </c>
      <c r="C142" t="b">
        <f t="shared" si="62"/>
        <v>1</v>
      </c>
      <c r="D142" t="b">
        <f t="shared" si="50"/>
        <v>1</v>
      </c>
      <c r="E142">
        <f t="shared" si="58"/>
        <v>0.67500000000000004</v>
      </c>
      <c r="F142">
        <f t="shared" si="63"/>
        <v>0.16597280927121219</v>
      </c>
      <c r="G142">
        <f t="shared" si="51"/>
        <v>0.22660445739926177</v>
      </c>
      <c r="H142">
        <f t="shared" si="52"/>
        <v>3.6143388181235456E-2</v>
      </c>
      <c r="I142" t="b">
        <f t="shared" si="64"/>
        <v>1</v>
      </c>
      <c r="J142">
        <f t="shared" si="53"/>
        <v>0.67500000000000004</v>
      </c>
      <c r="K142">
        <f t="shared" si="65"/>
        <v>3.6143388181235456E-2</v>
      </c>
      <c r="L142">
        <f t="shared" si="54"/>
        <v>0.14495837012798768</v>
      </c>
      <c r="M142">
        <f t="shared" si="55"/>
        <v>0.19228677636247093</v>
      </c>
      <c r="N142">
        <f t="shared" si="56"/>
        <v>0.1965419134345146</v>
      </c>
      <c r="O142">
        <f t="shared" si="57"/>
        <v>0.15809763166060453</v>
      </c>
      <c r="P142">
        <f t="shared" ref="P142:P205" si="70">$AB$6-EXP(-AF$6*AF$12*A142)*(COS(AF$5*A142)-(AF$6*AF$12-1)/(AF$5)*SIN(AF$5*A142))*AF$15</f>
        <v>0.08</v>
      </c>
      <c r="Q142">
        <f t="shared" si="66"/>
        <v>0.08</v>
      </c>
      <c r="R142">
        <f t="shared" si="59"/>
        <v>0.08</v>
      </c>
      <c r="S142">
        <f t="shared" si="60"/>
        <v>0.06</v>
      </c>
      <c r="T142">
        <f t="shared" si="61"/>
        <v>0.1</v>
      </c>
      <c r="U142">
        <f t="shared" si="67"/>
        <v>0.08</v>
      </c>
      <c r="V142">
        <f t="shared" si="47"/>
        <v>0.1965419134345146</v>
      </c>
      <c r="W142">
        <f t="shared" si="68"/>
        <v>0.14445249564811902</v>
      </c>
      <c r="X142">
        <f t="shared" si="69"/>
        <v>0.22693988968914403</v>
      </c>
      <c r="Y142" t="b">
        <f t="shared" si="48"/>
        <v>0</v>
      </c>
    </row>
    <row xmlns:x14ac="http://schemas.microsoft.com/office/spreadsheetml/2009/9/ac" r="143" x14ac:dyDescent="0.45">
      <c r="A143">
        <v>0.68</v>
      </c>
      <c r="B143">
        <f t="shared" si="49"/>
        <v>0.16616949172890941</v>
      </c>
      <c r="C143" t="b">
        <f t="shared" si="62"/>
        <v>1</v>
      </c>
      <c r="D143" t="b">
        <f t="shared" si="50"/>
        <v>1</v>
      </c>
      <c r="E143">
        <f t="shared" si="58"/>
        <v>0.68</v>
      </c>
      <c r="F143">
        <f t="shared" si="63"/>
        <v>0.16616949172890941</v>
      </c>
      <c r="G143">
        <f t="shared" si="51"/>
        <v>0.22652164232248873</v>
      </c>
      <c r="H143">
        <f t="shared" si="52"/>
        <v>3.6219035280349782E-2</v>
      </c>
      <c r="I143" t="b">
        <f t="shared" si="64"/>
        <v>1</v>
      </c>
      <c r="J143">
        <f t="shared" si="53"/>
        <v>0.68</v>
      </c>
      <c r="K143">
        <f t="shared" si="65"/>
        <v>3.6219035280349782E-2</v>
      </c>
      <c r="L143">
        <f t="shared" si="54"/>
        <v>0.1450832657780235</v>
      </c>
      <c r="M143">
        <f t="shared" si="55"/>
        <v>0.19243807056069956</v>
      </c>
      <c r="N143">
        <f t="shared" si="56"/>
        <v>0.19700460016205057</v>
      </c>
      <c r="O143">
        <f t="shared" si="57"/>
        <v>0.15812390159806994</v>
      </c>
      <c r="P143">
        <f t="shared" si="70"/>
        <v>0.08</v>
      </c>
      <c r="Q143">
        <f t="shared" si="66"/>
        <v>0.08</v>
      </c>
      <c r="R143">
        <f t="shared" si="59"/>
        <v>0.08</v>
      </c>
      <c r="S143">
        <f t="shared" si="60"/>
        <v>0.06</v>
      </c>
      <c r="T143">
        <f t="shared" si="61"/>
        <v>0.1</v>
      </c>
      <c r="U143">
        <f t="shared" si="67"/>
        <v>0.08</v>
      </c>
      <c r="V143">
        <f t="shared" si="47"/>
        <v>0.19700460016205057</v>
      </c>
      <c r="W143">
        <f t="shared" si="68"/>
        <v>0.14457991435764905</v>
      </c>
      <c r="X143">
        <f t="shared" si="69"/>
        <v>0.22685540163684575</v>
      </c>
      <c r="Y143" t="b">
        <f t="shared" si="48"/>
        <v>0</v>
      </c>
    </row>
    <row xmlns:x14ac="http://schemas.microsoft.com/office/spreadsheetml/2009/9/ac" r="144" x14ac:dyDescent="0.45">
      <c r="A144">
        <v>0.68500000000000005</v>
      </c>
      <c r="B144">
        <f t="shared" si="49"/>
        <v>0.16634142011022879</v>
      </c>
      <c r="C144" t="b">
        <f t="shared" si="62"/>
        <v>1</v>
      </c>
      <c r="D144" t="b">
        <f t="shared" si="50"/>
        <v>1</v>
      </c>
      <c r="E144">
        <f t="shared" si="58"/>
        <v>0.68500000000000005</v>
      </c>
      <c r="F144">
        <f t="shared" si="63"/>
        <v>0.16634142011022879</v>
      </c>
      <c r="G144">
        <f t="shared" si="51"/>
        <v>0.22643924028763424</v>
      </c>
      <c r="H144">
        <f t="shared" si="52"/>
        <v>3.628516158085722E-2</v>
      </c>
      <c r="I144" t="b">
        <f t="shared" si="64"/>
        <v>1</v>
      </c>
      <c r="J144">
        <f t="shared" si="53"/>
        <v>0.68500000000000005</v>
      </c>
      <c r="K144">
        <f t="shared" si="65"/>
        <v>3.628516158085722E-2</v>
      </c>
      <c r="L144">
        <f t="shared" si="54"/>
        <v>0.14520753850840601</v>
      </c>
      <c r="M144">
        <f t="shared" si="55"/>
        <v>0.19257032316171446</v>
      </c>
      <c r="N144">
        <f t="shared" si="56"/>
        <v>0.19741252116238786</v>
      </c>
      <c r="O144">
        <f t="shared" si="57"/>
        <v>0.1581464848896641</v>
      </c>
      <c r="P144">
        <f t="shared" si="70"/>
        <v>0.08</v>
      </c>
      <c r="Q144">
        <f t="shared" si="66"/>
        <v>0.08</v>
      </c>
      <c r="R144">
        <f t="shared" si="59"/>
        <v>0.08</v>
      </c>
      <c r="S144">
        <f t="shared" si="60"/>
        <v>0.06</v>
      </c>
      <c r="T144">
        <f t="shared" si="61"/>
        <v>0.1</v>
      </c>
      <c r="U144">
        <f t="shared" si="67"/>
        <v>0.08</v>
      </c>
      <c r="V144">
        <f t="shared" si="47"/>
        <v>0.19741252116238786</v>
      </c>
      <c r="W144">
        <f t="shared" si="68"/>
        <v>0.14470669756371407</v>
      </c>
      <c r="X144">
        <f t="shared" si="69"/>
        <v>0.22677133497046625</v>
      </c>
      <c r="Y144" t="b">
        <f t="shared" si="48"/>
        <v>0</v>
      </c>
    </row>
    <row xmlns:x14ac="http://schemas.microsoft.com/office/spreadsheetml/2009/9/ac" r="145" x14ac:dyDescent="0.45">
      <c r="A145">
        <v>0.69</v>
      </c>
      <c r="B145">
        <f t="shared" si="49"/>
        <v>0.16648897923940154</v>
      </c>
      <c r="C145" t="b">
        <f t="shared" si="62"/>
        <v>1</v>
      </c>
      <c r="D145" t="b">
        <f t="shared" si="50"/>
        <v>1</v>
      </c>
      <c r="E145">
        <f t="shared" si="58"/>
        <v>0.69</v>
      </c>
      <c r="F145">
        <f t="shared" si="63"/>
        <v>0.16648897923940154</v>
      </c>
      <c r="G145">
        <f t="shared" si="51"/>
        <v>0.22635724923464318</v>
      </c>
      <c r="H145">
        <f t="shared" si="52"/>
        <v>3.6341915092077515E-2</v>
      </c>
      <c r="I145" t="b">
        <f t="shared" si="64"/>
        <v>1</v>
      </c>
      <c r="J145">
        <f t="shared" si="53"/>
        <v>0.69</v>
      </c>
      <c r="K145">
        <f t="shared" si="65"/>
        <v>3.6341915092077515E-2</v>
      </c>
      <c r="L145">
        <f t="shared" si="54"/>
        <v>0.14533119142595996</v>
      </c>
      <c r="M145">
        <f t="shared" si="55"/>
        <v>0.19268383018415502</v>
      </c>
      <c r="N145">
        <f t="shared" si="56"/>
        <v>0.19776558034458508</v>
      </c>
      <c r="O145">
        <f t="shared" si="57"/>
        <v>0.15816551617457986</v>
      </c>
      <c r="P145">
        <f t="shared" si="70"/>
        <v>0.08</v>
      </c>
      <c r="Q145">
        <f t="shared" si="66"/>
        <v>0.08</v>
      </c>
      <c r="R145">
        <f t="shared" si="59"/>
        <v>0.08</v>
      </c>
      <c r="S145">
        <f t="shared" si="60"/>
        <v>0.06</v>
      </c>
      <c r="T145">
        <f t="shared" si="61"/>
        <v>0.1</v>
      </c>
      <c r="U145">
        <f t="shared" si="67"/>
        <v>0.08</v>
      </c>
      <c r="V145">
        <f t="shared" si="47"/>
        <v>0.19776558034458508</v>
      </c>
      <c r="W145">
        <f t="shared" si="68"/>
        <v>0.14483284843590083</v>
      </c>
      <c r="X145">
        <f t="shared" si="69"/>
        <v>0.22668768758833457</v>
      </c>
      <c r="Y145" t="b">
        <f t="shared" si="48"/>
        <v>0</v>
      </c>
    </row>
    <row xmlns:x14ac="http://schemas.microsoft.com/office/spreadsheetml/2009/9/ac" r="146" x14ac:dyDescent="0.45">
      <c r="A146">
        <v>0.69499999999999995</v>
      </c>
      <c r="B146">
        <f t="shared" si="49"/>
        <v>0.16661265174669126</v>
      </c>
      <c r="C146" t="b">
        <f t="shared" si="62"/>
        <v>1</v>
      </c>
      <c r="D146" t="b">
        <f t="shared" si="50"/>
        <v>1</v>
      </c>
      <c r="E146">
        <f t="shared" si="58"/>
        <v>0.69499999999999995</v>
      </c>
      <c r="F146">
        <f t="shared" si="63"/>
        <v>0.16661265174669126</v>
      </c>
      <c r="G146">
        <f t="shared" si="51"/>
        <v>0.22627566711373492</v>
      </c>
      <c r="H146">
        <f t="shared" si="52"/>
        <v>3.6389481441035099E-2</v>
      </c>
      <c r="I146" t="b">
        <f t="shared" si="64"/>
        <v>1</v>
      </c>
      <c r="J146">
        <f t="shared" si="53"/>
        <v>0.69499999999999995</v>
      </c>
      <c r="K146">
        <f t="shared" si="65"/>
        <v>3.6389481441035099E-2</v>
      </c>
      <c r="L146">
        <f t="shared" si="54"/>
        <v>0.14545422762201471</v>
      </c>
      <c r="M146">
        <f t="shared" si="55"/>
        <v>0.19277896288207019</v>
      </c>
      <c r="N146">
        <f t="shared" si="56"/>
        <v>0.19806392953250102</v>
      </c>
      <c r="O146">
        <f t="shared" si="57"/>
        <v>0.15818113984393101</v>
      </c>
      <c r="P146">
        <f t="shared" si="70"/>
        <v>0.08</v>
      </c>
      <c r="Q146">
        <f t="shared" si="66"/>
        <v>0.08</v>
      </c>
      <c r="R146">
        <f t="shared" si="59"/>
        <v>0.08</v>
      </c>
      <c r="S146">
        <f t="shared" si="60"/>
        <v>0.06</v>
      </c>
      <c r="T146">
        <f t="shared" si="61"/>
        <v>0.1</v>
      </c>
      <c r="U146">
        <f t="shared" si="67"/>
        <v>0.08</v>
      </c>
      <c r="V146">
        <f t="shared" si="47"/>
        <v>0.19806392953250102</v>
      </c>
      <c r="W146">
        <f t="shared" si="68"/>
        <v>0.14495837012798768</v>
      </c>
      <c r="X146">
        <f t="shared" si="69"/>
        <v>0.22660445739926177</v>
      </c>
      <c r="Y146" t="b">
        <f t="shared" si="48"/>
        <v>0</v>
      </c>
    </row>
    <row xmlns:x14ac="http://schemas.microsoft.com/office/spreadsheetml/2009/9/ac" r="147" x14ac:dyDescent="0.45">
      <c r="A147">
        <v>0.7</v>
      </c>
      <c r="B147">
        <f t="shared" si="49"/>
        <v>0.16671301098960004</v>
      </c>
      <c r="C147" t="b">
        <f t="shared" si="62"/>
        <v>1</v>
      </c>
      <c r="D147" t="b">
        <f t="shared" si="50"/>
        <v>1</v>
      </c>
      <c r="E147">
        <f t="shared" si="58"/>
        <v>0.7</v>
      </c>
      <c r="F147">
        <f t="shared" si="63"/>
        <v>0.16671301098960004</v>
      </c>
      <c r="G147">
        <f t="shared" si="51"/>
        <v>0.22619449188535218</v>
      </c>
      <c r="H147">
        <f t="shared" si="52"/>
        <v>3.6428081149846164E-2</v>
      </c>
      <c r="I147" t="b">
        <f t="shared" si="64"/>
        <v>1</v>
      </c>
      <c r="J147">
        <f t="shared" si="53"/>
        <v>0.7</v>
      </c>
      <c r="K147">
        <f t="shared" si="65"/>
        <v>3.6428081149846164E-2</v>
      </c>
      <c r="L147">
        <f t="shared" si="54"/>
        <v>0.14557665017248161</v>
      </c>
      <c r="M147">
        <f t="shared" si="55"/>
        <v>0.19285616229969232</v>
      </c>
      <c r="N147">
        <f t="shared" si="56"/>
        <v>0.19830795997940875</v>
      </c>
      <c r="O147">
        <f t="shared" si="57"/>
        <v>0.1581935085866582</v>
      </c>
      <c r="P147">
        <f t="shared" si="70"/>
        <v>0.08</v>
      </c>
      <c r="Q147">
        <f t="shared" si="66"/>
        <v>0.08</v>
      </c>
      <c r="R147">
        <f t="shared" si="59"/>
        <v>0.08</v>
      </c>
      <c r="S147">
        <f t="shared" si="60"/>
        <v>0.06</v>
      </c>
      <c r="T147">
        <f t="shared" si="61"/>
        <v>0.1</v>
      </c>
      <c r="U147">
        <f t="shared" si="67"/>
        <v>0.08</v>
      </c>
      <c r="V147">
        <f t="shared" si="47"/>
        <v>0.19830795997940875</v>
      </c>
      <c r="W147">
        <f t="shared" si="68"/>
        <v>0.1450832657780235</v>
      </c>
      <c r="X147">
        <f t="shared" si="69"/>
        <v>0.22652164232248873</v>
      </c>
      <c r="Y147" t="b">
        <f t="shared" si="48"/>
        <v>0</v>
      </c>
    </row>
    <row xmlns:x14ac="http://schemas.microsoft.com/office/spreadsheetml/2009/9/ac" r="148" x14ac:dyDescent="0.45">
      <c r="A148">
        <v>0.70499999999999996</v>
      </c>
      <c r="B148">
        <f t="shared" si="49"/>
        <v>0.16679071388530331</v>
      </c>
      <c r="C148" t="b">
        <f t="shared" si="62"/>
        <v>1</v>
      </c>
      <c r="D148" t="b">
        <f t="shared" si="50"/>
        <v>1</v>
      </c>
      <c r="E148">
        <f t="shared" si="58"/>
        <v>0.70499999999999996</v>
      </c>
      <c r="F148">
        <f t="shared" si="63"/>
        <v>0.16679071388530331</v>
      </c>
      <c r="G148">
        <f t="shared" si="51"/>
        <v>0.22611372152011006</v>
      </c>
      <c r="H148">
        <f t="shared" si="52"/>
        <v>3.6457966878962814E-2</v>
      </c>
      <c r="I148" t="b">
        <f t="shared" si="64"/>
        <v>1</v>
      </c>
      <c r="J148">
        <f t="shared" si="53"/>
        <v>0.70499999999999996</v>
      </c>
      <c r="K148">
        <f t="shared" si="65"/>
        <v>3.6457966878962814E-2</v>
      </c>
      <c r="L148">
        <f t="shared" si="54"/>
        <v>0.14569846213793075</v>
      </c>
      <c r="M148">
        <f t="shared" si="55"/>
        <v>0.19291593375792562</v>
      </c>
      <c r="N148">
        <f t="shared" si="56"/>
        <v>0.19849829308109468</v>
      </c>
      <c r="O148">
        <f t="shared" si="57"/>
        <v>0.15820278199181836</v>
      </c>
      <c r="P148">
        <f t="shared" si="70"/>
        <v>0.08</v>
      </c>
      <c r="Q148">
        <f t="shared" si="66"/>
        <v>0.08</v>
      </c>
      <c r="R148">
        <f t="shared" si="59"/>
        <v>0.08</v>
      </c>
      <c r="S148">
        <f t="shared" si="60"/>
        <v>0.06</v>
      </c>
      <c r="T148">
        <f t="shared" si="61"/>
        <v>0.1</v>
      </c>
      <c r="U148">
        <f t="shared" si="67"/>
        <v>0.08</v>
      </c>
      <c r="V148">
        <f t="shared" si="47"/>
        <v>0.19849829308109468</v>
      </c>
      <c r="W148">
        <f t="shared" si="68"/>
        <v>0.14520753850840601</v>
      </c>
      <c r="X148">
        <f t="shared" si="69"/>
        <v>0.22643924028763424</v>
      </c>
      <c r="Y148" t="b">
        <f t="shared" si="48"/>
        <v>0</v>
      </c>
    </row>
    <row xmlns:x14ac="http://schemas.microsoft.com/office/spreadsheetml/2009/9/ac" r="149" x14ac:dyDescent="0.45">
      <c r="A149">
        <v>0.71</v>
      </c>
      <c r="B149">
        <f t="shared" si="49"/>
        <v>0.16684649369293056</v>
      </c>
      <c r="C149" t="b">
        <f t="shared" si="62"/>
        <v>1</v>
      </c>
      <c r="D149" t="b">
        <f t="shared" si="50"/>
        <v>1</v>
      </c>
      <c r="E149">
        <f t="shared" si="58"/>
        <v>0.71</v>
      </c>
      <c r="F149">
        <f t="shared" si="63"/>
        <v>0.16684649369293056</v>
      </c>
      <c r="G149">
        <f t="shared" si="51"/>
        <v>0.22603335399874519</v>
      </c>
      <c r="H149">
        <f t="shared" si="52"/>
        <v>3.6479420651127137E-2</v>
      </c>
      <c r="I149" t="b">
        <f t="shared" si="64"/>
        <v>1</v>
      </c>
      <c r="J149">
        <f t="shared" si="53"/>
        <v>0.71</v>
      </c>
      <c r="K149">
        <f t="shared" si="65"/>
        <v>3.6479420651127137E-2</v>
      </c>
      <c r="L149">
        <f t="shared" si="54"/>
        <v>0.14581966656366763</v>
      </c>
      <c r="M149">
        <f t="shared" si="55"/>
        <v>0.19295884130225427</v>
      </c>
      <c r="N149">
        <f t="shared" si="56"/>
        <v>0.19863577035413832</v>
      </c>
      <c r="O149">
        <f t="shared" si="57"/>
        <v>0.15820912521085745</v>
      </c>
      <c r="P149">
        <f t="shared" si="70"/>
        <v>0.08</v>
      </c>
      <c r="Q149">
        <f t="shared" si="66"/>
        <v>0.08</v>
      </c>
      <c r="R149">
        <f t="shared" si="59"/>
        <v>0.08</v>
      </c>
      <c r="S149">
        <f t="shared" si="60"/>
        <v>0.06</v>
      </c>
      <c r="T149">
        <f t="shared" si="61"/>
        <v>0.1</v>
      </c>
      <c r="U149">
        <f t="shared" si="67"/>
        <v>0.08</v>
      </c>
      <c r="V149">
        <f t="shared" ref="V149:V212" si="71">MAX(IF(Y149,MAX(H149,$AB$6+$AF$13),MAX(T149,$AB$6+$AF$13)),O149,N149)</f>
        <v>0.19863577035413832</v>
      </c>
      <c r="W149">
        <f t="shared" si="68"/>
        <v>0.14533119142595996</v>
      </c>
      <c r="X149">
        <f t="shared" si="69"/>
        <v>0.22635724923464318</v>
      </c>
      <c r="Y149" t="b">
        <f t="shared" si="48"/>
        <v>0</v>
      </c>
    </row>
    <row xmlns:x14ac="http://schemas.microsoft.com/office/spreadsheetml/2009/9/ac" r="150" x14ac:dyDescent="0.45">
      <c r="A150">
        <v>0.71499999999999997</v>
      </c>
      <c r="B150">
        <f t="shared" si="49"/>
        <v>0.16688115278266438</v>
      </c>
      <c r="C150" t="b">
        <f t="shared" si="62"/>
        <v>1</v>
      </c>
      <c r="D150" t="b">
        <f t="shared" si="50"/>
        <v>1</v>
      </c>
      <c r="E150">
        <f t="shared" si="58"/>
        <v>0.71499999999999997</v>
      </c>
      <c r="F150">
        <f t="shared" si="63"/>
        <v>0.16688115278266438</v>
      </c>
      <c r="G150">
        <f t="shared" si="51"/>
        <v>0.22595338731206532</v>
      </c>
      <c r="H150">
        <f t="shared" si="52"/>
        <v>3.6492751070255541E-2</v>
      </c>
      <c r="I150" t="b">
        <f t="shared" si="64"/>
        <v>1</v>
      </c>
      <c r="J150">
        <f t="shared" si="53"/>
        <v>0.71499999999999997</v>
      </c>
      <c r="K150">
        <f t="shared" si="65"/>
        <v>3.6492751070255541E-2</v>
      </c>
      <c r="L150">
        <f t="shared" si="54"/>
        <v>0.14594026647980923</v>
      </c>
      <c r="M150">
        <f t="shared" si="55"/>
        <v>0.19298550214051108</v>
      </c>
      <c r="N150">
        <f t="shared" si="56"/>
        <v>0.19872144274725023</v>
      </c>
      <c r="O150">
        <f t="shared" si="57"/>
        <v>0.15821270768289611</v>
      </c>
      <c r="P150">
        <f t="shared" si="70"/>
        <v>0.08</v>
      </c>
      <c r="Q150">
        <f t="shared" si="66"/>
        <v>0.08</v>
      </c>
      <c r="R150">
        <f t="shared" si="59"/>
        <v>0.08</v>
      </c>
      <c r="S150">
        <f t="shared" si="60"/>
        <v>0.06</v>
      </c>
      <c r="T150">
        <f t="shared" si="61"/>
        <v>0.1</v>
      </c>
      <c r="U150">
        <f t="shared" si="67"/>
        <v>0.08</v>
      </c>
      <c r="V150">
        <f t="shared" si="71"/>
        <v>0.19872144274725023</v>
      </c>
      <c r="W150">
        <f t="shared" si="68"/>
        <v>0.14545422762201471</v>
      </c>
      <c r="X150">
        <f t="shared" si="69"/>
        <v>0.22627566711373492</v>
      </c>
      <c r="Y150" t="b">
        <f t="shared" ref="Y150:Y213" si="72">IF(Y149,TRUE,IF(P150&lt;P149,TRUE))</f>
        <v>0</v>
      </c>
    </row>
    <row xmlns:x14ac="http://schemas.microsoft.com/office/spreadsheetml/2009/9/ac" r="151" x14ac:dyDescent="0.45">
      <c r="A151">
        <v>0.72</v>
      </c>
      <c r="B151">
        <f t="shared" si="49"/>
        <v>0.16689555542689138</v>
      </c>
      <c r="C151" t="b">
        <f t="shared" si="62"/>
        <v>1</v>
      </c>
      <c r="D151" t="b">
        <f t="shared" si="50"/>
        <v>1</v>
      </c>
      <c r="E151">
        <f t="shared" si="58"/>
        <v>0.72</v>
      </c>
      <c r="F151">
        <f t="shared" si="63"/>
        <v>0.16689555542689138</v>
      </c>
      <c r="G151">
        <f t="shared" si="51"/>
        <v>0.22587381946089924</v>
      </c>
      <c r="H151">
        <f t="shared" si="52"/>
        <v>3.649829054880438E-2</v>
      </c>
      <c r="I151" t="b">
        <f t="shared" si="64"/>
        <v>1</v>
      </c>
      <c r="J151">
        <f t="shared" si="53"/>
        <v>0.72</v>
      </c>
      <c r="K151">
        <f t="shared" si="65"/>
        <v>3.649829054880438E-2</v>
      </c>
      <c r="L151">
        <f t="shared" si="54"/>
        <v>0.1460602649013597</v>
      </c>
      <c r="M151">
        <f t="shared" si="55"/>
        <v>0.19299658109760875</v>
      </c>
      <c r="N151">
        <f t="shared" si="56"/>
        <v>0.19875655935438263</v>
      </c>
      <c r="O151">
        <f t="shared" si="57"/>
        <v>0.15821370192550624</v>
      </c>
      <c r="P151">
        <f t="shared" si="70"/>
        <v>0.08</v>
      </c>
      <c r="Q151">
        <f t="shared" si="66"/>
        <v>0.08</v>
      </c>
      <c r="R151">
        <f t="shared" si="59"/>
        <v>0.08</v>
      </c>
      <c r="S151">
        <f t="shared" si="60"/>
        <v>0.06</v>
      </c>
      <c r="T151">
        <f t="shared" si="61"/>
        <v>0.1</v>
      </c>
      <c r="U151">
        <f t="shared" si="67"/>
        <v>0.08</v>
      </c>
      <c r="V151">
        <f t="shared" si="71"/>
        <v>0.19875655935438263</v>
      </c>
      <c r="W151">
        <f t="shared" si="68"/>
        <v>0.14557665017248161</v>
      </c>
      <c r="X151">
        <f t="shared" si="69"/>
        <v>0.22619449188535218</v>
      </c>
      <c r="Y151" t="b">
        <f t="shared" si="72"/>
        <v>0</v>
      </c>
    </row>
    <row xmlns:x14ac="http://schemas.microsoft.com/office/spreadsheetml/2009/9/ac" r="152" x14ac:dyDescent="0.45">
      <c r="A152">
        <v>0.72499999999999998</v>
      </c>
      <c r="B152">
        <f t="shared" si="49"/>
        <v>0.16689062064681368</v>
      </c>
      <c r="C152" t="b">
        <f t="shared" si="62"/>
        <v>1</v>
      </c>
      <c r="D152" t="b">
        <f t="shared" si="50"/>
        <v>1</v>
      </c>
      <c r="E152">
        <f t="shared" si="58"/>
        <v>0.72499999999999998</v>
      </c>
      <c r="F152">
        <f t="shared" si="63"/>
        <v>0.16689062064681368</v>
      </c>
      <c r="G152">
        <f t="shared" si="51"/>
        <v>0.22579464845604635</v>
      </c>
      <c r="H152">
        <f t="shared" si="52"/>
        <v>3.6496392556466806E-2</v>
      </c>
      <c r="I152" t="b">
        <f t="shared" si="64"/>
        <v>1</v>
      </c>
      <c r="J152">
        <f t="shared" si="53"/>
        <v>0.72499999999999998</v>
      </c>
      <c r="K152">
        <f t="shared" si="65"/>
        <v>3.6496392556466806E-2</v>
      </c>
      <c r="L152">
        <f t="shared" si="54"/>
        <v>0.14617966482828584</v>
      </c>
      <c r="M152">
        <f t="shared" si="55"/>
        <v>0.19299278511293361</v>
      </c>
      <c r="N152">
        <f t="shared" si="56"/>
        <v>0.19874255559883525</v>
      </c>
      <c r="O152">
        <f t="shared" si="57"/>
        <v>0.15821228239293308</v>
      </c>
      <c r="P152">
        <f t="shared" si="70"/>
        <v>0.08</v>
      </c>
      <c r="Q152">
        <f t="shared" si="66"/>
        <v>0.08</v>
      </c>
      <c r="R152">
        <f t="shared" si="59"/>
        <v>0.08</v>
      </c>
      <c r="S152">
        <f t="shared" si="60"/>
        <v>0.06</v>
      </c>
      <c r="T152">
        <f t="shared" si="61"/>
        <v>0.1</v>
      </c>
      <c r="U152">
        <f t="shared" si="67"/>
        <v>0.08</v>
      </c>
      <c r="V152">
        <f t="shared" si="71"/>
        <v>0.19874255559883525</v>
      </c>
      <c r="W152">
        <f t="shared" si="68"/>
        <v>0.14569846213793075</v>
      </c>
      <c r="X152">
        <f t="shared" si="69"/>
        <v>0.22611372152011006</v>
      </c>
      <c r="Y152" t="b">
        <f t="shared" si="72"/>
        <v>0</v>
      </c>
    </row>
    <row xmlns:x14ac="http://schemas.microsoft.com/office/spreadsheetml/2009/9/ac" r="153" x14ac:dyDescent="0.45">
      <c r="A153">
        <v>0.73</v>
      </c>
      <c r="B153">
        <f t="shared" si="49"/>
        <v>0.1668673151460362</v>
      </c>
      <c r="C153" t="b">
        <f t="shared" si="62"/>
        <v>1</v>
      </c>
      <c r="D153" t="b">
        <f t="shared" si="50"/>
        <v>1</v>
      </c>
      <c r="E153">
        <f t="shared" si="58"/>
        <v>0.73</v>
      </c>
      <c r="F153">
        <f t="shared" si="63"/>
        <v>0.1668673151460362</v>
      </c>
      <c r="G153">
        <f t="shared" si="51"/>
        <v>0.2257158723182276</v>
      </c>
      <c r="H153">
        <f t="shared" si="52"/>
        <v>3.6487428902321609E-2</v>
      </c>
      <c r="I153" t="b">
        <f t="shared" si="64"/>
        <v>1</v>
      </c>
      <c r="J153">
        <f t="shared" si="53"/>
        <v>0.73</v>
      </c>
      <c r="K153">
        <f t="shared" si="65"/>
        <v>3.6487428902321609E-2</v>
      </c>
      <c r="L153">
        <f t="shared" si="54"/>
        <v>0.14629846924559203</v>
      </c>
      <c r="M153">
        <f t="shared" si="55"/>
        <v>0.19297485780464324</v>
      </c>
      <c r="N153">
        <f t="shared" si="56"/>
        <v>0.19868104095775943</v>
      </c>
      <c r="O153">
        <f t="shared" si="57"/>
        <v>0.15820862440321881</v>
      </c>
      <c r="P153">
        <f t="shared" si="70"/>
        <v>0.08</v>
      </c>
      <c r="Q153">
        <f t="shared" si="66"/>
        <v>0.08</v>
      </c>
      <c r="R153">
        <f t="shared" si="59"/>
        <v>0.08</v>
      </c>
      <c r="S153">
        <f t="shared" si="60"/>
        <v>0.06</v>
      </c>
      <c r="T153">
        <f t="shared" si="61"/>
        <v>0.1</v>
      </c>
      <c r="U153">
        <f t="shared" si="67"/>
        <v>0.08</v>
      </c>
      <c r="V153">
        <f t="shared" si="71"/>
        <v>0.19868104095775943</v>
      </c>
      <c r="W153">
        <f t="shared" si="68"/>
        <v>0.14581966656366763</v>
      </c>
      <c r="X153">
        <f t="shared" si="69"/>
        <v>0.22603335399874519</v>
      </c>
      <c r="Y153" t="b">
        <f t="shared" si="72"/>
        <v>0</v>
      </c>
    </row>
    <row xmlns:x14ac="http://schemas.microsoft.com/office/spreadsheetml/2009/9/ac" r="154" x14ac:dyDescent="0.45">
      <c r="A154">
        <v>0.73499999999999999</v>
      </c>
      <c r="B154">
        <f t="shared" si="49"/>
        <v>0.16682664636069011</v>
      </c>
      <c r="C154" t="b">
        <f t="shared" si="62"/>
        <v>1</v>
      </c>
      <c r="D154" t="b">
        <f t="shared" si="50"/>
        <v>1</v>
      </c>
      <c r="E154">
        <f t="shared" si="58"/>
        <v>0.73499999999999999</v>
      </c>
      <c r="F154">
        <f t="shared" si="63"/>
        <v>0.16682664636069011</v>
      </c>
      <c r="G154">
        <f t="shared" si="51"/>
        <v>0.22563748907803527</v>
      </c>
      <c r="H154">
        <f t="shared" si="52"/>
        <v>3.6471787061803887E-2</v>
      </c>
      <c r="I154" t="b">
        <f t="shared" si="64"/>
        <v>1</v>
      </c>
      <c r="J154">
        <f t="shared" si="53"/>
        <v>0.73499999999999999</v>
      </c>
      <c r="K154">
        <f t="shared" si="65"/>
        <v>3.6471787061803887E-2</v>
      </c>
      <c r="L154">
        <f t="shared" si="54"/>
        <v>0.14641668112339495</v>
      </c>
      <c r="M154">
        <f t="shared" si="55"/>
        <v>0.1929435741236078</v>
      </c>
      <c r="N154">
        <f t="shared" si="56"/>
        <v>0.19857378629632938</v>
      </c>
      <c r="O154">
        <f t="shared" si="57"/>
        <v>0.15820290313521207</v>
      </c>
      <c r="P154">
        <f t="shared" si="70"/>
        <v>0.08</v>
      </c>
      <c r="Q154">
        <f t="shared" si="66"/>
        <v>0.08</v>
      </c>
      <c r="R154">
        <f t="shared" si="59"/>
        <v>0.08</v>
      </c>
      <c r="S154">
        <f t="shared" si="60"/>
        <v>0.06</v>
      </c>
      <c r="T154">
        <f t="shared" si="61"/>
        <v>0.1</v>
      </c>
      <c r="U154">
        <f t="shared" si="67"/>
        <v>0.08</v>
      </c>
      <c r="V154">
        <f t="shared" si="71"/>
        <v>0.19857378629632938</v>
      </c>
      <c r="W154">
        <f t="shared" si="68"/>
        <v>0.14594026647980923</v>
      </c>
      <c r="X154">
        <f t="shared" si="69"/>
        <v>0.22595338731206532</v>
      </c>
      <c r="Y154" t="b">
        <f t="shared" si="72"/>
        <v>0</v>
      </c>
    </row>
    <row xmlns:x14ac="http://schemas.microsoft.com/office/spreadsheetml/2009/9/ac" r="155" x14ac:dyDescent="0.45">
      <c r="A155">
        <v>0.74</v>
      </c>
      <c r="B155">
        <f t="shared" si="49"/>
        <v>0.16676965565365601</v>
      </c>
      <c r="C155" t="b">
        <f t="shared" si="62"/>
        <v>1</v>
      </c>
      <c r="D155" t="b">
        <f t="shared" si="50"/>
        <v>1</v>
      </c>
      <c r="E155">
        <f t="shared" si="58"/>
        <v>0.74</v>
      </c>
      <c r="F155">
        <f t="shared" si="63"/>
        <v>0.16676965565365601</v>
      </c>
      <c r="G155">
        <f t="shared" si="51"/>
        <v>0.22555949677588438</v>
      </c>
      <c r="H155">
        <f t="shared" si="52"/>
        <v>3.6449867559098459E-2</v>
      </c>
      <c r="I155" t="b">
        <f t="shared" si="64"/>
        <v>1</v>
      </c>
      <c r="J155">
        <f t="shared" si="53"/>
        <v>0.74</v>
      </c>
      <c r="K155">
        <f t="shared" si="65"/>
        <v>3.6449867559098459E-2</v>
      </c>
      <c r="L155">
        <f t="shared" si="54"/>
        <v>0.14653430341699764</v>
      </c>
      <c r="M155">
        <f t="shared" si="55"/>
        <v>0.19289973511819691</v>
      </c>
      <c r="N155">
        <f t="shared" si="56"/>
        <v>0.19842271088041052</v>
      </c>
      <c r="O155">
        <f t="shared" si="57"/>
        <v>0.15819529269600258</v>
      </c>
      <c r="P155">
        <f t="shared" si="70"/>
        <v>0.08</v>
      </c>
      <c r="Q155">
        <f t="shared" si="66"/>
        <v>0.08</v>
      </c>
      <c r="R155">
        <f t="shared" si="59"/>
        <v>0.08</v>
      </c>
      <c r="S155">
        <f t="shared" si="60"/>
        <v>0.06</v>
      </c>
      <c r="T155">
        <f t="shared" si="61"/>
        <v>0.1</v>
      </c>
      <c r="U155">
        <f t="shared" si="67"/>
        <v>0.08</v>
      </c>
      <c r="V155">
        <f t="shared" si="71"/>
        <v>0.19842271088041052</v>
      </c>
      <c r="W155">
        <f t="shared" si="68"/>
        <v>0.1460602649013597</v>
      </c>
      <c r="X155">
        <f t="shared" si="69"/>
        <v>0.22587381946089924</v>
      </c>
      <c r="Y155" t="b">
        <f t="shared" si="72"/>
        <v>0</v>
      </c>
    </row>
    <row xmlns:x14ac="http://schemas.microsoft.com/office/spreadsheetml/2009/9/ac" r="156" x14ac:dyDescent="0.45">
      <c r="A156">
        <v>0.745</v>
      </c>
      <c r="B156">
        <f t="shared" si="49"/>
        <v>0.16669741167841423</v>
      </c>
      <c r="C156" t="b">
        <f t="shared" si="62"/>
        <v>1</v>
      </c>
      <c r="D156" t="b">
        <f t="shared" si="50"/>
        <v>1</v>
      </c>
      <c r="E156">
        <f t="shared" si="58"/>
        <v>0.745</v>
      </c>
      <c r="F156">
        <f t="shared" si="63"/>
        <v>0.16669741167841423</v>
      </c>
      <c r="G156">
        <f t="shared" si="51"/>
        <v>0.22548189346196323</v>
      </c>
      <c r="H156">
        <f t="shared" si="52"/>
        <v>3.642208141477471E-2</v>
      </c>
      <c r="I156" t="b">
        <f t="shared" si="64"/>
        <v>1</v>
      </c>
      <c r="J156">
        <f t="shared" si="53"/>
        <v>0.745</v>
      </c>
      <c r="K156">
        <f t="shared" si="65"/>
        <v>3.642208141477471E-2</v>
      </c>
      <c r="L156">
        <f t="shared" si="54"/>
        <v>0.14665133906696354</v>
      </c>
      <c r="M156">
        <f t="shared" si="55"/>
        <v>0.19284416282954941</v>
      </c>
      <c r="N156">
        <f t="shared" si="56"/>
        <v>0.19822986913582191</v>
      </c>
      <c r="O156">
        <f t="shared" si="57"/>
        <v>0.15818596525890521</v>
      </c>
      <c r="P156">
        <f t="shared" si="70"/>
        <v>0.08</v>
      </c>
      <c r="Q156">
        <f t="shared" si="66"/>
        <v>0.08</v>
      </c>
      <c r="R156">
        <f t="shared" si="59"/>
        <v>0.08</v>
      </c>
      <c r="S156">
        <f t="shared" si="60"/>
        <v>0.06</v>
      </c>
      <c r="T156">
        <f t="shared" si="61"/>
        <v>0.1</v>
      </c>
      <c r="U156">
        <f t="shared" si="67"/>
        <v>0.08</v>
      </c>
      <c r="V156">
        <f t="shared" si="71"/>
        <v>0.19822986913582191</v>
      </c>
      <c r="W156">
        <f t="shared" si="68"/>
        <v>0.14617966482828584</v>
      </c>
      <c r="X156">
        <f t="shared" si="69"/>
        <v>0.22579464845604635</v>
      </c>
      <c r="Y156" t="b">
        <f t="shared" si="72"/>
        <v>0</v>
      </c>
    </row>
    <row xmlns:x14ac="http://schemas.microsoft.com/office/spreadsheetml/2009/9/ac" r="157" x14ac:dyDescent="0.45">
      <c r="A157">
        <v>0.75</v>
      </c>
      <c r="B157">
        <f t="shared" si="49"/>
        <v>0.16661100393599562</v>
      </c>
      <c r="C157" t="b">
        <f t="shared" si="62"/>
        <v>1</v>
      </c>
      <c r="D157" t="b">
        <f t="shared" si="50"/>
        <v>1</v>
      </c>
      <c r="E157">
        <f t="shared" si="58"/>
        <v>0.75</v>
      </c>
      <c r="F157">
        <f t="shared" si="63"/>
        <v>0.16661100393599562</v>
      </c>
      <c r="G157">
        <f t="shared" si="51"/>
        <v>0.22540467719618501</v>
      </c>
      <c r="H157">
        <f t="shared" si="52"/>
        <v>3.6388847667690627E-2</v>
      </c>
      <c r="I157" t="b">
        <f t="shared" si="64"/>
        <v>1</v>
      </c>
      <c r="J157">
        <f t="shared" si="53"/>
        <v>0.75</v>
      </c>
      <c r="K157">
        <f t="shared" si="65"/>
        <v>3.6388847667690627E-2</v>
      </c>
      <c r="L157">
        <f t="shared" si="54"/>
        <v>0.14676779099919007</v>
      </c>
      <c r="M157">
        <f t="shared" si="55"/>
        <v>0.19277769533538125</v>
      </c>
      <c r="N157">
        <f t="shared" si="56"/>
        <v>0.197997437221277</v>
      </c>
      <c r="O157">
        <f t="shared" si="57"/>
        <v>0.15817509027172882</v>
      </c>
      <c r="P157">
        <f t="shared" si="70"/>
        <v>0.08</v>
      </c>
      <c r="Q157">
        <f t="shared" si="66"/>
        <v>0.08</v>
      </c>
      <c r="R157">
        <f t="shared" si="59"/>
        <v>0.08</v>
      </c>
      <c r="S157">
        <f t="shared" si="60"/>
        <v>0.06</v>
      </c>
      <c r="T157">
        <f t="shared" si="61"/>
        <v>0.1</v>
      </c>
      <c r="U157">
        <f t="shared" si="67"/>
        <v>0.08</v>
      </c>
      <c r="V157">
        <f t="shared" si="71"/>
        <v>0.197997437221277</v>
      </c>
      <c r="W157">
        <f t="shared" si="68"/>
        <v>0.14629846924559203</v>
      </c>
      <c r="X157">
        <f t="shared" si="69"/>
        <v>0.2257158723182276</v>
      </c>
      <c r="Y157" t="b">
        <f t="shared" si="72"/>
        <v>0</v>
      </c>
    </row>
    <row xmlns:x14ac="http://schemas.microsoft.com/office/spreadsheetml/2009/9/ac" r="158" x14ac:dyDescent="0.45">
      <c r="A158">
        <v>0.755</v>
      </c>
      <c r="B158">
        <f t="shared" si="49"/>
        <v>0.16651153654643569</v>
      </c>
      <c r="C158" t="b">
        <f t="shared" si="62"/>
        <v>1</v>
      </c>
      <c r="D158" t="b">
        <f t="shared" si="50"/>
        <v>1</v>
      </c>
      <c r="E158">
        <f t="shared" si="58"/>
        <v>0.755</v>
      </c>
      <c r="F158">
        <f t="shared" si="63"/>
        <v>0.16651153654643569</v>
      </c>
      <c r="G158">
        <f t="shared" si="51"/>
        <v>0.22532784604813905</v>
      </c>
      <c r="H158">
        <f t="shared" si="52"/>
        <v>3.6350590979398342E-2</v>
      </c>
      <c r="I158" t="b">
        <f t="shared" si="64"/>
        <v>1</v>
      </c>
      <c r="J158">
        <f t="shared" si="53"/>
        <v>0.755</v>
      </c>
      <c r="K158">
        <f t="shared" si="65"/>
        <v>3.6350590979398342E-2</v>
      </c>
      <c r="L158">
        <f t="shared" si="54"/>
        <v>0.14688366212498155</v>
      </c>
      <c r="M158">
        <f t="shared" si="55"/>
        <v>0.19270118195879671</v>
      </c>
      <c r="N158">
        <f t="shared" si="56"/>
        <v>0.19772769948080457</v>
      </c>
      <c r="O158">
        <f t="shared" si="57"/>
        <v>0.15816283373470513</v>
      </c>
      <c r="P158">
        <f t="shared" si="70"/>
        <v>0.08</v>
      </c>
      <c r="Q158">
        <f t="shared" si="66"/>
        <v>0.08</v>
      </c>
      <c r="R158">
        <f t="shared" si="59"/>
        <v>0.08</v>
      </c>
      <c r="S158">
        <f t="shared" si="60"/>
        <v>0.06</v>
      </c>
      <c r="T158">
        <f t="shared" si="61"/>
        <v>0.1</v>
      </c>
      <c r="U158">
        <f t="shared" si="67"/>
        <v>0.08</v>
      </c>
      <c r="V158">
        <f t="shared" si="71"/>
        <v>0.19772769948080457</v>
      </c>
      <c r="W158">
        <f t="shared" si="68"/>
        <v>0.14641668112339495</v>
      </c>
      <c r="X158">
        <f t="shared" si="69"/>
        <v>0.22563748907803527</v>
      </c>
      <c r="Y158" t="b">
        <f t="shared" si="72"/>
        <v>0</v>
      </c>
    </row>
    <row xmlns:x14ac="http://schemas.microsoft.com/office/spreadsheetml/2009/9/ac" r="159" x14ac:dyDescent="0.45">
      <c r="A159">
        <v>0.76</v>
      </c>
      <c r="B159">
        <f t="shared" si="49"/>
        <v>0.16640012225406642</v>
      </c>
      <c r="C159" t="b">
        <f t="shared" si="62"/>
        <v>1</v>
      </c>
      <c r="D159" t="b">
        <f t="shared" si="50"/>
        <v>1</v>
      </c>
      <c r="E159">
        <f t="shared" si="58"/>
        <v>0.76</v>
      </c>
      <c r="F159">
        <f t="shared" si="63"/>
        <v>0.16640012225406642</v>
      </c>
      <c r="G159">
        <f t="shared" si="51"/>
        <v>0.22525139809704259</v>
      </c>
      <c r="H159">
        <f t="shared" si="52"/>
        <v>3.630773932848709E-2</v>
      </c>
      <c r="I159" t="b">
        <f t="shared" si="64"/>
        <v>1</v>
      </c>
      <c r="J159">
        <f t="shared" si="53"/>
        <v>0.76</v>
      </c>
      <c r="K159">
        <f t="shared" si="65"/>
        <v>3.630773932848709E-2</v>
      </c>
      <c r="L159">
        <f t="shared" si="54"/>
        <v>0.1469989553411222</v>
      </c>
      <c r="M159">
        <f t="shared" si="55"/>
        <v>0.19261547865697418</v>
      </c>
      <c r="N159">
        <f t="shared" si="56"/>
        <v>0.19742303483991935</v>
      </c>
      <c r="O159">
        <f t="shared" si="57"/>
        <v>0.15814935754712342</v>
      </c>
      <c r="P159">
        <f t="shared" si="70"/>
        <v>0.08</v>
      </c>
      <c r="Q159">
        <f t="shared" si="66"/>
        <v>0.08</v>
      </c>
      <c r="R159">
        <f t="shared" si="59"/>
        <v>0.08</v>
      </c>
      <c r="S159">
        <f t="shared" si="60"/>
        <v>0.06</v>
      </c>
      <c r="T159">
        <f t="shared" si="61"/>
        <v>0.1</v>
      </c>
      <c r="U159">
        <f t="shared" si="67"/>
        <v>0.08</v>
      </c>
      <c r="V159">
        <f t="shared" si="71"/>
        <v>0.19742303483991935</v>
      </c>
      <c r="W159">
        <f t="shared" si="68"/>
        <v>0.14653430341699764</v>
      </c>
      <c r="X159">
        <f t="shared" si="69"/>
        <v>0.22555949677588438</v>
      </c>
      <c r="Y159" t="b">
        <f t="shared" si="72"/>
        <v>0</v>
      </c>
    </row>
    <row xmlns:x14ac="http://schemas.microsoft.com/office/spreadsheetml/2009/9/ac" r="160" x14ac:dyDescent="0.45">
      <c r="A160">
        <v>0.76500000000000001</v>
      </c>
      <c r="B160">
        <f t="shared" si="49"/>
        <v>0.16627787668391766</v>
      </c>
      <c r="C160" t="b">
        <f t="shared" si="62"/>
        <v>1</v>
      </c>
      <c r="D160" t="b">
        <f t="shared" si="50"/>
        <v>1</v>
      </c>
      <c r="E160">
        <f t="shared" si="58"/>
        <v>0.76500000000000001</v>
      </c>
      <c r="F160">
        <f t="shared" si="63"/>
        <v>0.16627787668391766</v>
      </c>
      <c r="G160">
        <f t="shared" si="51"/>
        <v>0.22517533143169288</v>
      </c>
      <c r="H160">
        <f t="shared" si="52"/>
        <v>3.6260721801506787E-2</v>
      </c>
      <c r="I160" t="b">
        <f t="shared" si="64"/>
        <v>1</v>
      </c>
      <c r="J160">
        <f t="shared" si="53"/>
        <v>0.76500000000000001</v>
      </c>
      <c r="K160">
        <f t="shared" si="65"/>
        <v>3.6260721801506787E-2</v>
      </c>
      <c r="L160">
        <f t="shared" si="54"/>
        <v>0.14711367352994842</v>
      </c>
      <c r="M160">
        <f t="shared" si="55"/>
        <v>0.1925214436030136</v>
      </c>
      <c r="N160">
        <f t="shared" si="56"/>
        <v>0.19708590320803659</v>
      </c>
      <c r="O160">
        <f t="shared" si="57"/>
        <v>0.15813481892141101</v>
      </c>
      <c r="P160">
        <f t="shared" si="70"/>
        <v>0.08</v>
      </c>
      <c r="Q160">
        <f t="shared" si="66"/>
        <v>0.08</v>
      </c>
      <c r="R160">
        <f t="shared" si="59"/>
        <v>0.08</v>
      </c>
      <c r="S160">
        <f t="shared" si="60"/>
        <v>0.06</v>
      </c>
      <c r="T160">
        <f t="shared" si="61"/>
        <v>0.1</v>
      </c>
      <c r="U160">
        <f t="shared" si="67"/>
        <v>0.08</v>
      </c>
      <c r="V160">
        <f t="shared" si="71"/>
        <v>0.19708590320803659</v>
      </c>
      <c r="W160">
        <f t="shared" si="68"/>
        <v>0.14665133906696354</v>
      </c>
      <c r="X160">
        <f t="shared" si="69"/>
        <v>0.22548189346196323</v>
      </c>
      <c r="Y160" t="b">
        <f t="shared" si="72"/>
        <v>0</v>
      </c>
    </row>
    <row xmlns:x14ac="http://schemas.microsoft.com/office/spreadsheetml/2009/9/ac" r="161" x14ac:dyDescent="0.45">
      <c r="A161">
        <v>0.77</v>
      </c>
      <c r="B161">
        <f t="shared" si="49"/>
        <v>0.16614591286445687</v>
      </c>
      <c r="C161" t="b">
        <f t="shared" si="62"/>
        <v>1</v>
      </c>
      <c r="D161" t="b">
        <f t="shared" si="50"/>
        <v>1</v>
      </c>
      <c r="E161">
        <f t="shared" si="58"/>
        <v>0.77</v>
      </c>
      <c r="F161">
        <f t="shared" si="63"/>
        <v>0.16614591286445687</v>
      </c>
      <c r="G161">
        <f t="shared" si="51"/>
        <v>0.22509964415041939</v>
      </c>
      <c r="H161">
        <f t="shared" si="52"/>
        <v>3.620996648632957E-2</v>
      </c>
      <c r="I161" t="b">
        <f t="shared" si="64"/>
        <v>1</v>
      </c>
      <c r="J161">
        <f t="shared" si="53"/>
        <v>0.77</v>
      </c>
      <c r="K161">
        <f t="shared" si="65"/>
        <v>3.620996648632957E-2</v>
      </c>
      <c r="L161">
        <f t="shared" si="54"/>
        <v>0.14722781955942082</v>
      </c>
      <c r="M161">
        <f t="shared" si="55"/>
        <v>0.19241993297265914</v>
      </c>
      <c r="N161">
        <f t="shared" si="56"/>
        <v>0.19671883194763098</v>
      </c>
      <c r="O161">
        <f t="shared" si="57"/>
        <v>0.15811936986312686</v>
      </c>
      <c r="P161">
        <f t="shared" si="70"/>
        <v>0.08</v>
      </c>
      <c r="Q161">
        <f t="shared" si="66"/>
        <v>0.08</v>
      </c>
      <c r="R161">
        <f t="shared" si="59"/>
        <v>0.08</v>
      </c>
      <c r="S161">
        <f t="shared" si="60"/>
        <v>0.06</v>
      </c>
      <c r="T161">
        <f t="shared" si="61"/>
        <v>0.1</v>
      </c>
      <c r="U161">
        <f t="shared" si="67"/>
        <v>0.08</v>
      </c>
      <c r="V161">
        <f t="shared" si="71"/>
        <v>0.19671883194763098</v>
      </c>
      <c r="W161">
        <f t="shared" si="68"/>
        <v>0.14676779099919007</v>
      </c>
      <c r="X161">
        <f t="shared" si="69"/>
        <v>0.22540467719618501</v>
      </c>
      <c r="Y161" t="b">
        <f t="shared" si="72"/>
        <v>0</v>
      </c>
    </row>
    <row xmlns:x14ac="http://schemas.microsoft.com/office/spreadsheetml/2009/9/ac" r="162" x14ac:dyDescent="0.45">
      <c r="A162">
        <v>0.77500000000000002</v>
      </c>
      <c r="B162">
        <f t="shared" si="49"/>
        <v>0.16600533602987921</v>
      </c>
      <c r="C162" t="b">
        <f t="shared" si="62"/>
        <v>1</v>
      </c>
      <c r="D162" t="b">
        <f t="shared" si="50"/>
        <v>1</v>
      </c>
      <c r="E162">
        <f t="shared" si="58"/>
        <v>0.77500000000000002</v>
      </c>
      <c r="F162">
        <f t="shared" si="63"/>
        <v>0.16600533602987921</v>
      </c>
      <c r="G162">
        <f t="shared" si="51"/>
        <v>0.22502433436103608</v>
      </c>
      <c r="H162">
        <f t="shared" si="52"/>
        <v>3.6155898473030468E-2</v>
      </c>
      <c r="I162" t="b">
        <f t="shared" si="64"/>
        <v>1</v>
      </c>
      <c r="J162">
        <f t="shared" si="53"/>
        <v>0.77500000000000002</v>
      </c>
      <c r="K162">
        <f t="shared" si="65"/>
        <v>3.6155898473030468E-2</v>
      </c>
      <c r="L162">
        <f t="shared" si="54"/>
        <v>0.14734139628319623</v>
      </c>
      <c r="M162">
        <f t="shared" si="55"/>
        <v>0.19231179694606093</v>
      </c>
      <c r="N162">
        <f t="shared" si="56"/>
        <v>0.19632440246843497</v>
      </c>
      <c r="O162">
        <f t="shared" si="57"/>
        <v>0.15810315671508518</v>
      </c>
      <c r="P162">
        <f t="shared" si="70"/>
        <v>0.08</v>
      </c>
      <c r="Q162">
        <f t="shared" si="66"/>
        <v>0.08</v>
      </c>
      <c r="R162">
        <f t="shared" si="59"/>
        <v>0.08</v>
      </c>
      <c r="S162">
        <f t="shared" si="60"/>
        <v>0.06</v>
      </c>
      <c r="T162">
        <f t="shared" si="61"/>
        <v>0.1</v>
      </c>
      <c r="U162">
        <f t="shared" si="67"/>
        <v>0.08</v>
      </c>
      <c r="V162">
        <f t="shared" si="71"/>
        <v>0.19632440246843497</v>
      </c>
      <c r="W162">
        <f t="shared" si="68"/>
        <v>0.14688366212498155</v>
      </c>
      <c r="X162">
        <f t="shared" si="69"/>
        <v>0.22532784604813905</v>
      </c>
      <c r="Y162" t="b">
        <f t="shared" si="72"/>
        <v>0</v>
      </c>
    </row>
    <row xmlns:x14ac="http://schemas.microsoft.com/office/spreadsheetml/2009/9/ac" r="163" x14ac:dyDescent="0.45">
      <c r="A163">
        <v>0.78</v>
      </c>
      <c r="B163">
        <f t="shared" si="49"/>
        <v>0.16585723871317787</v>
      </c>
      <c r="C163" t="b">
        <f t="shared" si="62"/>
        <v>1</v>
      </c>
      <c r="D163" t="b">
        <f t="shared" si="50"/>
        <v>1</v>
      </c>
      <c r="E163">
        <f t="shared" si="58"/>
        <v>0.78</v>
      </c>
      <c r="F163">
        <f t="shared" si="63"/>
        <v>0.16585723871317787</v>
      </c>
      <c r="G163">
        <f t="shared" si="51"/>
        <v>0.22494940018079429</v>
      </c>
      <c r="H163">
        <f t="shared" si="52"/>
        <v>3.6098937966606875E-2</v>
      </c>
      <c r="I163" t="b">
        <f t="shared" si="64"/>
        <v>1</v>
      </c>
      <c r="J163">
        <f t="shared" si="53"/>
        <v>0.78</v>
      </c>
      <c r="K163">
        <f t="shared" si="65"/>
        <v>3.6098937966606875E-2</v>
      </c>
      <c r="L163">
        <f t="shared" si="54"/>
        <v>0.14745440654069855</v>
      </c>
      <c r="M163">
        <f t="shared" si="55"/>
        <v>0.19219787593321375</v>
      </c>
      <c r="N163">
        <f t="shared" si="56"/>
        <v>0.19590523700257936</v>
      </c>
      <c r="O163">
        <f t="shared" si="57"/>
        <v>0.15808631976360704</v>
      </c>
      <c r="P163">
        <f t="shared" si="70"/>
        <v>0.08</v>
      </c>
      <c r="Q163">
        <f t="shared" si="66"/>
        <v>0.08</v>
      </c>
      <c r="R163">
        <f t="shared" si="59"/>
        <v>0.08</v>
      </c>
      <c r="S163">
        <f t="shared" si="60"/>
        <v>0.06</v>
      </c>
      <c r="T163">
        <f t="shared" si="61"/>
        <v>0.1</v>
      </c>
      <c r="U163">
        <f t="shared" si="67"/>
        <v>0.08</v>
      </c>
      <c r="V163">
        <f t="shared" si="71"/>
        <v>0.19590523700257936</v>
      </c>
      <c r="W163">
        <f t="shared" si="68"/>
        <v>0.1469989553411222</v>
      </c>
      <c r="X163">
        <f t="shared" si="69"/>
        <v>0.22525139809704259</v>
      </c>
      <c r="Y163" t="b">
        <f t="shared" si="72"/>
        <v>0</v>
      </c>
    </row>
    <row xmlns:x14ac="http://schemas.microsoft.com/office/spreadsheetml/2009/9/ac" r="164" x14ac:dyDescent="0.45">
      <c r="A164">
        <v>0.78500000000000003</v>
      </c>
      <c r="B164">
        <f t="shared" si="49"/>
        <v>0.16570269613928637</v>
      </c>
      <c r="C164" t="b">
        <f t="shared" si="62"/>
        <v>1</v>
      </c>
      <c r="D164" t="b">
        <f t="shared" si="50"/>
        <v>1</v>
      </c>
      <c r="E164">
        <f t="shared" si="58"/>
        <v>0.78500000000000003</v>
      </c>
      <c r="F164">
        <f t="shared" si="63"/>
        <v>0.16570269613928637</v>
      </c>
      <c r="G164">
        <f t="shared" si="51"/>
        <v>0.22487483973633571</v>
      </c>
      <c r="H164">
        <f t="shared" si="52"/>
        <v>3.6039498515110138E-2</v>
      </c>
      <c r="I164" t="b">
        <f t="shared" si="64"/>
        <v>1</v>
      </c>
      <c r="J164">
        <f t="shared" si="53"/>
        <v>0.78500000000000003</v>
      </c>
      <c r="K164">
        <f t="shared" si="65"/>
        <v>3.6039498515110138E-2</v>
      </c>
      <c r="L164">
        <f t="shared" si="54"/>
        <v>0.14756685315719015</v>
      </c>
      <c r="M164">
        <f t="shared" si="55"/>
        <v>0.1920789970302203</v>
      </c>
      <c r="N164">
        <f t="shared" si="56"/>
        <v>0.1954639856140096</v>
      </c>
      <c r="O164">
        <f t="shared" si="57"/>
        <v>0.15806899290470128</v>
      </c>
      <c r="P164">
        <f t="shared" si="70"/>
        <v>0.08</v>
      </c>
      <c r="Q164">
        <f t="shared" si="66"/>
        <v>0.08</v>
      </c>
      <c r="R164">
        <f t="shared" si="59"/>
        <v>0.08</v>
      </c>
      <c r="S164">
        <f t="shared" si="60"/>
        <v>0.06</v>
      </c>
      <c r="T164">
        <f t="shared" si="61"/>
        <v>0.1</v>
      </c>
      <c r="U164">
        <f t="shared" si="67"/>
        <v>0.08</v>
      </c>
      <c r="V164">
        <f t="shared" si="71"/>
        <v>0.1954639856140096</v>
      </c>
      <c r="W164">
        <f t="shared" si="68"/>
        <v>0.14711367352994842</v>
      </c>
      <c r="X164">
        <f t="shared" si="69"/>
        <v>0.22517533143169288</v>
      </c>
      <c r="Y164" t="b">
        <f t="shared" si="72"/>
        <v>0</v>
      </c>
    </row>
    <row xmlns:x14ac="http://schemas.microsoft.com/office/spreadsheetml/2009/9/ac" r="165" x14ac:dyDescent="0.45">
      <c r="A165">
        <v>0.79</v>
      </c>
      <c r="B165">
        <f t="shared" si="49"/>
        <v>0.16554276192569597</v>
      </c>
      <c r="C165" t="b">
        <f t="shared" si="62"/>
        <v>1</v>
      </c>
      <c r="D165" t="b">
        <f t="shared" si="50"/>
        <v>1</v>
      </c>
      <c r="E165">
        <f t="shared" si="58"/>
        <v>0.79</v>
      </c>
      <c r="F165">
        <f t="shared" si="63"/>
        <v>0.16554276192569597</v>
      </c>
      <c r="G165">
        <f t="shared" si="51"/>
        <v>0.22480065116364517</v>
      </c>
      <c r="H165">
        <f t="shared" si="52"/>
        <v>3.5977985356036912E-2</v>
      </c>
      <c r="I165" t="b">
        <f t="shared" si="64"/>
        <v>1</v>
      </c>
      <c r="J165">
        <f t="shared" si="53"/>
        <v>0.79</v>
      </c>
      <c r="K165">
        <f t="shared" si="65"/>
        <v>3.5977985356036912E-2</v>
      </c>
      <c r="L165">
        <f t="shared" si="54"/>
        <v>0.14767873894384226</v>
      </c>
      <c r="M165">
        <f t="shared" si="55"/>
        <v>0.19195597071207382</v>
      </c>
      <c r="N165">
        <f t="shared" si="56"/>
        <v>0.19500331349278588</v>
      </c>
      <c r="O165">
        <f t="shared" si="57"/>
        <v>0.15805130336780679</v>
      </c>
      <c r="P165">
        <f t="shared" si="70"/>
        <v>0.08</v>
      </c>
      <c r="Q165">
        <f t="shared" si="66"/>
        <v>0.08</v>
      </c>
      <c r="R165">
        <f t="shared" si="59"/>
        <v>0.08</v>
      </c>
      <c r="S165">
        <f t="shared" si="60"/>
        <v>0.06</v>
      </c>
      <c r="T165">
        <f t="shared" si="61"/>
        <v>0.1</v>
      </c>
      <c r="U165">
        <f t="shared" si="67"/>
        <v>0.08</v>
      </c>
      <c r="V165">
        <f t="shared" si="71"/>
        <v>0.19500331349278588</v>
      </c>
      <c r="W165">
        <f t="shared" si="68"/>
        <v>0.14722781955942082</v>
      </c>
      <c r="X165">
        <f t="shared" si="69"/>
        <v>0.22509964415041939</v>
      </c>
      <c r="Y165" t="b">
        <f t="shared" si="72"/>
        <v>0</v>
      </c>
    </row>
    <row xmlns:x14ac="http://schemas.microsoft.com/office/spreadsheetml/2009/9/ac" r="166" x14ac:dyDescent="0.45">
      <c r="A166">
        <v>0.79500000000000004</v>
      </c>
      <c r="B166">
        <f t="shared" si="49"/>
        <v>0.16537846409611884</v>
      </c>
      <c r="C166" t="b">
        <f t="shared" si="62"/>
        <v>1</v>
      </c>
      <c r="D166" t="b">
        <f t="shared" si="50"/>
        <v>1</v>
      </c>
      <c r="E166">
        <f t="shared" si="58"/>
        <v>0.79500000000000004</v>
      </c>
      <c r="F166">
        <f t="shared" si="63"/>
        <v>0.16537846409611884</v>
      </c>
      <c r="G166">
        <f t="shared" si="51"/>
        <v>0.22472683260800469</v>
      </c>
      <c r="H166">
        <f t="shared" si="52"/>
        <v>3.5914793883122631E-2</v>
      </c>
      <c r="I166" t="b">
        <f t="shared" si="64"/>
        <v>1</v>
      </c>
      <c r="J166">
        <f t="shared" si="53"/>
        <v>0.79500000000000004</v>
      </c>
      <c r="K166">
        <f t="shared" si="65"/>
        <v>3.5914793883122631E-2</v>
      </c>
      <c r="L166">
        <f t="shared" si="54"/>
        <v>0.14779006669780542</v>
      </c>
      <c r="M166">
        <f t="shared" si="55"/>
        <v>0.19182958776624526</v>
      </c>
      <c r="N166">
        <f t="shared" si="56"/>
        <v>0.19452588858201036</v>
      </c>
      <c r="O166">
        <f t="shared" si="57"/>
        <v>0.15803337149458421</v>
      </c>
      <c r="P166">
        <f t="shared" si="70"/>
        <v>0.08</v>
      </c>
      <c r="Q166">
        <f t="shared" si="66"/>
        <v>0.08</v>
      </c>
      <c r="R166">
        <f t="shared" si="59"/>
        <v>0.08</v>
      </c>
      <c r="S166">
        <f t="shared" si="60"/>
        <v>0.06</v>
      </c>
      <c r="T166">
        <f t="shared" si="61"/>
        <v>0.1</v>
      </c>
      <c r="U166">
        <f t="shared" si="67"/>
        <v>0.08</v>
      </c>
      <c r="V166">
        <f t="shared" si="71"/>
        <v>0.19452588858201036</v>
      </c>
      <c r="W166">
        <f t="shared" si="68"/>
        <v>0.14734139628319623</v>
      </c>
      <c r="X166">
        <f t="shared" si="69"/>
        <v>0.22502433436103608</v>
      </c>
      <c r="Y166" t="b">
        <f t="shared" si="72"/>
        <v>0</v>
      </c>
    </row>
    <row xmlns:x14ac="http://schemas.microsoft.com/office/spreadsheetml/2009/9/ac" r="167" x14ac:dyDescent="0.45">
      <c r="A167">
        <v>0.8</v>
      </c>
      <c r="B167">
        <f t="shared" si="49"/>
        <v>0.16521080141099903</v>
      </c>
      <c r="C167" t="b">
        <f t="shared" si="62"/>
        <v>1</v>
      </c>
      <c r="D167" t="b">
        <f t="shared" si="50"/>
        <v>1</v>
      </c>
      <c r="E167">
        <f t="shared" si="58"/>
        <v>0.8</v>
      </c>
      <c r="F167">
        <f t="shared" si="63"/>
        <v>0.16521080141099903</v>
      </c>
      <c r="G167">
        <f t="shared" si="51"/>
        <v>0.22465338222394637</v>
      </c>
      <c r="H167">
        <f t="shared" si="52"/>
        <v>3.5850308234999628E-2</v>
      </c>
      <c r="I167" t="b">
        <f t="shared" si="64"/>
        <v>1</v>
      </c>
      <c r="J167">
        <f t="shared" si="53"/>
        <v>0.8</v>
      </c>
      <c r="K167">
        <f t="shared" si="65"/>
        <v>3.5850308234999628E-2</v>
      </c>
      <c r="L167">
        <f t="shared" si="54"/>
        <v>0.14790083920227926</v>
      </c>
      <c r="M167">
        <f t="shared" si="55"/>
        <v>0.19170061646999925</v>
      </c>
      <c r="N167">
        <f t="shared" si="56"/>
        <v>0.1940343695821361</v>
      </c>
      <c r="O167">
        <f t="shared" si="57"/>
        <v>0.15801531057012169</v>
      </c>
      <c r="P167">
        <f t="shared" si="70"/>
        <v>0.08</v>
      </c>
      <c r="Q167">
        <f t="shared" si="66"/>
        <v>0.08</v>
      </c>
      <c r="R167">
        <f t="shared" si="59"/>
        <v>0.08</v>
      </c>
      <c r="S167">
        <f t="shared" si="60"/>
        <v>0.06</v>
      </c>
      <c r="T167">
        <f t="shared" si="61"/>
        <v>0.1</v>
      </c>
      <c r="U167">
        <f t="shared" si="67"/>
        <v>0.08</v>
      </c>
      <c r="V167">
        <f t="shared" si="71"/>
        <v>0.1940343695821361</v>
      </c>
      <c r="W167">
        <f t="shared" si="68"/>
        <v>0.14745440654069855</v>
      </c>
      <c r="X167">
        <f t="shared" si="69"/>
        <v>0.22494940018079429</v>
      </c>
      <c r="Y167" t="b">
        <f t="shared" si="72"/>
        <v>0</v>
      </c>
    </row>
    <row xmlns:x14ac="http://schemas.microsoft.com/office/spreadsheetml/2009/9/ac" r="168" x14ac:dyDescent="0.45">
      <c r="A168">
        <v>0.80500000000000005</v>
      </c>
      <c r="B168">
        <f t="shared" si="49"/>
        <v>0.16504074001697208</v>
      </c>
      <c r="C168" t="b">
        <f t="shared" si="62"/>
        <v>1</v>
      </c>
      <c r="D168" t="b">
        <f t="shared" si="50"/>
        <v>1</v>
      </c>
      <c r="E168">
        <f t="shared" si="58"/>
        <v>0.80500000000000005</v>
      </c>
      <c r="F168">
        <f t="shared" si="63"/>
        <v>0.16504074001697208</v>
      </c>
      <c r="G168">
        <f t="shared" si="51"/>
        <v>0.22458029817520686</v>
      </c>
      <c r="H168">
        <f t="shared" si="52"/>
        <v>3.5784900006527717E-2</v>
      </c>
      <c r="I168" t="b">
        <f t="shared" si="64"/>
        <v>1</v>
      </c>
      <c r="J168">
        <f t="shared" si="53"/>
        <v>0.80500000000000005</v>
      </c>
      <c r="K168">
        <f t="shared" si="65"/>
        <v>3.5784900006527717E-2</v>
      </c>
      <c r="L168">
        <f t="shared" si="54"/>
        <v>0.14801105922658214</v>
      </c>
      <c r="M168">
        <f t="shared" si="55"/>
        <v>0.19156980001305546</v>
      </c>
      <c r="N168">
        <f t="shared" si="56"/>
        <v>0.19353139437431752</v>
      </c>
      <c r="O168">
        <f t="shared" si="57"/>
        <v>0.15799722670382188</v>
      </c>
      <c r="P168">
        <f t="shared" si="70"/>
        <v>0.08</v>
      </c>
      <c r="Q168">
        <f t="shared" si="66"/>
        <v>0.08</v>
      </c>
      <c r="R168">
        <f t="shared" si="59"/>
        <v>0.08</v>
      </c>
      <c r="S168">
        <f t="shared" si="60"/>
        <v>0.06</v>
      </c>
      <c r="T168">
        <f t="shared" si="61"/>
        <v>0.1</v>
      </c>
      <c r="U168">
        <f t="shared" si="67"/>
        <v>0.08</v>
      </c>
      <c r="V168">
        <f t="shared" si="71"/>
        <v>0.19353139437431752</v>
      </c>
      <c r="W168">
        <f t="shared" si="68"/>
        <v>0.14756685315719015</v>
      </c>
      <c r="X168">
        <f t="shared" si="69"/>
        <v>0.22487483973633571</v>
      </c>
      <c r="Y168" t="b">
        <f t="shared" si="72"/>
        <v>0</v>
      </c>
    </row>
    <row xmlns:x14ac="http://schemas.microsoft.com/office/spreadsheetml/2009/9/ac" r="169" x14ac:dyDescent="0.45">
      <c r="A169">
        <v>0.81</v>
      </c>
      <c r="B169">
        <f t="shared" si="49"/>
        <v>0.16486921041574562</v>
      </c>
      <c r="C169" t="b">
        <f t="shared" si="62"/>
        <v>1</v>
      </c>
      <c r="D169" t="b">
        <f t="shared" si="50"/>
        <v>1</v>
      </c>
      <c r="E169">
        <f t="shared" si="58"/>
        <v>0.81</v>
      </c>
      <c r="F169">
        <f t="shared" si="63"/>
        <v>0.16486921041574562</v>
      </c>
      <c r="G169">
        <f t="shared" si="51"/>
        <v>0.22450757863468113</v>
      </c>
      <c r="H169">
        <f t="shared" si="52"/>
        <v>3.5718927082979079E-2</v>
      </c>
      <c r="I169" t="b">
        <f t="shared" si="64"/>
        <v>1</v>
      </c>
      <c r="J169">
        <f t="shared" si="53"/>
        <v>0.81</v>
      </c>
      <c r="K169">
        <f t="shared" si="65"/>
        <v>3.5718927082979079E-2</v>
      </c>
      <c r="L169">
        <f t="shared" si="54"/>
        <v>0.14812072952622046</v>
      </c>
      <c r="M169">
        <f t="shared" si="55"/>
        <v>0.19143785416595815</v>
      </c>
      <c r="N169">
        <f t="shared" si="56"/>
        <v>0.19301956890128141</v>
      </c>
      <c r="O169">
        <f t="shared" si="57"/>
        <v>0.15797921875715965</v>
      </c>
      <c r="P169">
        <f t="shared" si="70"/>
        <v>0.08</v>
      </c>
      <c r="Q169">
        <f t="shared" si="66"/>
        <v>0.08</v>
      </c>
      <c r="R169">
        <f t="shared" si="59"/>
        <v>0.08</v>
      </c>
      <c r="S169">
        <f t="shared" si="60"/>
        <v>0.06</v>
      </c>
      <c r="T169">
        <f t="shared" si="61"/>
        <v>0.1</v>
      </c>
      <c r="U169">
        <f t="shared" si="67"/>
        <v>0.08</v>
      </c>
      <c r="V169">
        <f t="shared" si="71"/>
        <v>0.19301956890128141</v>
      </c>
      <c r="W169">
        <f t="shared" si="68"/>
        <v>0.14767873894384226</v>
      </c>
      <c r="X169">
        <f t="shared" si="69"/>
        <v>0.22480065116364517</v>
      </c>
      <c r="Y169" t="b">
        <f t="shared" si="72"/>
        <v>0</v>
      </c>
    </row>
    <row xmlns:x14ac="http://schemas.microsoft.com/office/spreadsheetml/2009/9/ac" r="170" x14ac:dyDescent="0.45">
      <c r="A170">
        <v>0.81499999999999995</v>
      </c>
      <c r="B170">
        <f t="shared" si="49"/>
        <v>0.16469710475132232</v>
      </c>
      <c r="C170" t="b">
        <f t="shared" si="62"/>
        <v>1</v>
      </c>
      <c r="D170" t="b">
        <f t="shared" si="50"/>
        <v>1</v>
      </c>
      <c r="E170">
        <f t="shared" si="58"/>
        <v>0.81499999999999995</v>
      </c>
      <c r="F170">
        <f t="shared" si="63"/>
        <v>0.16469710475132232</v>
      </c>
      <c r="G170">
        <f t="shared" si="51"/>
        <v>0.22443522178437686</v>
      </c>
      <c r="H170">
        <f t="shared" si="52"/>
        <v>3.5652732596662434E-2</v>
      </c>
      <c r="I170" t="b">
        <f t="shared" si="64"/>
        <v>1</v>
      </c>
      <c r="J170">
        <f t="shared" si="53"/>
        <v>0.81499999999999995</v>
      </c>
      <c r="K170">
        <f t="shared" si="65"/>
        <v>3.5652732596662434E-2</v>
      </c>
      <c r="L170">
        <f t="shared" si="54"/>
        <v>0.14822985284295737</v>
      </c>
      <c r="M170">
        <f t="shared" si="55"/>
        <v>0.19130546519332486</v>
      </c>
      <c r="N170">
        <f t="shared" si="56"/>
        <v>0.19250145654094181</v>
      </c>
      <c r="O170">
        <f t="shared" si="57"/>
        <v>0.1579613783154426</v>
      </c>
      <c r="P170">
        <f t="shared" si="70"/>
        <v>0.08</v>
      </c>
      <c r="Q170">
        <f t="shared" si="66"/>
        <v>0.08</v>
      </c>
      <c r="R170">
        <f t="shared" si="59"/>
        <v>0.08</v>
      </c>
      <c r="S170">
        <f t="shared" si="60"/>
        <v>0.06</v>
      </c>
      <c r="T170">
        <f t="shared" si="61"/>
        <v>0.1</v>
      </c>
      <c r="U170">
        <f t="shared" si="67"/>
        <v>0.08</v>
      </c>
      <c r="V170">
        <f t="shared" si="71"/>
        <v>0.19250145654094181</v>
      </c>
      <c r="W170">
        <f t="shared" si="68"/>
        <v>0.14779006669780542</v>
      </c>
      <c r="X170">
        <f t="shared" si="69"/>
        <v>0.22472683260800469</v>
      </c>
      <c r="Y170" t="b">
        <f t="shared" si="72"/>
        <v>0</v>
      </c>
    </row>
    <row xmlns:x14ac="http://schemas.microsoft.com/office/spreadsheetml/2009/9/ac" r="171" x14ac:dyDescent="0.45">
      <c r="A171">
        <v>0.82</v>
      </c>
      <c r="B171">
        <f t="shared" si="49"/>
        <v>0.16452527441301693</v>
      </c>
      <c r="C171" t="b">
        <f t="shared" si="62"/>
        <v>1</v>
      </c>
      <c r="D171" t="b">
        <f t="shared" si="50"/>
        <v>1</v>
      </c>
      <c r="E171">
        <f t="shared" si="58"/>
        <v>0.82</v>
      </c>
      <c r="F171">
        <f t="shared" si="63"/>
        <v>0.16452527441301693</v>
      </c>
      <c r="G171">
        <f t="shared" si="51"/>
        <v>0.22436322581536899</v>
      </c>
      <c r="H171">
        <f t="shared" si="52"/>
        <v>3.558664400500651E-2</v>
      </c>
      <c r="I171" t="b">
        <f t="shared" si="64"/>
        <v>1</v>
      </c>
      <c r="J171">
        <f t="shared" si="53"/>
        <v>0.82</v>
      </c>
      <c r="K171">
        <f t="shared" si="65"/>
        <v>3.558664400500651E-2</v>
      </c>
      <c r="L171">
        <f t="shared" si="54"/>
        <v>0.1483384319048815</v>
      </c>
      <c r="M171">
        <f t="shared" si="55"/>
        <v>0.19117328801001304</v>
      </c>
      <c r="N171">
        <f t="shared" si="56"/>
        <v>0.19197956800467397</v>
      </c>
      <c r="O171">
        <f t="shared" si="57"/>
        <v>0.15794378970066994</v>
      </c>
      <c r="P171">
        <f t="shared" si="70"/>
        <v>0.08</v>
      </c>
      <c r="Q171">
        <f t="shared" si="66"/>
        <v>0.08</v>
      </c>
      <c r="R171">
        <f t="shared" si="59"/>
        <v>0.08</v>
      </c>
      <c r="S171">
        <f t="shared" si="60"/>
        <v>0.06</v>
      </c>
      <c r="T171">
        <f t="shared" si="61"/>
        <v>0.1</v>
      </c>
      <c r="U171">
        <f t="shared" si="67"/>
        <v>0.08</v>
      </c>
      <c r="V171">
        <f t="shared" si="71"/>
        <v>0.19197956800467397</v>
      </c>
      <c r="W171">
        <f t="shared" si="68"/>
        <v>0.14790083920227926</v>
      </c>
      <c r="X171">
        <f t="shared" si="69"/>
        <v>0.22465338222394637</v>
      </c>
      <c r="Y171" t="b">
        <f t="shared" si="72"/>
        <v>0</v>
      </c>
    </row>
    <row xmlns:x14ac="http://schemas.microsoft.com/office/spreadsheetml/2009/9/ac" r="172" x14ac:dyDescent="0.45">
      <c r="A172">
        <v>0.82499999999999996</v>
      </c>
      <c r="B172">
        <f t="shared" si="49"/>
        <v>0.16435452795033176</v>
      </c>
      <c r="C172" t="b">
        <f t="shared" si="62"/>
        <v>1</v>
      </c>
      <c r="D172" t="b">
        <f t="shared" si="50"/>
        <v>1</v>
      </c>
      <c r="E172">
        <f t="shared" si="58"/>
        <v>0.82499999999999996</v>
      </c>
      <c r="F172">
        <f t="shared" si="63"/>
        <v>0.16435452795033176</v>
      </c>
      <c r="G172">
        <f t="shared" si="51"/>
        <v>0.22429158892775464</v>
      </c>
      <c r="H172">
        <f t="shared" si="52"/>
        <v>3.5520972288589137E-2</v>
      </c>
      <c r="I172" t="b">
        <f t="shared" si="64"/>
        <v>1</v>
      </c>
      <c r="J172">
        <f t="shared" si="53"/>
        <v>0.82499999999999996</v>
      </c>
      <c r="K172">
        <f t="shared" si="65"/>
        <v>3.5520972288589137E-2</v>
      </c>
      <c r="L172">
        <f t="shared" si="54"/>
        <v>0.14844646942647499</v>
      </c>
      <c r="M172">
        <f t="shared" si="55"/>
        <v>0.19104194457717827</v>
      </c>
      <c r="N172">
        <f t="shared" si="56"/>
        <v>0.19145635178881568</v>
      </c>
      <c r="O172">
        <f t="shared" si="57"/>
        <v>0.15792653002256507</v>
      </c>
      <c r="P172">
        <f t="shared" si="70"/>
        <v>0.08</v>
      </c>
      <c r="Q172">
        <f t="shared" si="66"/>
        <v>0.08</v>
      </c>
      <c r="R172">
        <f t="shared" si="59"/>
        <v>0.08</v>
      </c>
      <c r="S172">
        <f t="shared" si="60"/>
        <v>0.06</v>
      </c>
      <c r="T172">
        <f t="shared" si="61"/>
        <v>0.1</v>
      </c>
      <c r="U172">
        <f t="shared" si="67"/>
        <v>0.08</v>
      </c>
      <c r="V172">
        <f t="shared" si="71"/>
        <v>0.19145635178881568</v>
      </c>
      <c r="W172">
        <f t="shared" si="68"/>
        <v>0.14801105922658214</v>
      </c>
      <c r="X172">
        <f t="shared" si="69"/>
        <v>0.22458029817520686</v>
      </c>
      <c r="Y172" t="b">
        <f t="shared" si="72"/>
        <v>0</v>
      </c>
    </row>
    <row xmlns:x14ac="http://schemas.microsoft.com/office/spreadsheetml/2009/9/ac" r="173" x14ac:dyDescent="0.45">
      <c r="A173">
        <v>0.83</v>
      </c>
      <c r="B173">
        <f t="shared" si="49"/>
        <v>0.16418562929445593</v>
      </c>
      <c r="C173" t="b">
        <f t="shared" si="62"/>
        <v>1</v>
      </c>
      <c r="D173" t="b">
        <f t="shared" si="50"/>
        <v>1</v>
      </c>
      <c r="E173">
        <f t="shared" si="58"/>
        <v>0.83</v>
      </c>
      <c r="F173">
        <f t="shared" si="63"/>
        <v>0.16418562929445593</v>
      </c>
      <c r="G173">
        <f t="shared" si="51"/>
        <v>0.22422030933060783</v>
      </c>
      <c r="H173">
        <f t="shared" si="52"/>
        <v>3.5456011267098436E-2</v>
      </c>
      <c r="I173" t="b">
        <f t="shared" si="64"/>
        <v>1</v>
      </c>
      <c r="J173">
        <f t="shared" si="53"/>
        <v>0.83</v>
      </c>
      <c r="K173">
        <f t="shared" si="65"/>
        <v>3.5456011267098436E-2</v>
      </c>
      <c r="L173">
        <f t="shared" si="54"/>
        <v>0.1485539681086816</v>
      </c>
      <c r="M173">
        <f t="shared" si="55"/>
        <v>0.19091202253419687</v>
      </c>
      <c r="N173">
        <f t="shared" si="56"/>
        <v>0.19093418520459507</v>
      </c>
      <c r="O173">
        <f t="shared" si="57"/>
        <v>0.1579096692648557</v>
      </c>
      <c r="P173">
        <f t="shared" si="70"/>
        <v>0.08</v>
      </c>
      <c r="Q173">
        <f t="shared" si="66"/>
        <v>0.08</v>
      </c>
      <c r="R173">
        <f t="shared" si="59"/>
        <v>0.08</v>
      </c>
      <c r="S173">
        <f t="shared" si="60"/>
        <v>0.06</v>
      </c>
      <c r="T173">
        <f t="shared" si="61"/>
        <v>0.1</v>
      </c>
      <c r="U173">
        <f t="shared" si="67"/>
        <v>0.08</v>
      </c>
      <c r="V173">
        <f t="shared" si="71"/>
        <v>0.19093418520459507</v>
      </c>
      <c r="W173">
        <f t="shared" si="68"/>
        <v>0.14812072952622046</v>
      </c>
      <c r="X173">
        <f t="shared" si="69"/>
        <v>0.22450757863468113</v>
      </c>
      <c r="Y173" t="b">
        <f t="shared" si="72"/>
        <v>0</v>
      </c>
    </row>
    <row xmlns:x14ac="http://schemas.microsoft.com/office/spreadsheetml/2009/9/ac" r="174" x14ac:dyDescent="0.45">
      <c r="A174">
        <v>0.83499999999999996</v>
      </c>
      <c r="B174">
        <f t="shared" si="49"/>
        <v>0.16401929627994169</v>
      </c>
      <c r="C174" t="b">
        <f t="shared" si="62"/>
        <v>1</v>
      </c>
      <c r="D174" t="b">
        <f t="shared" si="50"/>
        <v>1</v>
      </c>
      <c r="E174">
        <f t="shared" si="58"/>
        <v>0.83499999999999996</v>
      </c>
      <c r="F174">
        <f t="shared" si="63"/>
        <v>0.16401929627994169</v>
      </c>
      <c r="G174">
        <f t="shared" si="51"/>
        <v>0.22414938524193495</v>
      </c>
      <c r="H174">
        <f t="shared" si="52"/>
        <v>3.5392037030746809E-2</v>
      </c>
      <c r="I174" t="b">
        <f t="shared" si="64"/>
        <v>1</v>
      </c>
      <c r="J174">
        <f t="shared" si="53"/>
        <v>0.83499999999999996</v>
      </c>
      <c r="K174">
        <f t="shared" si="65"/>
        <v>3.5392037030746809E-2</v>
      </c>
      <c r="L174">
        <f t="shared" si="54"/>
        <v>0.14866093063897395</v>
      </c>
      <c r="M174">
        <f t="shared" si="55"/>
        <v>0.19078407406149361</v>
      </c>
      <c r="N174">
        <f t="shared" si="56"/>
        <v>0.19041536600830761</v>
      </c>
      <c r="O174">
        <f t="shared" si="57"/>
        <v>0.15789327040388873</v>
      </c>
      <c r="P174">
        <f t="shared" si="70"/>
        <v>0.08</v>
      </c>
      <c r="Q174">
        <f t="shared" si="66"/>
        <v>0.08</v>
      </c>
      <c r="R174">
        <f t="shared" si="59"/>
        <v>0.08</v>
      </c>
      <c r="S174">
        <f t="shared" si="60"/>
        <v>0.06</v>
      </c>
      <c r="T174">
        <f t="shared" si="61"/>
        <v>0.1</v>
      </c>
      <c r="U174">
        <f t="shared" si="67"/>
        <v>0.08</v>
      </c>
      <c r="V174">
        <f t="shared" si="71"/>
        <v>0.19041536600830761</v>
      </c>
      <c r="W174">
        <f t="shared" si="68"/>
        <v>0.14822985284295737</v>
      </c>
      <c r="X174">
        <f t="shared" si="69"/>
        <v>0.22443522178437686</v>
      </c>
      <c r="Y174" t="b">
        <f t="shared" si="72"/>
        <v>0</v>
      </c>
    </row>
    <row xmlns:x14ac="http://schemas.microsoft.com/office/spreadsheetml/2009/9/ac" r="175" x14ac:dyDescent="0.45">
      <c r="A175">
        <v>0.84000000000000097</v>
      </c>
      <c r="B175">
        <f t="shared" si="49"/>
        <v>0.16385619945899013</v>
      </c>
      <c r="C175" t="b">
        <f t="shared" si="62"/>
        <v>1</v>
      </c>
      <c r="D175" t="b">
        <f t="shared" si="50"/>
        <v>1</v>
      </c>
      <c r="E175">
        <f t="shared" si="58"/>
        <v>0.84000000000000097</v>
      </c>
      <c r="F175">
        <f t="shared" si="63"/>
        <v>0.16385619945899013</v>
      </c>
      <c r="G175">
        <f t="shared" si="51"/>
        <v>0.22407881488863002</v>
      </c>
      <c r="H175">
        <f t="shared" si="52"/>
        <v>3.5329307484226968E-2</v>
      </c>
      <c r="I175" t="b">
        <f t="shared" si="64"/>
        <v>1</v>
      </c>
      <c r="J175">
        <f t="shared" si="53"/>
        <v>0.84000000000000097</v>
      </c>
      <c r="K175">
        <f t="shared" si="65"/>
        <v>3.5329307484226968E-2</v>
      </c>
      <c r="L175">
        <f t="shared" si="54"/>
        <v>0.14876735969142091</v>
      </c>
      <c r="M175">
        <f t="shared" si="55"/>
        <v>0.19065861496845393</v>
      </c>
      <c r="N175">
        <f t="shared" si="56"/>
        <v>0.18990210465019974</v>
      </c>
      <c r="O175">
        <f t="shared" si="57"/>
        <v>0.15787738955669584</v>
      </c>
      <c r="P175">
        <f t="shared" si="70"/>
        <v>0.08</v>
      </c>
      <c r="Q175">
        <f t="shared" si="66"/>
        <v>0.08</v>
      </c>
      <c r="R175">
        <f t="shared" si="59"/>
        <v>0.08</v>
      </c>
      <c r="S175">
        <f t="shared" si="60"/>
        <v>0.06</v>
      </c>
      <c r="T175">
        <f t="shared" si="61"/>
        <v>0.1</v>
      </c>
      <c r="U175">
        <f t="shared" si="67"/>
        <v>0.08</v>
      </c>
      <c r="V175">
        <f t="shared" si="71"/>
        <v>0.18990210465019974</v>
      </c>
      <c r="W175">
        <f t="shared" si="68"/>
        <v>0.1483384319048815</v>
      </c>
      <c r="X175">
        <f t="shared" si="69"/>
        <v>0.22436322581536899</v>
      </c>
      <c r="Y175" t="b">
        <f t="shared" si="72"/>
        <v>0</v>
      </c>
    </row>
    <row xmlns:x14ac="http://schemas.microsoft.com/office/spreadsheetml/2009/9/ac" r="176" x14ac:dyDescent="0.45">
      <c r="A176">
        <v>0.84500000000000097</v>
      </c>
      <c r="B176">
        <f t="shared" si="49"/>
        <v>0.16369696119974725</v>
      </c>
      <c r="C176" t="b">
        <f t="shared" si="62"/>
        <v>1</v>
      </c>
      <c r="D176" t="b">
        <f t="shared" si="50"/>
        <v>1</v>
      </c>
      <c r="E176">
        <f t="shared" si="58"/>
        <v>0.84500000000000097</v>
      </c>
      <c r="F176">
        <f t="shared" si="63"/>
        <v>0.16369696119974725</v>
      </c>
      <c r="G176">
        <f t="shared" si="51"/>
        <v>0.22400859650643062</v>
      </c>
      <c r="H176">
        <f t="shared" si="52"/>
        <v>3.5268061999902789E-2</v>
      </c>
      <c r="I176" t="b">
        <f t="shared" si="64"/>
        <v>1</v>
      </c>
      <c r="J176">
        <f t="shared" si="53"/>
        <v>0.84500000000000097</v>
      </c>
      <c r="K176">
        <f t="shared" si="65"/>
        <v>3.5268061999902789E-2</v>
      </c>
      <c r="L176">
        <f t="shared" si="54"/>
        <v>0.14887325792675424</v>
      </c>
      <c r="M176">
        <f t="shared" si="55"/>
        <v>0.19053612399980557</v>
      </c>
      <c r="N176">
        <f t="shared" si="56"/>
        <v>0.18939651715717318</v>
      </c>
      <c r="O176">
        <f t="shared" si="57"/>
        <v>0.15786207615566705</v>
      </c>
      <c r="P176">
        <f t="shared" si="70"/>
        <v>0.08</v>
      </c>
      <c r="Q176">
        <f t="shared" si="66"/>
        <v>0.08</v>
      </c>
      <c r="R176">
        <f t="shared" si="59"/>
        <v>0.08</v>
      </c>
      <c r="S176">
        <f t="shared" si="60"/>
        <v>0.06</v>
      </c>
      <c r="T176">
        <f t="shared" si="61"/>
        <v>0.1</v>
      </c>
      <c r="U176">
        <f t="shared" si="67"/>
        <v>0.08</v>
      </c>
      <c r="V176">
        <f t="shared" si="71"/>
        <v>0.18939651715717318</v>
      </c>
      <c r="W176">
        <f t="shared" si="68"/>
        <v>0.14844646942647499</v>
      </c>
      <c r="X176">
        <f t="shared" si="69"/>
        <v>0.22429158892775464</v>
      </c>
      <c r="Y176" t="b">
        <f t="shared" si="72"/>
        <v>0</v>
      </c>
    </row>
    <row xmlns:x14ac="http://schemas.microsoft.com/office/spreadsheetml/2009/9/ac" r="177" x14ac:dyDescent="0.45">
      <c r="A177">
        <v>0.85000000000000098</v>
      </c>
      <c r="B177">
        <f t="shared" si="49"/>
        <v>0.16354215505907252</v>
      </c>
      <c r="C177" t="b">
        <f t="shared" si="62"/>
        <v>1</v>
      </c>
      <c r="D177" t="b">
        <f t="shared" si="50"/>
        <v>1</v>
      </c>
      <c r="E177">
        <f t="shared" si="58"/>
        <v>0.85000000000000098</v>
      </c>
      <c r="F177">
        <f t="shared" si="63"/>
        <v>0.16354215505907252</v>
      </c>
      <c r="G177">
        <f t="shared" si="51"/>
        <v>0.22393872833987349</v>
      </c>
      <c r="H177">
        <f t="shared" si="52"/>
        <v>3.5208521176566351E-2</v>
      </c>
      <c r="I177" t="b">
        <f t="shared" si="64"/>
        <v>1</v>
      </c>
      <c r="J177">
        <f t="shared" si="53"/>
        <v>0.85000000000000098</v>
      </c>
      <c r="K177">
        <f t="shared" si="65"/>
        <v>3.5208521176566351E-2</v>
      </c>
      <c r="L177">
        <f t="shared" si="54"/>
        <v>0.14897862799243539</v>
      </c>
      <c r="M177">
        <f t="shared" si="55"/>
        <v>0.19041704235313273</v>
      </c>
      <c r="N177">
        <f t="shared" si="56"/>
        <v>0.18890061866111646</v>
      </c>
      <c r="O177">
        <f t="shared" si="57"/>
        <v>0.15784737314704489</v>
      </c>
      <c r="P177">
        <f t="shared" si="70"/>
        <v>0.08</v>
      </c>
      <c r="Q177">
        <f t="shared" si="66"/>
        <v>0.08</v>
      </c>
      <c r="R177">
        <f t="shared" si="59"/>
        <v>0.08</v>
      </c>
      <c r="S177">
        <f t="shared" si="60"/>
        <v>0.06</v>
      </c>
      <c r="T177">
        <f t="shared" si="61"/>
        <v>0.1</v>
      </c>
      <c r="U177">
        <f t="shared" si="67"/>
        <v>0.08</v>
      </c>
      <c r="V177">
        <f t="shared" si="71"/>
        <v>0.18890061866111646</v>
      </c>
      <c r="W177">
        <f t="shared" si="68"/>
        <v>0.1485539681086816</v>
      </c>
      <c r="X177">
        <f t="shared" si="69"/>
        <v>0.22422030933060783</v>
      </c>
      <c r="Y177" t="b">
        <f t="shared" si="72"/>
        <v>0</v>
      </c>
    </row>
    <row xmlns:x14ac="http://schemas.microsoft.com/office/spreadsheetml/2009/9/ac" r="178" x14ac:dyDescent="0.45">
      <c r="A178">
        <v>0.85500000000000098</v>
      </c>
      <c r="B178">
        <f t="shared" si="49"/>
        <v>0.16339230541939445</v>
      </c>
      <c r="C178" t="b">
        <f t="shared" si="62"/>
        <v>1</v>
      </c>
      <c r="D178" t="b">
        <f t="shared" si="50"/>
        <v>1</v>
      </c>
      <c r="E178">
        <f t="shared" si="58"/>
        <v>0.85500000000000098</v>
      </c>
      <c r="F178">
        <f t="shared" si="63"/>
        <v>0.16339230541939445</v>
      </c>
      <c r="G178">
        <f t="shared" si="51"/>
        <v>0.22386920864225079</v>
      </c>
      <c r="H178">
        <f t="shared" si="52"/>
        <v>3.5150886699767098E-2</v>
      </c>
      <c r="I178" t="b">
        <f t="shared" si="64"/>
        <v>1</v>
      </c>
      <c r="J178">
        <f t="shared" si="53"/>
        <v>0.85500000000000098</v>
      </c>
      <c r="K178">
        <f t="shared" si="65"/>
        <v>3.5150886699767098E-2</v>
      </c>
      <c r="L178">
        <f t="shared" si="54"/>
        <v>0.14908347252272147</v>
      </c>
      <c r="M178">
        <f t="shared" si="55"/>
        <v>0.19030177339953419</v>
      </c>
      <c r="N178">
        <f t="shared" si="56"/>
        <v>0.18841631758142141</v>
      </c>
      <c r="O178">
        <f t="shared" si="57"/>
        <v>0.15783331721051597</v>
      </c>
      <c r="P178">
        <f t="shared" si="70"/>
        <v>0.08</v>
      </c>
      <c r="Q178">
        <f t="shared" si="66"/>
        <v>0.08</v>
      </c>
      <c r="R178">
        <f t="shared" si="59"/>
        <v>0.08</v>
      </c>
      <c r="S178">
        <f t="shared" si="60"/>
        <v>0.06</v>
      </c>
      <c r="T178">
        <f t="shared" si="61"/>
        <v>0.1</v>
      </c>
      <c r="U178">
        <f t="shared" si="67"/>
        <v>0.08</v>
      </c>
      <c r="V178">
        <f t="shared" si="71"/>
        <v>0.18841631758142141</v>
      </c>
      <c r="W178">
        <f t="shared" si="68"/>
        <v>0.14866093063897395</v>
      </c>
      <c r="X178">
        <f t="shared" si="69"/>
        <v>0.22414938524193495</v>
      </c>
      <c r="Y178" t="b">
        <f t="shared" si="72"/>
        <v>0</v>
      </c>
    </row>
    <row xmlns:x14ac="http://schemas.microsoft.com/office/spreadsheetml/2009/9/ac" r="179" x14ac:dyDescent="0.45">
      <c r="A179">
        <v>0.86000000000000099</v>
      </c>
      <c r="B179">
        <f t="shared" si="49"/>
        <v>0.16324788737851056</v>
      </c>
      <c r="C179" t="b">
        <f t="shared" si="62"/>
        <v>1</v>
      </c>
      <c r="D179" t="b">
        <f t="shared" si="50"/>
        <v>1</v>
      </c>
      <c r="E179">
        <f t="shared" si="58"/>
        <v>0.86000000000000099</v>
      </c>
      <c r="F179">
        <f t="shared" si="63"/>
        <v>0.16324788737851056</v>
      </c>
      <c r="G179">
        <f t="shared" si="51"/>
        <v>0.22380003567556656</v>
      </c>
      <c r="H179">
        <f t="shared" si="52"/>
        <v>3.5095341299427138E-2</v>
      </c>
      <c r="I179" t="b">
        <f t="shared" si="64"/>
        <v>1</v>
      </c>
      <c r="J179">
        <f t="shared" si="53"/>
        <v>0.86000000000000099</v>
      </c>
      <c r="K179">
        <f t="shared" si="65"/>
        <v>3.5095341299427138E-2</v>
      </c>
      <c r="L179">
        <f t="shared" si="54"/>
        <v>0.14918779413873123</v>
      </c>
      <c r="M179">
        <f t="shared" si="55"/>
        <v>0.1901906825988543</v>
      </c>
      <c r="N179">
        <f t="shared" si="56"/>
        <v>0.18794541046704771</v>
      </c>
      <c r="O179">
        <f t="shared" si="57"/>
        <v>0.15781993899725405</v>
      </c>
      <c r="P179">
        <f t="shared" si="70"/>
        <v>0.08</v>
      </c>
      <c r="Q179">
        <f t="shared" si="66"/>
        <v>0.08</v>
      </c>
      <c r="R179">
        <f t="shared" si="59"/>
        <v>0.08</v>
      </c>
      <c r="S179">
        <f t="shared" si="60"/>
        <v>0.06</v>
      </c>
      <c r="T179">
        <f t="shared" si="61"/>
        <v>0.1</v>
      </c>
      <c r="U179">
        <f t="shared" si="67"/>
        <v>0.08</v>
      </c>
      <c r="V179">
        <f t="shared" si="71"/>
        <v>0.18794541046704771</v>
      </c>
      <c r="W179">
        <f t="shared" si="68"/>
        <v>0.14876735969142091</v>
      </c>
      <c r="X179">
        <f t="shared" si="69"/>
        <v>0.22407881488863002</v>
      </c>
      <c r="Y179" t="b">
        <f t="shared" si="72"/>
        <v>0</v>
      </c>
    </row>
    <row xmlns:x14ac="http://schemas.microsoft.com/office/spreadsheetml/2009/9/ac" r="180" x14ac:dyDescent="0.45">
      <c r="A180">
        <v>0.86500000000000099</v>
      </c>
      <c r="B180">
        <f t="shared" si="49"/>
        <v>0.16310932688052246</v>
      </c>
      <c r="C180" t="b">
        <f t="shared" si="62"/>
        <v>1</v>
      </c>
      <c r="D180" t="b">
        <f t="shared" si="50"/>
        <v>1</v>
      </c>
      <c r="E180">
        <f t="shared" si="58"/>
        <v>0.86500000000000099</v>
      </c>
      <c r="F180">
        <f t="shared" si="63"/>
        <v>0.16310932688052246</v>
      </c>
      <c r="G180">
        <f t="shared" si="51"/>
        <v>0.22373120771049293</v>
      </c>
      <c r="H180">
        <f t="shared" si="52"/>
        <v>3.5042048800200939E-2</v>
      </c>
      <c r="I180" t="b">
        <f t="shared" si="64"/>
        <v>1</v>
      </c>
      <c r="J180">
        <f t="shared" si="53"/>
        <v>0.86500000000000099</v>
      </c>
      <c r="K180">
        <f t="shared" si="65"/>
        <v>3.5042048800200939E-2</v>
      </c>
      <c r="L180">
        <f t="shared" si="54"/>
        <v>0.14929159544851051</v>
      </c>
      <c r="M180">
        <f t="shared" si="55"/>
        <v>0.1900840976004019</v>
      </c>
      <c r="N180">
        <f t="shared" si="56"/>
        <v>0.18748957750038808</v>
      </c>
      <c r="O180">
        <f t="shared" si="57"/>
        <v>0.15780726338385198</v>
      </c>
      <c r="P180">
        <f t="shared" si="70"/>
        <v>0.08</v>
      </c>
      <c r="Q180">
        <f t="shared" si="66"/>
        <v>0.08</v>
      </c>
      <c r="R180">
        <f t="shared" si="59"/>
        <v>0.08</v>
      </c>
      <c r="S180">
        <f t="shared" si="60"/>
        <v>0.06</v>
      </c>
      <c r="T180">
        <f t="shared" si="61"/>
        <v>0.1</v>
      </c>
      <c r="U180">
        <f t="shared" si="67"/>
        <v>0.08</v>
      </c>
      <c r="V180">
        <f t="shared" si="71"/>
        <v>0.18748957750038808</v>
      </c>
      <c r="W180">
        <f t="shared" si="68"/>
        <v>0.14887325792675424</v>
      </c>
      <c r="X180">
        <f t="shared" si="69"/>
        <v>0.22400859650643062</v>
      </c>
      <c r="Y180" t="b">
        <f t="shared" si="72"/>
        <v>0</v>
      </c>
    </row>
    <row xmlns:x14ac="http://schemas.microsoft.com/office/spreadsheetml/2009/9/ac" r="181" x14ac:dyDescent="0.45">
      <c r="A181">
        <v>0.87000000000000099</v>
      </c>
      <c r="B181">
        <f t="shared" si="49"/>
        <v>0.16297700107551952</v>
      </c>
      <c r="C181" t="b">
        <f t="shared" si="62"/>
        <v>1</v>
      </c>
      <c r="D181" t="b">
        <f t="shared" si="50"/>
        <v>1</v>
      </c>
      <c r="E181">
        <f t="shared" si="58"/>
        <v>0.87000000000000099</v>
      </c>
      <c r="F181">
        <f t="shared" si="63"/>
        <v>0.16297700107551952</v>
      </c>
      <c r="G181">
        <f t="shared" si="51"/>
        <v>0.22366272302632723</v>
      </c>
      <c r="H181">
        <f t="shared" si="52"/>
        <v>3.4991154259815208E-2</v>
      </c>
      <c r="I181" t="b">
        <f t="shared" si="64"/>
        <v>1</v>
      </c>
      <c r="J181">
        <f t="shared" si="53"/>
        <v>0.87000000000000099</v>
      </c>
      <c r="K181">
        <f t="shared" si="65"/>
        <v>3.4991154259815208E-2</v>
      </c>
      <c r="L181">
        <f t="shared" si="54"/>
        <v>0.14939487904709742</v>
      </c>
      <c r="M181">
        <f t="shared" si="55"/>
        <v>0.18998230851963041</v>
      </c>
      <c r="N181">
        <f t="shared" si="56"/>
        <v>0.18705037866216209</v>
      </c>
      <c r="O181">
        <f t="shared" si="57"/>
        <v>0.15779530973967271</v>
      </c>
      <c r="P181">
        <f t="shared" si="70"/>
        <v>0.08</v>
      </c>
      <c r="Q181">
        <f t="shared" si="66"/>
        <v>0.08</v>
      </c>
      <c r="R181">
        <f t="shared" si="59"/>
        <v>0.08</v>
      </c>
      <c r="S181">
        <f t="shared" si="60"/>
        <v>0.06</v>
      </c>
      <c r="T181">
        <f t="shared" si="61"/>
        <v>0.1</v>
      </c>
      <c r="U181">
        <f t="shared" si="67"/>
        <v>0.08</v>
      </c>
      <c r="V181">
        <f t="shared" si="71"/>
        <v>0.18705037866216209</v>
      </c>
      <c r="W181">
        <f t="shared" si="68"/>
        <v>0.14897862799243539</v>
      </c>
      <c r="X181">
        <f t="shared" si="69"/>
        <v>0.22393872833987349</v>
      </c>
      <c r="Y181" t="b">
        <f t="shared" si="72"/>
        <v>0</v>
      </c>
    </row>
    <row xmlns:x14ac="http://schemas.microsoft.com/office/spreadsheetml/2009/9/ac" r="182" x14ac:dyDescent="0.45">
      <c r="A182">
        <v>0.875000000000001</v>
      </c>
      <c r="B182">
        <f t="shared" si="49"/>
        <v>0.16285123889513467</v>
      </c>
      <c r="C182" t="b">
        <f t="shared" si="62"/>
        <v>1</v>
      </c>
      <c r="D182" t="b">
        <f t="shared" si="50"/>
        <v>1</v>
      </c>
      <c r="E182">
        <f t="shared" si="58"/>
        <v>0.875000000000001</v>
      </c>
      <c r="F182">
        <f t="shared" si="63"/>
        <v>0.16285123889513467</v>
      </c>
      <c r="G182">
        <f t="shared" si="51"/>
        <v>0.22359457991094883</v>
      </c>
      <c r="H182">
        <f t="shared" si="52"/>
        <v>3.4942784190436421E-2</v>
      </c>
      <c r="I182" t="b">
        <f t="shared" si="64"/>
        <v>1</v>
      </c>
      <c r="J182">
        <f t="shared" si="53"/>
        <v>0.875000000000001</v>
      </c>
      <c r="K182">
        <f t="shared" si="65"/>
        <v>3.4942784190436421E-2</v>
      </c>
      <c r="L182">
        <f t="shared" si="54"/>
        <v>0.14949764751658728</v>
      </c>
      <c r="M182">
        <f t="shared" si="55"/>
        <v>0.18988556838087284</v>
      </c>
      <c r="N182">
        <f t="shared" si="56"/>
        <v>0.18662925055363822</v>
      </c>
      <c r="O182">
        <f t="shared" si="57"/>
        <v>0.15778409220524964</v>
      </c>
      <c r="P182">
        <f t="shared" si="70"/>
        <v>0.08</v>
      </c>
      <c r="Q182">
        <f t="shared" si="66"/>
        <v>0.08</v>
      </c>
      <c r="R182">
        <f t="shared" si="59"/>
        <v>0.08</v>
      </c>
      <c r="S182">
        <f t="shared" si="60"/>
        <v>0.06</v>
      </c>
      <c r="T182">
        <f t="shared" si="61"/>
        <v>0.1</v>
      </c>
      <c r="U182">
        <f t="shared" si="67"/>
        <v>0.08</v>
      </c>
      <c r="V182">
        <f t="shared" si="71"/>
        <v>0.18662925055363822</v>
      </c>
      <c r="W182">
        <f t="shared" si="68"/>
        <v>0.14908347252272147</v>
      </c>
      <c r="X182">
        <f t="shared" si="69"/>
        <v>0.22386920864225079</v>
      </c>
      <c r="Y182" t="b">
        <f t="shared" si="72"/>
        <v>0</v>
      </c>
    </row>
    <row xmlns:x14ac="http://schemas.microsoft.com/office/spreadsheetml/2009/9/ac" r="183" x14ac:dyDescent="0.45">
      <c r="A183">
        <v>0.880000000000001</v>
      </c>
      <c r="B183">
        <f t="shared" si="49"/>
        <v>0.1627323218306902</v>
      </c>
      <c r="C183" t="b">
        <f t="shared" si="62"/>
        <v>1</v>
      </c>
      <c r="D183" t="b">
        <f t="shared" si="50"/>
        <v>1</v>
      </c>
      <c r="E183">
        <f t="shared" si="58"/>
        <v>0.880000000000001</v>
      </c>
      <c r="F183">
        <f t="shared" si="63"/>
        <v>0.1627323218306902</v>
      </c>
      <c r="G183">
        <f t="shared" si="51"/>
        <v>0.22352677666077625</v>
      </c>
      <c r="H183">
        <f t="shared" si="52"/>
        <v>3.4897046857957761E-2</v>
      </c>
      <c r="I183" t="b">
        <f t="shared" si="64"/>
        <v>1</v>
      </c>
      <c r="J183">
        <f t="shared" si="53"/>
        <v>0.880000000000001</v>
      </c>
      <c r="K183">
        <f t="shared" si="65"/>
        <v>3.4897046857957761E-2</v>
      </c>
      <c r="L183">
        <f t="shared" si="54"/>
        <v>0.14959990342619728</v>
      </c>
      <c r="M183">
        <f t="shared" si="55"/>
        <v>0.18979409371591555</v>
      </c>
      <c r="N183">
        <f t="shared" si="56"/>
        <v>0.18622750386966863</v>
      </c>
      <c r="O183">
        <f t="shared" si="57"/>
        <v>0.15777361997947115</v>
      </c>
      <c r="P183">
        <f t="shared" si="70"/>
        <v>0.08</v>
      </c>
      <c r="Q183">
        <f t="shared" si="66"/>
        <v>0.08</v>
      </c>
      <c r="R183">
        <f t="shared" si="59"/>
        <v>0.08</v>
      </c>
      <c r="S183">
        <f t="shared" si="60"/>
        <v>0.06</v>
      </c>
      <c r="T183">
        <f t="shared" si="61"/>
        <v>0.1</v>
      </c>
      <c r="U183">
        <f t="shared" si="67"/>
        <v>0.08</v>
      </c>
      <c r="V183">
        <f t="shared" si="71"/>
        <v>0.18622750386966863</v>
      </c>
      <c r="W183">
        <f t="shared" si="68"/>
        <v>0.14918779413873123</v>
      </c>
      <c r="X183">
        <f t="shared" si="69"/>
        <v>0.22380003567556656</v>
      </c>
      <c r="Y183" t="b">
        <f t="shared" si="72"/>
        <v>0</v>
      </c>
    </row>
    <row xmlns:x14ac="http://schemas.microsoft.com/office/spreadsheetml/2009/9/ac" r="184" x14ac:dyDescent="0.45">
      <c r="A184">
        <v>0.88500000000000101</v>
      </c>
      <c r="B184">
        <f t="shared" si="49"/>
        <v>0.1626204849003311</v>
      </c>
      <c r="C184" t="b">
        <f t="shared" si="62"/>
        <v>1</v>
      </c>
      <c r="D184" t="b">
        <f t="shared" si="50"/>
        <v>1</v>
      </c>
      <c r="E184">
        <f t="shared" si="58"/>
        <v>0.88500000000000101</v>
      </c>
      <c r="F184">
        <f t="shared" si="63"/>
        <v>0.1626204849003311</v>
      </c>
      <c r="G184">
        <f t="shared" si="51"/>
        <v>0.22345931158072468</v>
      </c>
      <c r="H184">
        <f t="shared" si="52"/>
        <v>3.4854032653973507E-2</v>
      </c>
      <c r="I184" t="b">
        <f t="shared" si="64"/>
        <v>1</v>
      </c>
      <c r="J184">
        <f t="shared" si="53"/>
        <v>0.88500000000000101</v>
      </c>
      <c r="K184">
        <f t="shared" si="65"/>
        <v>3.4854032653973507E-2</v>
      </c>
      <c r="L184">
        <f t="shared" si="54"/>
        <v>0.14970164933233043</v>
      </c>
      <c r="M184">
        <f t="shared" si="55"/>
        <v>0.18970806530794701</v>
      </c>
      <c r="N184">
        <f t="shared" si="56"/>
        <v>0.18584632151331931</v>
      </c>
      <c r="O184">
        <f t="shared" si="57"/>
        <v>0.15776389761339404</v>
      </c>
      <c r="P184">
        <f t="shared" si="70"/>
        <v>0.08</v>
      </c>
      <c r="Q184">
        <f t="shared" si="66"/>
        <v>0.08</v>
      </c>
      <c r="R184">
        <f t="shared" si="59"/>
        <v>0.08</v>
      </c>
      <c r="S184">
        <f t="shared" si="60"/>
        <v>0.06</v>
      </c>
      <c r="T184">
        <f t="shared" si="61"/>
        <v>0.1</v>
      </c>
      <c r="U184">
        <f t="shared" si="67"/>
        <v>0.08</v>
      </c>
      <c r="V184">
        <f t="shared" si="71"/>
        <v>0.18584632151331931</v>
      </c>
      <c r="W184">
        <f t="shared" si="68"/>
        <v>0.14929159544851051</v>
      </c>
      <c r="X184">
        <f t="shared" si="69"/>
        <v>0.22373120771049293</v>
      </c>
      <c r="Y184" t="b">
        <f t="shared" si="72"/>
        <v>0</v>
      </c>
    </row>
    <row xmlns:x14ac="http://schemas.microsoft.com/office/spreadsheetml/2009/9/ac" r="185" x14ac:dyDescent="0.45">
      <c r="A185">
        <v>0.89000000000000101</v>
      </c>
      <c r="B185">
        <f t="shared" si="49"/>
        <v>0.16251591779130284</v>
      </c>
      <c r="C185" t="b">
        <f t="shared" si="62"/>
        <v>1</v>
      </c>
      <c r="D185" t="b">
        <f t="shared" si="50"/>
        <v>1</v>
      </c>
      <c r="E185">
        <f t="shared" si="58"/>
        <v>0.89000000000000101</v>
      </c>
      <c r="F185">
        <f t="shared" si="63"/>
        <v>0.16251591779130284</v>
      </c>
      <c r="G185">
        <f t="shared" si="51"/>
        <v>0.22339218298416363</v>
      </c>
      <c r="H185">
        <f t="shared" si="52"/>
        <v>3.4813814535116477E-2</v>
      </c>
      <c r="I185" t="b">
        <f t="shared" si="64"/>
        <v>1</v>
      </c>
      <c r="J185">
        <f t="shared" si="53"/>
        <v>0.89000000000000101</v>
      </c>
      <c r="K185">
        <f t="shared" si="65"/>
        <v>3.4813814535116477E-2</v>
      </c>
      <c r="L185">
        <f t="shared" si="54"/>
        <v>0.14980288777863965</v>
      </c>
      <c r="M185">
        <f t="shared" si="55"/>
        <v>0.18962762907023295</v>
      </c>
      <c r="N185">
        <f t="shared" si="56"/>
        <v>0.18548675734030523</v>
      </c>
      <c r="O185">
        <f t="shared" si="57"/>
        <v>0.15775492530864532</v>
      </c>
      <c r="P185">
        <f t="shared" si="70"/>
        <v>0.08</v>
      </c>
      <c r="Q185">
        <f t="shared" si="66"/>
        <v>0.08</v>
      </c>
      <c r="R185">
        <f t="shared" si="59"/>
        <v>0.08</v>
      </c>
      <c r="S185">
        <f t="shared" si="60"/>
        <v>0.06</v>
      </c>
      <c r="T185">
        <f t="shared" si="61"/>
        <v>0.1</v>
      </c>
      <c r="U185">
        <f t="shared" si="67"/>
        <v>0.08</v>
      </c>
      <c r="V185">
        <f t="shared" si="71"/>
        <v>0.18548675734030523</v>
      </c>
      <c r="W185">
        <f t="shared" si="68"/>
        <v>0.14939487904709742</v>
      </c>
      <c r="X185">
        <f t="shared" si="69"/>
        <v>0.22366272302632723</v>
      </c>
      <c r="Y185" t="b">
        <f t="shared" si="72"/>
        <v>0</v>
      </c>
    </row>
    <row xmlns:x14ac="http://schemas.microsoft.com/office/spreadsheetml/2009/9/ac" r="186" x14ac:dyDescent="0.45">
      <c r="A186">
        <v>0.89500000000000102</v>
      </c>
      <c r="B186">
        <f t="shared" si="49"/>
        <v>0.16241876616336659</v>
      </c>
      <c r="C186" t="b">
        <f t="shared" si="62"/>
        <v>1</v>
      </c>
      <c r="D186" t="b">
        <f t="shared" si="50"/>
        <v>1</v>
      </c>
      <c r="E186">
        <f t="shared" si="58"/>
        <v>0.89500000000000102</v>
      </c>
      <c r="F186">
        <f t="shared" si="63"/>
        <v>0.16241876616336659</v>
      </c>
      <c r="G186">
        <f t="shared" si="51"/>
        <v>0.2233253891928747</v>
      </c>
      <c r="H186">
        <f t="shared" si="52"/>
        <v>3.477644852437177E-2</v>
      </c>
      <c r="I186" t="b">
        <f t="shared" si="64"/>
        <v>1</v>
      </c>
      <c r="J186">
        <f t="shared" si="53"/>
        <v>0.89500000000000102</v>
      </c>
      <c r="K186">
        <f t="shared" si="65"/>
        <v>3.477644852437177E-2</v>
      </c>
      <c r="L186">
        <f t="shared" si="54"/>
        <v>0.14990362129609142</v>
      </c>
      <c r="M186">
        <f t="shared" si="55"/>
        <v>0.18955289704874353</v>
      </c>
      <c r="N186">
        <f t="shared" si="56"/>
        <v>0.1851497355190011</v>
      </c>
      <c r="O186">
        <f t="shared" si="57"/>
        <v>0.15774669921848911</v>
      </c>
      <c r="P186">
        <f t="shared" si="70"/>
        <v>0.08</v>
      </c>
      <c r="Q186">
        <f t="shared" si="66"/>
        <v>0.08</v>
      </c>
      <c r="R186">
        <f t="shared" si="59"/>
        <v>0.08</v>
      </c>
      <c r="S186">
        <f t="shared" si="60"/>
        <v>0.06</v>
      </c>
      <c r="T186">
        <f t="shared" si="61"/>
        <v>0.1</v>
      </c>
      <c r="U186">
        <f t="shared" si="67"/>
        <v>0.08</v>
      </c>
      <c r="V186">
        <f t="shared" si="71"/>
        <v>0.1851497355190011</v>
      </c>
      <c r="W186">
        <f t="shared" si="68"/>
        <v>0.14949764751658728</v>
      </c>
      <c r="X186">
        <f t="shared" si="69"/>
        <v>0.22359457991094883</v>
      </c>
      <c r="Y186" t="b">
        <f t="shared" si="72"/>
        <v>0</v>
      </c>
    </row>
    <row xmlns:x14ac="http://schemas.microsoft.com/office/spreadsheetml/2009/9/ac" r="187" x14ac:dyDescent="0.45">
      <c r="A187">
        <v>0.90000000000000102</v>
      </c>
      <c r="B187">
        <f t="shared" si="49"/>
        <v>0.16232913309925881</v>
      </c>
      <c r="C187" t="b">
        <f t="shared" si="62"/>
        <v>1</v>
      </c>
      <c r="D187" t="b">
        <f t="shared" si="50"/>
        <v>1</v>
      </c>
      <c r="E187">
        <f t="shared" si="58"/>
        <v>0.90000000000000102</v>
      </c>
      <c r="F187">
        <f t="shared" si="63"/>
        <v>0.16232913309925881</v>
      </c>
      <c r="G187">
        <f t="shared" si="51"/>
        <v>0.22325892853700963</v>
      </c>
      <c r="H187">
        <f t="shared" si="52"/>
        <v>3.4741974268945694E-2</v>
      </c>
      <c r="I187" t="b">
        <f t="shared" si="64"/>
        <v>1</v>
      </c>
      <c r="J187">
        <f t="shared" si="53"/>
        <v>0.90000000000000102</v>
      </c>
      <c r="K187">
        <f t="shared" si="65"/>
        <v>3.4741974268945694E-2</v>
      </c>
      <c r="L187">
        <f t="shared" si="54"/>
        <v>0.15000385240302888</v>
      </c>
      <c r="M187">
        <f t="shared" si="55"/>
        <v>0.18948394853789141</v>
      </c>
      <c r="N187">
        <f t="shared" si="56"/>
        <v>0.18483605048949681</v>
      </c>
      <c r="O187">
        <f t="shared" si="57"/>
        <v>0.15773921174975275</v>
      </c>
      <c r="P187">
        <f t="shared" si="70"/>
        <v>0.08</v>
      </c>
      <c r="Q187">
        <f t="shared" si="66"/>
        <v>0.08</v>
      </c>
      <c r="R187">
        <f t="shared" si="59"/>
        <v>0.08</v>
      </c>
      <c r="S187">
        <f t="shared" si="60"/>
        <v>0.06</v>
      </c>
      <c r="T187">
        <f t="shared" si="61"/>
        <v>0.1</v>
      </c>
      <c r="U187">
        <f t="shared" si="67"/>
        <v>0.08</v>
      </c>
      <c r="V187">
        <f t="shared" si="71"/>
        <v>0.18483605048949681</v>
      </c>
      <c r="W187">
        <f t="shared" si="68"/>
        <v>0.14959990342619728</v>
      </c>
      <c r="X187">
        <f t="shared" si="69"/>
        <v>0.22352677666077625</v>
      </c>
      <c r="Y187" t="b">
        <f t="shared" si="72"/>
        <v>0</v>
      </c>
    </row>
    <row xmlns:x14ac="http://schemas.microsoft.com/office/spreadsheetml/2009/9/ac" r="188" x14ac:dyDescent="0.45">
      <c r="A188">
        <v>0.90500000000000103</v>
      </c>
      <c r="B188">
        <f t="shared" si="49"/>
        <v>0.1622470806880848</v>
      </c>
      <c r="C188" t="b">
        <f t="shared" si="62"/>
        <v>1</v>
      </c>
      <c r="D188" t="b">
        <f t="shared" si="50"/>
        <v>1</v>
      </c>
      <c r="E188">
        <f t="shared" si="58"/>
        <v>0.90500000000000103</v>
      </c>
      <c r="F188">
        <f t="shared" si="63"/>
        <v>0.1622470806880848</v>
      </c>
      <c r="G188">
        <f t="shared" si="51"/>
        <v>0.22319279935504854</v>
      </c>
      <c r="H188">
        <f t="shared" si="52"/>
        <v>3.4710415649263388E-2</v>
      </c>
      <c r="I188" t="b">
        <f t="shared" si="64"/>
        <v>1</v>
      </c>
      <c r="J188">
        <f t="shared" si="53"/>
        <v>0.90500000000000103</v>
      </c>
      <c r="K188">
        <f t="shared" si="65"/>
        <v>3.4710415649263388E-2</v>
      </c>
      <c r="L188">
        <f t="shared" si="54"/>
        <v>0.15010358360523496</v>
      </c>
      <c r="M188">
        <f t="shared" si="55"/>
        <v>0.18942083129852677</v>
      </c>
      <c r="N188">
        <f t="shared" si="56"/>
        <v>0.1845463675030154</v>
      </c>
      <c r="O188">
        <f t="shared" si="57"/>
        <v>0.1577324518639302</v>
      </c>
      <c r="P188">
        <f t="shared" si="70"/>
        <v>0.08</v>
      </c>
      <c r="Q188">
        <f t="shared" si="66"/>
        <v>0.08</v>
      </c>
      <c r="R188">
        <f t="shared" si="59"/>
        <v>0.08</v>
      </c>
      <c r="S188">
        <f t="shared" si="60"/>
        <v>0.06</v>
      </c>
      <c r="T188">
        <f t="shared" si="61"/>
        <v>0.1</v>
      </c>
      <c r="U188">
        <f t="shared" si="67"/>
        <v>0.08</v>
      </c>
      <c r="V188">
        <f t="shared" si="71"/>
        <v>0.1845463675030154</v>
      </c>
      <c r="W188">
        <f t="shared" si="68"/>
        <v>0.14970164933233043</v>
      </c>
      <c r="X188">
        <f t="shared" si="69"/>
        <v>0.22345931158072468</v>
      </c>
      <c r="Y188" t="b">
        <f t="shared" si="72"/>
        <v>0</v>
      </c>
    </row>
    <row xmlns:x14ac="http://schemas.microsoft.com/office/spreadsheetml/2009/9/ac" r="189" x14ac:dyDescent="0.45">
      <c r="A189">
        <v>0.91000000000000103</v>
      </c>
      <c r="B189">
        <f t="shared" si="49"/>
        <v>0.16217263172758875</v>
      </c>
      <c r="C189" t="b">
        <f t="shared" si="62"/>
        <v>1</v>
      </c>
      <c r="D189" t="b">
        <f t="shared" si="50"/>
        <v>1</v>
      </c>
      <c r="E189">
        <f t="shared" si="58"/>
        <v>0.91000000000000103</v>
      </c>
      <c r="F189">
        <f t="shared" si="63"/>
        <v>0.16217263172758875</v>
      </c>
      <c r="G189">
        <f t="shared" si="51"/>
        <v>0.22312699999375851</v>
      </c>
      <c r="H189">
        <f t="shared" si="52"/>
        <v>3.4681781433687983E-2</v>
      </c>
      <c r="I189" t="b">
        <f t="shared" si="64"/>
        <v>1</v>
      </c>
      <c r="J189">
        <f t="shared" si="53"/>
        <v>0.91000000000000103</v>
      </c>
      <c r="K189">
        <f t="shared" si="65"/>
        <v>3.4681781433687983E-2</v>
      </c>
      <c r="L189">
        <f t="shared" si="54"/>
        <v>0.15020281739599492</v>
      </c>
      <c r="M189">
        <f t="shared" si="55"/>
        <v>0.18936356286737596</v>
      </c>
      <c r="N189">
        <f t="shared" si="56"/>
        <v>0.1842812237210075</v>
      </c>
      <c r="O189">
        <f t="shared" si="57"/>
        <v>0.15772640537589894</v>
      </c>
      <c r="P189">
        <f t="shared" si="70"/>
        <v>0.08</v>
      </c>
      <c r="Q189">
        <f t="shared" si="66"/>
        <v>0.08</v>
      </c>
      <c r="R189">
        <f t="shared" si="59"/>
        <v>0.08</v>
      </c>
      <c r="S189">
        <f t="shared" si="60"/>
        <v>0.06</v>
      </c>
      <c r="T189">
        <f t="shared" si="61"/>
        <v>0.1</v>
      </c>
      <c r="U189">
        <f t="shared" si="67"/>
        <v>0.08</v>
      </c>
      <c r="V189">
        <f t="shared" si="71"/>
        <v>0.1842812237210075</v>
      </c>
      <c r="W189">
        <f t="shared" si="68"/>
        <v>0.14980288777863965</v>
      </c>
      <c r="X189">
        <f t="shared" si="69"/>
        <v>0.22339218298416363</v>
      </c>
      <c r="Y189" t="b">
        <f t="shared" si="72"/>
        <v>0</v>
      </c>
    </row>
    <row xmlns:x14ac="http://schemas.microsoft.com/office/spreadsheetml/2009/9/ac" r="190" x14ac:dyDescent="0.45">
      <c r="A190">
        <v>0.91500000000000103</v>
      </c>
      <c r="B190">
        <f t="shared" si="49"/>
        <v>0.16210577153135947</v>
      </c>
      <c r="C190" t="b">
        <f t="shared" si="62"/>
        <v>1</v>
      </c>
      <c r="D190" t="b">
        <f t="shared" si="50"/>
        <v>1</v>
      </c>
      <c r="E190">
        <f t="shared" si="58"/>
        <v>0.91500000000000103</v>
      </c>
      <c r="F190">
        <f t="shared" si="63"/>
        <v>0.16210577153135947</v>
      </c>
      <c r="G190">
        <f t="shared" si="51"/>
        <v>0.22306152880815194</v>
      </c>
      <c r="H190">
        <f t="shared" si="52"/>
        <v>3.4656065973599798E-2</v>
      </c>
      <c r="I190" t="b">
        <f t="shared" si="64"/>
        <v>1</v>
      </c>
      <c r="J190">
        <f t="shared" si="53"/>
        <v>0.91500000000000103</v>
      </c>
      <c r="K190">
        <f t="shared" si="65"/>
        <v>3.4656065973599798E-2</v>
      </c>
      <c r="L190">
        <f t="shared" si="54"/>
        <v>0.15030155625615865</v>
      </c>
      <c r="M190">
        <f t="shared" si="55"/>
        <v>0.18931213194719959</v>
      </c>
      <c r="N190">
        <f t="shared" si="56"/>
        <v>0.18404102985138995</v>
      </c>
      <c r="O190">
        <f t="shared" si="57"/>
        <v>0.15772105524881005</v>
      </c>
      <c r="P190">
        <f t="shared" si="70"/>
        <v>0.08</v>
      </c>
      <c r="Q190">
        <f t="shared" si="66"/>
        <v>0.08</v>
      </c>
      <c r="R190">
        <f t="shared" si="59"/>
        <v>0.08</v>
      </c>
      <c r="S190">
        <f t="shared" si="60"/>
        <v>0.06</v>
      </c>
      <c r="T190">
        <f t="shared" si="61"/>
        <v>0.1</v>
      </c>
      <c r="U190">
        <f t="shared" si="67"/>
        <v>0.08</v>
      </c>
      <c r="V190">
        <f t="shared" si="71"/>
        <v>0.18404102985138995</v>
      </c>
      <c r="W190">
        <f t="shared" si="68"/>
        <v>0.14990362129609142</v>
      </c>
      <c r="X190">
        <f t="shared" si="69"/>
        <v>0.2233253891928747</v>
      </c>
      <c r="Y190" t="b">
        <f t="shared" si="72"/>
        <v>0</v>
      </c>
    </row>
    <row xmlns:x14ac="http://schemas.microsoft.com/office/spreadsheetml/2009/9/ac" r="191" x14ac:dyDescent="0.45">
      <c r="A191">
        <v>0.92000000000000104</v>
      </c>
      <c r="B191">
        <f t="shared" si="49"/>
        <v>0.16204644982720892</v>
      </c>
      <c r="C191" t="b">
        <f t="shared" si="62"/>
        <v>1</v>
      </c>
      <c r="D191" t="b">
        <f t="shared" si="50"/>
        <v>1</v>
      </c>
      <c r="E191">
        <f t="shared" si="58"/>
        <v>0.92000000000000104</v>
      </c>
      <c r="F191">
        <f t="shared" si="63"/>
        <v>0.16204644982720892</v>
      </c>
      <c r="G191">
        <f t="shared" si="51"/>
        <v>0.2229963841614459</v>
      </c>
      <c r="H191">
        <f t="shared" si="52"/>
        <v>3.4633249933541888E-2</v>
      </c>
      <c r="I191" t="b">
        <f t="shared" si="64"/>
        <v>1</v>
      </c>
      <c r="J191">
        <f t="shared" si="53"/>
        <v>0.92000000000000104</v>
      </c>
      <c r="K191">
        <f t="shared" si="65"/>
        <v>3.4633249933541888E-2</v>
      </c>
      <c r="L191">
        <f t="shared" si="54"/>
        <v>0.15039980265420286</v>
      </c>
      <c r="M191">
        <f t="shared" si="55"/>
        <v>0.18926649986708377</v>
      </c>
      <c r="N191">
        <f t="shared" si="56"/>
        <v>0.18382607229770914</v>
      </c>
      <c r="O191">
        <f t="shared" si="57"/>
        <v>0.15771638188383141</v>
      </c>
      <c r="P191">
        <f t="shared" si="70"/>
        <v>0.08</v>
      </c>
      <c r="Q191">
        <f t="shared" si="66"/>
        <v>0.08</v>
      </c>
      <c r="R191">
        <f t="shared" si="59"/>
        <v>0.08</v>
      </c>
      <c r="S191">
        <f t="shared" si="60"/>
        <v>0.06</v>
      </c>
      <c r="T191">
        <f t="shared" si="61"/>
        <v>0.1</v>
      </c>
      <c r="U191">
        <f t="shared" si="67"/>
        <v>0.08</v>
      </c>
      <c r="V191">
        <f t="shared" si="71"/>
        <v>0.18382607229770914</v>
      </c>
      <c r="W191">
        <f t="shared" si="68"/>
        <v>0.15000385240302888</v>
      </c>
      <c r="X191">
        <f t="shared" si="69"/>
        <v>0.22325892853700963</v>
      </c>
      <c r="Y191" t="b">
        <f t="shared" si="72"/>
        <v>0</v>
      </c>
    </row>
    <row xmlns:x14ac="http://schemas.microsoft.com/office/spreadsheetml/2009/9/ac" r="192" x14ac:dyDescent="0.45">
      <c r="A192">
        <v>0.92500000000000104</v>
      </c>
      <c r="B192">
        <f t="shared" si="49"/>
        <v>0.16199458273319592</v>
      </c>
      <c r="C192" t="b">
        <f t="shared" si="62"/>
        <v>1</v>
      </c>
      <c r="D192" t="b">
        <f t="shared" si="50"/>
        <v>1</v>
      </c>
      <c r="E192">
        <f t="shared" si="58"/>
        <v>0.92500000000000104</v>
      </c>
      <c r="F192">
        <f t="shared" si="63"/>
        <v>0.16199458273319592</v>
      </c>
      <c r="G192">
        <f t="shared" si="51"/>
        <v>0.22293156442502082</v>
      </c>
      <c r="H192">
        <f t="shared" si="52"/>
        <v>3.4613301051229201E-2</v>
      </c>
      <c r="I192" t="b">
        <f t="shared" si="64"/>
        <v>1</v>
      </c>
      <c r="J192">
        <f t="shared" si="53"/>
        <v>0.92500000000000104</v>
      </c>
      <c r="K192">
        <f t="shared" si="65"/>
        <v>3.4613301051229201E-2</v>
      </c>
      <c r="L192">
        <f t="shared" si="54"/>
        <v>0.15049755904629253</v>
      </c>
      <c r="M192">
        <f t="shared" si="55"/>
        <v>0.1892266021024584</v>
      </c>
      <c r="N192">
        <f t="shared" si="56"/>
        <v>0.18363651579548101</v>
      </c>
      <c r="O192">
        <f t="shared" si="57"/>
        <v>0.15771236340354258</v>
      </c>
      <c r="P192">
        <f t="shared" si="70"/>
        <v>0.08</v>
      </c>
      <c r="Q192">
        <f t="shared" si="66"/>
        <v>0.08</v>
      </c>
      <c r="R192">
        <f t="shared" si="59"/>
        <v>0.08</v>
      </c>
      <c r="S192">
        <f t="shared" si="60"/>
        <v>0.06</v>
      </c>
      <c r="T192">
        <f t="shared" si="61"/>
        <v>0.1</v>
      </c>
      <c r="U192">
        <f t="shared" si="67"/>
        <v>0.08</v>
      </c>
      <c r="V192">
        <f t="shared" si="71"/>
        <v>0.18363651579548101</v>
      </c>
      <c r="W192">
        <f t="shared" si="68"/>
        <v>0.15010358360523496</v>
      </c>
      <c r="X192">
        <f t="shared" si="69"/>
        <v>0.22319279935504854</v>
      </c>
      <c r="Y192" t="b">
        <f t="shared" si="72"/>
        <v>0</v>
      </c>
    </row>
    <row xmlns:x14ac="http://schemas.microsoft.com/office/spreadsheetml/2009/9/ac" r="193" x14ac:dyDescent="0.45">
      <c r="A193">
        <v>0.93000000000000105</v>
      </c>
      <c r="B193">
        <f t="shared" si="49"/>
        <v>0.16195005479805566</v>
      </c>
      <c r="C193" t="b">
        <f t="shared" si="62"/>
        <v>1</v>
      </c>
      <c r="D193" t="b">
        <f t="shared" si="50"/>
        <v>1</v>
      </c>
      <c r="E193">
        <f t="shared" si="58"/>
        <v>0.93000000000000105</v>
      </c>
      <c r="F193">
        <f t="shared" si="63"/>
        <v>0.16195005479805566</v>
      </c>
      <c r="G193">
        <f t="shared" si="51"/>
        <v>0.22286706797837985</v>
      </c>
      <c r="H193">
        <f t="shared" si="52"/>
        <v>3.4596174922329109E-2</v>
      </c>
      <c r="I193" t="b">
        <f t="shared" si="64"/>
        <v>1</v>
      </c>
      <c r="J193">
        <f t="shared" si="53"/>
        <v>0.93000000000000105</v>
      </c>
      <c r="K193">
        <f t="shared" si="65"/>
        <v>3.4596174922329109E-2</v>
      </c>
      <c r="L193">
        <f t="shared" si="54"/>
        <v>0.15059482787634265</v>
      </c>
      <c r="M193">
        <f t="shared" si="55"/>
        <v>0.18919234984465821</v>
      </c>
      <c r="N193">
        <f t="shared" si="56"/>
        <v>0.18347240650859781</v>
      </c>
      <c r="O193">
        <f t="shared" si="57"/>
        <v>0.15770897592789834</v>
      </c>
      <c r="P193">
        <f t="shared" si="70"/>
        <v>0.08</v>
      </c>
      <c r="Q193">
        <f t="shared" si="66"/>
        <v>0.08</v>
      </c>
      <c r="R193">
        <f t="shared" si="59"/>
        <v>0.08</v>
      </c>
      <c r="S193">
        <f t="shared" si="60"/>
        <v>0.06</v>
      </c>
      <c r="T193">
        <f t="shared" si="61"/>
        <v>0.1</v>
      </c>
      <c r="U193">
        <f t="shared" si="67"/>
        <v>0.08</v>
      </c>
      <c r="V193">
        <f t="shared" si="71"/>
        <v>0.18347240650859781</v>
      </c>
      <c r="W193">
        <f t="shared" si="68"/>
        <v>0.15020281739599492</v>
      </c>
      <c r="X193">
        <f t="shared" si="69"/>
        <v>0.22312699999375851</v>
      </c>
      <c r="Y193" t="b">
        <f t="shared" si="72"/>
        <v>0</v>
      </c>
    </row>
    <row xmlns:x14ac="http://schemas.microsoft.com/office/spreadsheetml/2009/9/ac" r="194" x14ac:dyDescent="0.45">
      <c r="A194">
        <v>0.93500000000000105</v>
      </c>
      <c r="B194">
        <f t="shared" si="49"/>
        <v>0.16191272109313276</v>
      </c>
      <c r="C194" t="b">
        <f t="shared" si="62"/>
        <v>1</v>
      </c>
      <c r="D194" t="b">
        <f t="shared" si="50"/>
        <v>1</v>
      </c>
      <c r="E194">
        <f t="shared" si="58"/>
        <v>0.93500000000000105</v>
      </c>
      <c r="F194">
        <f t="shared" si="63"/>
        <v>0.16191272109313276</v>
      </c>
      <c r="G194">
        <f t="shared" si="51"/>
        <v>0.22280289320910851</v>
      </c>
      <c r="H194">
        <f t="shared" si="52"/>
        <v>3.4581815805051069E-2</v>
      </c>
      <c r="I194" t="b">
        <f t="shared" si="64"/>
        <v>1</v>
      </c>
      <c r="J194">
        <f t="shared" si="53"/>
        <v>0.93500000000000105</v>
      </c>
      <c r="K194">
        <f t="shared" si="65"/>
        <v>3.4581815805051069E-2</v>
      </c>
      <c r="L194">
        <f t="shared" si="54"/>
        <v>0.15069161157607897</v>
      </c>
      <c r="M194">
        <f t="shared" si="55"/>
        <v>0.18916363161010213</v>
      </c>
      <c r="N194">
        <f t="shared" si="56"/>
        <v>0.18333367555749025</v>
      </c>
      <c r="O194">
        <f t="shared" si="57"/>
        <v>0.15770619384179291</v>
      </c>
      <c r="P194">
        <f t="shared" si="70"/>
        <v>0.08</v>
      </c>
      <c r="Q194">
        <f t="shared" si="66"/>
        <v>0.08</v>
      </c>
      <c r="R194">
        <f t="shared" si="59"/>
        <v>0.08</v>
      </c>
      <c r="S194">
        <f t="shared" si="60"/>
        <v>0.06</v>
      </c>
      <c r="T194">
        <f t="shared" si="61"/>
        <v>0.1</v>
      </c>
      <c r="U194">
        <f t="shared" si="67"/>
        <v>0.08</v>
      </c>
      <c r="V194">
        <f t="shared" si="71"/>
        <v>0.18333367555749025</v>
      </c>
      <c r="W194">
        <f t="shared" si="68"/>
        <v>0.15030155625615865</v>
      </c>
      <c r="X194">
        <f t="shared" si="69"/>
        <v>0.22306152880815194</v>
      </c>
      <c r="Y194" t="b">
        <f t="shared" si="72"/>
        <v>0</v>
      </c>
    </row>
    <row xmlns:x14ac="http://schemas.microsoft.com/office/spreadsheetml/2009/9/ac" r="195" x14ac:dyDescent="0.45">
      <c r="A195">
        <v>0.94000000000000095</v>
      </c>
      <c r="B195">
        <f t="shared" si="49"/>
        <v>0.16188240934329967</v>
      </c>
      <c r="C195" t="b">
        <f t="shared" si="62"/>
        <v>1</v>
      </c>
      <c r="D195" t="b">
        <f t="shared" si="50"/>
        <v>1</v>
      </c>
      <c r="E195">
        <f t="shared" si="58"/>
        <v>0.94000000000000095</v>
      </c>
      <c r="F195">
        <f t="shared" si="63"/>
        <v>0.16188240934329967</v>
      </c>
      <c r="G195">
        <f t="shared" si="51"/>
        <v>0.22273903851283422</v>
      </c>
      <c r="H195">
        <f t="shared" si="52"/>
        <v>3.4570157439730645E-2</v>
      </c>
      <c r="I195" t="b">
        <f t="shared" si="64"/>
        <v>1</v>
      </c>
      <c r="J195">
        <f t="shared" si="53"/>
        <v>0.94000000000000095</v>
      </c>
      <c r="K195">
        <f t="shared" si="65"/>
        <v>3.4570157439730645E-2</v>
      </c>
      <c r="L195">
        <f t="shared" si="54"/>
        <v>0.15078791256509905</v>
      </c>
      <c r="M195">
        <f t="shared" si="55"/>
        <v>0.18914031487946129</v>
      </c>
      <c r="N195">
        <f t="shared" si="56"/>
        <v>0.18322014294969968</v>
      </c>
      <c r="O195">
        <f t="shared" si="57"/>
        <v>0.15770399005336921</v>
      </c>
      <c r="P195">
        <f t="shared" si="70"/>
        <v>0.08</v>
      </c>
      <c r="Q195">
        <f t="shared" si="66"/>
        <v>0.08</v>
      </c>
      <c r="R195">
        <f t="shared" si="59"/>
        <v>0.08</v>
      </c>
      <c r="S195">
        <f t="shared" si="60"/>
        <v>0.06</v>
      </c>
      <c r="T195">
        <f t="shared" si="61"/>
        <v>0.1</v>
      </c>
      <c r="U195">
        <f t="shared" si="67"/>
        <v>0.08</v>
      </c>
      <c r="V195">
        <f t="shared" si="71"/>
        <v>0.18322014294969968</v>
      </c>
      <c r="W195">
        <f t="shared" si="68"/>
        <v>0.15039980265420286</v>
      </c>
      <c r="X195">
        <f t="shared" si="69"/>
        <v>0.2229963841614459</v>
      </c>
      <c r="Y195" t="b">
        <f t="shared" si="72"/>
        <v>0</v>
      </c>
    </row>
    <row xmlns:x14ac="http://schemas.microsoft.com/office/spreadsheetml/2009/9/ac" r="196" x14ac:dyDescent="0.45">
      <c r="A196">
        <v>0.94500000000000095</v>
      </c>
      <c r="B196">
        <f t="shared" si="49"/>
        <v>0.16185892208476474</v>
      </c>
      <c r="C196" t="b">
        <f t="shared" si="62"/>
        <v>1</v>
      </c>
      <c r="D196" t="b">
        <f t="shared" si="50"/>
        <v>1</v>
      </c>
      <c r="E196">
        <f t="shared" si="58"/>
        <v>0.94500000000000095</v>
      </c>
      <c r="F196">
        <f t="shared" si="63"/>
        <v>0.16185892208476474</v>
      </c>
      <c r="G196">
        <f t="shared" si="51"/>
        <v>0.22267550229318622</v>
      </c>
      <c r="H196">
        <f t="shared" si="52"/>
        <v>3.4561123878755678E-2</v>
      </c>
      <c r="I196" t="b">
        <f t="shared" si="64"/>
        <v>1</v>
      </c>
      <c r="J196">
        <f t="shared" si="53"/>
        <v>0.94500000000000095</v>
      </c>
      <c r="K196">
        <f t="shared" si="65"/>
        <v>3.4561123878755678E-2</v>
      </c>
      <c r="L196">
        <f t="shared" si="54"/>
        <v>0.15088373325093263</v>
      </c>
      <c r="M196">
        <f t="shared" si="55"/>
        <v>0.18912224775751135</v>
      </c>
      <c r="N196">
        <f t="shared" si="56"/>
        <v>0.18313152188264092</v>
      </c>
      <c r="O196">
        <f t="shared" si="57"/>
        <v>0.15770233624232632</v>
      </c>
      <c r="P196">
        <f t="shared" si="70"/>
        <v>0.08</v>
      </c>
      <c r="Q196">
        <f t="shared" si="66"/>
        <v>0.08</v>
      </c>
      <c r="R196">
        <f t="shared" si="59"/>
        <v>0.08</v>
      </c>
      <c r="S196">
        <f t="shared" si="60"/>
        <v>0.06</v>
      </c>
      <c r="T196">
        <f t="shared" si="61"/>
        <v>0.1</v>
      </c>
      <c r="U196">
        <f t="shared" si="67"/>
        <v>0.08</v>
      </c>
      <c r="V196">
        <f t="shared" si="71"/>
        <v>0.18313152188264092</v>
      </c>
      <c r="W196">
        <f t="shared" si="68"/>
        <v>0.15049755904629253</v>
      </c>
      <c r="X196">
        <f t="shared" si="69"/>
        <v>0.22293156442502082</v>
      </c>
      <c r="Y196" t="b">
        <f t="shared" si="72"/>
        <v>0</v>
      </c>
    </row>
    <row xmlns:x14ac="http://schemas.microsoft.com/office/spreadsheetml/2009/9/ac" r="197" x14ac:dyDescent="0.45">
      <c r="A197">
        <v>0.95000000000000095</v>
      </c>
      <c r="B197">
        <f t="shared" si="49"/>
        <v>0.161842038838137</v>
      </c>
      <c r="C197" t="b">
        <f t="shared" si="62"/>
        <v>1</v>
      </c>
      <c r="D197" t="b">
        <f t="shared" si="50"/>
        <v>1</v>
      </c>
      <c r="E197">
        <f t="shared" si="58"/>
        <v>0.95000000000000095</v>
      </c>
      <c r="F197">
        <f t="shared" si="63"/>
        <v>0.161842038838137</v>
      </c>
      <c r="G197">
        <f t="shared" si="51"/>
        <v>0.22261228296175578</v>
      </c>
      <c r="H197">
        <f t="shared" si="52"/>
        <v>3.4554630322360377E-2</v>
      </c>
      <c r="I197" t="b">
        <f t="shared" si="64"/>
        <v>1</v>
      </c>
      <c r="J197">
        <f t="shared" si="53"/>
        <v>0.95000000000000095</v>
      </c>
      <c r="K197">
        <f t="shared" si="65"/>
        <v>3.4554630322360377E-2</v>
      </c>
      <c r="L197">
        <f t="shared" si="54"/>
        <v>0.15097907602910182</v>
      </c>
      <c r="M197">
        <f t="shared" si="55"/>
        <v>0.18910926064472078</v>
      </c>
      <c r="N197">
        <f t="shared" si="56"/>
        <v>0.18306742338762888</v>
      </c>
      <c r="O197">
        <f t="shared" si="57"/>
        <v>0.15770120309758481</v>
      </c>
      <c r="P197">
        <f t="shared" si="70"/>
        <v>0.08</v>
      </c>
      <c r="Q197">
        <f t="shared" si="66"/>
        <v>0.08</v>
      </c>
      <c r="R197">
        <f t="shared" si="59"/>
        <v>0.08</v>
      </c>
      <c r="S197">
        <f t="shared" si="60"/>
        <v>0.06</v>
      </c>
      <c r="T197">
        <f t="shared" si="61"/>
        <v>0.1</v>
      </c>
      <c r="U197">
        <f t="shared" si="67"/>
        <v>0.08</v>
      </c>
      <c r="V197">
        <f t="shared" si="71"/>
        <v>0.18306742338762888</v>
      </c>
      <c r="W197">
        <f t="shared" si="68"/>
        <v>0.15059482787634265</v>
      </c>
      <c r="X197">
        <f t="shared" si="69"/>
        <v>0.22286706797837985</v>
      </c>
      <c r="Y197" t="b">
        <f t="shared" si="72"/>
        <v>0</v>
      </c>
    </row>
    <row xmlns:x14ac="http://schemas.microsoft.com/office/spreadsheetml/2009/9/ac" r="198" x14ac:dyDescent="0.45">
      <c r="A198">
        <v>0.95500000000000096</v>
      </c>
      <c r="B198">
        <f t="shared" si="49"/>
        <v>0.1618315182856076</v>
      </c>
      <c r="C198" t="b">
        <f t="shared" si="62"/>
        <v>1</v>
      </c>
      <c r="D198" t="b">
        <f t="shared" si="50"/>
        <v>1</v>
      </c>
      <c r="E198">
        <f t="shared" si="58"/>
        <v>0.95500000000000096</v>
      </c>
      <c r="F198">
        <f t="shared" si="63"/>
        <v>0.1618315182856076</v>
      </c>
      <c r="G198">
        <f t="shared" si="51"/>
        <v>0.22254937893805621</v>
      </c>
      <c r="H198">
        <f t="shared" si="52"/>
        <v>3.4550583956002925E-2</v>
      </c>
      <c r="I198" t="b">
        <f t="shared" si="64"/>
        <v>1</v>
      </c>
      <c r="J198">
        <f t="shared" si="53"/>
        <v>0.95500000000000096</v>
      </c>
      <c r="K198">
        <f t="shared" si="65"/>
        <v>3.4550583956002925E-2</v>
      </c>
      <c r="L198">
        <f t="shared" si="54"/>
        <v>0.15107394328318108</v>
      </c>
      <c r="M198">
        <f t="shared" si="55"/>
        <v>0.18910116791200587</v>
      </c>
      <c r="N198">
        <f t="shared" si="56"/>
        <v>0.18302736128369101</v>
      </c>
      <c r="O198">
        <f t="shared" si="57"/>
        <v>0.15770056054377096</v>
      </c>
      <c r="P198">
        <f t="shared" si="70"/>
        <v>0.08</v>
      </c>
      <c r="Q198">
        <f t="shared" si="66"/>
        <v>0.08</v>
      </c>
      <c r="R198">
        <f t="shared" si="59"/>
        <v>0.08</v>
      </c>
      <c r="S198">
        <f t="shared" si="60"/>
        <v>0.06</v>
      </c>
      <c r="T198">
        <f t="shared" si="61"/>
        <v>0.1</v>
      </c>
      <c r="U198">
        <f t="shared" si="67"/>
        <v>0.08</v>
      </c>
      <c r="V198">
        <f t="shared" si="71"/>
        <v>0.18302736128369101</v>
      </c>
      <c r="W198">
        <f t="shared" si="68"/>
        <v>0.15069161157607897</v>
      </c>
      <c r="X198">
        <f t="shared" si="69"/>
        <v>0.22280289320910851</v>
      </c>
      <c r="Y198" t="b">
        <f t="shared" si="72"/>
        <v>0</v>
      </c>
    </row>
    <row xmlns:x14ac="http://schemas.microsoft.com/office/spreadsheetml/2009/9/ac" r="199" x14ac:dyDescent="0.45">
      <c r="A199">
        <v>0.96000000000000096</v>
      </c>
      <c r="B199">
        <f t="shared" ref="B199:B262" si="73">-(1+Marge_haute)*(A+B/Tpll*EXP(-$A199/Tpll)+C_*EXP(-epsilon*Wn*$A199)*COS(Wd*$A199)+C_*(D/C_-epsilon*Wn)/Wd*EXP(-epsilon*Wn*$A199)*SIN(Wd*$A199))+SIGN(DeltaPexpected)*Tunnel</f>
        <v>0.16182710044163323</v>
      </c>
      <c r="C199" t="b">
        <f t="shared" si="62"/>
        <v>1</v>
      </c>
      <c r="D199" t="b">
        <f t="shared" ref="D199:D262" si="74">IF(D198,D198,IF(C199,B199&gt;B198,C199))</f>
        <v>1</v>
      </c>
      <c r="E199">
        <f t="shared" si="58"/>
        <v>0.96000000000000096</v>
      </c>
      <c r="F199">
        <f t="shared" si="63"/>
        <v>0.16182710044163323</v>
      </c>
      <c r="G199">
        <f t="shared" ref="G199:G262" si="75">P0-SIGN(Rocof)*IF(D199,DeltaPexpected+SIGN(DeltaPexpected)*Tunnel+(MIN(F$7:F$1495)-DeltaPexpected-+SIGN(DeltaPexpected)*Tunnel)*EXP(-(A199-MIN(E$7:E$1495))/Texpodecrease),B199)</f>
        <v>0.22248678864948379</v>
      </c>
      <c r="H199">
        <f t="shared" ref="H199:H262" si="76">-(1-marge_basse)*(A+B/Tpll*EXP(-$A199/Tpll)+C_*EXP(-epsilon*Wn*$A199)*COS(Wd*$A199)+C_*(D/C_-epsilon*Wn)/Wd*EXP(-epsilon*Wn*$A199)*SIN(Wd*$A199))-Tunnel</f>
        <v>3.4548884785243553E-2</v>
      </c>
      <c r="I199" t="b">
        <f t="shared" si="64"/>
        <v>1</v>
      </c>
      <c r="J199">
        <f t="shared" ref="J199:J262" si="77">IF(I199,A199,I199)</f>
        <v>0.96000000000000096</v>
      </c>
      <c r="K199">
        <f t="shared" si="65"/>
        <v>3.4548884785243553E-2</v>
      </c>
      <c r="L199">
        <f t="shared" ref="L199:L262" si="78">P0-SIGN(Rocof)*IF(I199,AF$23-AF$13+(MAX(K$7:K$1495)-AF$23+AF$13)*EXP(-(A199-MIN(J$7:J$1495))/AB$21),H199)</f>
        <v>0.15116833738485669</v>
      </c>
      <c r="M199">
        <f t="shared" ref="M199:M262" si="79">P0-(1)*(A+B/Tpll*EXP(-$A199/Tpll)+C_*EXP(-epsilon*Wn*$A199)*COS(Wd*$A199)+C_*(D/C_-epsilon*Wn)/Wd*EXP(-epsilon*Wn*$A199)*SIN(Wd*$A199))</f>
        <v>0.1890977695704871</v>
      </c>
      <c r="N199">
        <f t="shared" ref="N199:N262" si="80">AB$6-(AG$17+AG$16/AC$18*EXP(-$A199/AC$18)+AG$18*EXP(-AG$6*AG$12*$A199)*COS(AG$5*$A199)+AG$18*(AG$19/AG$18-AG$6*AG$12)/AG$5*EXP(-AG$6*AG$12*$A199)*SIN(AG$5*$A199))</f>
        <v>0.18301075740929704</v>
      </c>
      <c r="O199">
        <f t="shared" ref="O199:O262" si="81">AB$6-(AH$17+AH$16/AD$18*EXP(-$A199/AD$18)+AH$18*EXP(-AH$6*AH$12*$A199)*COS(AH$5*$A199)+AH$18*(AH$19/AH$18-AH$6*AH$12)/AH$5*EXP(-AH$6*AH$12*$A199)*SIN(AH$5*$A199))</f>
        <v>0.15770037795607789</v>
      </c>
      <c r="P199">
        <f t="shared" si="70"/>
        <v>0.08</v>
      </c>
      <c r="Q199">
        <f t="shared" si="66"/>
        <v>0.08</v>
      </c>
      <c r="R199">
        <f t="shared" si="59"/>
        <v>0.08</v>
      </c>
      <c r="S199">
        <f t="shared" si="60"/>
        <v>0.06</v>
      </c>
      <c r="T199">
        <f t="shared" si="61"/>
        <v>0.1</v>
      </c>
      <c r="U199">
        <f t="shared" si="67"/>
        <v>0.08</v>
      </c>
      <c r="V199">
        <f t="shared" si="71"/>
        <v>0.18301075740929704</v>
      </c>
      <c r="W199">
        <f t="shared" si="68"/>
        <v>0.15078791256509905</v>
      </c>
      <c r="X199">
        <f t="shared" si="69"/>
        <v>0.22273903851283422</v>
      </c>
      <c r="Y199" t="b">
        <f t="shared" si="72"/>
        <v>0</v>
      </c>
    </row>
    <row xmlns:x14ac="http://schemas.microsoft.com/office/spreadsheetml/2009/9/ac" r="200" x14ac:dyDescent="0.45">
      <c r="A200">
        <v>0.96500000000000097</v>
      </c>
      <c r="B200">
        <f t="shared" si="73"/>
        <v>0.16182850880705363</v>
      </c>
      <c r="C200" t="b">
        <f t="shared" si="62"/>
        <v>1</v>
      </c>
      <c r="D200" t="b">
        <f t="shared" si="74"/>
        <v>1</v>
      </c>
      <c r="E200">
        <f t="shared" ref="E200:E263" si="82">IF(D200,A200,D200)</f>
        <v>0.96500000000000097</v>
      </c>
      <c r="F200">
        <f t="shared" si="63"/>
        <v>0.16182850880705363</v>
      </c>
      <c r="G200">
        <f t="shared" si="75"/>
        <v>0.22242451053127787</v>
      </c>
      <c r="H200">
        <f t="shared" si="76"/>
        <v>3.4549426464251395E-2</v>
      </c>
      <c r="I200" t="b">
        <f t="shared" si="64"/>
        <v>1</v>
      </c>
      <c r="J200">
        <f t="shared" si="77"/>
        <v>0.96500000000000097</v>
      </c>
      <c r="K200">
        <f t="shared" si="65"/>
        <v>3.4549426464251395E-2</v>
      </c>
      <c r="L200">
        <f t="shared" si="78"/>
        <v>0.15126226069398613</v>
      </c>
      <c r="M200">
        <f t="shared" si="79"/>
        <v>0.18909885292850281</v>
      </c>
      <c r="N200">
        <f t="shared" si="80"/>
        <v>0.18301694709990041</v>
      </c>
      <c r="O200">
        <f t="shared" si="81"/>
        <v>0.15770062436315596</v>
      </c>
      <c r="P200">
        <f t="shared" si="70"/>
        <v>0.08</v>
      </c>
      <c r="Q200">
        <f t="shared" si="66"/>
        <v>0.08</v>
      </c>
      <c r="R200">
        <f t="shared" ref="R200:R263" si="83">$AB$6-(1+AB$17)*EXP(-AF$6*AF$12*A200)*(COS(AF$5*A200)-(AF$6*AF$12-1)/(AF$5)*SIN(AF$5*A200))*AF$15</f>
        <v>0.08</v>
      </c>
      <c r="S200">
        <f t="shared" ref="S200:S263" si="84">R200-AF$13</f>
        <v>0.06</v>
      </c>
      <c r="T200">
        <f t="shared" ref="T200:T263" si="85">R200+AF$13</f>
        <v>0.1</v>
      </c>
      <c r="U200">
        <f t="shared" si="67"/>
        <v>0.08</v>
      </c>
      <c r="V200">
        <f t="shared" si="71"/>
        <v>0.18301694709990041</v>
      </c>
      <c r="W200">
        <f t="shared" si="68"/>
        <v>0.15088373325093263</v>
      </c>
      <c r="X200">
        <f t="shared" si="69"/>
        <v>0.22267550229318622</v>
      </c>
      <c r="Y200" t="b">
        <f t="shared" si="72"/>
        <v>0</v>
      </c>
    </row>
    <row xmlns:x14ac="http://schemas.microsoft.com/office/spreadsheetml/2009/9/ac" r="201" x14ac:dyDescent="0.45">
      <c r="A201">
        <v>0.97000000000000097</v>
      </c>
      <c r="B201">
        <f t="shared" si="73"/>
        <v>0.1618354524971472</v>
      </c>
      <c r="C201" t="b">
        <f t="shared" ref="C201:C264" si="86">IF(C200,C200,(B201&lt;B200))</f>
        <v>1</v>
      </c>
      <c r="D201" t="b">
        <f t="shared" si="74"/>
        <v>1</v>
      </c>
      <c r="E201">
        <f t="shared" si="82"/>
        <v>0.97000000000000097</v>
      </c>
      <c r="F201">
        <f t="shared" ref="F201:F264" si="87">IF(D201,B201,D201)</f>
        <v>0.1618354524971472</v>
      </c>
      <c r="G201">
        <f t="shared" si="75"/>
        <v>0.2223625430264824</v>
      </c>
      <c r="H201">
        <f t="shared" si="76"/>
        <v>3.4552097114287389E-2</v>
      </c>
      <c r="I201" t="b">
        <f t="shared" ref="I201:I264" si="88">IF(I200,I200,H200&gt;H201)</f>
        <v>1</v>
      </c>
      <c r="J201">
        <f t="shared" si="77"/>
        <v>0.97000000000000097</v>
      </c>
      <c r="K201">
        <f t="shared" ref="K201:K264" si="89">IF(I201,H201,I201)</f>
        <v>3.4552097114287389E-2</v>
      </c>
      <c r="L201">
        <f t="shared" si="78"/>
        <v>0.15135571555865696</v>
      </c>
      <c r="M201">
        <f t="shared" si="79"/>
        <v>0.18910419422857477</v>
      </c>
      <c r="N201">
        <f t="shared" si="80"/>
        <v>0.18304518487909982</v>
      </c>
      <c r="O201">
        <f t="shared" si="81"/>
        <v>0.15770126863777262</v>
      </c>
      <c r="P201">
        <f t="shared" si="70"/>
        <v>0.08</v>
      </c>
      <c r="Q201">
        <f t="shared" ref="Q201:Q264" si="90">$AB$6-(1+AB$17)*EXP(-AF$6*AF$12*A199)*(COS(AF$5*A199)-(AF$6*AF$12-1)/(AF$5)*SIN(AF$5*A199))*AF$15</f>
        <v>0.08</v>
      </c>
      <c r="R201">
        <f t="shared" si="83"/>
        <v>0.08</v>
      </c>
      <c r="S201">
        <f t="shared" si="84"/>
        <v>0.06</v>
      </c>
      <c r="T201">
        <f t="shared" si="85"/>
        <v>0.1</v>
      </c>
      <c r="U201">
        <f t="shared" ref="U201:U264" si="91">$AB$6-AB$18*EXP(-AF$6*AF$12*A199)*(COS(AF$5*A199)-(AF$6*AF$12-1)/(AF$5)*SIN(AF$5*A199))*AF$15</f>
        <v>0.08</v>
      </c>
      <c r="V201">
        <f t="shared" si="71"/>
        <v>0.18304518487909982</v>
      </c>
      <c r="W201">
        <f t="shared" si="68"/>
        <v>0.15097907602910182</v>
      </c>
      <c r="X201">
        <f t="shared" si="69"/>
        <v>0.22261228296175578</v>
      </c>
      <c r="Y201" t="b">
        <f t="shared" si="72"/>
        <v>0</v>
      </c>
    </row>
    <row xmlns:x14ac="http://schemas.microsoft.com/office/spreadsheetml/2009/9/ac" r="202" x14ac:dyDescent="0.45">
      <c r="A202">
        <v>0.97500000000000098</v>
      </c>
      <c r="B202">
        <f t="shared" si="73"/>
        <v>0.1618476283347158</v>
      </c>
      <c r="C202" t="b">
        <f t="shared" si="86"/>
        <v>1</v>
      </c>
      <c r="D202" t="b">
        <f t="shared" si="74"/>
        <v>1</v>
      </c>
      <c r="E202">
        <f t="shared" si="82"/>
        <v>0.97500000000000098</v>
      </c>
      <c r="F202">
        <f t="shared" si="87"/>
        <v>0.1618476283347158</v>
      </c>
      <c r="G202">
        <f t="shared" si="75"/>
        <v>0.22230088458590647</v>
      </c>
      <c r="H202">
        <f t="shared" si="76"/>
        <v>3.455678012873685E-2</v>
      </c>
      <c r="I202" t="b">
        <f t="shared" si="88"/>
        <v>1</v>
      </c>
      <c r="J202">
        <f t="shared" si="77"/>
        <v>0.97500000000000098</v>
      </c>
      <c r="K202">
        <f t="shared" si="89"/>
        <v>3.455678012873685E-2</v>
      </c>
      <c r="L202">
        <f t="shared" si="78"/>
        <v>0.15144870431524571</v>
      </c>
      <c r="M202">
        <f t="shared" si="79"/>
        <v>0.18911356025747372</v>
      </c>
      <c r="N202">
        <f t="shared" si="80"/>
        <v>0.18309465033128902</v>
      </c>
      <c r="O202">
        <f t="shared" si="81"/>
        <v>0.15770227967506517</v>
      </c>
      <c r="P202">
        <f t="shared" si="70"/>
        <v>0.08</v>
      </c>
      <c r="Q202">
        <f t="shared" si="90"/>
        <v>0.08</v>
      </c>
      <c r="R202">
        <f t="shared" si="83"/>
        <v>0.08</v>
      </c>
      <c r="S202">
        <f t="shared" si="84"/>
        <v>0.06</v>
      </c>
      <c r="T202">
        <f t="shared" si="85"/>
        <v>0.1</v>
      </c>
      <c r="U202">
        <f t="shared" si="91"/>
        <v>0.08</v>
      </c>
      <c r="V202">
        <f t="shared" si="71"/>
        <v>0.18309465033128902</v>
      </c>
      <c r="W202">
        <f t="shared" si="68"/>
        <v>0.15107394328318108</v>
      </c>
      <c r="X202">
        <f t="shared" si="69"/>
        <v>0.22254937893805621</v>
      </c>
      <c r="Y202" t="b">
        <f t="shared" si="72"/>
        <v>0</v>
      </c>
    </row>
    <row xmlns:x14ac="http://schemas.microsoft.com/office/spreadsheetml/2009/9/ac" r="203" x14ac:dyDescent="0.45">
      <c r="A203">
        <v>0.98000000000000098</v>
      </c>
      <c r="B203">
        <f t="shared" si="73"/>
        <v>0.1618647228998914</v>
      </c>
      <c r="C203" t="b">
        <f t="shared" si="86"/>
        <v>1</v>
      </c>
      <c r="D203" t="b">
        <f t="shared" si="74"/>
        <v>1</v>
      </c>
      <c r="E203">
        <f t="shared" si="82"/>
        <v>0.98000000000000098</v>
      </c>
      <c r="F203">
        <f t="shared" si="87"/>
        <v>0.1618647228998914</v>
      </c>
      <c r="G203">
        <f t="shared" si="75"/>
        <v>0.22223953366808585</v>
      </c>
      <c r="H203">
        <f t="shared" si="76"/>
        <v>3.4563354961496692E-2</v>
      </c>
      <c r="I203" t="b">
        <f t="shared" si="88"/>
        <v>1</v>
      </c>
      <c r="J203">
        <f t="shared" si="77"/>
        <v>0.98000000000000098</v>
      </c>
      <c r="K203">
        <f t="shared" si="89"/>
        <v>3.4563354961496692E-2</v>
      </c>
      <c r="L203">
        <f t="shared" si="78"/>
        <v>0.15154122928847613</v>
      </c>
      <c r="M203">
        <f t="shared" si="79"/>
        <v>0.18912670992299338</v>
      </c>
      <c r="N203">
        <f t="shared" si="80"/>
        <v>0.18316445412386589</v>
      </c>
      <c r="O203">
        <f t="shared" si="81"/>
        <v>0.1577036265582909</v>
      </c>
      <c r="P203">
        <f t="shared" si="70"/>
        <v>0.08</v>
      </c>
      <c r="Q203">
        <f t="shared" si="90"/>
        <v>0.08</v>
      </c>
      <c r="R203">
        <f t="shared" si="83"/>
        <v>0.08</v>
      </c>
      <c r="S203">
        <f t="shared" si="84"/>
        <v>0.06</v>
      </c>
      <c r="T203">
        <f t="shared" si="85"/>
        <v>0.1</v>
      </c>
      <c r="U203">
        <f t="shared" si="91"/>
        <v>0.08</v>
      </c>
      <c r="V203">
        <f t="shared" si="71"/>
        <v>0.18316445412386589</v>
      </c>
      <c r="W203">
        <f t="shared" ref="W203:W266" si="92">IF(EMT_Simulation,L199,L203)</f>
        <v>0.15116833738485669</v>
      </c>
      <c r="X203">
        <f t="shared" ref="X203:X266" si="93">IF(EMT_Simulation,G199,G203)</f>
        <v>0.22248678864948379</v>
      </c>
      <c r="Y203" t="b">
        <f t="shared" si="72"/>
        <v>0</v>
      </c>
    </row>
    <row xmlns:x14ac="http://schemas.microsoft.com/office/spreadsheetml/2009/9/ac" r="204" x14ac:dyDescent="0.45">
      <c r="A204">
        <v>0.98500000000000099</v>
      </c>
      <c r="B204">
        <f t="shared" si="73"/>
        <v>0.16188641452896993</v>
      </c>
      <c r="C204" t="b">
        <f t="shared" si="86"/>
        <v>1</v>
      </c>
      <c r="D204" t="b">
        <f t="shared" si="74"/>
        <v>1</v>
      </c>
      <c r="E204">
        <f t="shared" si="82"/>
        <v>0.98500000000000099</v>
      </c>
      <c r="F204">
        <f t="shared" si="87"/>
        <v>0.16188641452896993</v>
      </c>
      <c r="G204">
        <f t="shared" si="75"/>
        <v>0.2221784887392444</v>
      </c>
      <c r="H204">
        <f t="shared" si="76"/>
        <v>3.4571697895757661E-2</v>
      </c>
      <c r="I204" t="b">
        <f t="shared" si="88"/>
        <v>1</v>
      </c>
      <c r="J204">
        <f t="shared" si="77"/>
        <v>0.98500000000000099</v>
      </c>
      <c r="K204">
        <f t="shared" si="89"/>
        <v>3.4571697895757661E-2</v>
      </c>
      <c r="L204">
        <f t="shared" si="78"/>
        <v>0.15163329279147736</v>
      </c>
      <c r="M204">
        <f t="shared" si="79"/>
        <v>0.18914339579151535</v>
      </c>
      <c r="N204">
        <f t="shared" si="80"/>
        <v>0.18325364414740802</v>
      </c>
      <c r="O204">
        <f t="shared" si="81"/>
        <v>0.15770527871205031</v>
      </c>
      <c r="P204">
        <f t="shared" si="70"/>
        <v>0.08</v>
      </c>
      <c r="Q204">
        <f t="shared" si="90"/>
        <v>0.08</v>
      </c>
      <c r="R204">
        <f t="shared" si="83"/>
        <v>0.08</v>
      </c>
      <c r="S204">
        <f t="shared" si="84"/>
        <v>0.06</v>
      </c>
      <c r="T204">
        <f t="shared" si="85"/>
        <v>0.1</v>
      </c>
      <c r="U204">
        <f t="shared" si="91"/>
        <v>0.08</v>
      </c>
      <c r="V204">
        <f t="shared" si="71"/>
        <v>0.18325364414740802</v>
      </c>
      <c r="W204">
        <f t="shared" si="92"/>
        <v>0.15126226069398613</v>
      </c>
      <c r="X204">
        <f t="shared" si="93"/>
        <v>0.22242451053127787</v>
      </c>
      <c r="Y204" t="b">
        <f t="shared" si="72"/>
        <v>0</v>
      </c>
    </row>
    <row xmlns:x14ac="http://schemas.microsoft.com/office/spreadsheetml/2009/9/ac" r="205" x14ac:dyDescent="0.45">
      <c r="A205">
        <v>0.99000000000000099</v>
      </c>
      <c r="B205">
        <f t="shared" si="73"/>
        <v>0.16191237525519675</v>
      </c>
      <c r="C205" t="b">
        <f t="shared" si="86"/>
        <v>1</v>
      </c>
      <c r="D205" t="b">
        <f t="shared" si="74"/>
        <v>1</v>
      </c>
      <c r="E205">
        <f t="shared" si="82"/>
        <v>0.99000000000000099</v>
      </c>
      <c r="F205">
        <f t="shared" si="87"/>
        <v>0.16191237525519675</v>
      </c>
      <c r="G205">
        <f t="shared" si="75"/>
        <v>0.22211774827325576</v>
      </c>
      <c r="H205">
        <f t="shared" si="76"/>
        <v>3.4581682790460297E-2</v>
      </c>
      <c r="I205" t="b">
        <f t="shared" si="88"/>
        <v>1</v>
      </c>
      <c r="J205">
        <f t="shared" si="77"/>
        <v>0.99000000000000099</v>
      </c>
      <c r="K205">
        <f t="shared" si="89"/>
        <v>3.4581682790460297E-2</v>
      </c>
      <c r="L205">
        <f t="shared" si="78"/>
        <v>0.15172489712584175</v>
      </c>
      <c r="M205">
        <f t="shared" si="79"/>
        <v>0.18916336558092059</v>
      </c>
      <c r="N205">
        <f t="shared" si="80"/>
        <v>0.18336121174269315</v>
      </c>
      <c r="O205">
        <f t="shared" si="81"/>
        <v>0.1577072060430304</v>
      </c>
      <c r="P205">
        <f t="shared" si="70"/>
        <v>0.08</v>
      </c>
      <c r="Q205">
        <f t="shared" si="90"/>
        <v>0.08</v>
      </c>
      <c r="R205">
        <f t="shared" si="83"/>
        <v>0.08</v>
      </c>
      <c r="S205">
        <f t="shared" si="84"/>
        <v>0.06</v>
      </c>
      <c r="T205">
        <f t="shared" si="85"/>
        <v>0.1</v>
      </c>
      <c r="U205">
        <f t="shared" si="91"/>
        <v>0.08</v>
      </c>
      <c r="V205">
        <f t="shared" si="71"/>
        <v>0.18336121174269315</v>
      </c>
      <c r="W205">
        <f t="shared" si="92"/>
        <v>0.15135571555865696</v>
      </c>
      <c r="X205">
        <f t="shared" si="93"/>
        <v>0.2223625430264824</v>
      </c>
      <c r="Y205" t="b">
        <f t="shared" si="72"/>
        <v>0</v>
      </c>
    </row>
    <row xmlns:x14ac="http://schemas.microsoft.com/office/spreadsheetml/2009/9/ac" r="206" x14ac:dyDescent="0.45">
      <c r="A206">
        <v>0.99500000000000099</v>
      </c>
      <c r="B206">
        <f t="shared" si="73"/>
        <v>0.16194227268505021</v>
      </c>
      <c r="C206" t="b">
        <f t="shared" si="86"/>
        <v>1</v>
      </c>
      <c r="D206" t="b">
        <f t="shared" si="74"/>
        <v>1</v>
      </c>
      <c r="E206">
        <f t="shared" si="82"/>
        <v>0.99500000000000099</v>
      </c>
      <c r="F206">
        <f t="shared" si="87"/>
        <v>0.16194227268505021</v>
      </c>
      <c r="G206">
        <f t="shared" si="75"/>
        <v>0.22205731075160501</v>
      </c>
      <c r="H206">
        <f t="shared" si="76"/>
        <v>3.4593181801942388E-2</v>
      </c>
      <c r="I206" t="b">
        <f t="shared" si="88"/>
        <v>1</v>
      </c>
      <c r="J206">
        <f t="shared" si="77"/>
        <v>0.99500000000000099</v>
      </c>
      <c r="K206">
        <f t="shared" si="89"/>
        <v>3.4593181801942388E-2</v>
      </c>
      <c r="L206">
        <f t="shared" si="78"/>
        <v>0.15181604458168252</v>
      </c>
      <c r="M206">
        <f t="shared" si="79"/>
        <v>0.18918636360388477</v>
      </c>
      <c r="N206">
        <f t="shared" si="80"/>
        <v>0.18348609798403176</v>
      </c>
      <c r="O206">
        <f t="shared" si="81"/>
        <v>0.15770937906837729</v>
      </c>
      <c r="P206">
        <f t="shared" ref="P206:P269" si="94">$AB$6-EXP(-AF$6*AF$12*A206)*(COS(AF$5*A206)-(AF$6*AF$12-1)/(AF$5)*SIN(AF$5*A206))*AF$15</f>
        <v>0.08</v>
      </c>
      <c r="Q206">
        <f t="shared" si="90"/>
        <v>0.08</v>
      </c>
      <c r="R206">
        <f t="shared" si="83"/>
        <v>0.08</v>
      </c>
      <c r="S206">
        <f t="shared" si="84"/>
        <v>0.06</v>
      </c>
      <c r="T206">
        <f t="shared" si="85"/>
        <v>0.1</v>
      </c>
      <c r="U206">
        <f t="shared" si="91"/>
        <v>0.08</v>
      </c>
      <c r="V206">
        <f t="shared" si="71"/>
        <v>0.18348609798403176</v>
      </c>
      <c r="W206">
        <f t="shared" si="92"/>
        <v>0.15144870431524571</v>
      </c>
      <c r="X206">
        <f t="shared" si="93"/>
        <v>0.22230088458590647</v>
      </c>
      <c r="Y206" t="b">
        <f t="shared" si="72"/>
        <v>0</v>
      </c>
    </row>
    <row xmlns:x14ac="http://schemas.microsoft.com/office/spreadsheetml/2009/9/ac" r="207" x14ac:dyDescent="0.45">
      <c r="A207">
        <v>1</v>
      </c>
      <c r="B207">
        <f t="shared" si="73"/>
        <v>0.16197577180419401</v>
      </c>
      <c r="C207" t="b">
        <f t="shared" si="86"/>
        <v>1</v>
      </c>
      <c r="D207" t="b">
        <f t="shared" si="74"/>
        <v>1</v>
      </c>
      <c r="E207">
        <f t="shared" si="82"/>
        <v>1</v>
      </c>
      <c r="F207">
        <f t="shared" si="87"/>
        <v>0.16197577180419401</v>
      </c>
      <c r="G207">
        <f t="shared" si="75"/>
        <v>0.22199717466335112</v>
      </c>
      <c r="H207">
        <f t="shared" si="76"/>
        <v>3.4606066078536155E-2</v>
      </c>
      <c r="I207" t="b">
        <f t="shared" si="88"/>
        <v>1</v>
      </c>
      <c r="J207">
        <f t="shared" si="77"/>
        <v>1</v>
      </c>
      <c r="K207">
        <f t="shared" si="89"/>
        <v>3.4606066078536155E-2</v>
      </c>
      <c r="L207">
        <f t="shared" si="78"/>
        <v>0.15190673743769068</v>
      </c>
      <c r="M207">
        <f t="shared" si="79"/>
        <v>0.18921213215707233</v>
      </c>
      <c r="N207">
        <f t="shared" si="80"/>
        <v>0.1836271999890928</v>
      </c>
      <c r="O207">
        <f t="shared" si="81"/>
        <v>0.15771176903186784</v>
      </c>
      <c r="P207">
        <f t="shared" si="94"/>
        <v>0.08</v>
      </c>
      <c r="Q207">
        <f t="shared" si="90"/>
        <v>0.08</v>
      </c>
      <c r="R207">
        <f t="shared" si="83"/>
        <v>0.08</v>
      </c>
      <c r="S207">
        <f t="shared" si="84"/>
        <v>0.06</v>
      </c>
      <c r="T207">
        <f t="shared" si="85"/>
        <v>0.1</v>
      </c>
      <c r="U207">
        <f t="shared" si="91"/>
        <v>0.08</v>
      </c>
      <c r="V207">
        <f t="shared" si="71"/>
        <v>0.1836271999890928</v>
      </c>
      <c r="W207">
        <f t="shared" si="92"/>
        <v>0.15154122928847613</v>
      </c>
      <c r="X207">
        <f t="shared" si="93"/>
        <v>0.22223953366808585</v>
      </c>
      <c r="Y207" t="b">
        <f t="shared" si="72"/>
        <v>0</v>
      </c>
    </row>
    <row xmlns:x14ac="http://schemas.microsoft.com/office/spreadsheetml/2009/9/ac" r="208" x14ac:dyDescent="0.45">
      <c r="A208">
        <v>1.0049999999999999</v>
      </c>
      <c r="B208">
        <f t="shared" si="73"/>
        <v>0.16201253670788954</v>
      </c>
      <c r="C208" t="b">
        <f t="shared" si="86"/>
        <v>1</v>
      </c>
      <c r="D208" t="b">
        <f t="shared" si="74"/>
        <v>1</v>
      </c>
      <c r="E208">
        <f t="shared" si="82"/>
        <v>1.0049999999999999</v>
      </c>
      <c r="F208">
        <f t="shared" si="87"/>
        <v>0.16201253670788954</v>
      </c>
      <c r="G208">
        <f t="shared" si="75"/>
        <v>0.22193733850508862</v>
      </c>
      <c r="H208">
        <f t="shared" si="76"/>
        <v>3.4620206426111369E-2</v>
      </c>
      <c r="I208" t="b">
        <f t="shared" si="88"/>
        <v>1</v>
      </c>
      <c r="J208">
        <f t="shared" si="77"/>
        <v>1.0049999999999999</v>
      </c>
      <c r="K208">
        <f t="shared" si="89"/>
        <v>3.4620206426111369E-2</v>
      </c>
      <c r="L208">
        <f t="shared" si="78"/>
        <v>0.15199697796119246</v>
      </c>
      <c r="M208">
        <f t="shared" si="79"/>
        <v>0.18924041285222273</v>
      </c>
      <c r="N208">
        <f t="shared" si="80"/>
        <v>0.18378337722622223</v>
      </c>
      <c r="O208">
        <f t="shared" si="81"/>
        <v>0.15771434800810247</v>
      </c>
      <c r="P208">
        <f t="shared" si="94"/>
        <v>0.08</v>
      </c>
      <c r="Q208">
        <f t="shared" si="90"/>
        <v>0.08</v>
      </c>
      <c r="R208">
        <f t="shared" si="83"/>
        <v>0.08</v>
      </c>
      <c r="S208">
        <f t="shared" si="84"/>
        <v>0.06</v>
      </c>
      <c r="T208">
        <f t="shared" si="85"/>
        <v>0.1</v>
      </c>
      <c r="U208">
        <f t="shared" si="91"/>
        <v>0.08</v>
      </c>
      <c r="V208">
        <f t="shared" si="71"/>
        <v>0.18378337722622223</v>
      </c>
      <c r="W208">
        <f t="shared" si="92"/>
        <v>0.15163329279147736</v>
      </c>
      <c r="X208">
        <f t="shared" si="93"/>
        <v>0.2221784887392444</v>
      </c>
      <c r="Y208" t="b">
        <f t="shared" si="72"/>
        <v>0</v>
      </c>
    </row>
    <row xmlns:x14ac="http://schemas.microsoft.com/office/spreadsheetml/2009/9/ac" r="209" x14ac:dyDescent="0.45">
      <c r="A209">
        <v>1.01</v>
      </c>
      <c r="B209">
        <f t="shared" si="73"/>
        <v>0.16205223225127408</v>
      </c>
      <c r="C209" t="b">
        <f t="shared" si="86"/>
        <v>1</v>
      </c>
      <c r="D209" t="b">
        <f t="shared" si="74"/>
        <v>1</v>
      </c>
      <c r="E209">
        <f t="shared" si="82"/>
        <v>1.01</v>
      </c>
      <c r="F209">
        <f t="shared" si="87"/>
        <v>0.16205223225127408</v>
      </c>
      <c r="G209">
        <f t="shared" si="75"/>
        <v>0.22187780078091052</v>
      </c>
      <c r="H209">
        <f t="shared" si="76"/>
        <v>3.4635473942797715E-2</v>
      </c>
      <c r="I209" t="b">
        <f t="shared" si="88"/>
        <v>1</v>
      </c>
      <c r="J209">
        <f t="shared" si="77"/>
        <v>1.01</v>
      </c>
      <c r="K209">
        <f t="shared" si="89"/>
        <v>3.4635473942797715E-2</v>
      </c>
      <c r="L209">
        <f t="shared" si="78"/>
        <v>0.15208676840820562</v>
      </c>
      <c r="M209">
        <f t="shared" si="79"/>
        <v>0.18927094788559545</v>
      </c>
      <c r="N209">
        <f t="shared" si="80"/>
        <v>0.18395345779117855</v>
      </c>
      <c r="O209">
        <f t="shared" si="81"/>
        <v>0.15771708899499076</v>
      </c>
      <c r="P209">
        <f t="shared" si="94"/>
        <v>0.08</v>
      </c>
      <c r="Q209">
        <f t="shared" si="90"/>
        <v>0.08</v>
      </c>
      <c r="R209">
        <f t="shared" si="83"/>
        <v>0.08</v>
      </c>
      <c r="S209">
        <f t="shared" si="84"/>
        <v>0.06</v>
      </c>
      <c r="T209">
        <f t="shared" si="85"/>
        <v>0.1</v>
      </c>
      <c r="U209">
        <f t="shared" si="91"/>
        <v>0.08</v>
      </c>
      <c r="V209">
        <f t="shared" si="71"/>
        <v>0.18395345779117855</v>
      </c>
      <c r="W209">
        <f t="shared" si="92"/>
        <v>0.15172489712584175</v>
      </c>
      <c r="X209">
        <f t="shared" si="93"/>
        <v>0.22211774827325576</v>
      </c>
      <c r="Y209" t="b">
        <f t="shared" si="72"/>
        <v>0</v>
      </c>
    </row>
    <row xmlns:x14ac="http://schemas.microsoft.com/office/spreadsheetml/2009/9/ac" r="210" x14ac:dyDescent="0.45">
      <c r="A210">
        <v>1.0149999999999999</v>
      </c>
      <c r="B210">
        <f t="shared" si="73"/>
        <v>0.16209452561551904</v>
      </c>
      <c r="C210" t="b">
        <f t="shared" si="86"/>
        <v>1</v>
      </c>
      <c r="D210" t="b">
        <f t="shared" si="74"/>
        <v>1</v>
      </c>
      <c r="E210">
        <f t="shared" si="82"/>
        <v>1.0149999999999999</v>
      </c>
      <c r="F210">
        <f t="shared" si="87"/>
        <v>0.16209452561551904</v>
      </c>
      <c r="G210">
        <f t="shared" si="75"/>
        <v>0.22181856000237055</v>
      </c>
      <c r="H210">
        <f t="shared" si="76"/>
        <v>3.4651740621353483E-2</v>
      </c>
      <c r="I210" t="b">
        <f t="shared" si="88"/>
        <v>1</v>
      </c>
      <c r="J210">
        <f t="shared" si="77"/>
        <v>1.0149999999999999</v>
      </c>
      <c r="K210">
        <f t="shared" si="89"/>
        <v>3.4651740621353483E-2</v>
      </c>
      <c r="L210">
        <f t="shared" si="78"/>
        <v>0.15217611102349599</v>
      </c>
      <c r="M210">
        <f t="shared" si="79"/>
        <v>0.18930348124270696</v>
      </c>
      <c r="N210">
        <f t="shared" si="80"/>
        <v>0.1841362446262319</v>
      </c>
      <c r="O210">
        <f t="shared" si="81"/>
        <v>0.15771996599484633</v>
      </c>
      <c r="P210">
        <f t="shared" si="94"/>
        <v>0.08</v>
      </c>
      <c r="Q210">
        <f t="shared" si="90"/>
        <v>0.08</v>
      </c>
      <c r="R210">
        <f t="shared" si="83"/>
        <v>0.08</v>
      </c>
      <c r="S210">
        <f t="shared" si="84"/>
        <v>0.06</v>
      </c>
      <c r="T210">
        <f t="shared" si="85"/>
        <v>0.1</v>
      </c>
      <c r="U210">
        <f t="shared" si="91"/>
        <v>0.08</v>
      </c>
      <c r="V210">
        <f t="shared" si="71"/>
        <v>0.1841362446262319</v>
      </c>
      <c r="W210">
        <f t="shared" si="92"/>
        <v>0.15181604458168252</v>
      </c>
      <c r="X210">
        <f t="shared" si="93"/>
        <v>0.22205731075160501</v>
      </c>
      <c r="Y210" t="b">
        <f t="shared" si="72"/>
        <v>0</v>
      </c>
    </row>
    <row xmlns:x14ac="http://schemas.microsoft.com/office/spreadsheetml/2009/9/ac" r="211" x14ac:dyDescent="0.45">
      <c r="A211">
        <v>1.02</v>
      </c>
      <c r="B211">
        <f t="shared" si="73"/>
        <v>0.16213908778647906</v>
      </c>
      <c r="C211" t="b">
        <f t="shared" si="86"/>
        <v>1</v>
      </c>
      <c r="D211" t="b">
        <f t="shared" si="74"/>
        <v>1</v>
      </c>
      <c r="E211">
        <f t="shared" si="82"/>
        <v>1.02</v>
      </c>
      <c r="F211">
        <f t="shared" si="87"/>
        <v>0.16213908778647906</v>
      </c>
      <c r="G211">
        <f t="shared" si="75"/>
        <v>0.22175961468844618</v>
      </c>
      <c r="H211">
        <f t="shared" si="76"/>
        <v>3.4668879917876566E-2</v>
      </c>
      <c r="I211" t="b">
        <f t="shared" si="88"/>
        <v>1</v>
      </c>
      <c r="J211">
        <f t="shared" si="77"/>
        <v>1.02</v>
      </c>
      <c r="K211">
        <f t="shared" si="89"/>
        <v>3.4668879917876566E-2</v>
      </c>
      <c r="L211">
        <f t="shared" si="78"/>
        <v>0.15226500804063364</v>
      </c>
      <c r="M211">
        <f t="shared" si="79"/>
        <v>0.18933775983575313</v>
      </c>
      <c r="N211">
        <f t="shared" si="80"/>
        <v>0.18433052165568092</v>
      </c>
      <c r="O211">
        <f t="shared" si="81"/>
        <v>0.15772295408444564</v>
      </c>
      <c r="P211">
        <f t="shared" si="94"/>
        <v>0.08</v>
      </c>
      <c r="Q211">
        <f t="shared" si="90"/>
        <v>0.08</v>
      </c>
      <c r="R211">
        <f t="shared" si="83"/>
        <v>0.08</v>
      </c>
      <c r="S211">
        <f t="shared" si="84"/>
        <v>0.06</v>
      </c>
      <c r="T211">
        <f t="shared" si="85"/>
        <v>0.1</v>
      </c>
      <c r="U211">
        <f t="shared" si="91"/>
        <v>0.08</v>
      </c>
      <c r="V211">
        <f t="shared" si="71"/>
        <v>0.18433052165568092</v>
      </c>
      <c r="W211">
        <f t="shared" si="92"/>
        <v>0.15190673743769068</v>
      </c>
      <c r="X211">
        <f t="shared" si="93"/>
        <v>0.22199717466335112</v>
      </c>
      <c r="Y211" t="b">
        <f t="shared" si="72"/>
        <v>0</v>
      </c>
    </row>
    <row xmlns:x14ac="http://schemas.microsoft.com/office/spreadsheetml/2009/9/ac" r="212" x14ac:dyDescent="0.45">
      <c r="A212">
        <v>1.0249999999999999</v>
      </c>
      <c r="B212">
        <f t="shared" si="73"/>
        <v>0.16218559494302603</v>
      </c>
      <c r="C212" t="b">
        <f t="shared" si="86"/>
        <v>1</v>
      </c>
      <c r="D212" t="b">
        <f t="shared" si="74"/>
        <v>1</v>
      </c>
      <c r="E212">
        <f t="shared" si="82"/>
        <v>1.0249999999999999</v>
      </c>
      <c r="F212">
        <f t="shared" si="87"/>
        <v>0.16218559494302603</v>
      </c>
      <c r="G212">
        <f t="shared" si="75"/>
        <v>0.22170096336550149</v>
      </c>
      <c r="H212">
        <f t="shared" si="76"/>
        <v>3.4686767285779241E-2</v>
      </c>
      <c r="I212" t="b">
        <f t="shared" si="88"/>
        <v>1</v>
      </c>
      <c r="J212">
        <f t="shared" si="77"/>
        <v>1.0249999999999999</v>
      </c>
      <c r="K212">
        <f t="shared" si="89"/>
        <v>3.4686767285779241E-2</v>
      </c>
      <c r="L212">
        <f t="shared" si="78"/>
        <v>0.15235346168204858</v>
      </c>
      <c r="M212">
        <f t="shared" si="79"/>
        <v>0.18937353457155848</v>
      </c>
      <c r="N212">
        <f t="shared" si="80"/>
        <v>0.18453505981303198</v>
      </c>
      <c r="O212">
        <f t="shared" si="81"/>
        <v>0.15772602947444053</v>
      </c>
      <c r="P212">
        <f t="shared" si="94"/>
        <v>0.08</v>
      </c>
      <c r="Q212">
        <f t="shared" si="90"/>
        <v>0.08</v>
      </c>
      <c r="R212">
        <f t="shared" si="83"/>
        <v>0.08</v>
      </c>
      <c r="S212">
        <f t="shared" si="84"/>
        <v>0.06</v>
      </c>
      <c r="T212">
        <f t="shared" si="85"/>
        <v>0.1</v>
      </c>
      <c r="U212">
        <f t="shared" si="91"/>
        <v>0.08</v>
      </c>
      <c r="V212">
        <f t="shared" si="71"/>
        <v>0.18453505981303198</v>
      </c>
      <c r="W212">
        <f t="shared" si="92"/>
        <v>0.15199697796119246</v>
      </c>
      <c r="X212">
        <f t="shared" si="93"/>
        <v>0.22193733850508862</v>
      </c>
      <c r="Y212" t="b">
        <f t="shared" si="72"/>
        <v>0</v>
      </c>
    </row>
    <row xmlns:x14ac="http://schemas.microsoft.com/office/spreadsheetml/2009/9/ac" r="213" x14ac:dyDescent="0.45">
      <c r="A213">
        <v>1.03</v>
      </c>
      <c r="B213">
        <f t="shared" si="73"/>
        <v>0.16223372975283154</v>
      </c>
      <c r="C213" t="b">
        <f t="shared" si="86"/>
        <v>1</v>
      </c>
      <c r="D213" t="b">
        <f t="shared" si="74"/>
        <v>1</v>
      </c>
      <c r="E213">
        <f t="shared" si="82"/>
        <v>1.03</v>
      </c>
      <c r="F213">
        <f t="shared" si="87"/>
        <v>0.16223372975283154</v>
      </c>
      <c r="G213">
        <f t="shared" si="75"/>
        <v>0.22164260456725043</v>
      </c>
      <c r="H213">
        <f t="shared" si="76"/>
        <v>3.4705280674165978E-2</v>
      </c>
      <c r="I213" t="b">
        <f t="shared" si="88"/>
        <v>1</v>
      </c>
      <c r="J213">
        <f t="shared" si="77"/>
        <v>1.03</v>
      </c>
      <c r="K213">
        <f t="shared" si="89"/>
        <v>3.4705280674165978E-2</v>
      </c>
      <c r="L213">
        <f t="shared" si="78"/>
        <v>0.15244147415908649</v>
      </c>
      <c r="M213">
        <f t="shared" si="79"/>
        <v>0.18941056134833195</v>
      </c>
      <c r="N213">
        <f t="shared" si="80"/>
        <v>0.18474862293634975</v>
      </c>
      <c r="O213">
        <f t="shared" si="81"/>
        <v>0.15772916955854471</v>
      </c>
      <c r="P213">
        <f t="shared" si="94"/>
        <v>0.08</v>
      </c>
      <c r="Q213">
        <f t="shared" si="90"/>
        <v>0.08</v>
      </c>
      <c r="R213">
        <f t="shared" si="83"/>
        <v>0.08</v>
      </c>
      <c r="S213">
        <f t="shared" si="84"/>
        <v>0.06</v>
      </c>
      <c r="T213">
        <f t="shared" si="85"/>
        <v>0.1</v>
      </c>
      <c r="U213">
        <f t="shared" si="91"/>
        <v>0.08</v>
      </c>
      <c r="V213">
        <f t="shared" ref="V213:V276" si="95">MAX(IF(Y213,MAX(H213,$AB$6+$AF$13),MAX(T213,$AB$6+$AF$13)),O213,N213)</f>
        <v>0.18474862293634975</v>
      </c>
      <c r="W213">
        <f t="shared" si="92"/>
        <v>0.15208676840820562</v>
      </c>
      <c r="X213">
        <f t="shared" si="93"/>
        <v>0.22187780078091052</v>
      </c>
      <c r="Y213" t="b">
        <f t="shared" si="72"/>
        <v>0</v>
      </c>
    </row>
    <row xmlns:x14ac="http://schemas.microsoft.com/office/spreadsheetml/2009/9/ac" r="214" x14ac:dyDescent="0.45">
      <c r="A214">
        <v>1.0349999999999999</v>
      </c>
      <c r="B214">
        <f t="shared" si="73"/>
        <v>0.16228318257391344</v>
      </c>
      <c r="C214" t="b">
        <f t="shared" si="86"/>
        <v>1</v>
      </c>
      <c r="D214" t="b">
        <f t="shared" si="74"/>
        <v>1</v>
      </c>
      <c r="E214">
        <f t="shared" si="82"/>
        <v>1.0349999999999999</v>
      </c>
      <c r="F214">
        <f t="shared" si="87"/>
        <v>0.16228318257391344</v>
      </c>
      <c r="G214">
        <f t="shared" si="75"/>
        <v>0.2215845368347199</v>
      </c>
      <c r="H214">
        <f t="shared" si="76"/>
        <v>3.4724300989966705E-2</v>
      </c>
      <c r="I214" t="b">
        <f t="shared" si="88"/>
        <v>1</v>
      </c>
      <c r="J214">
        <f t="shared" si="77"/>
        <v>1.0349999999999999</v>
      </c>
      <c r="K214">
        <f t="shared" si="89"/>
        <v>3.4724300989966705E-2</v>
      </c>
      <c r="L214">
        <f t="shared" si="78"/>
        <v>0.15252904767206388</v>
      </c>
      <c r="M214">
        <f t="shared" si="79"/>
        <v>0.18944860197993341</v>
      </c>
      <c r="N214">
        <f t="shared" si="80"/>
        <v>0.18496997350961514</v>
      </c>
      <c r="O214">
        <f t="shared" si="81"/>
        <v>0.15773235295294005</v>
      </c>
      <c r="P214">
        <f t="shared" si="94"/>
        <v>0.08</v>
      </c>
      <c r="Q214">
        <f t="shared" si="90"/>
        <v>0.08</v>
      </c>
      <c r="R214">
        <f t="shared" si="83"/>
        <v>0.08</v>
      </c>
      <c r="S214">
        <f t="shared" si="84"/>
        <v>0.06</v>
      </c>
      <c r="T214">
        <f t="shared" si="85"/>
        <v>0.1</v>
      </c>
      <c r="U214">
        <f t="shared" si="91"/>
        <v>0.08</v>
      </c>
      <c r="V214">
        <f t="shared" si="95"/>
        <v>0.18496997350961514</v>
      </c>
      <c r="W214">
        <f t="shared" si="92"/>
        <v>0.15217611102349599</v>
      </c>
      <c r="X214">
        <f t="shared" si="93"/>
        <v>0.22181856000237055</v>
      </c>
      <c r="Y214" t="b">
        <f t="shared" ref="Y214:Y270" si="96">IF(Y213,TRUE,IF(P214&lt;P213,TRUE))</f>
        <v>0</v>
      </c>
    </row>
    <row xmlns:x14ac="http://schemas.microsoft.com/office/spreadsheetml/2009/9/ac" r="215" x14ac:dyDescent="0.45">
      <c r="A215">
        <v>1.04</v>
      </c>
      <c r="B215">
        <f t="shared" si="73"/>
        <v>0.16233365256079407</v>
      </c>
      <c r="C215" t="b">
        <f t="shared" si="86"/>
        <v>1</v>
      </c>
      <c r="D215" t="b">
        <f t="shared" si="74"/>
        <v>1</v>
      </c>
      <c r="E215">
        <f t="shared" si="82"/>
        <v>1.04</v>
      </c>
      <c r="F215">
        <f t="shared" si="87"/>
        <v>0.16233365256079407</v>
      </c>
      <c r="G215">
        <f t="shared" si="75"/>
        <v>0.22152675871621358</v>
      </c>
      <c r="H215">
        <f t="shared" si="76"/>
        <v>3.4743712523382334E-2</v>
      </c>
      <c r="I215" t="b">
        <f t="shared" si="88"/>
        <v>1</v>
      </c>
      <c r="J215">
        <f t="shared" si="77"/>
        <v>1.04</v>
      </c>
      <c r="K215">
        <f t="shared" si="89"/>
        <v>3.4743712523382334E-2</v>
      </c>
      <c r="L215">
        <f t="shared" si="78"/>
        <v>0.1526161844103231</v>
      </c>
      <c r="M215">
        <f t="shared" si="79"/>
        <v>0.18948742504676469</v>
      </c>
      <c r="N215">
        <f t="shared" si="80"/>
        <v>0.18519787822931238</v>
      </c>
      <c r="O215">
        <f t="shared" si="81"/>
        <v>0.15773555952636992</v>
      </c>
      <c r="P215">
        <f t="shared" si="94"/>
        <v>0.08</v>
      </c>
      <c r="Q215">
        <f t="shared" si="90"/>
        <v>0.08</v>
      </c>
      <c r="R215">
        <f t="shared" si="83"/>
        <v>0.08</v>
      </c>
      <c r="S215">
        <f t="shared" si="84"/>
        <v>0.06</v>
      </c>
      <c r="T215">
        <f t="shared" si="85"/>
        <v>0.1</v>
      </c>
      <c r="U215">
        <f t="shared" si="91"/>
        <v>0.08</v>
      </c>
      <c r="V215">
        <f t="shared" si="95"/>
        <v>0.18519787822931238</v>
      </c>
      <c r="W215">
        <f t="shared" si="92"/>
        <v>0.15226500804063364</v>
      </c>
      <c r="X215">
        <f t="shared" si="93"/>
        <v>0.22175961468844618</v>
      </c>
      <c r="Y215" t="b">
        <f t="shared" si="96"/>
        <v>0</v>
      </c>
    </row>
    <row xmlns:x14ac="http://schemas.microsoft.com/office/spreadsheetml/2009/9/ac" r="216" x14ac:dyDescent="0.45">
      <c r="A216">
        <v>1.0449999999999999</v>
      </c>
      <c r="B216">
        <f t="shared" si="73"/>
        <v>0.16238484867463099</v>
      </c>
      <c r="C216" t="b">
        <f t="shared" si="86"/>
        <v>1</v>
      </c>
      <c r="D216" t="b">
        <f t="shared" si="74"/>
        <v>1</v>
      </c>
      <c r="E216">
        <f t="shared" si="82"/>
        <v>1.0449999999999999</v>
      </c>
      <c r="F216">
        <f t="shared" si="87"/>
        <v>0.16238484867463099</v>
      </c>
      <c r="G216">
        <f t="shared" si="75"/>
        <v>0.22146926876727552</v>
      </c>
      <c r="H216">
        <f t="shared" si="76"/>
        <v>3.4763403336396534E-2</v>
      </c>
      <c r="I216" t="b">
        <f t="shared" si="88"/>
        <v>1</v>
      </c>
      <c r="J216">
        <f t="shared" si="77"/>
        <v>1.0449999999999999</v>
      </c>
      <c r="K216">
        <f t="shared" si="89"/>
        <v>3.4763403336396534E-2</v>
      </c>
      <c r="L216">
        <f t="shared" si="78"/>
        <v>0.1527028865522872</v>
      </c>
      <c r="M216">
        <f t="shared" si="79"/>
        <v>0.18952680667279306</v>
      </c>
      <c r="N216">
        <f t="shared" si="80"/>
        <v>0.18543111337690193</v>
      </c>
      <c r="O216">
        <f t="shared" si="81"/>
        <v>0.15773877042140499</v>
      </c>
      <c r="P216">
        <f t="shared" si="94"/>
        <v>0.08</v>
      </c>
      <c r="Q216">
        <f t="shared" si="90"/>
        <v>0.08</v>
      </c>
      <c r="R216">
        <f t="shared" si="83"/>
        <v>0.08</v>
      </c>
      <c r="S216">
        <f t="shared" si="84"/>
        <v>0.06</v>
      </c>
      <c r="T216">
        <f t="shared" si="85"/>
        <v>0.1</v>
      </c>
      <c r="U216">
        <f t="shared" si="91"/>
        <v>0.08</v>
      </c>
      <c r="V216">
        <f t="shared" si="95"/>
        <v>0.18543111337690193</v>
      </c>
      <c r="W216">
        <f t="shared" si="92"/>
        <v>0.15235346168204858</v>
      </c>
      <c r="X216">
        <f t="shared" si="93"/>
        <v>0.22170096336550149</v>
      </c>
      <c r="Y216" t="b">
        <f t="shared" si="96"/>
        <v>0</v>
      </c>
    </row>
    <row xmlns:x14ac="http://schemas.microsoft.com/office/spreadsheetml/2009/9/ac" r="217" x14ac:dyDescent="0.45">
      <c r="A217">
        <v>1.05</v>
      </c>
      <c r="B217">
        <f t="shared" si="73"/>
        <v>0.16243649059717166</v>
      </c>
      <c r="C217" t="b">
        <f t="shared" si="86"/>
        <v>1</v>
      </c>
      <c r="D217" t="b">
        <f t="shared" si="74"/>
        <v>1</v>
      </c>
      <c r="E217">
        <f t="shared" si="82"/>
        <v>1.05</v>
      </c>
      <c r="F217">
        <f t="shared" si="87"/>
        <v>0.16243649059717166</v>
      </c>
      <c r="G217">
        <f t="shared" si="75"/>
        <v>0.22141206555065401</v>
      </c>
      <c r="H217">
        <f t="shared" si="76"/>
        <v>3.4783265614296802E-2</v>
      </c>
      <c r="I217" t="b">
        <f t="shared" si="88"/>
        <v>1</v>
      </c>
      <c r="J217">
        <f t="shared" si="77"/>
        <v>1.05</v>
      </c>
      <c r="K217">
        <f t="shared" si="89"/>
        <v>3.4783265614296802E-2</v>
      </c>
      <c r="L217">
        <f t="shared" si="78"/>
        <v>0.1527891562655142</v>
      </c>
      <c r="M217">
        <f t="shared" si="79"/>
        <v>0.1895665312285936</v>
      </c>
      <c r="N217">
        <f t="shared" si="80"/>
        <v>0.18566846997931083</v>
      </c>
      <c r="O217">
        <f t="shared" si="81"/>
        <v>0.15774196806738003</v>
      </c>
      <c r="P217">
        <f t="shared" si="94"/>
        <v>0.08</v>
      </c>
      <c r="Q217">
        <f t="shared" si="90"/>
        <v>0.08</v>
      </c>
      <c r="R217">
        <f t="shared" si="83"/>
        <v>0.08</v>
      </c>
      <c r="S217">
        <f t="shared" si="84"/>
        <v>0.06</v>
      </c>
      <c r="T217">
        <f t="shared" si="85"/>
        <v>0.1</v>
      </c>
      <c r="U217">
        <f t="shared" si="91"/>
        <v>0.08</v>
      </c>
      <c r="V217">
        <f t="shared" si="95"/>
        <v>0.18566846997931083</v>
      </c>
      <c r="W217">
        <f t="shared" si="92"/>
        <v>0.15244147415908649</v>
      </c>
      <c r="X217">
        <f t="shared" si="93"/>
        <v>0.22164260456725043</v>
      </c>
      <c r="Y217" t="b">
        <f t="shared" si="96"/>
        <v>0</v>
      </c>
    </row>
    <row xmlns:x14ac="http://schemas.microsoft.com/office/spreadsheetml/2009/9/ac" r="218" x14ac:dyDescent="0.45">
      <c r="A218">
        <v>1.0549999999999999</v>
      </c>
      <c r="B218">
        <f t="shared" si="73"/>
        <v>0.16248830954885043</v>
      </c>
      <c r="C218" t="b">
        <f t="shared" si="86"/>
        <v>1</v>
      </c>
      <c r="D218" t="b">
        <f t="shared" si="74"/>
        <v>1</v>
      </c>
      <c r="E218">
        <f t="shared" si="82"/>
        <v>1.0549999999999999</v>
      </c>
      <c r="F218">
        <f t="shared" si="87"/>
        <v>0.16248830954885043</v>
      </c>
      <c r="G218">
        <f t="shared" si="75"/>
        <v>0.22135514763626568</v>
      </c>
      <c r="H218">
        <f t="shared" si="76"/>
        <v>3.4803195980327092E-2</v>
      </c>
      <c r="I218" t="b">
        <f t="shared" si="88"/>
        <v>1</v>
      </c>
      <c r="J218">
        <f t="shared" si="77"/>
        <v>1.0549999999999999</v>
      </c>
      <c r="K218">
        <f t="shared" si="89"/>
        <v>3.4803195980327092E-2</v>
      </c>
      <c r="L218">
        <f t="shared" si="78"/>
        <v>0.15287499570675145</v>
      </c>
      <c r="M218">
        <f t="shared" si="79"/>
        <v>0.18960639196065418</v>
      </c>
      <c r="N218">
        <f t="shared" si="80"/>
        <v>0.18590875874108209</v>
      </c>
      <c r="O218">
        <f t="shared" si="81"/>
        <v>0.15774513618551086</v>
      </c>
      <c r="P218">
        <f t="shared" si="94"/>
        <v>0.08</v>
      </c>
      <c r="Q218">
        <f t="shared" si="90"/>
        <v>0.08</v>
      </c>
      <c r="R218">
        <f t="shared" si="83"/>
        <v>0.08</v>
      </c>
      <c r="S218">
        <f t="shared" si="84"/>
        <v>0.06</v>
      </c>
      <c r="T218">
        <f t="shared" si="85"/>
        <v>0.1</v>
      </c>
      <c r="U218">
        <f t="shared" si="91"/>
        <v>0.08</v>
      </c>
      <c r="V218">
        <f t="shared" si="95"/>
        <v>0.18590875874108209</v>
      </c>
      <c r="W218">
        <f t="shared" si="92"/>
        <v>0.15252904767206388</v>
      </c>
      <c r="X218">
        <f t="shared" si="93"/>
        <v>0.2215845368347199</v>
      </c>
      <c r="Y218" t="b">
        <f t="shared" si="96"/>
        <v>0</v>
      </c>
    </row>
    <row xmlns:x14ac="http://schemas.microsoft.com/office/spreadsheetml/2009/9/ac" r="219" x14ac:dyDescent="0.45">
      <c r="A219">
        <v>1.06</v>
      </c>
      <c r="B219">
        <f t="shared" si="73"/>
        <v>0.16254004901178903</v>
      </c>
      <c r="C219" t="b">
        <f t="shared" si="86"/>
        <v>1</v>
      </c>
      <c r="D219" t="b">
        <f t="shared" si="74"/>
        <v>1</v>
      </c>
      <c r="E219">
        <f t="shared" si="82"/>
        <v>1.06</v>
      </c>
      <c r="F219">
        <f t="shared" si="87"/>
        <v>0.16254004901178903</v>
      </c>
      <c r="G219">
        <f t="shared" si="75"/>
        <v>0.22129851360115965</v>
      </c>
      <c r="H219">
        <f t="shared" si="76"/>
        <v>3.4823095773765023E-2</v>
      </c>
      <c r="I219" t="b">
        <f t="shared" si="88"/>
        <v>1</v>
      </c>
      <c r="J219">
        <f t="shared" si="77"/>
        <v>1.06</v>
      </c>
      <c r="K219">
        <f t="shared" si="89"/>
        <v>3.4823095773765023E-2</v>
      </c>
      <c r="L219">
        <f t="shared" si="78"/>
        <v>0.15296040702198943</v>
      </c>
      <c r="M219">
        <f t="shared" si="79"/>
        <v>0.18964619154753004</v>
      </c>
      <c r="N219">
        <f t="shared" si="80"/>
        <v>0.18615081473335782</v>
      </c>
      <c r="O219">
        <f t="shared" si="81"/>
        <v>0.1577482597867074</v>
      </c>
      <c r="P219">
        <f t="shared" si="94"/>
        <v>0.08</v>
      </c>
      <c r="Q219">
        <f t="shared" si="90"/>
        <v>0.08</v>
      </c>
      <c r="R219">
        <f t="shared" si="83"/>
        <v>0.08</v>
      </c>
      <c r="S219">
        <f t="shared" si="84"/>
        <v>0.06</v>
      </c>
      <c r="T219">
        <f t="shared" si="85"/>
        <v>0.1</v>
      </c>
      <c r="U219">
        <f t="shared" si="91"/>
        <v>0.08</v>
      </c>
      <c r="V219">
        <f t="shared" si="95"/>
        <v>0.18615081473335782</v>
      </c>
      <c r="W219">
        <f t="shared" si="92"/>
        <v>0.1526161844103231</v>
      </c>
      <c r="X219">
        <f t="shared" si="93"/>
        <v>0.22152675871621358</v>
      </c>
      <c r="Y219" t="b">
        <f t="shared" si="96"/>
        <v>0</v>
      </c>
    </row>
    <row xmlns:x14ac="http://schemas.microsoft.com/office/spreadsheetml/2009/9/ac" r="220" x14ac:dyDescent="0.45">
      <c r="A220">
        <v>1.0649999999999999</v>
      </c>
      <c r="B220">
        <f t="shared" si="73"/>
        <v>0.16259146535888067</v>
      </c>
      <c r="C220" t="b">
        <f t="shared" si="86"/>
        <v>1</v>
      </c>
      <c r="D220" t="b">
        <f t="shared" si="74"/>
        <v>1</v>
      </c>
      <c r="E220">
        <f t="shared" si="82"/>
        <v>1.0649999999999999</v>
      </c>
      <c r="F220">
        <f t="shared" si="87"/>
        <v>0.16259146535888067</v>
      </c>
      <c r="G220">
        <f t="shared" si="75"/>
        <v>0.2212421620294821</v>
      </c>
      <c r="H220">
        <f t="shared" si="76"/>
        <v>3.4842871291877187E-2</v>
      </c>
      <c r="I220" t="b">
        <f t="shared" si="88"/>
        <v>1</v>
      </c>
      <c r="J220">
        <f t="shared" si="77"/>
        <v>1.0649999999999999</v>
      </c>
      <c r="K220">
        <f t="shared" si="89"/>
        <v>3.4842871291877187E-2</v>
      </c>
      <c r="L220">
        <f t="shared" si="78"/>
        <v>0.15304539234651549</v>
      </c>
      <c r="M220">
        <f t="shared" si="79"/>
        <v>0.18968574258375437</v>
      </c>
      <c r="N220">
        <f t="shared" si="80"/>
        <v>0.18639350182642442</v>
      </c>
      <c r="O220">
        <f t="shared" si="81"/>
        <v>0.15775132516260149</v>
      </c>
      <c r="P220">
        <f t="shared" si="94"/>
        <v>0.08</v>
      </c>
      <c r="Q220">
        <f t="shared" si="90"/>
        <v>0.08</v>
      </c>
      <c r="R220">
        <f t="shared" si="83"/>
        <v>0.08</v>
      </c>
      <c r="S220">
        <f t="shared" si="84"/>
        <v>0.06</v>
      </c>
      <c r="T220">
        <f t="shared" si="85"/>
        <v>0.1</v>
      </c>
      <c r="U220">
        <f t="shared" si="91"/>
        <v>0.08</v>
      </c>
      <c r="V220">
        <f t="shared" si="95"/>
        <v>0.18639350182642442</v>
      </c>
      <c r="W220">
        <f t="shared" si="92"/>
        <v>0.1527028865522872</v>
      </c>
      <c r="X220">
        <f t="shared" si="93"/>
        <v>0.22146926876727552</v>
      </c>
      <c r="Y220" t="b">
        <f t="shared" si="96"/>
        <v>0</v>
      </c>
    </row>
    <row xmlns:x14ac="http://schemas.microsoft.com/office/spreadsheetml/2009/9/ac" r="221" x14ac:dyDescent="0.45">
      <c r="A221">
        <v>1.07</v>
      </c>
      <c r="B221">
        <f t="shared" si="73"/>
        <v>0.16264232839052792</v>
      </c>
      <c r="C221" t="b">
        <f t="shared" si="86"/>
        <v>1</v>
      </c>
      <c r="D221" t="b">
        <f t="shared" si="74"/>
        <v>1</v>
      </c>
      <c r="E221">
        <f t="shared" si="82"/>
        <v>1.07</v>
      </c>
      <c r="F221">
        <f t="shared" si="87"/>
        <v>0.16264232839052792</v>
      </c>
      <c r="G221">
        <f t="shared" si="75"/>
        <v>0.22118609151244079</v>
      </c>
      <c r="H221">
        <f t="shared" si="76"/>
        <v>3.4862433996356898E-2</v>
      </c>
      <c r="I221" t="b">
        <f t="shared" si="88"/>
        <v>1</v>
      </c>
      <c r="J221">
        <f t="shared" si="77"/>
        <v>1.07</v>
      </c>
      <c r="K221">
        <f t="shared" si="89"/>
        <v>3.4862433996356898E-2</v>
      </c>
      <c r="L221">
        <f t="shared" si="78"/>
        <v>0.15312995380496713</v>
      </c>
      <c r="M221">
        <f t="shared" si="79"/>
        <v>0.18972486799271379</v>
      </c>
      <c r="N221">
        <f t="shared" si="80"/>
        <v>0.18663571685411012</v>
      </c>
      <c r="O221">
        <f t="shared" si="81"/>
        <v>0.15775431987030961</v>
      </c>
      <c r="P221">
        <f t="shared" si="94"/>
        <v>0.08</v>
      </c>
      <c r="Q221">
        <f t="shared" si="90"/>
        <v>0.08</v>
      </c>
      <c r="R221">
        <f t="shared" si="83"/>
        <v>0.08</v>
      </c>
      <c r="S221">
        <f t="shared" si="84"/>
        <v>0.06</v>
      </c>
      <c r="T221">
        <f t="shared" si="85"/>
        <v>0.1</v>
      </c>
      <c r="U221">
        <f t="shared" si="91"/>
        <v>0.08</v>
      </c>
      <c r="V221">
        <f t="shared" si="95"/>
        <v>0.18663571685411012</v>
      </c>
      <c r="W221">
        <f t="shared" si="92"/>
        <v>0.1527891562655142</v>
      </c>
      <c r="X221">
        <f t="shared" si="93"/>
        <v>0.22141206555065401</v>
      </c>
      <c r="Y221" t="b">
        <f t="shared" si="96"/>
        <v>0</v>
      </c>
    </row>
    <row xmlns:x14ac="http://schemas.microsoft.com/office/spreadsheetml/2009/9/ac" r="222" x14ac:dyDescent="0.45">
      <c r="A222">
        <v>1.075</v>
      </c>
      <c r="B222">
        <f t="shared" si="73"/>
        <v>0.16269242178097126</v>
      </c>
      <c r="C222" t="b">
        <f t="shared" si="86"/>
        <v>1</v>
      </c>
      <c r="D222" t="b">
        <f t="shared" si="74"/>
        <v>1</v>
      </c>
      <c r="E222">
        <f t="shared" si="82"/>
        <v>1.075</v>
      </c>
      <c r="F222">
        <f t="shared" si="87"/>
        <v>0.16269242178097126</v>
      </c>
      <c r="G222">
        <f t="shared" si="75"/>
        <v>0.22113030064826994</v>
      </c>
      <c r="H222">
        <f t="shared" si="76"/>
        <v>3.4881700684988956E-2</v>
      </c>
      <c r="I222" t="b">
        <f t="shared" si="88"/>
        <v>1</v>
      </c>
      <c r="J222">
        <f t="shared" si="77"/>
        <v>1.075</v>
      </c>
      <c r="K222">
        <f t="shared" si="89"/>
        <v>3.4881700684988956E-2</v>
      </c>
      <c r="L222">
        <f t="shared" si="78"/>
        <v>0.15321409351138526</v>
      </c>
      <c r="M222">
        <f t="shared" si="79"/>
        <v>0.18976340136997791</v>
      </c>
      <c r="N222">
        <f t="shared" si="80"/>
        <v>0.18687639349989077</v>
      </c>
      <c r="O222">
        <f t="shared" si="81"/>
        <v>0.15775723271144731</v>
      </c>
      <c r="P222">
        <f t="shared" si="94"/>
        <v>0.08</v>
      </c>
      <c r="Q222">
        <f t="shared" si="90"/>
        <v>0.08</v>
      </c>
      <c r="R222">
        <f t="shared" si="83"/>
        <v>0.08</v>
      </c>
      <c r="S222">
        <f t="shared" si="84"/>
        <v>0.06</v>
      </c>
      <c r="T222">
        <f t="shared" si="85"/>
        <v>0.1</v>
      </c>
      <c r="U222">
        <f t="shared" si="91"/>
        <v>0.08</v>
      </c>
      <c r="V222">
        <f t="shared" si="95"/>
        <v>0.18687639349989077</v>
      </c>
      <c r="W222">
        <f t="shared" si="92"/>
        <v>0.15287499570675145</v>
      </c>
      <c r="X222">
        <f t="shared" si="93"/>
        <v>0.22135514763626568</v>
      </c>
      <c r="Y222" t="b">
        <f t="shared" si="96"/>
        <v>0</v>
      </c>
    </row>
    <row xmlns:x14ac="http://schemas.microsoft.com/office/spreadsheetml/2009/9/ac" r="223" x14ac:dyDescent="0.45">
      <c r="A223">
        <v>1.08</v>
      </c>
      <c r="B223">
        <f t="shared" si="73"/>
        <v>0.16274154343648217</v>
      </c>
      <c r="C223" t="b">
        <f t="shared" si="86"/>
        <v>1</v>
      </c>
      <c r="D223" t="b">
        <f t="shared" si="74"/>
        <v>1</v>
      </c>
      <c r="E223">
        <f t="shared" si="82"/>
        <v>1.08</v>
      </c>
      <c r="F223">
        <f t="shared" si="87"/>
        <v>0.16274154343648217</v>
      </c>
      <c r="G223">
        <f t="shared" si="75"/>
        <v>0.22107478804219499</v>
      </c>
      <c r="H223">
        <f t="shared" si="76"/>
        <v>3.4900593629416221E-2</v>
      </c>
      <c r="I223" t="b">
        <f t="shared" si="88"/>
        <v>1</v>
      </c>
      <c r="J223">
        <f t="shared" si="77"/>
        <v>1.08</v>
      </c>
      <c r="K223">
        <f t="shared" si="89"/>
        <v>3.4900593629416221E-2</v>
      </c>
      <c r="L223">
        <f t="shared" si="78"/>
        <v>0.15329781356926692</v>
      </c>
      <c r="M223">
        <f t="shared" si="79"/>
        <v>0.18980118725883244</v>
      </c>
      <c r="N223">
        <f t="shared" si="80"/>
        <v>0.18711450589612177</v>
      </c>
      <c r="O223">
        <f t="shared" si="81"/>
        <v>0.15776005370590779</v>
      </c>
      <c r="P223">
        <f t="shared" si="94"/>
        <v>0.08</v>
      </c>
      <c r="Q223">
        <f t="shared" si="90"/>
        <v>0.08</v>
      </c>
      <c r="R223">
        <f t="shared" si="83"/>
        <v>0.08</v>
      </c>
      <c r="S223">
        <f t="shared" si="84"/>
        <v>0.06</v>
      </c>
      <c r="T223">
        <f t="shared" si="85"/>
        <v>0.1</v>
      </c>
      <c r="U223">
        <f t="shared" si="91"/>
        <v>0.08</v>
      </c>
      <c r="V223">
        <f t="shared" si="95"/>
        <v>0.18711450589612177</v>
      </c>
      <c r="W223">
        <f t="shared" si="92"/>
        <v>0.15296040702198943</v>
      </c>
      <c r="X223">
        <f t="shared" si="93"/>
        <v>0.22129851360115965</v>
      </c>
      <c r="Y223" t="b">
        <f t="shared" si="96"/>
        <v>0</v>
      </c>
    </row>
    <row xmlns:x14ac="http://schemas.microsoft.com/office/spreadsheetml/2009/9/ac" r="224" x14ac:dyDescent="0.45">
      <c r="A224">
        <v>1.085</v>
      </c>
      <c r="B224">
        <f t="shared" si="73"/>
        <v>0.16278950576800549</v>
      </c>
      <c r="C224" t="b">
        <f t="shared" si="86"/>
        <v>1</v>
      </c>
      <c r="D224" t="b">
        <f t="shared" si="74"/>
        <v>1</v>
      </c>
      <c r="E224">
        <f t="shared" si="82"/>
        <v>1.085</v>
      </c>
      <c r="F224">
        <f t="shared" si="87"/>
        <v>0.16278950576800549</v>
      </c>
      <c r="G224">
        <f t="shared" si="75"/>
        <v>0.22101955230639792</v>
      </c>
      <c r="H224">
        <f t="shared" si="76"/>
        <v>3.4919040680002122E-2</v>
      </c>
      <c r="I224" t="b">
        <f t="shared" si="88"/>
        <v>1</v>
      </c>
      <c r="J224">
        <f t="shared" si="77"/>
        <v>1.085</v>
      </c>
      <c r="K224">
        <f t="shared" si="89"/>
        <v>3.4919040680002122E-2</v>
      </c>
      <c r="L224">
        <f t="shared" si="78"/>
        <v>0.15338111607161792</v>
      </c>
      <c r="M224">
        <f t="shared" si="79"/>
        <v>0.18983808136000424</v>
      </c>
      <c r="N224">
        <f t="shared" si="80"/>
        <v>0.18734907192936531</v>
      </c>
      <c r="O224">
        <f t="shared" si="81"/>
        <v>0.15776277406090911</v>
      </c>
      <c r="P224">
        <f t="shared" si="94"/>
        <v>0.08</v>
      </c>
      <c r="Q224">
        <f t="shared" si="90"/>
        <v>0.08</v>
      </c>
      <c r="R224">
        <f t="shared" si="83"/>
        <v>0.08</v>
      </c>
      <c r="S224">
        <f t="shared" si="84"/>
        <v>0.06</v>
      </c>
      <c r="T224">
        <f t="shared" si="85"/>
        <v>0.1</v>
      </c>
      <c r="U224">
        <f t="shared" si="91"/>
        <v>0.08</v>
      </c>
      <c r="V224">
        <f t="shared" si="95"/>
        <v>0.18734907192936531</v>
      </c>
      <c r="W224">
        <f t="shared" si="92"/>
        <v>0.15304539234651549</v>
      </c>
      <c r="X224">
        <f t="shared" si="93"/>
        <v>0.2212421620294821</v>
      </c>
      <c r="Y224" t="b">
        <f t="shared" si="96"/>
        <v>0</v>
      </c>
    </row>
    <row xmlns:x14ac="http://schemas.microsoft.com/office/spreadsheetml/2009/9/ac" r="225" x14ac:dyDescent="0.45">
      <c r="A225">
        <v>1.0900000000000001</v>
      </c>
      <c r="B225">
        <f t="shared" si="73"/>
        <v>0.16283613588112025</v>
      </c>
      <c r="C225" t="b">
        <f t="shared" si="86"/>
        <v>1</v>
      </c>
      <c r="D225" t="b">
        <f t="shared" si="74"/>
        <v>1</v>
      </c>
      <c r="E225">
        <f t="shared" si="82"/>
        <v>1.0900000000000001</v>
      </c>
      <c r="F225">
        <f t="shared" si="87"/>
        <v>0.16283613588112025</v>
      </c>
      <c r="G225">
        <f t="shared" si="75"/>
        <v>0.22096459205998242</v>
      </c>
      <c r="H225">
        <f t="shared" si="76"/>
        <v>3.4936975338892409E-2</v>
      </c>
      <c r="I225" t="b">
        <f t="shared" si="88"/>
        <v>1</v>
      </c>
      <c r="J225">
        <f t="shared" si="77"/>
        <v>1.0900000000000001</v>
      </c>
      <c r="K225">
        <f t="shared" si="89"/>
        <v>3.4936975338892409E-2</v>
      </c>
      <c r="L225">
        <f t="shared" si="78"/>
        <v>0.15346400310100511</v>
      </c>
      <c r="M225">
        <f t="shared" si="79"/>
        <v>0.18987395067778481</v>
      </c>
      <c r="N225">
        <f t="shared" si="80"/>
        <v>0.18757915624631377</v>
      </c>
      <c r="O225">
        <f t="shared" si="81"/>
        <v>0.15776538613580579</v>
      </c>
      <c r="P225">
        <f t="shared" si="94"/>
        <v>0.08</v>
      </c>
      <c r="Q225">
        <f t="shared" si="90"/>
        <v>0.08</v>
      </c>
      <c r="R225">
        <f t="shared" si="83"/>
        <v>0.08</v>
      </c>
      <c r="S225">
        <f t="shared" si="84"/>
        <v>0.06</v>
      </c>
      <c r="T225">
        <f t="shared" si="85"/>
        <v>0.1</v>
      </c>
      <c r="U225">
        <f t="shared" si="91"/>
        <v>0.08</v>
      </c>
      <c r="V225">
        <f t="shared" si="95"/>
        <v>0.18757915624631377</v>
      </c>
      <c r="W225">
        <f t="shared" si="92"/>
        <v>0.15312995380496713</v>
      </c>
      <c r="X225">
        <f t="shared" si="93"/>
        <v>0.22118609151244079</v>
      </c>
      <c r="Y225" t="b">
        <f t="shared" si="96"/>
        <v>0</v>
      </c>
    </row>
    <row xmlns:x14ac="http://schemas.microsoft.com/office/spreadsheetml/2009/9/ac" r="226" x14ac:dyDescent="0.45">
      <c r="A226">
        <v>1.095</v>
      </c>
      <c r="B226">
        <f t="shared" si="73"/>
        <v>0.16288127568644092</v>
      </c>
      <c r="C226" t="b">
        <f t="shared" si="86"/>
        <v>1</v>
      </c>
      <c r="D226" t="b">
        <f t="shared" si="74"/>
        <v>1</v>
      </c>
      <c r="E226">
        <f t="shared" si="82"/>
        <v>1.095</v>
      </c>
      <c r="F226">
        <f t="shared" si="87"/>
        <v>0.16288127568644092</v>
      </c>
      <c r="G226">
        <f t="shared" si="75"/>
        <v>0.2209099059289395</v>
      </c>
      <c r="H226">
        <f t="shared" si="76"/>
        <v>3.4954336802477282E-2</v>
      </c>
      <c r="I226" t="b">
        <f t="shared" si="88"/>
        <v>1</v>
      </c>
      <c r="J226">
        <f t="shared" si="77"/>
        <v>1.095</v>
      </c>
      <c r="K226">
        <f t="shared" si="89"/>
        <v>3.4954336802477282E-2</v>
      </c>
      <c r="L226">
        <f t="shared" si="78"/>
        <v>0.15354647672960858</v>
      </c>
      <c r="M226">
        <f t="shared" si="79"/>
        <v>0.18990867360495456</v>
      </c>
      <c r="N226">
        <f t="shared" si="80"/>
        <v>0.187803872956322</v>
      </c>
      <c r="O226">
        <f t="shared" si="81"/>
        <v>0.15776788340314749</v>
      </c>
      <c r="P226">
        <f t="shared" si="94"/>
        <v>0.08</v>
      </c>
      <c r="Q226">
        <f t="shared" si="90"/>
        <v>0.08</v>
      </c>
      <c r="R226">
        <f t="shared" si="83"/>
        <v>0.08</v>
      </c>
      <c r="S226">
        <f t="shared" si="84"/>
        <v>0.06</v>
      </c>
      <c r="T226">
        <f t="shared" si="85"/>
        <v>0.1</v>
      </c>
      <c r="U226">
        <f t="shared" si="91"/>
        <v>0.08</v>
      </c>
      <c r="V226">
        <f t="shared" si="95"/>
        <v>0.187803872956322</v>
      </c>
      <c r="W226">
        <f t="shared" si="92"/>
        <v>0.15321409351138526</v>
      </c>
      <c r="X226">
        <f t="shared" si="93"/>
        <v>0.22113030064826994</v>
      </c>
      <c r="Y226" t="b">
        <f t="shared" si="96"/>
        <v>0</v>
      </c>
    </row>
    <row xmlns:x14ac="http://schemas.microsoft.com/office/spreadsheetml/2009/9/ac" r="227" x14ac:dyDescent="0.45">
      <c r="A227">
        <v>1.1000000000000001</v>
      </c>
      <c r="B227">
        <f t="shared" si="73"/>
        <v>0.16292478193381305</v>
      </c>
      <c r="C227" t="b">
        <f t="shared" si="86"/>
        <v>1</v>
      </c>
      <c r="D227" t="b">
        <f t="shared" si="74"/>
        <v>1</v>
      </c>
      <c r="E227">
        <f t="shared" si="82"/>
        <v>1.1000000000000001</v>
      </c>
      <c r="F227">
        <f t="shared" si="87"/>
        <v>0.16292478193381305</v>
      </c>
      <c r="G227">
        <f t="shared" si="75"/>
        <v>0.22085549254611303</v>
      </c>
      <c r="H227">
        <f t="shared" si="76"/>
        <v>3.4971069974543481E-2</v>
      </c>
      <c r="I227" t="b">
        <f t="shared" si="88"/>
        <v>1</v>
      </c>
      <c r="J227">
        <f t="shared" si="77"/>
        <v>1.1000000000000001</v>
      </c>
      <c r="K227">
        <f t="shared" si="89"/>
        <v>3.4971069974543481E-2</v>
      </c>
      <c r="L227">
        <f t="shared" si="78"/>
        <v>0.15362853901927337</v>
      </c>
      <c r="M227">
        <f t="shared" si="79"/>
        <v>0.18994213994908696</v>
      </c>
      <c r="N227">
        <f t="shared" si="80"/>
        <v>0.18802238802803928</v>
      </c>
      <c r="O227">
        <f t="shared" si="81"/>
        <v>0.15777026040645561</v>
      </c>
      <c r="P227">
        <f t="shared" si="94"/>
        <v>0.08</v>
      </c>
      <c r="Q227">
        <f t="shared" si="90"/>
        <v>0.08</v>
      </c>
      <c r="R227">
        <f t="shared" si="83"/>
        <v>0.08</v>
      </c>
      <c r="S227">
        <f t="shared" si="84"/>
        <v>0.06</v>
      </c>
      <c r="T227">
        <f t="shared" si="85"/>
        <v>0.1</v>
      </c>
      <c r="U227">
        <f t="shared" si="91"/>
        <v>0.08</v>
      </c>
      <c r="V227">
        <f t="shared" si="95"/>
        <v>0.18802238802803928</v>
      </c>
      <c r="W227">
        <f t="shared" si="92"/>
        <v>0.15329781356926692</v>
      </c>
      <c r="X227">
        <f t="shared" si="93"/>
        <v>0.22107478804219499</v>
      </c>
      <c r="Y227" t="b">
        <f t="shared" si="96"/>
        <v>0</v>
      </c>
    </row>
    <row xmlns:x14ac="http://schemas.microsoft.com/office/spreadsheetml/2009/9/ac" r="228" x14ac:dyDescent="0.45">
      <c r="A228">
        <v>1.105</v>
      </c>
      <c r="B228">
        <f t="shared" si="73"/>
        <v>0.16296652617385454</v>
      </c>
      <c r="C228" t="b">
        <f t="shared" si="86"/>
        <v>1</v>
      </c>
      <c r="D228" t="b">
        <f t="shared" si="74"/>
        <v>1</v>
      </c>
      <c r="E228">
        <f t="shared" si="82"/>
        <v>1.105</v>
      </c>
      <c r="F228">
        <f t="shared" si="87"/>
        <v>0.16296652617385454</v>
      </c>
      <c r="G228">
        <f t="shared" si="75"/>
        <v>0.22080135055116562</v>
      </c>
      <c r="H228">
        <f t="shared" si="76"/>
        <v>3.4987125451482526E-2</v>
      </c>
      <c r="I228" t="b">
        <f t="shared" si="88"/>
        <v>1</v>
      </c>
      <c r="J228">
        <f t="shared" si="77"/>
        <v>1.105</v>
      </c>
      <c r="K228">
        <f t="shared" si="89"/>
        <v>3.4987125451482526E-2</v>
      </c>
      <c r="L228">
        <f t="shared" si="78"/>
        <v>0.15371019202156092</v>
      </c>
      <c r="M228">
        <f t="shared" si="79"/>
        <v>0.18997425090296505</v>
      </c>
      <c r="N228">
        <f t="shared" si="80"/>
        <v>0.18823392137907691</v>
      </c>
      <c r="O228">
        <f t="shared" si="81"/>
        <v>0.15777251271517267</v>
      </c>
      <c r="P228">
        <f t="shared" si="94"/>
        <v>0.08</v>
      </c>
      <c r="Q228">
        <f t="shared" si="90"/>
        <v>0.08</v>
      </c>
      <c r="R228">
        <f t="shared" si="83"/>
        <v>0.08</v>
      </c>
      <c r="S228">
        <f t="shared" si="84"/>
        <v>0.06</v>
      </c>
      <c r="T228">
        <f t="shared" si="85"/>
        <v>0.1</v>
      </c>
      <c r="U228">
        <f t="shared" si="91"/>
        <v>0.08</v>
      </c>
      <c r="V228">
        <f t="shared" si="95"/>
        <v>0.18823392137907691</v>
      </c>
      <c r="W228">
        <f t="shared" si="92"/>
        <v>0.15338111607161792</v>
      </c>
      <c r="X228">
        <f t="shared" si="93"/>
        <v>0.22101955230639792</v>
      </c>
      <c r="Y228" t="b">
        <f t="shared" si="96"/>
        <v>0</v>
      </c>
    </row>
    <row xmlns:x14ac="http://schemas.microsoft.com/office/spreadsheetml/2009/9/ac" r="229" x14ac:dyDescent="0.45">
      <c r="A229">
        <v>1.1100000000000001</v>
      </c>
      <c r="B229">
        <f t="shared" si="73"/>
        <v>0.16300639465057165</v>
      </c>
      <c r="C229" t="b">
        <f t="shared" si="86"/>
        <v>1</v>
      </c>
      <c r="D229" t="b">
        <f t="shared" si="74"/>
        <v>1</v>
      </c>
      <c r="E229">
        <f t="shared" si="82"/>
        <v>1.1100000000000001</v>
      </c>
      <c r="F229">
        <f t="shared" si="87"/>
        <v>0.16300639465057165</v>
      </c>
      <c r="G229">
        <f t="shared" si="75"/>
        <v>0.22074747859054455</v>
      </c>
      <c r="H229">
        <f t="shared" si="76"/>
        <v>3.5002459480989095E-2</v>
      </c>
      <c r="I229" t="b">
        <f t="shared" si="88"/>
        <v>1</v>
      </c>
      <c r="J229">
        <f t="shared" si="77"/>
        <v>1.1100000000000001</v>
      </c>
      <c r="K229">
        <f t="shared" si="89"/>
        <v>3.5002459480989095E-2</v>
      </c>
      <c r="L229">
        <f t="shared" si="78"/>
        <v>0.15379143777780058</v>
      </c>
      <c r="M229">
        <f t="shared" si="79"/>
        <v>0.19000491896197819</v>
      </c>
      <c r="N229">
        <f t="shared" si="80"/>
        <v>0.18843774865905172</v>
      </c>
      <c r="O229">
        <f t="shared" si="81"/>
        <v>0.15777463687722301</v>
      </c>
      <c r="P229">
        <f t="shared" si="94"/>
        <v>0.08</v>
      </c>
      <c r="Q229">
        <f t="shared" si="90"/>
        <v>0.08</v>
      </c>
      <c r="R229">
        <f t="shared" si="83"/>
        <v>0.08</v>
      </c>
      <c r="S229">
        <f t="shared" si="84"/>
        <v>0.06</v>
      </c>
      <c r="T229">
        <f t="shared" si="85"/>
        <v>0.1</v>
      </c>
      <c r="U229">
        <f t="shared" si="91"/>
        <v>0.08</v>
      </c>
      <c r="V229">
        <f t="shared" si="95"/>
        <v>0.18843774865905172</v>
      </c>
      <c r="W229">
        <f t="shared" si="92"/>
        <v>0.15346400310100511</v>
      </c>
      <c r="X229">
        <f t="shared" si="93"/>
        <v>0.22096459205998242</v>
      </c>
      <c r="Y229" t="b">
        <f t="shared" si="96"/>
        <v>0</v>
      </c>
    </row>
    <row xmlns:x14ac="http://schemas.microsoft.com/office/spreadsheetml/2009/9/ac" r="230" x14ac:dyDescent="0.45">
      <c r="A230">
        <v>1.115</v>
      </c>
      <c r="B230">
        <f t="shared" si="73"/>
        <v>0.16304428812892316</v>
      </c>
      <c r="C230" t="b">
        <f t="shared" si="86"/>
        <v>1</v>
      </c>
      <c r="D230" t="b">
        <f t="shared" si="74"/>
        <v>1</v>
      </c>
      <c r="E230">
        <f t="shared" si="82"/>
        <v>1.115</v>
      </c>
      <c r="F230">
        <f t="shared" si="87"/>
        <v>0.16304428812892316</v>
      </c>
      <c r="G230">
        <f t="shared" si="75"/>
        <v>0.220693875317448</v>
      </c>
      <c r="H230">
        <f t="shared" si="76"/>
        <v>3.501703389573968E-2</v>
      </c>
      <c r="I230" t="b">
        <f t="shared" si="88"/>
        <v>1</v>
      </c>
      <c r="J230">
        <f t="shared" si="77"/>
        <v>1.115</v>
      </c>
      <c r="K230">
        <f t="shared" si="89"/>
        <v>3.501703389573968E-2</v>
      </c>
      <c r="L230">
        <f t="shared" si="78"/>
        <v>0.15387227831914052</v>
      </c>
      <c r="M230">
        <f t="shared" si="79"/>
        <v>0.19003406779147936</v>
      </c>
      <c r="N230">
        <f t="shared" si="80"/>
        <v>0.18863320272770173</v>
      </c>
      <c r="O230">
        <f t="shared" si="81"/>
        <v>0.15777663036960632</v>
      </c>
      <c r="P230">
        <f t="shared" si="94"/>
        <v>0.08</v>
      </c>
      <c r="Q230">
        <f t="shared" si="90"/>
        <v>0.08</v>
      </c>
      <c r="R230">
        <f t="shared" si="83"/>
        <v>0.08</v>
      </c>
      <c r="S230">
        <f t="shared" si="84"/>
        <v>0.06</v>
      </c>
      <c r="T230">
        <f t="shared" si="85"/>
        <v>0.1</v>
      </c>
      <c r="U230">
        <f t="shared" si="91"/>
        <v>0.08</v>
      </c>
      <c r="V230">
        <f t="shared" si="95"/>
        <v>0.18863320272770173</v>
      </c>
      <c r="W230">
        <f t="shared" si="92"/>
        <v>0.15354647672960858</v>
      </c>
      <c r="X230">
        <f t="shared" si="93"/>
        <v>0.2209099059289395</v>
      </c>
      <c r="Y230" t="b">
        <f t="shared" si="96"/>
        <v>0</v>
      </c>
    </row>
    <row xmlns:x14ac="http://schemas.microsoft.com/office/spreadsheetml/2009/9/ac" r="231" x14ac:dyDescent="0.45">
      <c r="A231">
        <v>1.1200000000000001</v>
      </c>
      <c r="B231">
        <f t="shared" si="73"/>
        <v>0.16308012166133182</v>
      </c>
      <c r="C231" t="b">
        <f t="shared" si="86"/>
        <v>1</v>
      </c>
      <c r="D231" t="b">
        <f t="shared" si="74"/>
        <v>1</v>
      </c>
      <c r="E231">
        <f t="shared" si="82"/>
        <v>1.1200000000000001</v>
      </c>
      <c r="F231">
        <f t="shared" si="87"/>
        <v>0.16308012166133182</v>
      </c>
      <c r="G231">
        <f t="shared" si="75"/>
        <v>0.2206405393917914</v>
      </c>
      <c r="H231">
        <f t="shared" si="76"/>
        <v>3.5030816023589165E-2</v>
      </c>
      <c r="I231" t="b">
        <f t="shared" si="88"/>
        <v>1</v>
      </c>
      <c r="J231">
        <f t="shared" si="77"/>
        <v>1.1200000000000001</v>
      </c>
      <c r="K231">
        <f t="shared" si="89"/>
        <v>3.5030816023589165E-2</v>
      </c>
      <c r="L231">
        <f t="shared" si="78"/>
        <v>0.15395271566659843</v>
      </c>
      <c r="M231">
        <f t="shared" si="79"/>
        <v>0.19006163204717832</v>
      </c>
      <c r="N231">
        <f t="shared" si="80"/>
        <v>0.18881967483108109</v>
      </c>
      <c r="O231">
        <f t="shared" si="81"/>
        <v>0.15777849154742607</v>
      </c>
      <c r="P231">
        <f t="shared" si="94"/>
        <v>0.08</v>
      </c>
      <c r="Q231">
        <f t="shared" si="90"/>
        <v>0.08</v>
      </c>
      <c r="R231">
        <f t="shared" si="83"/>
        <v>0.08</v>
      </c>
      <c r="S231">
        <f t="shared" si="84"/>
        <v>0.06</v>
      </c>
      <c r="T231">
        <f t="shared" si="85"/>
        <v>0.1</v>
      </c>
      <c r="U231">
        <f t="shared" si="91"/>
        <v>0.08</v>
      </c>
      <c r="V231">
        <f t="shared" si="95"/>
        <v>0.18881967483108109</v>
      </c>
      <c r="W231">
        <f t="shared" si="92"/>
        <v>0.15362853901927337</v>
      </c>
      <c r="X231">
        <f t="shared" si="93"/>
        <v>0.22085549254611303</v>
      </c>
      <c r="Y231" t="b">
        <f t="shared" si="96"/>
        <v>0</v>
      </c>
    </row>
    <row xmlns:x14ac="http://schemas.microsoft.com/office/spreadsheetml/2009/9/ac" r="232" x14ac:dyDescent="0.45">
      <c r="A232">
        <v>1.125</v>
      </c>
      <c r="B232">
        <f t="shared" si="73"/>
        <v>0.16311382429723631</v>
      </c>
      <c r="C232" t="b">
        <f t="shared" si="86"/>
        <v>1</v>
      </c>
      <c r="D232" t="b">
        <f t="shared" si="74"/>
        <v>1</v>
      </c>
      <c r="E232">
        <f t="shared" si="82"/>
        <v>1.125</v>
      </c>
      <c r="F232">
        <f t="shared" si="87"/>
        <v>0.16311382429723631</v>
      </c>
      <c r="G232">
        <f t="shared" si="75"/>
        <v>0.22058746948017377</v>
      </c>
      <c r="H232">
        <f t="shared" si="76"/>
        <v>3.5043778575860121E-2</v>
      </c>
      <c r="I232" t="b">
        <f t="shared" si="88"/>
        <v>1</v>
      </c>
      <c r="J232">
        <f t="shared" si="77"/>
        <v>1.125</v>
      </c>
      <c r="K232">
        <f t="shared" si="89"/>
        <v>3.5043778575860121E-2</v>
      </c>
      <c r="L232">
        <f t="shared" si="78"/>
        <v>0.1540327518311122</v>
      </c>
      <c r="M232">
        <f t="shared" si="79"/>
        <v>0.19008755715172027</v>
      </c>
      <c r="N232">
        <f t="shared" si="80"/>
        <v>0.18899661548009086</v>
      </c>
      <c r="O232">
        <f t="shared" si="81"/>
        <v>0.15778021959173577</v>
      </c>
      <c r="P232">
        <f t="shared" si="94"/>
        <v>0.08</v>
      </c>
      <c r="Q232">
        <f t="shared" si="90"/>
        <v>0.08</v>
      </c>
      <c r="R232">
        <f t="shared" si="83"/>
        <v>0.08</v>
      </c>
      <c r="S232">
        <f t="shared" si="84"/>
        <v>0.06</v>
      </c>
      <c r="T232">
        <f t="shared" si="85"/>
        <v>0.1</v>
      </c>
      <c r="U232">
        <f t="shared" si="91"/>
        <v>0.08</v>
      </c>
      <c r="V232">
        <f t="shared" si="95"/>
        <v>0.18899661548009086</v>
      </c>
      <c r="W232">
        <f t="shared" si="92"/>
        <v>0.15371019202156092</v>
      </c>
      <c r="X232">
        <f t="shared" si="93"/>
        <v>0.22080135055116562</v>
      </c>
      <c r="Y232" t="b">
        <f t="shared" si="96"/>
        <v>0</v>
      </c>
    </row>
    <row xmlns:x14ac="http://schemas.microsoft.com/office/spreadsheetml/2009/9/ac" r="233" x14ac:dyDescent="0.45">
      <c r="A233">
        <v>1.1299999999999999</v>
      </c>
      <c r="B233">
        <f t="shared" si="73"/>
        <v>0.16314533873985207</v>
      </c>
      <c r="C233" t="b">
        <f t="shared" si="86"/>
        <v>1</v>
      </c>
      <c r="D233" t="b">
        <f t="shared" si="74"/>
        <v>1</v>
      </c>
      <c r="E233">
        <f t="shared" si="82"/>
        <v>1.1299999999999999</v>
      </c>
      <c r="F233">
        <f t="shared" si="87"/>
        <v>0.16314533873985207</v>
      </c>
      <c r="G233">
        <f t="shared" si="75"/>
        <v>0.22053466425584456</v>
      </c>
      <c r="H233">
        <f t="shared" si="76"/>
        <v>3.5055899515327713E-2</v>
      </c>
      <c r="I233" t="b">
        <f t="shared" si="88"/>
        <v>1</v>
      </c>
      <c r="J233">
        <f t="shared" si="77"/>
        <v>1.1299999999999999</v>
      </c>
      <c r="K233">
        <f t="shared" si="89"/>
        <v>3.5055899515327713E-2</v>
      </c>
      <c r="L233">
        <f t="shared" si="78"/>
        <v>0.15411238881359013</v>
      </c>
      <c r="M233">
        <f t="shared" si="79"/>
        <v>0.19011179903065545</v>
      </c>
      <c r="N233">
        <f t="shared" si="80"/>
        <v>0.18916353503679978</v>
      </c>
      <c r="O233">
        <f t="shared" si="81"/>
        <v>0.15778181445656592</v>
      </c>
      <c r="P233">
        <f t="shared" si="94"/>
        <v>0.08</v>
      </c>
      <c r="Q233">
        <f t="shared" si="90"/>
        <v>0.08</v>
      </c>
      <c r="R233">
        <f t="shared" si="83"/>
        <v>0.08</v>
      </c>
      <c r="S233">
        <f t="shared" si="84"/>
        <v>0.06</v>
      </c>
      <c r="T233">
        <f t="shared" si="85"/>
        <v>0.1</v>
      </c>
      <c r="U233">
        <f t="shared" si="91"/>
        <v>0.08</v>
      </c>
      <c r="V233">
        <f t="shared" si="95"/>
        <v>0.18916353503679978</v>
      </c>
      <c r="W233">
        <f t="shared" si="92"/>
        <v>0.15379143777780058</v>
      </c>
      <c r="X233">
        <f t="shared" si="93"/>
        <v>0.22074747859054455</v>
      </c>
      <c r="Y233" t="b">
        <f t="shared" si="96"/>
        <v>0</v>
      </c>
    </row>
    <row xmlns:x14ac="http://schemas.microsoft.com/office/spreadsheetml/2009/9/ac" r="234" x14ac:dyDescent="0.45">
      <c r="A234">
        <v>1.135</v>
      </c>
      <c r="B234">
        <f t="shared" si="73"/>
        <v>0.16317462095435661</v>
      </c>
      <c r="C234" t="b">
        <f t="shared" si="86"/>
        <v>1</v>
      </c>
      <c r="D234" t="b">
        <f t="shared" si="74"/>
        <v>1</v>
      </c>
      <c r="E234">
        <f t="shared" si="82"/>
        <v>1.135</v>
      </c>
      <c r="F234">
        <f t="shared" si="87"/>
        <v>0.16317462095435661</v>
      </c>
      <c r="G234">
        <f t="shared" si="75"/>
        <v>0.22048212239867043</v>
      </c>
      <c r="H234">
        <f t="shared" si="76"/>
        <v>3.5067161905521782E-2</v>
      </c>
      <c r="I234" t="b">
        <f t="shared" si="88"/>
        <v>1</v>
      </c>
      <c r="J234">
        <f t="shared" si="77"/>
        <v>1.135</v>
      </c>
      <c r="K234">
        <f t="shared" si="89"/>
        <v>3.5067161905521782E-2</v>
      </c>
      <c r="L234">
        <f t="shared" si="78"/>
        <v>0.15419162860496094</v>
      </c>
      <c r="M234">
        <f t="shared" si="79"/>
        <v>0.19013432381104356</v>
      </c>
      <c r="N234">
        <f t="shared" si="80"/>
        <v>0.1893200040151399</v>
      </c>
      <c r="O234">
        <f t="shared" si="81"/>
        <v>0.15778327681547316</v>
      </c>
      <c r="P234">
        <f t="shared" si="94"/>
        <v>0.08</v>
      </c>
      <c r="Q234">
        <f t="shared" si="90"/>
        <v>0.08</v>
      </c>
      <c r="R234">
        <f t="shared" si="83"/>
        <v>0.08</v>
      </c>
      <c r="S234">
        <f t="shared" si="84"/>
        <v>0.06</v>
      </c>
      <c r="T234">
        <f t="shared" si="85"/>
        <v>0.1</v>
      </c>
      <c r="U234">
        <f t="shared" si="91"/>
        <v>0.08</v>
      </c>
      <c r="V234">
        <f t="shared" si="95"/>
        <v>0.1893200040151399</v>
      </c>
      <c r="W234">
        <f t="shared" si="92"/>
        <v>0.15387227831914052</v>
      </c>
      <c r="X234">
        <f t="shared" si="93"/>
        <v>0.220693875317448</v>
      </c>
      <c r="Y234" t="b">
        <f t="shared" si="96"/>
        <v>0</v>
      </c>
    </row>
    <row xmlns:x14ac="http://schemas.microsoft.com/office/spreadsheetml/2009/9/ac" r="235" x14ac:dyDescent="0.45">
      <c r="A235">
        <v>1.1399999999999999</v>
      </c>
      <c r="B235">
        <f t="shared" si="73"/>
        <v>0.16320163973174376</v>
      </c>
      <c r="C235" t="b">
        <f t="shared" si="86"/>
        <v>1</v>
      </c>
      <c r="D235" t="b">
        <f t="shared" si="74"/>
        <v>1</v>
      </c>
      <c r="E235">
        <f t="shared" si="82"/>
        <v>1.1399999999999999</v>
      </c>
      <c r="F235">
        <f t="shared" si="87"/>
        <v>0.16320163973174376</v>
      </c>
      <c r="G235">
        <f t="shared" si="75"/>
        <v>0.22042984259510218</v>
      </c>
      <c r="H235">
        <f t="shared" si="76"/>
        <v>3.5077553742978371E-2</v>
      </c>
      <c r="I235" t="b">
        <f t="shared" si="88"/>
        <v>1</v>
      </c>
      <c r="J235">
        <f t="shared" si="77"/>
        <v>1.1399999999999999</v>
      </c>
      <c r="K235">
        <f t="shared" si="89"/>
        <v>3.5077553742978371E-2</v>
      </c>
      <c r="L235">
        <f t="shared" si="78"/>
        <v>0.1542704731862235</v>
      </c>
      <c r="M235">
        <f t="shared" si="79"/>
        <v>0.19015510748595674</v>
      </c>
      <c r="N235">
        <f t="shared" si="80"/>
        <v>0.18946565310363045</v>
      </c>
      <c r="O235">
        <f t="shared" si="81"/>
        <v>0.15778460800793265</v>
      </c>
      <c r="P235">
        <f t="shared" si="94"/>
        <v>0.08</v>
      </c>
      <c r="Q235">
        <f t="shared" si="90"/>
        <v>0.08</v>
      </c>
      <c r="R235">
        <f t="shared" si="83"/>
        <v>0.08</v>
      </c>
      <c r="S235">
        <f t="shared" si="84"/>
        <v>0.06</v>
      </c>
      <c r="T235">
        <f t="shared" si="85"/>
        <v>0.1</v>
      </c>
      <c r="U235">
        <f t="shared" si="91"/>
        <v>0.08</v>
      </c>
      <c r="V235">
        <f t="shared" si="95"/>
        <v>0.18946565310363045</v>
      </c>
      <c r="W235">
        <f t="shared" si="92"/>
        <v>0.15395271566659843</v>
      </c>
      <c r="X235">
        <f t="shared" si="93"/>
        <v>0.2206405393917914</v>
      </c>
      <c r="Y235" t="b">
        <f t="shared" si="96"/>
        <v>0</v>
      </c>
    </row>
    <row xmlns:x14ac="http://schemas.microsoft.com/office/spreadsheetml/2009/9/ac" r="236" x14ac:dyDescent="0.45">
      <c r="A236">
        <v>1.145</v>
      </c>
      <c r="B236">
        <f t="shared" si="73"/>
        <v>0.16322637621259409</v>
      </c>
      <c r="C236" t="b">
        <f t="shared" si="86"/>
        <v>1</v>
      </c>
      <c r="D236" t="b">
        <f t="shared" si="74"/>
        <v>1</v>
      </c>
      <c r="E236">
        <f t="shared" si="82"/>
        <v>1.145</v>
      </c>
      <c r="F236">
        <f t="shared" si="87"/>
        <v>0.16322637621259409</v>
      </c>
      <c r="G236">
        <f t="shared" si="75"/>
        <v>0.22037782353814206</v>
      </c>
      <c r="H236">
        <f t="shared" si="76"/>
        <v>3.5087067774074651E-2</v>
      </c>
      <c r="I236" t="b">
        <f t="shared" si="88"/>
        <v>1</v>
      </c>
      <c r="J236">
        <f t="shared" si="77"/>
        <v>1.145</v>
      </c>
      <c r="K236">
        <f t="shared" si="89"/>
        <v>3.5087067774074651E-2</v>
      </c>
      <c r="L236">
        <f t="shared" si="78"/>
        <v>0.15434892452849647</v>
      </c>
      <c r="M236">
        <f t="shared" si="79"/>
        <v>0.19017413554814933</v>
      </c>
      <c r="N236">
        <f t="shared" si="80"/>
        <v>0.18960017291878273</v>
      </c>
      <c r="O236">
        <f t="shared" si="81"/>
        <v>0.1577858099858726</v>
      </c>
      <c r="P236">
        <f t="shared" si="94"/>
        <v>0.08</v>
      </c>
      <c r="Q236">
        <f t="shared" si="90"/>
        <v>0.08</v>
      </c>
      <c r="R236">
        <f t="shared" si="83"/>
        <v>0.08</v>
      </c>
      <c r="S236">
        <f t="shared" si="84"/>
        <v>0.06</v>
      </c>
      <c r="T236">
        <f t="shared" si="85"/>
        <v>0.1</v>
      </c>
      <c r="U236">
        <f t="shared" si="91"/>
        <v>0.08</v>
      </c>
      <c r="V236">
        <f t="shared" si="95"/>
        <v>0.18960017291878273</v>
      </c>
      <c r="W236">
        <f t="shared" si="92"/>
        <v>0.1540327518311122</v>
      </c>
      <c r="X236">
        <f t="shared" si="93"/>
        <v>0.22058746948017377</v>
      </c>
      <c r="Y236" t="b">
        <f t="shared" si="96"/>
        <v>0</v>
      </c>
    </row>
    <row xmlns:x14ac="http://schemas.microsoft.com/office/spreadsheetml/2009/9/ac" r="237" x14ac:dyDescent="0.45">
      <c r="A237">
        <v>1.1499999999999999</v>
      </c>
      <c r="B237">
        <f t="shared" si="73"/>
        <v>0.16324882337499563</v>
      </c>
      <c r="C237" t="b">
        <f t="shared" si="86"/>
        <v>1</v>
      </c>
      <c r="D237" t="b">
        <f t="shared" si="74"/>
        <v>1</v>
      </c>
      <c r="E237">
        <f t="shared" si="82"/>
        <v>1.1499999999999999</v>
      </c>
      <c r="F237">
        <f t="shared" si="87"/>
        <v>0.16324882337499563</v>
      </c>
      <c r="G237">
        <f t="shared" si="75"/>
        <v>0.22032606392731091</v>
      </c>
      <c r="H237">
        <f t="shared" si="76"/>
        <v>3.5095701298075252E-2</v>
      </c>
      <c r="I237" t="b">
        <f t="shared" si="88"/>
        <v>1</v>
      </c>
      <c r="J237">
        <f t="shared" si="77"/>
        <v>1.1499999999999999</v>
      </c>
      <c r="K237">
        <f t="shared" si="89"/>
        <v>3.5095701298075252E-2</v>
      </c>
      <c r="L237">
        <f t="shared" si="78"/>
        <v>0.15442698459306747</v>
      </c>
      <c r="M237">
        <f t="shared" si="79"/>
        <v>0.1901914025961505</v>
      </c>
      <c r="N237">
        <f t="shared" si="80"/>
        <v>0.18972331349876817</v>
      </c>
      <c r="O237">
        <f t="shared" si="81"/>
        <v>0.15778688526062887</v>
      </c>
      <c r="P237">
        <f t="shared" si="94"/>
        <v>0.08</v>
      </c>
      <c r="Q237">
        <f t="shared" si="90"/>
        <v>0.08</v>
      </c>
      <c r="R237">
        <f t="shared" si="83"/>
        <v>0.08</v>
      </c>
      <c r="S237">
        <f t="shared" si="84"/>
        <v>0.06</v>
      </c>
      <c r="T237">
        <f t="shared" si="85"/>
        <v>0.1</v>
      </c>
      <c r="U237">
        <f t="shared" si="91"/>
        <v>0.08</v>
      </c>
      <c r="V237">
        <f t="shared" si="95"/>
        <v>0.18972331349876817</v>
      </c>
      <c r="W237">
        <f t="shared" si="92"/>
        <v>0.15411238881359013</v>
      </c>
      <c r="X237">
        <f t="shared" si="93"/>
        <v>0.22053466425584456</v>
      </c>
      <c r="Y237" t="b">
        <f t="shared" si="96"/>
        <v>0</v>
      </c>
    </row>
    <row xmlns:x14ac="http://schemas.microsoft.com/office/spreadsheetml/2009/9/ac" r="238" x14ac:dyDescent="0.45">
      <c r="A238">
        <v>1.155</v>
      </c>
      <c r="B238">
        <f t="shared" si="73"/>
        <v>0.16326898549081226</v>
      </c>
      <c r="C238" t="b">
        <f t="shared" si="86"/>
        <v>1</v>
      </c>
      <c r="D238" t="b">
        <f t="shared" si="74"/>
        <v>1</v>
      </c>
      <c r="E238">
        <f t="shared" si="82"/>
        <v>1.155</v>
      </c>
      <c r="F238">
        <f t="shared" si="87"/>
        <v>0.16326898549081226</v>
      </c>
      <c r="G238">
        <f t="shared" si="75"/>
        <v>0.22027456246861576</v>
      </c>
      <c r="H238">
        <f t="shared" si="76"/>
        <v>3.5103455958004723E-2</v>
      </c>
      <c r="I238" t="b">
        <f t="shared" si="88"/>
        <v>1</v>
      </c>
      <c r="J238">
        <f t="shared" si="77"/>
        <v>1.155</v>
      </c>
      <c r="K238">
        <f t="shared" si="89"/>
        <v>3.5103455958004723E-2</v>
      </c>
      <c r="L238">
        <f t="shared" si="78"/>
        <v>0.15450465533144225</v>
      </c>
      <c r="M238">
        <f t="shared" si="79"/>
        <v>0.19020691191600944</v>
      </c>
      <c r="N238">
        <f t="shared" si="80"/>
        <v>0.18983488354779066</v>
      </c>
      <c r="O238">
        <f t="shared" si="81"/>
        <v>0.15778783685057579</v>
      </c>
      <c r="P238">
        <f t="shared" si="94"/>
        <v>0.08</v>
      </c>
      <c r="Q238">
        <f t="shared" si="90"/>
        <v>0.08</v>
      </c>
      <c r="R238">
        <f t="shared" si="83"/>
        <v>0.08</v>
      </c>
      <c r="S238">
        <f t="shared" si="84"/>
        <v>0.06</v>
      </c>
      <c r="T238">
        <f t="shared" si="85"/>
        <v>0.1</v>
      </c>
      <c r="U238">
        <f t="shared" si="91"/>
        <v>0.08</v>
      </c>
      <c r="V238">
        <f t="shared" si="95"/>
        <v>0.18983488354779066</v>
      </c>
      <c r="W238">
        <f t="shared" si="92"/>
        <v>0.15419162860496094</v>
      </c>
      <c r="X238">
        <f t="shared" si="93"/>
        <v>0.22048212239867043</v>
      </c>
      <c r="Y238" t="b">
        <f t="shared" si="96"/>
        <v>0</v>
      </c>
    </row>
    <row xmlns:x14ac="http://schemas.microsoft.com/office/spreadsheetml/2009/9/ac" r="239" x14ac:dyDescent="0.45">
      <c r="A239">
        <v>1.1599999999999999</v>
      </c>
      <c r="B239">
        <f t="shared" si="73"/>
        <v>0.16328687755444443</v>
      </c>
      <c r="C239" t="b">
        <f t="shared" si="86"/>
        <v>1</v>
      </c>
      <c r="D239" t="b">
        <f t="shared" si="74"/>
        <v>1</v>
      </c>
      <c r="E239">
        <f t="shared" si="82"/>
        <v>1.1599999999999999</v>
      </c>
      <c r="F239">
        <f t="shared" si="87"/>
        <v>0.16328687755444443</v>
      </c>
      <c r="G239">
        <f t="shared" si="75"/>
        <v>0.22022331787451743</v>
      </c>
      <c r="H239">
        <f t="shared" si="76"/>
        <v>3.5110337520940171E-2</v>
      </c>
      <c r="I239" t="b">
        <f t="shared" si="88"/>
        <v>1</v>
      </c>
      <c r="J239">
        <f t="shared" si="77"/>
        <v>1.1599999999999999</v>
      </c>
      <c r="K239">
        <f t="shared" si="89"/>
        <v>3.5110337520940171E-2</v>
      </c>
      <c r="L239">
        <f t="shared" si="78"/>
        <v>0.15458193868539322</v>
      </c>
      <c r="M239">
        <f t="shared" si="79"/>
        <v>0.19022067504188034</v>
      </c>
      <c r="N239">
        <f t="shared" si="80"/>
        <v>0.18993474944238598</v>
      </c>
      <c r="O239">
        <f t="shared" si="81"/>
        <v>0.15778866822966764</v>
      </c>
      <c r="P239">
        <f t="shared" si="94"/>
        <v>0.08</v>
      </c>
      <c r="Q239">
        <f t="shared" si="90"/>
        <v>0.08</v>
      </c>
      <c r="R239">
        <f t="shared" si="83"/>
        <v>0.08</v>
      </c>
      <c r="S239">
        <f t="shared" si="84"/>
        <v>0.06</v>
      </c>
      <c r="T239">
        <f t="shared" si="85"/>
        <v>0.1</v>
      </c>
      <c r="U239">
        <f t="shared" si="91"/>
        <v>0.08</v>
      </c>
      <c r="V239">
        <f t="shared" si="95"/>
        <v>0.18993474944238598</v>
      </c>
      <c r="W239">
        <f t="shared" si="92"/>
        <v>0.1542704731862235</v>
      </c>
      <c r="X239">
        <f t="shared" si="93"/>
        <v>0.22042984259510218</v>
      </c>
      <c r="Y239" t="b">
        <f t="shared" si="96"/>
        <v>0</v>
      </c>
    </row>
    <row xmlns:x14ac="http://schemas.microsoft.com/office/spreadsheetml/2009/9/ac" r="240" x14ac:dyDescent="0.45">
      <c r="A240">
        <v>1.165</v>
      </c>
      <c r="B240">
        <f t="shared" si="73"/>
        <v>0.16330252468815706</v>
      </c>
      <c r="C240" t="b">
        <f t="shared" si="86"/>
        <v>1</v>
      </c>
      <c r="D240" t="b">
        <f t="shared" si="74"/>
        <v>1</v>
      </c>
      <c r="E240">
        <f t="shared" si="82"/>
        <v>1.165</v>
      </c>
      <c r="F240">
        <f t="shared" si="87"/>
        <v>0.16330252468815706</v>
      </c>
      <c r="G240">
        <f t="shared" si="75"/>
        <v>0.22017232886389848</v>
      </c>
      <c r="H240">
        <f t="shared" si="76"/>
        <v>3.5116355649291178E-2</v>
      </c>
      <c r="I240" t="b">
        <f t="shared" si="88"/>
        <v>1</v>
      </c>
      <c r="J240">
        <f t="shared" si="77"/>
        <v>1.165</v>
      </c>
      <c r="K240">
        <f t="shared" si="89"/>
        <v>3.5116355649291178E-2</v>
      </c>
      <c r="L240">
        <f t="shared" si="78"/>
        <v>0.15465883658700835</v>
      </c>
      <c r="M240">
        <f t="shared" si="79"/>
        <v>0.19023271129858235</v>
      </c>
      <c r="N240">
        <f t="shared" si="80"/>
        <v>0.1900228340115826</v>
      </c>
      <c r="O240">
        <f t="shared" si="81"/>
        <v>0.15778938327710451</v>
      </c>
      <c r="P240">
        <f t="shared" si="94"/>
        <v>0.08</v>
      </c>
      <c r="Q240">
        <f t="shared" si="90"/>
        <v>0.08</v>
      </c>
      <c r="R240">
        <f t="shared" si="83"/>
        <v>0.08</v>
      </c>
      <c r="S240">
        <f t="shared" si="84"/>
        <v>0.06</v>
      </c>
      <c r="T240">
        <f t="shared" si="85"/>
        <v>0.1</v>
      </c>
      <c r="U240">
        <f t="shared" si="91"/>
        <v>0.08</v>
      </c>
      <c r="V240">
        <f t="shared" si="95"/>
        <v>0.1900228340115826</v>
      </c>
      <c r="W240">
        <f t="shared" si="92"/>
        <v>0.15434892452849647</v>
      </c>
      <c r="X240">
        <f t="shared" si="93"/>
        <v>0.22037782353814206</v>
      </c>
      <c r="Y240" t="b">
        <f t="shared" si="96"/>
        <v>0</v>
      </c>
    </row>
    <row xmlns:x14ac="http://schemas.microsoft.com/office/spreadsheetml/2009/9/ac" r="241" x14ac:dyDescent="0.45">
      <c r="A241">
        <v>1.17</v>
      </c>
      <c r="B241">
        <f t="shared" si="73"/>
        <v>0.1633159615279613</v>
      </c>
      <c r="C241" t="b">
        <f t="shared" si="86"/>
        <v>1</v>
      </c>
      <c r="D241" t="b">
        <f t="shared" si="74"/>
        <v>1</v>
      </c>
      <c r="E241">
        <f t="shared" si="82"/>
        <v>1.17</v>
      </c>
      <c r="F241">
        <f t="shared" si="87"/>
        <v>0.1633159615279613</v>
      </c>
      <c r="G241">
        <f t="shared" si="75"/>
        <v>0.22012159416203092</v>
      </c>
      <c r="H241">
        <f t="shared" si="76"/>
        <v>3.5121523664600501E-2</v>
      </c>
      <c r="I241" t="b">
        <f t="shared" si="88"/>
        <v>1</v>
      </c>
      <c r="J241">
        <f t="shared" si="77"/>
        <v>1.17</v>
      </c>
      <c r="K241">
        <f t="shared" si="89"/>
        <v>3.5121523664600501E-2</v>
      </c>
      <c r="L241">
        <f t="shared" si="78"/>
        <v>0.15473535095873908</v>
      </c>
      <c r="M241">
        <f t="shared" si="79"/>
        <v>0.190243047329201</v>
      </c>
      <c r="N241">
        <f t="shared" si="80"/>
        <v>0.19009911510349062</v>
      </c>
      <c r="O241">
        <f t="shared" si="81"/>
        <v>0.15778998622831525</v>
      </c>
      <c r="P241">
        <f t="shared" si="94"/>
        <v>0.08</v>
      </c>
      <c r="Q241">
        <f t="shared" si="90"/>
        <v>0.08</v>
      </c>
      <c r="R241">
        <f t="shared" si="83"/>
        <v>0.08</v>
      </c>
      <c r="S241">
        <f t="shared" si="84"/>
        <v>0.06</v>
      </c>
      <c r="T241">
        <f t="shared" si="85"/>
        <v>0.1</v>
      </c>
      <c r="U241">
        <f t="shared" si="91"/>
        <v>0.08</v>
      </c>
      <c r="V241">
        <f t="shared" si="95"/>
        <v>0.19009911510349062</v>
      </c>
      <c r="W241">
        <f t="shared" si="92"/>
        <v>0.15442698459306747</v>
      </c>
      <c r="X241">
        <f t="shared" si="93"/>
        <v>0.22032606392731091</v>
      </c>
      <c r="Y241" t="b">
        <f t="shared" si="96"/>
        <v>0</v>
      </c>
    </row>
    <row xmlns:x14ac="http://schemas.microsoft.com/office/spreadsheetml/2009/9/ac" r="242" x14ac:dyDescent="0.45">
      <c r="A242">
        <v>1.175</v>
      </c>
      <c r="B242">
        <f t="shared" si="73"/>
        <v>0.16332723159393692</v>
      </c>
      <c r="C242" t="b">
        <f t="shared" si="86"/>
        <v>1</v>
      </c>
      <c r="D242" t="b">
        <f t="shared" si="74"/>
        <v>1</v>
      </c>
      <c r="E242">
        <f t="shared" si="82"/>
        <v>1.175</v>
      </c>
      <c r="F242">
        <f t="shared" si="87"/>
        <v>0.16332723159393692</v>
      </c>
      <c r="G242">
        <f t="shared" si="75"/>
        <v>0.22007111250054456</v>
      </c>
      <c r="H242">
        <f t="shared" si="76"/>
        <v>3.5125858305360358E-2</v>
      </c>
      <c r="I242" t="b">
        <f t="shared" si="88"/>
        <v>1</v>
      </c>
      <c r="J242">
        <f t="shared" si="77"/>
        <v>1.175</v>
      </c>
      <c r="K242">
        <f t="shared" si="89"/>
        <v>3.5125858305360358E-2</v>
      </c>
      <c r="L242">
        <f t="shared" si="78"/>
        <v>0.15481148371344877</v>
      </c>
      <c r="M242">
        <f t="shared" si="79"/>
        <v>0.19025171661072071</v>
      </c>
      <c r="N242">
        <f t="shared" si="80"/>
        <v>0.19016362395144268</v>
      </c>
      <c r="O242">
        <f t="shared" si="81"/>
        <v>0.15779048162742942</v>
      </c>
      <c r="P242">
        <f t="shared" si="94"/>
        <v>0.08</v>
      </c>
      <c r="Q242">
        <f t="shared" si="90"/>
        <v>0.08</v>
      </c>
      <c r="R242">
        <f t="shared" si="83"/>
        <v>0.08</v>
      </c>
      <c r="S242">
        <f t="shared" si="84"/>
        <v>0.06</v>
      </c>
      <c r="T242">
        <f t="shared" si="85"/>
        <v>0.1</v>
      </c>
      <c r="U242">
        <f t="shared" si="91"/>
        <v>0.08</v>
      </c>
      <c r="V242">
        <f t="shared" si="95"/>
        <v>0.19016362395144268</v>
      </c>
      <c r="W242">
        <f t="shared" si="92"/>
        <v>0.15450465533144225</v>
      </c>
      <c r="X242">
        <f t="shared" si="93"/>
        <v>0.22027456246861576</v>
      </c>
      <c r="Y242" t="b">
        <f t="shared" si="96"/>
        <v>0</v>
      </c>
    </row>
    <row xmlns:x14ac="http://schemas.microsoft.com/office/spreadsheetml/2009/9/ac" r="243" x14ac:dyDescent="0.45">
      <c r="A243">
        <v>1.18</v>
      </c>
      <c r="B243">
        <f t="shared" si="73"/>
        <v>0.16333638664876615</v>
      </c>
      <c r="C243" t="b">
        <f t="shared" si="86"/>
        <v>1</v>
      </c>
      <c r="D243" t="b">
        <f t="shared" si="74"/>
        <v>1</v>
      </c>
      <c r="E243">
        <f t="shared" si="82"/>
        <v>1.18</v>
      </c>
      <c r="F243">
        <f t="shared" si="87"/>
        <v>0.16333638664876615</v>
      </c>
      <c r="G243">
        <f t="shared" si="75"/>
        <v>0.22002088261739522</v>
      </c>
      <c r="H243">
        <f t="shared" si="76"/>
        <v>3.5129379480294667E-2</v>
      </c>
      <c r="I243" t="b">
        <f t="shared" si="88"/>
        <v>1</v>
      </c>
      <c r="J243">
        <f t="shared" si="77"/>
        <v>1.18</v>
      </c>
      <c r="K243">
        <f t="shared" si="89"/>
        <v>3.5129379480294667E-2</v>
      </c>
      <c r="L243">
        <f t="shared" si="78"/>
        <v>0.15488723675446026</v>
      </c>
      <c r="M243">
        <f t="shared" si="79"/>
        <v>0.19025875896058936</v>
      </c>
      <c r="N243">
        <f t="shared" si="80"/>
        <v>0.19021644335329374</v>
      </c>
      <c r="O243">
        <f t="shared" si="81"/>
        <v>0.15779087428139077</v>
      </c>
      <c r="P243">
        <f t="shared" si="94"/>
        <v>0.08</v>
      </c>
      <c r="Q243">
        <f t="shared" si="90"/>
        <v>0.08</v>
      </c>
      <c r="R243">
        <f t="shared" si="83"/>
        <v>0.08</v>
      </c>
      <c r="S243">
        <f t="shared" si="84"/>
        <v>0.06</v>
      </c>
      <c r="T243">
        <f t="shared" si="85"/>
        <v>0.1</v>
      </c>
      <c r="U243">
        <f t="shared" si="91"/>
        <v>0.08</v>
      </c>
      <c r="V243">
        <f t="shared" si="95"/>
        <v>0.19021644335329374</v>
      </c>
      <c r="W243">
        <f t="shared" si="92"/>
        <v>0.15458193868539322</v>
      </c>
      <c r="X243">
        <f t="shared" si="93"/>
        <v>0.22022331787451743</v>
      </c>
      <c r="Y243" t="b">
        <f t="shared" si="96"/>
        <v>0</v>
      </c>
    </row>
    <row xmlns:x14ac="http://schemas.microsoft.com/office/spreadsheetml/2009/9/ac" r="244" x14ac:dyDescent="0.45">
      <c r="A244">
        <v>1.1850000000000001</v>
      </c>
      <c r="B244">
        <f t="shared" si="73"/>
        <v>0.16334348604812218</v>
      </c>
      <c r="C244" t="b">
        <f t="shared" si="86"/>
        <v>1</v>
      </c>
      <c r="D244" t="b">
        <f t="shared" si="74"/>
        <v>1</v>
      </c>
      <c r="E244">
        <f t="shared" si="82"/>
        <v>1.1850000000000001</v>
      </c>
      <c r="F244">
        <f t="shared" si="87"/>
        <v>0.16334348604812218</v>
      </c>
      <c r="G244">
        <f t="shared" si="75"/>
        <v>0.21997090325683327</v>
      </c>
      <c r="H244">
        <f t="shared" si="76"/>
        <v>3.5132110018508536E-2</v>
      </c>
      <c r="I244" t="b">
        <f t="shared" si="88"/>
        <v>1</v>
      </c>
      <c r="J244">
        <f t="shared" si="77"/>
        <v>1.1850000000000001</v>
      </c>
      <c r="K244">
        <f t="shared" si="89"/>
        <v>3.5132110018508536E-2</v>
      </c>
      <c r="L244">
        <f t="shared" si="78"/>
        <v>0.15496261197560346</v>
      </c>
      <c r="M244">
        <f t="shared" si="79"/>
        <v>0.19026422003701707</v>
      </c>
      <c r="N244">
        <f t="shared" si="80"/>
        <v>0.19025770567789041</v>
      </c>
      <c r="O244">
        <f t="shared" si="81"/>
        <v>0.1577911692158443</v>
      </c>
      <c r="P244">
        <f t="shared" si="94"/>
        <v>0.08</v>
      </c>
      <c r="Q244">
        <f t="shared" si="90"/>
        <v>0.08</v>
      </c>
      <c r="R244">
        <f t="shared" si="83"/>
        <v>0.08</v>
      </c>
      <c r="S244">
        <f t="shared" si="84"/>
        <v>0.06</v>
      </c>
      <c r="T244">
        <f t="shared" si="85"/>
        <v>0.1</v>
      </c>
      <c r="U244">
        <f t="shared" si="91"/>
        <v>0.08</v>
      </c>
      <c r="V244">
        <f t="shared" si="95"/>
        <v>0.19025770567789041</v>
      </c>
      <c r="W244">
        <f t="shared" si="92"/>
        <v>0.15465883658700835</v>
      </c>
      <c r="X244">
        <f t="shared" si="93"/>
        <v>0.22017232886389848</v>
      </c>
      <c r="Y244" t="b">
        <f t="shared" si="96"/>
        <v>0</v>
      </c>
    </row>
    <row xmlns:x14ac="http://schemas.microsoft.com/office/spreadsheetml/2009/9/ac" r="245" x14ac:dyDescent="0.45">
      <c r="A245">
        <v>1.19</v>
      </c>
      <c r="B245">
        <f t="shared" si="73"/>
        <v>0.16334859608641758</v>
      </c>
      <c r="C245" t="b">
        <f t="shared" si="86"/>
        <v>1</v>
      </c>
      <c r="D245" t="b">
        <f t="shared" si="74"/>
        <v>1</v>
      </c>
      <c r="E245">
        <f t="shared" si="82"/>
        <v>1.19</v>
      </c>
      <c r="F245">
        <f t="shared" si="87"/>
        <v>0.16334859608641758</v>
      </c>
      <c r="G245">
        <f t="shared" si="75"/>
        <v>0.2199211731693721</v>
      </c>
      <c r="H245">
        <f t="shared" si="76"/>
        <v>3.513407541785292E-2</v>
      </c>
      <c r="I245" t="b">
        <f t="shared" si="88"/>
        <v>1</v>
      </c>
      <c r="J245">
        <f t="shared" si="77"/>
        <v>1.19</v>
      </c>
      <c r="K245">
        <f t="shared" si="89"/>
        <v>3.513407541785292E-2</v>
      </c>
      <c r="L245">
        <f t="shared" si="78"/>
        <v>0.15503761126126281</v>
      </c>
      <c r="M245">
        <f t="shared" si="79"/>
        <v>0.19026815083570583</v>
      </c>
      <c r="N245">
        <f t="shared" si="80"/>
        <v>0.19028759071305162</v>
      </c>
      <c r="O245">
        <f t="shared" si="81"/>
        <v>0.15779137163291229</v>
      </c>
      <c r="P245">
        <f t="shared" si="94"/>
        <v>0.08</v>
      </c>
      <c r="Q245">
        <f t="shared" si="90"/>
        <v>0.08</v>
      </c>
      <c r="R245">
        <f t="shared" si="83"/>
        <v>0.08</v>
      </c>
      <c r="S245">
        <f t="shared" si="84"/>
        <v>0.06</v>
      </c>
      <c r="T245">
        <f t="shared" si="85"/>
        <v>0.1</v>
      </c>
      <c r="U245">
        <f t="shared" si="91"/>
        <v>0.08</v>
      </c>
      <c r="V245">
        <f t="shared" si="95"/>
        <v>0.19028759071305162</v>
      </c>
      <c r="W245">
        <f t="shared" si="92"/>
        <v>0.15473535095873908</v>
      </c>
      <c r="X245">
        <f t="shared" si="93"/>
        <v>0.22012159416203092</v>
      </c>
      <c r="Y245" t="b">
        <f t="shared" si="96"/>
        <v>0</v>
      </c>
    </row>
    <row xmlns:x14ac="http://schemas.microsoft.com/office/spreadsheetml/2009/9/ac" r="246" x14ac:dyDescent="0.45">
      <c r="A246">
        <v>1.1950000000000001</v>
      </c>
      <c r="B246">
        <f t="shared" si="73"/>
        <v>0.16335178934126821</v>
      </c>
      <c r="C246" t="b">
        <f t="shared" si="86"/>
        <v>1</v>
      </c>
      <c r="D246" t="b">
        <f t="shared" si="74"/>
        <v>1</v>
      </c>
      <c r="E246">
        <f t="shared" si="82"/>
        <v>1.1950000000000001</v>
      </c>
      <c r="F246">
        <f t="shared" si="87"/>
        <v>0.16335178934126821</v>
      </c>
      <c r="G246">
        <f t="shared" si="75"/>
        <v>0.21987169111175686</v>
      </c>
      <c r="H246">
        <f t="shared" si="76"/>
        <v>3.5135303592795472E-2</v>
      </c>
      <c r="I246" t="b">
        <f t="shared" si="88"/>
        <v>1</v>
      </c>
      <c r="J246">
        <f t="shared" si="77"/>
        <v>1.1950000000000001</v>
      </c>
      <c r="K246">
        <f t="shared" si="89"/>
        <v>3.5135303592795472E-2</v>
      </c>
      <c r="L246">
        <f t="shared" si="78"/>
        <v>0.15511223648642447</v>
      </c>
      <c r="M246">
        <f t="shared" si="79"/>
        <v>0.19027060718559094</v>
      </c>
      <c r="N246">
        <f t="shared" si="80"/>
        <v>0.19030632336965811</v>
      </c>
      <c r="O246">
        <f t="shared" si="81"/>
        <v>0.15779148687095346</v>
      </c>
      <c r="P246">
        <f t="shared" si="94"/>
        <v>0.08</v>
      </c>
      <c r="Q246">
        <f t="shared" si="90"/>
        <v>0.08</v>
      </c>
      <c r="R246">
        <f t="shared" si="83"/>
        <v>0.08</v>
      </c>
      <c r="S246">
        <f t="shared" si="84"/>
        <v>0.06</v>
      </c>
      <c r="T246">
        <f t="shared" si="85"/>
        <v>0.1</v>
      </c>
      <c r="U246">
        <f t="shared" si="91"/>
        <v>0.08</v>
      </c>
      <c r="V246">
        <f t="shared" si="95"/>
        <v>0.19030632336965811</v>
      </c>
      <c r="W246">
        <f t="shared" si="92"/>
        <v>0.15481148371344877</v>
      </c>
      <c r="X246">
        <f t="shared" si="93"/>
        <v>0.22007111250054456</v>
      </c>
      <c r="Y246" t="b">
        <f t="shared" si="96"/>
        <v>0</v>
      </c>
    </row>
    <row xmlns:x14ac="http://schemas.microsoft.com/office/spreadsheetml/2009/9/ac" r="247" x14ac:dyDescent="0.45">
      <c r="A247">
        <v>1.2</v>
      </c>
      <c r="B247">
        <f t="shared" si="73"/>
        <v>0.16335314401987144</v>
      </c>
      <c r="C247" t="b">
        <f t="shared" si="86"/>
        <v>1</v>
      </c>
      <c r="D247" t="b">
        <f t="shared" si="74"/>
        <v>1</v>
      </c>
      <c r="E247">
        <f t="shared" si="82"/>
        <v>1.2</v>
      </c>
      <c r="F247">
        <f t="shared" si="87"/>
        <v>0.16335314401987144</v>
      </c>
      <c r="G247">
        <f t="shared" si="75"/>
        <v>0.21982245584693355</v>
      </c>
      <c r="H247">
        <f t="shared" si="76"/>
        <v>3.5135824623027487E-2</v>
      </c>
      <c r="I247" t="b">
        <f t="shared" si="88"/>
        <v>1</v>
      </c>
      <c r="J247">
        <f t="shared" si="77"/>
        <v>1.2</v>
      </c>
      <c r="K247">
        <f t="shared" si="89"/>
        <v>3.5135824623027487E-2</v>
      </c>
      <c r="L247">
        <f t="shared" si="78"/>
        <v>0.15518648951672284</v>
      </c>
      <c r="M247">
        <f t="shared" si="79"/>
        <v>0.19027164924605497</v>
      </c>
      <c r="N247">
        <f t="shared" si="80"/>
        <v>0.19031417125663058</v>
      </c>
      <c r="O247">
        <f t="shared" si="81"/>
        <v>0.15779152036638569</v>
      </c>
      <c r="P247">
        <f t="shared" si="94"/>
        <v>0.08</v>
      </c>
      <c r="Q247">
        <f t="shared" si="90"/>
        <v>0.08</v>
      </c>
      <c r="R247">
        <f t="shared" si="83"/>
        <v>0.08</v>
      </c>
      <c r="S247">
        <f t="shared" si="84"/>
        <v>0.06</v>
      </c>
      <c r="T247">
        <f t="shared" si="85"/>
        <v>0.1</v>
      </c>
      <c r="U247">
        <f t="shared" si="91"/>
        <v>0.08</v>
      </c>
      <c r="V247">
        <f t="shared" si="95"/>
        <v>0.19031417125663058</v>
      </c>
      <c r="W247">
        <f t="shared" si="92"/>
        <v>0.15488723675446026</v>
      </c>
      <c r="X247">
        <f t="shared" si="93"/>
        <v>0.22002088261739522</v>
      </c>
      <c r="Y247" t="b">
        <f t="shared" si="96"/>
        <v>0</v>
      </c>
    </row>
    <row xmlns:x14ac="http://schemas.microsoft.com/office/spreadsheetml/2009/9/ac" r="248" x14ac:dyDescent="0.45">
      <c r="A248">
        <v>1.2050000000000001</v>
      </c>
      <c r="B248">
        <f t="shared" si="73"/>
        <v>0.16335274331033184</v>
      </c>
      <c r="C248" t="b">
        <f t="shared" si="86"/>
        <v>1</v>
      </c>
      <c r="D248" t="b">
        <f t="shared" si="74"/>
        <v>1</v>
      </c>
      <c r="E248">
        <f t="shared" si="82"/>
        <v>1.2050000000000001</v>
      </c>
      <c r="F248">
        <f t="shared" si="87"/>
        <v>0.16335274331033184</v>
      </c>
      <c r="G248">
        <f t="shared" si="75"/>
        <v>0.21977346614401799</v>
      </c>
      <c r="H248">
        <f t="shared" si="76"/>
        <v>3.5135670503973787E-2</v>
      </c>
      <c r="I248" t="b">
        <f t="shared" si="88"/>
        <v>1</v>
      </c>
      <c r="J248">
        <f t="shared" si="77"/>
        <v>1.2050000000000001</v>
      </c>
      <c r="K248">
        <f t="shared" si="89"/>
        <v>3.5135670503973787E-2</v>
      </c>
      <c r="L248">
        <f t="shared" si="78"/>
        <v>0.1552603722084876</v>
      </c>
      <c r="M248">
        <f t="shared" si="79"/>
        <v>0.19027134100794757</v>
      </c>
      <c r="N248">
        <f t="shared" si="80"/>
        <v>0.19031144214168749</v>
      </c>
      <c r="O248">
        <f t="shared" si="81"/>
        <v>0.15779147761763287</v>
      </c>
      <c r="P248">
        <f t="shared" si="94"/>
        <v>0.08</v>
      </c>
      <c r="Q248">
        <f t="shared" si="90"/>
        <v>0.08</v>
      </c>
      <c r="R248">
        <f t="shared" si="83"/>
        <v>0.08</v>
      </c>
      <c r="S248">
        <f t="shared" si="84"/>
        <v>0.06</v>
      </c>
      <c r="T248">
        <f t="shared" si="85"/>
        <v>0.1</v>
      </c>
      <c r="U248">
        <f t="shared" si="91"/>
        <v>0.08</v>
      </c>
      <c r="V248">
        <f t="shared" si="95"/>
        <v>0.19031144214168749</v>
      </c>
      <c r="W248">
        <f t="shared" si="92"/>
        <v>0.15496261197560346</v>
      </c>
      <c r="X248">
        <f t="shared" si="93"/>
        <v>0.21997090325683327</v>
      </c>
      <c r="Y248" t="b">
        <f t="shared" si="96"/>
        <v>0</v>
      </c>
    </row>
    <row xmlns:x14ac="http://schemas.microsoft.com/office/spreadsheetml/2009/9/ac" r="249" x14ac:dyDescent="0.45">
      <c r="A249">
        <v>1.21</v>
      </c>
      <c r="B249">
        <f t="shared" si="73"/>
        <v>0.16335067474079618</v>
      </c>
      <c r="C249" t="b">
        <f t="shared" si="86"/>
        <v>1</v>
      </c>
      <c r="D249" t="b">
        <f t="shared" si="74"/>
        <v>1</v>
      </c>
      <c r="E249">
        <f t="shared" si="82"/>
        <v>1.21</v>
      </c>
      <c r="F249">
        <f t="shared" si="87"/>
        <v>0.16335067474079618</v>
      </c>
      <c r="G249">
        <f t="shared" si="75"/>
        <v>0.2197247207782651</v>
      </c>
      <c r="H249">
        <f t="shared" si="76"/>
        <v>3.5134874900306229E-2</v>
      </c>
      <c r="I249" t="b">
        <f t="shared" si="88"/>
        <v>1</v>
      </c>
      <c r="J249">
        <f t="shared" si="77"/>
        <v>1.21</v>
      </c>
      <c r="K249">
        <f t="shared" si="89"/>
        <v>3.5134874900306229E-2</v>
      </c>
      <c r="L249">
        <f t="shared" si="78"/>
        <v>0.15533388640878987</v>
      </c>
      <c r="M249">
        <f t="shared" si="79"/>
        <v>0.19026974980061245</v>
      </c>
      <c r="N249">
        <f t="shared" si="80"/>
        <v>0.19029848131281388</v>
      </c>
      <c r="O249">
        <f t="shared" si="81"/>
        <v>0.15779136415124301</v>
      </c>
      <c r="P249">
        <f t="shared" si="94"/>
        <v>0.08</v>
      </c>
      <c r="Q249">
        <f t="shared" si="90"/>
        <v>0.08</v>
      </c>
      <c r="R249">
        <f t="shared" si="83"/>
        <v>0.08</v>
      </c>
      <c r="S249">
        <f t="shared" si="84"/>
        <v>0.06</v>
      </c>
      <c r="T249">
        <f t="shared" si="85"/>
        <v>0.1</v>
      </c>
      <c r="U249">
        <f t="shared" si="91"/>
        <v>0.08</v>
      </c>
      <c r="V249">
        <f t="shared" si="95"/>
        <v>0.19029848131281388</v>
      </c>
      <c r="W249">
        <f t="shared" si="92"/>
        <v>0.15503761126126281</v>
      </c>
      <c r="X249">
        <f t="shared" si="93"/>
        <v>0.2199211731693721</v>
      </c>
      <c r="Y249" t="b">
        <f t="shared" si="96"/>
        <v>0</v>
      </c>
    </row>
    <row xmlns:x14ac="http://schemas.microsoft.com/office/spreadsheetml/2009/9/ac" r="250" x14ac:dyDescent="0.45">
      <c r="A250">
        <v>1.2150000000000001</v>
      </c>
      <c r="B250">
        <f t="shared" si="73"/>
        <v>0.1633470295490824</v>
      </c>
      <c r="C250" t="b">
        <f t="shared" si="86"/>
        <v>1</v>
      </c>
      <c r="D250" t="b">
        <f t="shared" si="74"/>
        <v>1</v>
      </c>
      <c r="E250">
        <f t="shared" si="82"/>
        <v>1.2150000000000001</v>
      </c>
      <c r="F250">
        <f t="shared" si="87"/>
        <v>0.1633470295490824</v>
      </c>
      <c r="G250">
        <f t="shared" si="75"/>
        <v>0.21967621853103814</v>
      </c>
      <c r="H250">
        <f t="shared" si="76"/>
        <v>3.5133472903493237E-2</v>
      </c>
      <c r="I250" t="b">
        <f t="shared" si="88"/>
        <v>1</v>
      </c>
      <c r="J250">
        <f t="shared" si="77"/>
        <v>1.2150000000000001</v>
      </c>
      <c r="K250">
        <f t="shared" si="89"/>
        <v>3.5133472903493237E-2</v>
      </c>
      <c r="L250">
        <f t="shared" si="78"/>
        <v>0.15540703395548855</v>
      </c>
      <c r="M250">
        <f t="shared" si="79"/>
        <v>0.19026694580698647</v>
      </c>
      <c r="N250">
        <f t="shared" si="80"/>
        <v>0.19027566885534633</v>
      </c>
      <c r="O250">
        <f t="shared" si="81"/>
        <v>0.15779118549020887</v>
      </c>
      <c r="P250">
        <f t="shared" si="94"/>
        <v>0.08</v>
      </c>
      <c r="Q250">
        <f t="shared" si="90"/>
        <v>0.08</v>
      </c>
      <c r="R250">
        <f t="shared" si="83"/>
        <v>0.08</v>
      </c>
      <c r="S250">
        <f t="shared" si="84"/>
        <v>0.06</v>
      </c>
      <c r="T250">
        <f t="shared" si="85"/>
        <v>0.1</v>
      </c>
      <c r="U250">
        <f t="shared" si="91"/>
        <v>0.08</v>
      </c>
      <c r="V250">
        <f t="shared" si="95"/>
        <v>0.19027566885534633</v>
      </c>
      <c r="W250">
        <f t="shared" si="92"/>
        <v>0.15511223648642447</v>
      </c>
      <c r="X250">
        <f t="shared" si="93"/>
        <v>0.21987169111175686</v>
      </c>
      <c r="Y250" t="b">
        <f t="shared" si="96"/>
        <v>0</v>
      </c>
    </row>
    <row xmlns:x14ac="http://schemas.microsoft.com/office/spreadsheetml/2009/9/ac" r="251" x14ac:dyDescent="0.45">
      <c r="A251">
        <v>1.22</v>
      </c>
      <c r="B251">
        <f t="shared" si="73"/>
        <v>0.16334190206530655</v>
      </c>
      <c r="C251" t="b">
        <f t="shared" si="86"/>
        <v>1</v>
      </c>
      <c r="D251" t="b">
        <f t="shared" si="74"/>
        <v>1</v>
      </c>
      <c r="E251">
        <f t="shared" si="82"/>
        <v>1.22</v>
      </c>
      <c r="F251">
        <f t="shared" si="87"/>
        <v>0.16334190206530655</v>
      </c>
      <c r="G251">
        <f t="shared" si="75"/>
        <v>0.21962795818977843</v>
      </c>
      <c r="H251">
        <f t="shared" si="76"/>
        <v>3.513150079434868E-2</v>
      </c>
      <c r="I251" t="b">
        <f t="shared" si="88"/>
        <v>1</v>
      </c>
      <c r="J251">
        <f t="shared" si="77"/>
        <v>1.22</v>
      </c>
      <c r="K251">
        <f t="shared" si="89"/>
        <v>3.513150079434868E-2</v>
      </c>
      <c r="L251">
        <f t="shared" si="78"/>
        <v>0.15547981667727601</v>
      </c>
      <c r="M251">
        <f t="shared" si="79"/>
        <v>0.19026300158869736</v>
      </c>
      <c r="N251">
        <f t="shared" si="80"/>
        <v>0.19024341685948548</v>
      </c>
      <c r="O251">
        <f t="shared" si="81"/>
        <v>0.15779094712450847</v>
      </c>
      <c r="P251">
        <f t="shared" si="94"/>
        <v>0.08</v>
      </c>
      <c r="Q251">
        <f t="shared" si="90"/>
        <v>0.08</v>
      </c>
      <c r="R251">
        <f t="shared" si="83"/>
        <v>0.08</v>
      </c>
      <c r="S251">
        <f t="shared" si="84"/>
        <v>0.06</v>
      </c>
      <c r="T251">
        <f t="shared" si="85"/>
        <v>0.1</v>
      </c>
      <c r="U251">
        <f t="shared" si="91"/>
        <v>0.08</v>
      </c>
      <c r="V251">
        <f t="shared" si="95"/>
        <v>0.19024341685948548</v>
      </c>
      <c r="W251">
        <f t="shared" si="92"/>
        <v>0.15518648951672284</v>
      </c>
      <c r="X251">
        <f t="shared" si="93"/>
        <v>0.21982245584693355</v>
      </c>
      <c r="Y251" t="b">
        <f t="shared" si="96"/>
        <v>0</v>
      </c>
    </row>
    <row xmlns:x14ac="http://schemas.microsoft.com/office/spreadsheetml/2009/9/ac" r="252" x14ac:dyDescent="0.45">
      <c r="A252">
        <v>1.2250000000000001</v>
      </c>
      <c r="B252">
        <f t="shared" si="73"/>
        <v>0.16333538910982665</v>
      </c>
      <c r="C252" t="b">
        <f t="shared" si="86"/>
        <v>1</v>
      </c>
      <c r="D252" t="b">
        <f t="shared" si="74"/>
        <v>1</v>
      </c>
      <c r="E252">
        <f t="shared" si="82"/>
        <v>1.2250000000000001</v>
      </c>
      <c r="F252">
        <f t="shared" si="87"/>
        <v>0.16333538910982665</v>
      </c>
      <c r="G252">
        <f t="shared" si="75"/>
        <v>0.21957993854797492</v>
      </c>
      <c r="H252">
        <f t="shared" si="76"/>
        <v>3.5128995811471789E-2</v>
      </c>
      <c r="I252" t="b">
        <f t="shared" si="88"/>
        <v>1</v>
      </c>
      <c r="J252">
        <f t="shared" si="77"/>
        <v>1.2250000000000001</v>
      </c>
      <c r="K252">
        <f t="shared" si="89"/>
        <v>3.5128995811471789E-2</v>
      </c>
      <c r="L252">
        <f t="shared" si="78"/>
        <v>0.15555223639372417</v>
      </c>
      <c r="M252">
        <f t="shared" si="79"/>
        <v>0.1902579916229436</v>
      </c>
      <c r="N252">
        <f t="shared" si="80"/>
        <v>0.19020216657289232</v>
      </c>
      <c r="O252">
        <f t="shared" si="81"/>
        <v>0.15779065448386953</v>
      </c>
      <c r="P252">
        <f t="shared" si="94"/>
        <v>0.08</v>
      </c>
      <c r="Q252">
        <f t="shared" si="90"/>
        <v>0.08</v>
      </c>
      <c r="R252">
        <f t="shared" si="83"/>
        <v>0.08</v>
      </c>
      <c r="S252">
        <f t="shared" si="84"/>
        <v>0.06</v>
      </c>
      <c r="T252">
        <f t="shared" si="85"/>
        <v>0.1</v>
      </c>
      <c r="U252">
        <f t="shared" si="91"/>
        <v>0.08</v>
      </c>
      <c r="V252">
        <f t="shared" si="95"/>
        <v>0.19020216657289232</v>
      </c>
      <c r="W252">
        <f t="shared" si="92"/>
        <v>0.1552603722084876</v>
      </c>
      <c r="X252">
        <f t="shared" si="93"/>
        <v>0.21977346614401799</v>
      </c>
      <c r="Y252" t="b">
        <f t="shared" si="96"/>
        <v>0</v>
      </c>
    </row>
    <row xmlns:x14ac="http://schemas.microsoft.com/office/spreadsheetml/2009/9/ac" r="253" x14ac:dyDescent="0.45">
      <c r="A253">
        <v>1.23</v>
      </c>
      <c r="B253">
        <f t="shared" si="73"/>
        <v>0.16332758940863693</v>
      </c>
      <c r="C253" t="b">
        <f t="shared" si="86"/>
        <v>1</v>
      </c>
      <c r="D253" t="b">
        <f t="shared" si="74"/>
        <v>1</v>
      </c>
      <c r="E253">
        <f t="shared" si="82"/>
        <v>1.23</v>
      </c>
      <c r="F253">
        <f t="shared" si="87"/>
        <v>0.16332758940863693</v>
      </c>
      <c r="G253">
        <f t="shared" si="75"/>
        <v>0.21953215840513407</v>
      </c>
      <c r="H253">
        <f t="shared" si="76"/>
        <v>3.5125995926398812E-2</v>
      </c>
      <c r="I253" t="b">
        <f t="shared" si="88"/>
        <v>1</v>
      </c>
      <c r="J253">
        <f t="shared" si="77"/>
        <v>1.23</v>
      </c>
      <c r="K253">
        <f t="shared" si="89"/>
        <v>3.5125995926398812E-2</v>
      </c>
      <c r="L253">
        <f t="shared" si="78"/>
        <v>0.15562429491532967</v>
      </c>
      <c r="M253">
        <f t="shared" si="79"/>
        <v>0.19025199185279762</v>
      </c>
      <c r="N253">
        <f t="shared" si="80"/>
        <v>0.19015238551280805</v>
      </c>
      <c r="O253">
        <f t="shared" si="81"/>
        <v>0.15779031291275017</v>
      </c>
      <c r="P253">
        <f t="shared" si="94"/>
        <v>0.08</v>
      </c>
      <c r="Q253">
        <f t="shared" si="90"/>
        <v>0.08</v>
      </c>
      <c r="R253">
        <f t="shared" si="83"/>
        <v>0.08</v>
      </c>
      <c r="S253">
        <f t="shared" si="84"/>
        <v>0.06</v>
      </c>
      <c r="T253">
        <f t="shared" si="85"/>
        <v>0.1</v>
      </c>
      <c r="U253">
        <f t="shared" si="91"/>
        <v>0.08</v>
      </c>
      <c r="V253">
        <f t="shared" si="95"/>
        <v>0.19015238551280805</v>
      </c>
      <c r="W253">
        <f t="shared" si="92"/>
        <v>0.15533388640878987</v>
      </c>
      <c r="X253">
        <f t="shared" si="93"/>
        <v>0.2197247207782651</v>
      </c>
      <c r="Y253" t="b">
        <f t="shared" si="96"/>
        <v>0</v>
      </c>
    </row>
    <row xmlns:x14ac="http://schemas.microsoft.com/office/spreadsheetml/2009/9/ac" r="254" x14ac:dyDescent="0.45">
      <c r="A254">
        <v>1.2350000000000001</v>
      </c>
      <c r="B254">
        <f t="shared" si="73"/>
        <v>0.16331860302815743</v>
      </c>
      <c r="C254" t="b">
        <f t="shared" si="86"/>
        <v>1</v>
      </c>
      <c r="D254" t="b">
        <f t="shared" si="74"/>
        <v>1</v>
      </c>
      <c r="E254">
        <f t="shared" si="82"/>
        <v>1.2350000000000001</v>
      </c>
      <c r="F254">
        <f t="shared" si="87"/>
        <v>0.16331860302815743</v>
      </c>
      <c r="G254">
        <f t="shared" si="75"/>
        <v>0.21948461656674983</v>
      </c>
      <c r="H254">
        <f t="shared" si="76"/>
        <v>3.5122539626214394E-2</v>
      </c>
      <c r="I254" t="b">
        <f t="shared" si="88"/>
        <v>1</v>
      </c>
      <c r="J254">
        <f t="shared" si="77"/>
        <v>1.2350000000000001</v>
      </c>
      <c r="K254">
        <f t="shared" si="89"/>
        <v>3.5122539626214394E-2</v>
      </c>
      <c r="L254">
        <f t="shared" si="78"/>
        <v>0.15569599404355933</v>
      </c>
      <c r="M254">
        <f t="shared" si="79"/>
        <v>0.19024507925242878</v>
      </c>
      <c r="N254">
        <f t="shared" si="80"/>
        <v>0.19009456455186236</v>
      </c>
      <c r="O254">
        <f t="shared" si="81"/>
        <v>0.1577899276475162</v>
      </c>
      <c r="P254">
        <f t="shared" si="94"/>
        <v>0.08</v>
      </c>
      <c r="Q254">
        <f t="shared" si="90"/>
        <v>0.08</v>
      </c>
      <c r="R254">
        <f t="shared" si="83"/>
        <v>0.08</v>
      </c>
      <c r="S254">
        <f t="shared" si="84"/>
        <v>0.06</v>
      </c>
      <c r="T254">
        <f t="shared" si="85"/>
        <v>0.1</v>
      </c>
      <c r="U254">
        <f t="shared" si="91"/>
        <v>0.08</v>
      </c>
      <c r="V254">
        <f t="shared" si="95"/>
        <v>0.19009456455186236</v>
      </c>
      <c r="W254">
        <f t="shared" si="92"/>
        <v>0.15540703395548855</v>
      </c>
      <c r="X254">
        <f t="shared" si="93"/>
        <v>0.21967621853103814</v>
      </c>
      <c r="Y254" t="b">
        <f t="shared" si="96"/>
        <v>0</v>
      </c>
    </row>
    <row xmlns:x14ac="http://schemas.microsoft.com/office/spreadsheetml/2009/9/ac" r="255" x14ac:dyDescent="0.45">
      <c r="A255">
        <v>1.24</v>
      </c>
      <c r="B255">
        <f t="shared" si="73"/>
        <v>0.16330853083117758</v>
      </c>
      <c r="C255" t="b">
        <f t="shared" si="86"/>
        <v>1</v>
      </c>
      <c r="D255" t="b">
        <f t="shared" si="74"/>
        <v>1</v>
      </c>
      <c r="E255">
        <f t="shared" si="82"/>
        <v>1.24</v>
      </c>
      <c r="F255">
        <f t="shared" si="87"/>
        <v>0.16330853083117758</v>
      </c>
      <c r="G255">
        <f t="shared" si="75"/>
        <v>0.21943731184427373</v>
      </c>
      <c r="H255">
        <f t="shared" si="76"/>
        <v>3.5118665704299071E-2</v>
      </c>
      <c r="I255" t="b">
        <f t="shared" si="88"/>
        <v>1</v>
      </c>
      <c r="J255">
        <f t="shared" si="77"/>
        <v>1.24</v>
      </c>
      <c r="K255">
        <f t="shared" si="89"/>
        <v>3.5118665704299071E-2</v>
      </c>
      <c r="L255">
        <f t="shared" si="78"/>
        <v>0.15576733557089506</v>
      </c>
      <c r="M255">
        <f t="shared" si="79"/>
        <v>0.19023733140859814</v>
      </c>
      <c r="N255">
        <f t="shared" si="80"/>
        <v>0.19002921499140768</v>
      </c>
      <c r="O255">
        <f t="shared" si="81"/>
        <v>0.15778950379578555</v>
      </c>
      <c r="P255">
        <f t="shared" si="94"/>
        <v>0.08</v>
      </c>
      <c r="Q255">
        <f t="shared" si="90"/>
        <v>0.08</v>
      </c>
      <c r="R255">
        <f t="shared" si="83"/>
        <v>0.08</v>
      </c>
      <c r="S255">
        <f t="shared" si="84"/>
        <v>0.06</v>
      </c>
      <c r="T255">
        <f t="shared" si="85"/>
        <v>0.1</v>
      </c>
      <c r="U255">
        <f t="shared" si="91"/>
        <v>0.08</v>
      </c>
      <c r="V255">
        <f t="shared" si="95"/>
        <v>0.19002921499140768</v>
      </c>
      <c r="W255">
        <f t="shared" si="92"/>
        <v>0.15547981667727601</v>
      </c>
      <c r="X255">
        <f t="shared" si="93"/>
        <v>0.21962795818977843</v>
      </c>
      <c r="Y255" t="b">
        <f t="shared" si="96"/>
        <v>0</v>
      </c>
    </row>
    <row xmlns:x14ac="http://schemas.microsoft.com/office/spreadsheetml/2009/9/ac" r="256" x14ac:dyDescent="0.45">
      <c r="A256">
        <v>1.2450000000000001</v>
      </c>
      <c r="B256">
        <f t="shared" si="73"/>
        <v>0.16329747395552352</v>
      </c>
      <c r="C256" t="b">
        <f t="shared" si="86"/>
        <v>1</v>
      </c>
      <c r="D256" t="b">
        <f t="shared" si="74"/>
        <v>1</v>
      </c>
      <c r="E256">
        <f t="shared" si="82"/>
        <v>1.2450000000000001</v>
      </c>
      <c r="F256">
        <f t="shared" si="87"/>
        <v>0.16329747395552352</v>
      </c>
      <c r="G256">
        <f t="shared" si="75"/>
        <v>0.21939024305508525</v>
      </c>
      <c r="H256">
        <f t="shared" si="76"/>
        <v>3.5114413059816732E-2</v>
      </c>
      <c r="I256" t="b">
        <f t="shared" si="88"/>
        <v>1</v>
      </c>
      <c r="J256">
        <f t="shared" si="77"/>
        <v>1.2450000000000001</v>
      </c>
      <c r="K256">
        <f t="shared" si="89"/>
        <v>3.5114413059816732E-2</v>
      </c>
      <c r="L256">
        <f t="shared" si="78"/>
        <v>0.15583832128087882</v>
      </c>
      <c r="M256">
        <f t="shared" si="79"/>
        <v>0.19022882611963349</v>
      </c>
      <c r="N256">
        <f t="shared" si="80"/>
        <v>0.18995686563583564</v>
      </c>
      <c r="O256">
        <f t="shared" si="81"/>
        <v>0.15778904631789964</v>
      </c>
      <c r="P256">
        <f t="shared" si="94"/>
        <v>0.08</v>
      </c>
      <c r="Q256">
        <f t="shared" si="90"/>
        <v>0.08</v>
      </c>
      <c r="R256">
        <f t="shared" si="83"/>
        <v>0.08</v>
      </c>
      <c r="S256">
        <f t="shared" si="84"/>
        <v>0.06</v>
      </c>
      <c r="T256">
        <f t="shared" si="85"/>
        <v>0.1</v>
      </c>
      <c r="U256">
        <f t="shared" si="91"/>
        <v>0.08</v>
      </c>
      <c r="V256">
        <f t="shared" si="95"/>
        <v>0.18995686563583564</v>
      </c>
      <c r="W256">
        <f t="shared" si="92"/>
        <v>0.15555223639372417</v>
      </c>
      <c r="X256">
        <f t="shared" si="93"/>
        <v>0.21957993854797492</v>
      </c>
      <c r="Y256" t="b">
        <f t="shared" si="96"/>
        <v>0</v>
      </c>
    </row>
    <row xmlns:x14ac="http://schemas.microsoft.com/office/spreadsheetml/2009/9/ac" r="257" x14ac:dyDescent="0.45">
      <c r="A257">
        <v>1.25</v>
      </c>
      <c r="B257">
        <f t="shared" si="73"/>
        <v>0.16328553331683601</v>
      </c>
      <c r="C257" t="b">
        <f t="shared" si="86"/>
        <v>1</v>
      </c>
      <c r="D257" t="b">
        <f t="shared" si="74"/>
        <v>1</v>
      </c>
      <c r="E257">
        <f t="shared" si="82"/>
        <v>1.25</v>
      </c>
      <c r="F257">
        <f t="shared" si="87"/>
        <v>0.16328553331683601</v>
      </c>
      <c r="G257">
        <f t="shared" si="75"/>
        <v>0.21934340902246224</v>
      </c>
      <c r="H257">
        <f t="shared" si="76"/>
        <v>3.5109820506475389E-2</v>
      </c>
      <c r="I257" t="b">
        <f t="shared" si="88"/>
        <v>1</v>
      </c>
      <c r="J257">
        <f t="shared" si="77"/>
        <v>1.25</v>
      </c>
      <c r="K257">
        <f t="shared" si="89"/>
        <v>3.5109820506475389E-2</v>
      </c>
      <c r="L257">
        <f t="shared" si="78"/>
        <v>0.15590895294815699</v>
      </c>
      <c r="M257">
        <f t="shared" si="79"/>
        <v>0.1902196410129508</v>
      </c>
      <c r="N257">
        <f t="shared" si="80"/>
        <v>0.18987805988090409</v>
      </c>
      <c r="O257">
        <f t="shared" si="81"/>
        <v>0.15778856001047453</v>
      </c>
      <c r="P257">
        <f t="shared" si="94"/>
        <v>0.08</v>
      </c>
      <c r="Q257">
        <f t="shared" si="90"/>
        <v>0.08</v>
      </c>
      <c r="R257">
        <f t="shared" si="83"/>
        <v>0.08</v>
      </c>
      <c r="S257">
        <f t="shared" si="84"/>
        <v>0.06</v>
      </c>
      <c r="T257">
        <f t="shared" si="85"/>
        <v>0.1</v>
      </c>
      <c r="U257">
        <f t="shared" si="91"/>
        <v>0.08</v>
      </c>
      <c r="V257">
        <f t="shared" si="95"/>
        <v>0.18987805988090409</v>
      </c>
      <c r="W257">
        <f t="shared" si="92"/>
        <v>0.15562429491532967</v>
      </c>
      <c r="X257">
        <f t="shared" si="93"/>
        <v>0.21953215840513407</v>
      </c>
      <c r="Y257" t="b">
        <f t="shared" si="96"/>
        <v>0</v>
      </c>
    </row>
    <row xmlns:x14ac="http://schemas.microsoft.com/office/spreadsheetml/2009/9/ac" r="258" x14ac:dyDescent="0.45">
      <c r="A258">
        <v>1.2549999999999999</v>
      </c>
      <c r="B258">
        <f t="shared" si="73"/>
        <v>0.16327280913666076</v>
      </c>
      <c r="C258" t="b">
        <f t="shared" si="86"/>
        <v>1</v>
      </c>
      <c r="D258" t="b">
        <f t="shared" si="74"/>
        <v>1</v>
      </c>
      <c r="E258">
        <f t="shared" si="82"/>
        <v>1.2549999999999999</v>
      </c>
      <c r="F258">
        <f t="shared" si="87"/>
        <v>0.16327280913666076</v>
      </c>
      <c r="G258">
        <f t="shared" si="75"/>
        <v>0.21929680857555145</v>
      </c>
      <c r="H258">
        <f t="shared" si="76"/>
        <v>3.5104926591023378E-2</v>
      </c>
      <c r="I258" t="b">
        <f t="shared" si="88"/>
        <v>1</v>
      </c>
      <c r="J258">
        <f t="shared" si="77"/>
        <v>1.2549999999999999</v>
      </c>
      <c r="K258">
        <f t="shared" si="89"/>
        <v>3.5104926591023378E-2</v>
      </c>
      <c r="L258">
        <f t="shared" si="78"/>
        <v>0.15597923233852493</v>
      </c>
      <c r="M258">
        <f t="shared" si="79"/>
        <v>0.19020985318204675</v>
      </c>
      <c r="N258">
        <f t="shared" si="80"/>
        <v>0.18979335282863127</v>
      </c>
      <c r="O258">
        <f t="shared" si="81"/>
        <v>0.15778804949197517</v>
      </c>
      <c r="P258">
        <f t="shared" si="94"/>
        <v>0.08</v>
      </c>
      <c r="Q258">
        <f t="shared" si="90"/>
        <v>0.08</v>
      </c>
      <c r="R258">
        <f t="shared" si="83"/>
        <v>0.08</v>
      </c>
      <c r="S258">
        <f t="shared" si="84"/>
        <v>0.06</v>
      </c>
      <c r="T258">
        <f t="shared" si="85"/>
        <v>0.1</v>
      </c>
      <c r="U258">
        <f t="shared" si="91"/>
        <v>0.08</v>
      </c>
      <c r="V258">
        <f t="shared" si="95"/>
        <v>0.18979335282863127</v>
      </c>
      <c r="W258">
        <f t="shared" si="92"/>
        <v>0.15569599404355933</v>
      </c>
      <c r="X258">
        <f t="shared" si="93"/>
        <v>0.21948461656674983</v>
      </c>
      <c r="Y258" t="b">
        <f t="shared" si="96"/>
        <v>0</v>
      </c>
    </row>
    <row xmlns:x14ac="http://schemas.microsoft.com/office/spreadsheetml/2009/9/ac" r="259" x14ac:dyDescent="0.45">
      <c r="A259">
        <v>1.26</v>
      </c>
      <c r="B259">
        <f t="shared" si="73"/>
        <v>0.16325940049687435</v>
      </c>
      <c r="C259" t="b">
        <f t="shared" si="86"/>
        <v>1</v>
      </c>
      <c r="D259" t="b">
        <f t="shared" si="74"/>
        <v>1</v>
      </c>
      <c r="E259">
        <f t="shared" si="82"/>
        <v>1.26</v>
      </c>
      <c r="F259">
        <f t="shared" si="87"/>
        <v>0.16325940049687435</v>
      </c>
      <c r="G259">
        <f t="shared" si="75"/>
        <v>0.21925044054933923</v>
      </c>
      <c r="H259">
        <f t="shared" si="76"/>
        <v>3.5099769421874746E-2</v>
      </c>
      <c r="I259" t="b">
        <f t="shared" si="88"/>
        <v>1</v>
      </c>
      <c r="J259">
        <f t="shared" si="77"/>
        <v>1.26</v>
      </c>
      <c r="K259">
        <f t="shared" si="89"/>
        <v>3.5099769421874746E-2</v>
      </c>
      <c r="L259">
        <f t="shared" si="78"/>
        <v>0.15604916120897111</v>
      </c>
      <c r="M259">
        <f t="shared" si="79"/>
        <v>0.19019953884374952</v>
      </c>
      <c r="N259">
        <f t="shared" si="80"/>
        <v>0.18970330844079758</v>
      </c>
      <c r="O259">
        <f t="shared" si="81"/>
        <v>0.15778751919024997</v>
      </c>
      <c r="P259">
        <f t="shared" si="94"/>
        <v>0.08</v>
      </c>
      <c r="Q259">
        <f t="shared" si="90"/>
        <v>0.08</v>
      </c>
      <c r="R259">
        <f t="shared" si="83"/>
        <v>0.08</v>
      </c>
      <c r="S259">
        <f t="shared" si="84"/>
        <v>0.06</v>
      </c>
      <c r="T259">
        <f t="shared" si="85"/>
        <v>0.1</v>
      </c>
      <c r="U259">
        <f t="shared" si="91"/>
        <v>0.08</v>
      </c>
      <c r="V259">
        <f t="shared" si="95"/>
        <v>0.18970330844079758</v>
      </c>
      <c r="W259">
        <f t="shared" si="92"/>
        <v>0.15576733557089506</v>
      </c>
      <c r="X259">
        <f t="shared" si="93"/>
        <v>0.21943731184427373</v>
      </c>
      <c r="Y259" t="b">
        <f t="shared" si="96"/>
        <v>0</v>
      </c>
    </row>
    <row xmlns:x14ac="http://schemas.microsoft.com/office/spreadsheetml/2009/9/ac" r="260" x14ac:dyDescent="0.45">
      <c r="A260">
        <v>1.2649999999999999</v>
      </c>
      <c r="B260">
        <f t="shared" si="73"/>
        <v>0.16324540492129277</v>
      </c>
      <c r="C260" t="b">
        <f t="shared" si="86"/>
        <v>1</v>
      </c>
      <c r="D260" t="b">
        <f t="shared" si="74"/>
        <v>1</v>
      </c>
      <c r="E260">
        <f t="shared" si="82"/>
        <v>1.2649999999999999</v>
      </c>
      <c r="F260">
        <f t="shared" si="87"/>
        <v>0.16324540492129277</v>
      </c>
      <c r="G260">
        <f t="shared" si="75"/>
        <v>0.21920430378462258</v>
      </c>
      <c r="H260">
        <f t="shared" si="76"/>
        <v>3.5094386508189523E-2</v>
      </c>
      <c r="I260" t="b">
        <f t="shared" si="88"/>
        <v>1</v>
      </c>
      <c r="J260">
        <f t="shared" si="77"/>
        <v>1.2649999999999999</v>
      </c>
      <c r="K260">
        <f t="shared" si="89"/>
        <v>3.5094386508189523E-2</v>
      </c>
      <c r="L260">
        <f t="shared" si="78"/>
        <v>0.15611874130772091</v>
      </c>
      <c r="M260">
        <f t="shared" si="79"/>
        <v>0.19018877301637904</v>
      </c>
      <c r="N260">
        <f t="shared" si="80"/>
        <v>0.18960849674254618</v>
      </c>
      <c r="O260">
        <f t="shared" si="81"/>
        <v>0.15778697333195688</v>
      </c>
      <c r="P260">
        <f t="shared" si="94"/>
        <v>0.08</v>
      </c>
      <c r="Q260">
        <f t="shared" si="90"/>
        <v>0.08</v>
      </c>
      <c r="R260">
        <f t="shared" si="83"/>
        <v>0.08</v>
      </c>
      <c r="S260">
        <f t="shared" si="84"/>
        <v>0.06</v>
      </c>
      <c r="T260">
        <f t="shared" si="85"/>
        <v>0.1</v>
      </c>
      <c r="U260">
        <f t="shared" si="91"/>
        <v>0.08</v>
      </c>
      <c r="V260">
        <f t="shared" si="95"/>
        <v>0.18960849674254618</v>
      </c>
      <c r="W260">
        <f t="shared" si="92"/>
        <v>0.15583832128087882</v>
      </c>
      <c r="X260">
        <f t="shared" si="93"/>
        <v>0.21939024305508525</v>
      </c>
      <c r="Y260" t="b">
        <f t="shared" si="96"/>
        <v>0</v>
      </c>
    </row>
    <row xmlns:x14ac="http://schemas.microsoft.com/office/spreadsheetml/2009/9/ac" r="261" x14ac:dyDescent="0.45">
      <c r="A261">
        <v>1.27</v>
      </c>
      <c r="B261">
        <f t="shared" si="73"/>
        <v>0.16323091798513872</v>
      </c>
      <c r="C261" t="b">
        <f t="shared" si="86"/>
        <v>1</v>
      </c>
      <c r="D261" t="b">
        <f t="shared" si="74"/>
        <v>1</v>
      </c>
      <c r="E261">
        <f t="shared" si="82"/>
        <v>1.27</v>
      </c>
      <c r="F261">
        <f t="shared" si="87"/>
        <v>0.16323091798513872</v>
      </c>
      <c r="G261">
        <f t="shared" si="75"/>
        <v>0.21915839712797991</v>
      </c>
      <c r="H261">
        <f t="shared" si="76"/>
        <v>3.5088814609668742E-2</v>
      </c>
      <c r="I261" t="b">
        <f t="shared" si="88"/>
        <v>1</v>
      </c>
      <c r="J261">
        <f t="shared" si="77"/>
        <v>1.27</v>
      </c>
      <c r="K261">
        <f t="shared" si="89"/>
        <v>3.5088814609668742E-2</v>
      </c>
      <c r="L261">
        <f t="shared" si="78"/>
        <v>0.15618797437428039</v>
      </c>
      <c r="M261">
        <f t="shared" si="79"/>
        <v>0.19017762921933751</v>
      </c>
      <c r="N261">
        <f t="shared" si="80"/>
        <v>0.18950949108698609</v>
      </c>
      <c r="O261">
        <f t="shared" si="81"/>
        <v>0.15778641593380571</v>
      </c>
      <c r="P261">
        <f t="shared" si="94"/>
        <v>0.08</v>
      </c>
      <c r="Q261">
        <f t="shared" si="90"/>
        <v>0.08</v>
      </c>
      <c r="R261">
        <f t="shared" si="83"/>
        <v>0.08</v>
      </c>
      <c r="S261">
        <f t="shared" si="84"/>
        <v>0.06</v>
      </c>
      <c r="T261">
        <f t="shared" si="85"/>
        <v>0.1</v>
      </c>
      <c r="U261">
        <f t="shared" si="91"/>
        <v>0.08</v>
      </c>
      <c r="V261">
        <f t="shared" si="95"/>
        <v>0.18950949108698609</v>
      </c>
      <c r="W261">
        <f t="shared" si="92"/>
        <v>0.15590895294815699</v>
      </c>
      <c r="X261">
        <f t="shared" si="93"/>
        <v>0.21934340902246224</v>
      </c>
      <c r="Y261" t="b">
        <f t="shared" si="96"/>
        <v>0</v>
      </c>
    </row>
    <row xmlns:x14ac="http://schemas.microsoft.com/office/spreadsheetml/2009/9/ac" r="262" x14ac:dyDescent="0.45">
      <c r="A262">
        <v>1.2749999999999999</v>
      </c>
      <c r="B262">
        <f t="shared" si="73"/>
        <v>0.16321603295287651</v>
      </c>
      <c r="C262" t="b">
        <f t="shared" si="86"/>
        <v>1</v>
      </c>
      <c r="D262" t="b">
        <f t="shared" si="74"/>
        <v>1</v>
      </c>
      <c r="E262">
        <f t="shared" si="82"/>
        <v>1.2749999999999999</v>
      </c>
      <c r="F262">
        <f t="shared" si="87"/>
        <v>0.16321603295287651</v>
      </c>
      <c r="G262">
        <f t="shared" si="75"/>
        <v>0.21911271943174243</v>
      </c>
      <c r="H262">
        <f t="shared" si="76"/>
        <v>3.5083089597260197E-2</v>
      </c>
      <c r="I262" t="b">
        <f t="shared" si="88"/>
        <v>1</v>
      </c>
      <c r="J262">
        <f t="shared" si="77"/>
        <v>1.2749999999999999</v>
      </c>
      <c r="K262">
        <f t="shared" si="89"/>
        <v>3.5083089597260197E-2</v>
      </c>
      <c r="L262">
        <f t="shared" si="78"/>
        <v>0.15625686213947987</v>
      </c>
      <c r="M262">
        <f t="shared" si="79"/>
        <v>0.19016617919452039</v>
      </c>
      <c r="N262">
        <f t="shared" si="80"/>
        <v>0.18940686549108757</v>
      </c>
      <c r="O262">
        <f t="shared" si="81"/>
        <v>0.15778585079553858</v>
      </c>
      <c r="P262">
        <f t="shared" si="94"/>
        <v>0.08</v>
      </c>
      <c r="Q262">
        <f t="shared" si="90"/>
        <v>0.08</v>
      </c>
      <c r="R262">
        <f t="shared" si="83"/>
        <v>0.08</v>
      </c>
      <c r="S262">
        <f t="shared" si="84"/>
        <v>0.06</v>
      </c>
      <c r="T262">
        <f t="shared" si="85"/>
        <v>0.1</v>
      </c>
      <c r="U262">
        <f t="shared" si="91"/>
        <v>0.08</v>
      </c>
      <c r="V262">
        <f t="shared" si="95"/>
        <v>0.18940686549108757</v>
      </c>
      <c r="W262">
        <f t="shared" si="92"/>
        <v>0.15597923233852493</v>
      </c>
      <c r="X262">
        <f t="shared" si="93"/>
        <v>0.21929680857555145</v>
      </c>
      <c r="Y262" t="b">
        <f t="shared" si="96"/>
        <v>0</v>
      </c>
    </row>
    <row xmlns:x14ac="http://schemas.microsoft.com/office/spreadsheetml/2009/9/ac" r="263" x14ac:dyDescent="0.45">
      <c r="A263">
        <v>1.28</v>
      </c>
      <c r="B263">
        <f t="shared" ref="B263:B326" si="97">-(1+Marge_haute)*(A+B/Tpll*EXP(-$A263/Tpll)+C_*EXP(-epsilon*Wn*$A263)*COS(Wd*$A263)+C_*(D/C_-epsilon*Wn)/Wd*EXP(-epsilon*Wn*$A263)*SIN(Wd*$A263))+SIGN(DeltaPexpected)*Tunnel</f>
        <v>0.16320084044476382</v>
      </c>
      <c r="C263" t="b">
        <f t="shared" si="86"/>
        <v>1</v>
      </c>
      <c r="D263" t="b">
        <f t="shared" ref="D263:D326" si="98">IF(D262,D262,IF(C263,B263&gt;B262,C263))</f>
        <v>1</v>
      </c>
      <c r="E263">
        <f t="shared" si="82"/>
        <v>1.28</v>
      </c>
      <c r="F263">
        <f t="shared" si="87"/>
        <v>0.16320084044476382</v>
      </c>
      <c r="G263">
        <f t="shared" ref="G263:G326" si="99">P0-SIGN(Rocof)*IF(D263,DeltaPexpected+SIGN(DeltaPexpected)*Tunnel+(MIN(F$7:F$1495)-DeltaPexpected-+SIGN(DeltaPexpected)*Tunnel)*EXP(-(A263-MIN(E$7:E$1495))/Texpodecrease),B263)</f>
        <v>0.21906726955396533</v>
      </c>
      <c r="H263">
        <f t="shared" ref="H263:H326" si="100">-(1-marge_basse)*(A+B/Tpll*EXP(-$A263/Tpll)+C_*EXP(-epsilon*Wn*$A263)*COS(Wd*$A263)+C_*(D/C_-epsilon*Wn)/Wd*EXP(-epsilon*Wn*$A263)*SIN(Wd*$A263))-Tunnel</f>
        <v>3.5077246324909162E-2</v>
      </c>
      <c r="I263" t="b">
        <f t="shared" si="88"/>
        <v>1</v>
      </c>
      <c r="J263">
        <f t="shared" ref="J263:J326" si="101">IF(I263,A263,I263)</f>
        <v>1.28</v>
      </c>
      <c r="K263">
        <f t="shared" si="89"/>
        <v>3.5077246324909162E-2</v>
      </c>
      <c r="L263">
        <f t="shared" ref="L263:L326" si="102">P0-SIGN(Rocof)*IF(I263,AF$23-AF$13+(MAX(K$7:K$1495)-AF$23+AF$13)*EXP(-(A263-MIN(J$7:J$1495))/AB$21),H263)</f>
        <v>0.15632540632551706</v>
      </c>
      <c r="M263">
        <f t="shared" ref="M263:M326" si="103">P0-(1)*(A+B/Tpll*EXP(-$A263/Tpll)+C_*EXP(-epsilon*Wn*$A263)*COS(Wd*$A263)+C_*(D/C_-epsilon*Wn)/Wd*EXP(-epsilon*Wn*$A263)*SIN(Wd*$A263))</f>
        <v>0.19015449264981832</v>
      </c>
      <c r="N263">
        <f t="shared" ref="N263:N326" si="104">AB$6-(AG$17+AG$16/AC$18*EXP(-$A263/AC$18)+AG$18*EXP(-AG$6*AG$12*$A263)*COS(AG$5*$A263)+AG$18*(AG$19/AG$18-AG$6*AG$12)/AG$5*EXP(-AG$6*AG$12*$A263)*SIN(AG$5*$A263))</f>
        <v>0.18930119205251561</v>
      </c>
      <c r="O263">
        <f t="shared" ref="O263:O326" si="105">AB$6-(AH$17+AH$16/AD$18*EXP(-$A263/AD$18)+AH$18*EXP(-AH$6*AH$12*$A263)*COS(AH$5*$A263)+AH$18*(AH$19/AH$18-AH$6*AH$12)/AH$5*EXP(-AH$6*AH$12*$A263)*SIN(AH$5*$A263))</f>
        <v>0.15778528149456464</v>
      </c>
      <c r="P263">
        <f t="shared" si="94"/>
        <v>0.08</v>
      </c>
      <c r="Q263">
        <f t="shared" si="90"/>
        <v>0.08</v>
      </c>
      <c r="R263">
        <f t="shared" si="83"/>
        <v>0.08</v>
      </c>
      <c r="S263">
        <f t="shared" si="84"/>
        <v>0.06</v>
      </c>
      <c r="T263">
        <f t="shared" si="85"/>
        <v>0.1</v>
      </c>
      <c r="U263">
        <f t="shared" si="91"/>
        <v>0.08</v>
      </c>
      <c r="V263">
        <f t="shared" si="95"/>
        <v>0.18930119205251561</v>
      </c>
      <c r="W263">
        <f t="shared" si="92"/>
        <v>0.15604916120897111</v>
      </c>
      <c r="X263">
        <f t="shared" si="93"/>
        <v>0.21925044054933923</v>
      </c>
      <c r="Y263" t="b">
        <f t="shared" si="96"/>
        <v>0</v>
      </c>
    </row>
    <row xmlns:x14ac="http://schemas.microsoft.com/office/spreadsheetml/2009/9/ac" r="264" x14ac:dyDescent="0.45">
      <c r="A264">
        <v>1.2849999999999999</v>
      </c>
      <c r="B264">
        <f t="shared" si="97"/>
        <v>0.16318542813231504</v>
      </c>
      <c r="C264" t="b">
        <f t="shared" si="86"/>
        <v>1</v>
      </c>
      <c r="D264" t="b">
        <f t="shared" si="98"/>
        <v>1</v>
      </c>
      <c r="E264">
        <f t="shared" ref="E264:E327" si="106">IF(D264,A264,D264)</f>
        <v>1.2849999999999999</v>
      </c>
      <c r="F264">
        <f t="shared" si="87"/>
        <v>0.16318542813231504</v>
      </c>
      <c r="G264">
        <f t="shared" si="99"/>
        <v>0.21902204635839939</v>
      </c>
      <c r="H264">
        <f t="shared" si="100"/>
        <v>3.5071318512428867E-2</v>
      </c>
      <c r="I264" t="b">
        <f t="shared" si="88"/>
        <v>1</v>
      </c>
      <c r="J264">
        <f t="shared" si="101"/>
        <v>1.2849999999999999</v>
      </c>
      <c r="K264">
        <f t="shared" si="89"/>
        <v>3.5071318512428867E-2</v>
      </c>
      <c r="L264">
        <f t="shared" si="102"/>
        <v>0.15639360864600016</v>
      </c>
      <c r="M264">
        <f t="shared" si="103"/>
        <v>0.19014263702485773</v>
      </c>
      <c r="N264">
        <f t="shared" si="104"/>
        <v>0.18919303845638352</v>
      </c>
      <c r="O264">
        <f t="shared" si="105"/>
        <v>0.15778471138216368</v>
      </c>
      <c r="P264">
        <f t="shared" si="94"/>
        <v>0.08</v>
      </c>
      <c r="Q264">
        <f t="shared" si="90"/>
        <v>0.08</v>
      </c>
      <c r="R264">
        <f t="shared" ref="R264:R327" si="107">$AB$6-(1+AB$17)*EXP(-AF$6*AF$12*A264)*(COS(AF$5*A264)-(AF$6*AF$12-1)/(AF$5)*SIN(AF$5*A264))*AF$15</f>
        <v>0.08</v>
      </c>
      <c r="S264">
        <f t="shared" ref="S264:S327" si="108">R264-AF$13</f>
        <v>0.06</v>
      </c>
      <c r="T264">
        <f t="shared" ref="T264:T327" si="109">R264+AF$13</f>
        <v>0.1</v>
      </c>
      <c r="U264">
        <f t="shared" si="91"/>
        <v>0.08</v>
      </c>
      <c r="V264">
        <f t="shared" si="95"/>
        <v>0.18919303845638352</v>
      </c>
      <c r="W264">
        <f t="shared" si="92"/>
        <v>0.15611874130772091</v>
      </c>
      <c r="X264">
        <f t="shared" si="93"/>
        <v>0.21920430378462258</v>
      </c>
      <c r="Y264" t="b">
        <f t="shared" si="96"/>
        <v>0</v>
      </c>
    </row>
    <row xmlns:x14ac="http://schemas.microsoft.com/office/spreadsheetml/2009/9/ac" r="265" x14ac:dyDescent="0.45">
      <c r="A265">
        <v>1.29</v>
      </c>
      <c r="B265">
        <f t="shared" si="97"/>
        <v>0.16316988046272288</v>
      </c>
      <c r="C265" t="b">
        <f t="shared" ref="C265:C328" si="110">IF(C264,C264,(B265&lt;B264))</f>
        <v>1</v>
      </c>
      <c r="D265" t="b">
        <f t="shared" si="98"/>
        <v>1</v>
      </c>
      <c r="E265">
        <f t="shared" si="106"/>
        <v>1.29</v>
      </c>
      <c r="F265">
        <f t="shared" ref="F265:F328" si="111">IF(D265,B265,D265)</f>
        <v>0.16316988046272288</v>
      </c>
      <c r="G265">
        <f t="shared" si="99"/>
        <v>0.21897704871446227</v>
      </c>
      <c r="H265">
        <f t="shared" si="100"/>
        <v>3.5065338639508808E-2</v>
      </c>
      <c r="I265" t="b">
        <f t="shared" ref="I265:I328" si="112">IF(I264,I264,H264&gt;H265)</f>
        <v>1</v>
      </c>
      <c r="J265">
        <f t="shared" si="101"/>
        <v>1.29</v>
      </c>
      <c r="K265">
        <f t="shared" ref="K265:K328" si="113">IF(I265,H265,I265)</f>
        <v>3.5065338639508808E-2</v>
      </c>
      <c r="L265">
        <f t="shared" si="102"/>
        <v>0.15646147080599074</v>
      </c>
      <c r="M265">
        <f t="shared" si="103"/>
        <v>0.19013067727901761</v>
      </c>
      <c r="N265">
        <f t="shared" si="104"/>
        <v>0.18908296558022408</v>
      </c>
      <c r="O265">
        <f t="shared" si="105"/>
        <v>0.15778414358116946</v>
      </c>
      <c r="P265">
        <f t="shared" si="94"/>
        <v>0.08</v>
      </c>
      <c r="Q265">
        <f t="shared" ref="Q265:Q328" si="114">$AB$6-(1+AB$17)*EXP(-AF$6*AF$12*A263)*(COS(AF$5*A263)-(AF$6*AF$12-1)/(AF$5)*SIN(AF$5*A263))*AF$15</f>
        <v>0.08</v>
      </c>
      <c r="R265">
        <f t="shared" si="107"/>
        <v>0.08</v>
      </c>
      <c r="S265">
        <f t="shared" si="108"/>
        <v>0.06</v>
      </c>
      <c r="T265">
        <f t="shared" si="109"/>
        <v>0.1</v>
      </c>
      <c r="U265">
        <f t="shared" ref="U265:U328" si="115">$AB$6-AB$18*EXP(-AF$6*AF$12*A263)*(COS(AF$5*A263)-(AF$6*AF$12-1)/(AF$5)*SIN(AF$5*A263))*AF$15</f>
        <v>0.08</v>
      </c>
      <c r="V265">
        <f t="shared" si="95"/>
        <v>0.18908296558022408</v>
      </c>
      <c r="W265">
        <f t="shared" si="92"/>
        <v>0.15618797437428039</v>
      </c>
      <c r="X265">
        <f t="shared" si="93"/>
        <v>0.21915839712797991</v>
      </c>
      <c r="Y265" t="b">
        <f t="shared" si="96"/>
        <v>0</v>
      </c>
    </row>
    <row xmlns:x14ac="http://schemas.microsoft.com/office/spreadsheetml/2009/9/ac" r="266" x14ac:dyDescent="0.45">
      <c r="A266">
        <v>1.2949999999999999</v>
      </c>
      <c r="B266">
        <f t="shared" si="97"/>
        <v>0.16315427841214392</v>
      </c>
      <c r="C266" t="b">
        <f t="shared" si="110"/>
        <v>1</v>
      </c>
      <c r="D266" t="b">
        <f t="shared" si="98"/>
        <v>1</v>
      </c>
      <c r="E266">
        <f t="shared" si="106"/>
        <v>1.2949999999999999</v>
      </c>
      <c r="F266">
        <f t="shared" si="111"/>
        <v>0.16315427841214392</v>
      </c>
      <c r="G266">
        <f t="shared" si="99"/>
        <v>0.21893227549721062</v>
      </c>
      <c r="H266">
        <f t="shared" si="100"/>
        <v>3.5059337850824587E-2</v>
      </c>
      <c r="I266" t="b">
        <f t="shared" si="112"/>
        <v>1</v>
      </c>
      <c r="J266">
        <f t="shared" si="101"/>
        <v>1.2949999999999999</v>
      </c>
      <c r="K266">
        <f t="shared" si="113"/>
        <v>3.5059337850824587E-2</v>
      </c>
      <c r="L266">
        <f t="shared" si="102"/>
        <v>0.15652899450204633</v>
      </c>
      <c r="M266">
        <f t="shared" si="103"/>
        <v>0.19011867570164917</v>
      </c>
      <c r="N266">
        <f t="shared" si="104"/>
        <v>0.18897152520477511</v>
      </c>
      <c r="O266">
        <f t="shared" si="105"/>
        <v>0.15778358098504291</v>
      </c>
      <c r="P266">
        <f t="shared" si="94"/>
        <v>0.08</v>
      </c>
      <c r="Q266">
        <f t="shared" si="114"/>
        <v>0.08</v>
      </c>
      <c r="R266">
        <f t="shared" si="107"/>
        <v>0.08</v>
      </c>
      <c r="S266">
        <f t="shared" si="108"/>
        <v>0.06</v>
      </c>
      <c r="T266">
        <f t="shared" si="109"/>
        <v>0.1</v>
      </c>
      <c r="U266">
        <f t="shared" si="115"/>
        <v>0.08</v>
      </c>
      <c r="V266">
        <f t="shared" si="95"/>
        <v>0.18897152520477511</v>
      </c>
      <c r="W266">
        <f t="shared" si="92"/>
        <v>0.15625686213947987</v>
      </c>
      <c r="X266">
        <f t="shared" si="93"/>
        <v>0.21911271943174243</v>
      </c>
      <c r="Y266" t="b">
        <f t="shared" si="96"/>
        <v>0</v>
      </c>
    </row>
    <row xmlns:x14ac="http://schemas.microsoft.com/office/spreadsheetml/2009/9/ac" r="267" x14ac:dyDescent="0.45">
      <c r="A267">
        <v>1.3</v>
      </c>
      <c r="B267">
        <f t="shared" si="97"/>
        <v>0.16313869926762087</v>
      </c>
      <c r="C267" t="b">
        <f t="shared" si="110"/>
        <v>1</v>
      </c>
      <c r="D267" t="b">
        <f t="shared" si="98"/>
        <v>1</v>
      </c>
      <c r="E267">
        <f t="shared" si="106"/>
        <v>1.3</v>
      </c>
      <c r="F267">
        <f t="shared" si="111"/>
        <v>0.16313869926762087</v>
      </c>
      <c r="G267">
        <f t="shared" si="99"/>
        <v>0.21888772558731157</v>
      </c>
      <c r="H267">
        <f t="shared" si="100"/>
        <v>3.505334587216187E-2</v>
      </c>
      <c r="I267" t="b">
        <f t="shared" si="112"/>
        <v>1</v>
      </c>
      <c r="J267">
        <f t="shared" si="101"/>
        <v>1.3</v>
      </c>
      <c r="K267">
        <f t="shared" si="113"/>
        <v>3.505334587216187E-2</v>
      </c>
      <c r="L267">
        <f t="shared" si="102"/>
        <v>0.15659618142226289</v>
      </c>
      <c r="M267">
        <f t="shared" si="103"/>
        <v>0.19010669174432376</v>
      </c>
      <c r="N267">
        <f t="shared" si="104"/>
        <v>0.18885925783746627</v>
      </c>
      <c r="O267">
        <f t="shared" si="105"/>
        <v>0.15778302625824336</v>
      </c>
      <c r="P267">
        <f t="shared" si="94"/>
        <v>0.08</v>
      </c>
      <c r="Q267">
        <f t="shared" si="114"/>
        <v>0.08</v>
      </c>
      <c r="R267">
        <f t="shared" si="107"/>
        <v>0.08</v>
      </c>
      <c r="S267">
        <f t="shared" si="108"/>
        <v>0.06</v>
      </c>
      <c r="T267">
        <f t="shared" si="109"/>
        <v>0.1</v>
      </c>
      <c r="U267">
        <f t="shared" si="115"/>
        <v>0.08</v>
      </c>
      <c r="V267">
        <f t="shared" si="95"/>
        <v>0.18885925783746627</v>
      </c>
      <c r="W267">
        <f t="shared" ref="W267:W330" si="116">IF(EMT_Simulation,L263,L267)</f>
        <v>0.15632540632551706</v>
      </c>
      <c r="X267">
        <f t="shared" ref="X267:X330" si="117">IF(EMT_Simulation,G263,G267)</f>
        <v>0.21906726955396533</v>
      </c>
      <c r="Y267" t="b">
        <f t="shared" si="96"/>
        <v>0</v>
      </c>
    </row>
    <row xmlns:x14ac="http://schemas.microsoft.com/office/spreadsheetml/2009/9/ac" r="268" x14ac:dyDescent="0.45">
      <c r="A268">
        <v>1.3049999999999999</v>
      </c>
      <c r="B268">
        <f t="shared" si="97"/>
        <v>0.16312321643728825</v>
      </c>
      <c r="C268" t="b">
        <f t="shared" si="110"/>
        <v>1</v>
      </c>
      <c r="D268" t="b">
        <f t="shared" si="98"/>
        <v>1</v>
      </c>
      <c r="E268">
        <f t="shared" si="106"/>
        <v>1.3049999999999999</v>
      </c>
      <c r="F268">
        <f t="shared" si="111"/>
        <v>0.16312321643728825</v>
      </c>
      <c r="G268">
        <f t="shared" si="99"/>
        <v>0.21884339787101514</v>
      </c>
      <c r="H268">
        <f t="shared" si="100"/>
        <v>3.5047390937418557E-2</v>
      </c>
      <c r="I268" t="b">
        <f t="shared" si="112"/>
        <v>1</v>
      </c>
      <c r="J268">
        <f t="shared" si="101"/>
        <v>1.3049999999999999</v>
      </c>
      <c r="K268">
        <f t="shared" si="113"/>
        <v>3.5047390937418557E-2</v>
      </c>
      <c r="L268">
        <f t="shared" si="102"/>
        <v>0.15666303324631686</v>
      </c>
      <c r="M268">
        <f t="shared" si="103"/>
        <v>0.19009478187483714</v>
      </c>
      <c r="N268">
        <f t="shared" si="104"/>
        <v>0.18874669065477268</v>
      </c>
      <c r="O268">
        <f t="shared" si="105"/>
        <v>0.1577824818378058</v>
      </c>
      <c r="P268">
        <f t="shared" si="94"/>
        <v>0.08</v>
      </c>
      <c r="Q268">
        <f t="shared" si="114"/>
        <v>0.08</v>
      </c>
      <c r="R268">
        <f t="shared" si="107"/>
        <v>0.08</v>
      </c>
      <c r="S268">
        <f t="shared" si="108"/>
        <v>0.06</v>
      </c>
      <c r="T268">
        <f t="shared" si="109"/>
        <v>0.1</v>
      </c>
      <c r="U268">
        <f t="shared" si="115"/>
        <v>0.08</v>
      </c>
      <c r="V268">
        <f t="shared" si="95"/>
        <v>0.18874669065477268</v>
      </c>
      <c r="W268">
        <f t="shared" si="116"/>
        <v>0.15639360864600016</v>
      </c>
      <c r="X268">
        <f t="shared" si="117"/>
        <v>0.21902204635839939</v>
      </c>
      <c r="Y268" t="b">
        <f t="shared" si="96"/>
        <v>0</v>
      </c>
    </row>
    <row xmlns:x14ac="http://schemas.microsoft.com/office/spreadsheetml/2009/9/ac" r="269" x14ac:dyDescent="0.45">
      <c r="A269">
        <v>1.31</v>
      </c>
      <c r="B269">
        <f t="shared" si="97"/>
        <v>0.16310789928838962</v>
      </c>
      <c r="C269" t="b">
        <f t="shared" si="110"/>
        <v>1</v>
      </c>
      <c r="D269" t="b">
        <f t="shared" si="98"/>
        <v>1</v>
      </c>
      <c r="E269">
        <f t="shared" si="106"/>
        <v>1.31</v>
      </c>
      <c r="F269">
        <f t="shared" si="111"/>
        <v>0.16310789928838962</v>
      </c>
      <c r="G269">
        <f t="shared" si="99"/>
        <v>0.21879929124012604</v>
      </c>
      <c r="H269">
        <f t="shared" si="100"/>
        <v>3.5041499726303701E-2</v>
      </c>
      <c r="I269" t="b">
        <f t="shared" si="112"/>
        <v>1</v>
      </c>
      <c r="J269">
        <f t="shared" si="101"/>
        <v>1.31</v>
      </c>
      <c r="K269">
        <f t="shared" si="113"/>
        <v>3.5041499726303701E-2</v>
      </c>
      <c r="L269">
        <f t="shared" si="102"/>
        <v>0.15672955164550734</v>
      </c>
      <c r="M269">
        <f t="shared" si="103"/>
        <v>0.1900829994526074</v>
      </c>
      <c r="N269">
        <f t="shared" si="104"/>
        <v>0.18863433556887638</v>
      </c>
      <c r="O269">
        <f t="shared" si="105"/>
        <v>0.15778194993603176</v>
      </c>
      <c r="P269">
        <f t="shared" si="94"/>
        <v>0.08</v>
      </c>
      <c r="Q269">
        <f t="shared" si="114"/>
        <v>0.08</v>
      </c>
      <c r="R269">
        <f t="shared" si="107"/>
        <v>0.08</v>
      </c>
      <c r="S269">
        <f t="shared" si="108"/>
        <v>0.06</v>
      </c>
      <c r="T269">
        <f t="shared" si="109"/>
        <v>0.1</v>
      </c>
      <c r="U269">
        <f t="shared" si="115"/>
        <v>0.08</v>
      </c>
      <c r="V269">
        <f t="shared" si="95"/>
        <v>0.18863433556887638</v>
      </c>
      <c r="W269">
        <f t="shared" si="116"/>
        <v>0.15646147080599074</v>
      </c>
      <c r="X269">
        <f t="shared" si="117"/>
        <v>0.21897704871446227</v>
      </c>
      <c r="Y269" t="b">
        <f t="shared" si="96"/>
        <v>0</v>
      </c>
    </row>
    <row xmlns:x14ac="http://schemas.microsoft.com/office/spreadsheetml/2009/9/ac" r="270" x14ac:dyDescent="0.45">
      <c r="A270">
        <v>1.3149999999999999</v>
      </c>
      <c r="B270">
        <f t="shared" si="97"/>
        <v>0.16309281301252501</v>
      </c>
      <c r="C270" t="b">
        <f t="shared" si="110"/>
        <v>1</v>
      </c>
      <c r="D270" t="b">
        <f t="shared" si="98"/>
        <v>1</v>
      </c>
      <c r="E270">
        <f t="shared" si="106"/>
        <v>1.3149999999999999</v>
      </c>
      <c r="F270">
        <f t="shared" si="111"/>
        <v>0.16309281301252501</v>
      </c>
      <c r="G270">
        <f t="shared" si="99"/>
        <v>0.21875540459197629</v>
      </c>
      <c r="H270">
        <f t="shared" si="100"/>
        <v>3.503569731250962E-2</v>
      </c>
      <c r="I270" t="b">
        <f t="shared" si="112"/>
        <v>1</v>
      </c>
      <c r="J270">
        <f t="shared" si="101"/>
        <v>1.3149999999999999</v>
      </c>
      <c r="K270">
        <f t="shared" si="113"/>
        <v>3.503569731250962E-2</v>
      </c>
      <c r="L270">
        <f t="shared" si="102"/>
        <v>0.1567957382827978</v>
      </c>
      <c r="M270">
        <f t="shared" si="103"/>
        <v>0.19007139462501924</v>
      </c>
      <c r="N270">
        <f t="shared" si="104"/>
        <v>0.18852268742335163</v>
      </c>
      <c r="O270">
        <f t="shared" si="105"/>
        <v>0.15778143254420196</v>
      </c>
      <c r="P270">
        <f t="shared" ref="P270:P333" si="118">$AB$6-EXP(-AF$6*AF$12*A270)*(COS(AF$5*A270)-(AF$6*AF$12-1)/(AF$5)*SIN(AF$5*A270))*AF$15</f>
        <v>0.08</v>
      </c>
      <c r="Q270">
        <f t="shared" si="114"/>
        <v>0.08</v>
      </c>
      <c r="R270">
        <f t="shared" si="107"/>
        <v>0.08</v>
      </c>
      <c r="S270">
        <f t="shared" si="108"/>
        <v>0.06</v>
      </c>
      <c r="T270">
        <f t="shared" si="109"/>
        <v>0.1</v>
      </c>
      <c r="U270">
        <f t="shared" si="115"/>
        <v>0.08</v>
      </c>
      <c r="V270">
        <f t="shared" si="95"/>
        <v>0.18852268742335163</v>
      </c>
      <c r="W270">
        <f t="shared" si="116"/>
        <v>0.15652899450204633</v>
      </c>
      <c r="X270">
        <f t="shared" si="117"/>
        <v>0.21893227549721062</v>
      </c>
      <c r="Y270" t="b">
        <f t="shared" si="96"/>
        <v>0</v>
      </c>
    </row>
    <row xmlns:x14ac="http://schemas.microsoft.com/office/spreadsheetml/2009/9/ac" r="271" x14ac:dyDescent="0.45">
      <c r="A271">
        <v>1.32</v>
      </c>
      <c r="B271">
        <f t="shared" si="97"/>
        <v>0.16307801851744538</v>
      </c>
      <c r="C271" t="b">
        <f t="shared" si="110"/>
        <v>1</v>
      </c>
      <c r="D271" t="b">
        <f t="shared" si="98"/>
        <v>1</v>
      </c>
      <c r="E271">
        <f t="shared" si="106"/>
        <v>1.32</v>
      </c>
      <c r="F271">
        <f t="shared" si="111"/>
        <v>0.16307801851744538</v>
      </c>
      <c r="G271">
        <f t="shared" si="99"/>
        <v>0.21871173682939732</v>
      </c>
      <c r="H271">
        <f t="shared" si="100"/>
        <v>3.5030007122094378E-2</v>
      </c>
      <c r="I271" t="b">
        <f t="shared" si="112"/>
        <v>1</v>
      </c>
      <c r="J271">
        <f t="shared" si="101"/>
        <v>1.32</v>
      </c>
      <c r="K271">
        <f t="shared" si="113"/>
        <v>3.5030007122094378E-2</v>
      </c>
      <c r="L271">
        <f t="shared" si="102"/>
        <v>0.15686159481285764</v>
      </c>
      <c r="M271">
        <f t="shared" si="103"/>
        <v>0.19006001424418878</v>
      </c>
      <c r="N271">
        <f t="shared" si="104"/>
        <v>0.18841222232186328</v>
      </c>
      <c r="O271">
        <f t="shared" si="105"/>
        <v>0.15778093143722</v>
      </c>
      <c r="P271">
        <f t="shared" si="118"/>
        <v>0.08</v>
      </c>
      <c r="Q271">
        <f t="shared" si="114"/>
        <v>0.08</v>
      </c>
      <c r="R271">
        <f t="shared" si="107"/>
        <v>0.08</v>
      </c>
      <c r="S271">
        <f t="shared" si="108"/>
        <v>0.06</v>
      </c>
      <c r="T271">
        <f t="shared" si="109"/>
        <v>0.1</v>
      </c>
      <c r="U271">
        <f t="shared" si="115"/>
        <v>0.08</v>
      </c>
      <c r="V271">
        <f t="shared" si="95"/>
        <v>0.18841222232186328</v>
      </c>
      <c r="W271">
        <f t="shared" si="116"/>
        <v>0.15659618142226289</v>
      </c>
      <c r="X271">
        <f t="shared" si="117"/>
        <v>0.21888772558731157</v>
      </c>
      <c r="Y271" t="b">
        <f t="shared" ref="Y271:Y334" si="119">IF(Y270,TRUE,IF(P271&lt;P270,TRUE))</f>
        <v>0</v>
      </c>
    </row>
    <row xmlns:x14ac="http://schemas.microsoft.com/office/spreadsheetml/2009/9/ac" r="272" x14ac:dyDescent="0.45">
      <c r="A272">
        <v>1.325</v>
      </c>
      <c r="B272">
        <f t="shared" si="97"/>
        <v>0.16306357234461655</v>
      </c>
      <c r="C272" t="b">
        <f t="shared" si="110"/>
        <v>1</v>
      </c>
      <c r="D272" t="b">
        <f t="shared" si="98"/>
        <v>1</v>
      </c>
      <c r="E272">
        <f t="shared" si="106"/>
        <v>1.325</v>
      </c>
      <c r="F272">
        <f t="shared" si="111"/>
        <v>0.16306357234461655</v>
      </c>
      <c r="G272">
        <f t="shared" si="99"/>
        <v>0.21866828686069278</v>
      </c>
      <c r="H272">
        <f t="shared" si="100"/>
        <v>3.5024450901775597E-2</v>
      </c>
      <c r="I272" t="b">
        <f t="shared" si="112"/>
        <v>1</v>
      </c>
      <c r="J272">
        <f t="shared" si="101"/>
        <v>1.325</v>
      </c>
      <c r="K272">
        <f t="shared" si="113"/>
        <v>3.5024450901775597E-2</v>
      </c>
      <c r="L272">
        <f t="shared" si="102"/>
        <v>0.15692712288210348</v>
      </c>
      <c r="M272">
        <f t="shared" si="103"/>
        <v>0.19004890180355119</v>
      </c>
      <c r="N272">
        <f t="shared" si="104"/>
        <v>0.18830339609315044</v>
      </c>
      <c r="O272">
        <f t="shared" si="105"/>
        <v>0.15778044817909714</v>
      </c>
      <c r="P272">
        <f t="shared" si="118"/>
        <v>0.08</v>
      </c>
      <c r="Q272">
        <f t="shared" si="114"/>
        <v>0.08</v>
      </c>
      <c r="R272">
        <f t="shared" si="107"/>
        <v>0.08</v>
      </c>
      <c r="S272">
        <f t="shared" si="108"/>
        <v>0.06</v>
      </c>
      <c r="T272">
        <f t="shared" si="109"/>
        <v>0.1</v>
      </c>
      <c r="U272">
        <f t="shared" si="115"/>
        <v>0.08</v>
      </c>
      <c r="V272">
        <f t="shared" si="95"/>
        <v>0.18830339609315044</v>
      </c>
      <c r="W272">
        <f t="shared" si="116"/>
        <v>0.15666303324631686</v>
      </c>
      <c r="X272">
        <f t="shared" si="117"/>
        <v>0.21884339787101514</v>
      </c>
      <c r="Y272" t="b">
        <f t="shared" si="119"/>
        <v>0</v>
      </c>
    </row>
    <row xmlns:x14ac="http://schemas.microsoft.com/office/spreadsheetml/2009/9/ac" r="273" x14ac:dyDescent="0.45">
      <c r="A273">
        <v>1.33</v>
      </c>
      <c r="B273">
        <f t="shared" si="97"/>
        <v>0.1630495266116905</v>
      </c>
      <c r="C273" t="b">
        <f t="shared" si="110"/>
        <v>1</v>
      </c>
      <c r="D273" t="b">
        <f t="shared" si="98"/>
        <v>1</v>
      </c>
      <c r="E273">
        <f t="shared" si="106"/>
        <v>1.33</v>
      </c>
      <c r="F273">
        <f t="shared" si="111"/>
        <v>0.1630495266116905</v>
      </c>
      <c r="G273">
        <f t="shared" si="99"/>
        <v>0.21862505359961132</v>
      </c>
      <c r="H273">
        <f t="shared" si="100"/>
        <v>3.5019048696804042E-2</v>
      </c>
      <c r="I273" t="b">
        <f t="shared" si="112"/>
        <v>1</v>
      </c>
      <c r="J273">
        <f t="shared" si="101"/>
        <v>1.33</v>
      </c>
      <c r="K273">
        <f t="shared" si="113"/>
        <v>3.5019048696804042E-2</v>
      </c>
      <c r="L273">
        <f t="shared" si="102"/>
        <v>0.15699232412874048</v>
      </c>
      <c r="M273">
        <f t="shared" si="103"/>
        <v>0.19003809739360808</v>
      </c>
      <c r="N273">
        <f t="shared" si="104"/>
        <v>0.18819664289485505</v>
      </c>
      <c r="O273">
        <f t="shared" si="105"/>
        <v>0.15777998412919056</v>
      </c>
      <c r="P273">
        <f t="shared" si="118"/>
        <v>0.08</v>
      </c>
      <c r="Q273">
        <f t="shared" si="114"/>
        <v>0.08</v>
      </c>
      <c r="R273">
        <f t="shared" si="107"/>
        <v>0.08</v>
      </c>
      <c r="S273">
        <f t="shared" si="108"/>
        <v>0.06</v>
      </c>
      <c r="T273">
        <f t="shared" si="109"/>
        <v>0.1</v>
      </c>
      <c r="U273">
        <f t="shared" si="115"/>
        <v>0.08</v>
      </c>
      <c r="V273">
        <f t="shared" si="95"/>
        <v>0.18819664289485505</v>
      </c>
      <c r="W273">
        <f t="shared" si="116"/>
        <v>0.15672955164550734</v>
      </c>
      <c r="X273">
        <f t="shared" si="117"/>
        <v>0.21879929124012604</v>
      </c>
      <c r="Y273" t="b">
        <f t="shared" si="119"/>
        <v>0</v>
      </c>
    </row>
    <row xmlns:x14ac="http://schemas.microsoft.com/office/spreadsheetml/2009/9/ac" r="274" x14ac:dyDescent="0.45">
      <c r="A274">
        <v>1.335</v>
      </c>
      <c r="B274">
        <f t="shared" si="97"/>
        <v>0.16303592897894439</v>
      </c>
      <c r="C274" t="b">
        <f t="shared" si="110"/>
        <v>1</v>
      </c>
      <c r="D274" t="b">
        <f t="shared" si="98"/>
        <v>1</v>
      </c>
      <c r="E274">
        <f t="shared" si="106"/>
        <v>1.335</v>
      </c>
      <c r="F274">
        <f t="shared" si="111"/>
        <v>0.16303592897894439</v>
      </c>
      <c r="G274">
        <f t="shared" si="99"/>
        <v>0.218582035965319</v>
      </c>
      <c r="H274">
        <f t="shared" si="100"/>
        <v>3.5013818838055544E-2</v>
      </c>
      <c r="I274" t="b">
        <f t="shared" si="112"/>
        <v>1</v>
      </c>
      <c r="J274">
        <f t="shared" si="101"/>
        <v>1.335</v>
      </c>
      <c r="K274">
        <f t="shared" si="113"/>
        <v>3.5013818838055544E-2</v>
      </c>
      <c r="L274">
        <f t="shared" si="102"/>
        <v>0.15705720018280322</v>
      </c>
      <c r="M274">
        <f t="shared" si="103"/>
        <v>0.19002763767611108</v>
      </c>
      <c r="N274">
        <f t="shared" si="104"/>
        <v>0.18809237395805439</v>
      </c>
      <c r="O274">
        <f t="shared" si="105"/>
        <v>0.15777954044910875</v>
      </c>
      <c r="P274">
        <f t="shared" si="118"/>
        <v>0.08</v>
      </c>
      <c r="Q274">
        <f t="shared" si="114"/>
        <v>0.08</v>
      </c>
      <c r="R274">
        <f t="shared" si="107"/>
        <v>0.08</v>
      </c>
      <c r="S274">
        <f t="shared" si="108"/>
        <v>0.06</v>
      </c>
      <c r="T274">
        <f t="shared" si="109"/>
        <v>0.1</v>
      </c>
      <c r="U274">
        <f t="shared" si="115"/>
        <v>0.08</v>
      </c>
      <c r="V274">
        <f t="shared" si="95"/>
        <v>0.18809237395805439</v>
      </c>
      <c r="W274">
        <f t="shared" si="116"/>
        <v>0.1567957382827978</v>
      </c>
      <c r="X274">
        <f t="shared" si="117"/>
        <v>0.21875540459197629</v>
      </c>
      <c r="Y274" t="b">
        <f t="shared" si="119"/>
        <v>0</v>
      </c>
    </row>
    <row xmlns:x14ac="http://schemas.microsoft.com/office/spreadsheetml/2009/9/ac" r="275" x14ac:dyDescent="0.45">
      <c r="A275">
        <v>1.34</v>
      </c>
      <c r="B275">
        <f t="shared" si="97"/>
        <v>0.16302282263867893</v>
      </c>
      <c r="C275" t="b">
        <f t="shared" si="110"/>
        <v>1</v>
      </c>
      <c r="D275" t="b">
        <f t="shared" si="98"/>
        <v>1</v>
      </c>
      <c r="E275">
        <f t="shared" si="106"/>
        <v>1.34</v>
      </c>
      <c r="F275">
        <f t="shared" si="111"/>
        <v>0.16302282263867893</v>
      </c>
      <c r="G275">
        <f t="shared" si="99"/>
        <v>0.21853923288237281</v>
      </c>
      <c r="H275">
        <f t="shared" si="100"/>
        <v>3.5008777937953442E-2</v>
      </c>
      <c r="I275" t="b">
        <f t="shared" si="112"/>
        <v>1</v>
      </c>
      <c r="J275">
        <f t="shared" si="101"/>
        <v>1.34</v>
      </c>
      <c r="K275">
        <f t="shared" si="113"/>
        <v>3.5008777937953442E-2</v>
      </c>
      <c r="L275">
        <f t="shared" si="102"/>
        <v>0.15712175266619646</v>
      </c>
      <c r="M275">
        <f t="shared" si="103"/>
        <v>0.19001755587590688</v>
      </c>
      <c r="N275">
        <f t="shared" si="104"/>
        <v>0.1879909764736708</v>
      </c>
      <c r="O275">
        <f t="shared" si="105"/>
        <v>0.15777911811020115</v>
      </c>
      <c r="P275">
        <f t="shared" si="118"/>
        <v>0.08</v>
      </c>
      <c r="Q275">
        <f t="shared" si="114"/>
        <v>0.08</v>
      </c>
      <c r="R275">
        <f t="shared" si="107"/>
        <v>0.08</v>
      </c>
      <c r="S275">
        <f t="shared" si="108"/>
        <v>0.06</v>
      </c>
      <c r="T275">
        <f t="shared" si="109"/>
        <v>0.1</v>
      </c>
      <c r="U275">
        <f t="shared" si="115"/>
        <v>0.08</v>
      </c>
      <c r="V275">
        <f t="shared" si="95"/>
        <v>0.1879909764736708</v>
      </c>
      <c r="W275">
        <f t="shared" si="116"/>
        <v>0.15686159481285764</v>
      </c>
      <c r="X275">
        <f t="shared" si="117"/>
        <v>0.21871173682939732</v>
      </c>
      <c r="Y275" t="b">
        <f t="shared" si="119"/>
        <v>0</v>
      </c>
    </row>
    <row xmlns:x14ac="http://schemas.microsoft.com/office/spreadsheetml/2009/9/ac" r="276" x14ac:dyDescent="0.45">
      <c r="A276">
        <v>1.345</v>
      </c>
      <c r="B276">
        <f t="shared" si="97"/>
        <v>0.1630102463265069</v>
      </c>
      <c r="C276" t="b">
        <f t="shared" si="110"/>
        <v>1</v>
      </c>
      <c r="D276" t="b">
        <f t="shared" si="98"/>
        <v>1</v>
      </c>
      <c r="E276">
        <f t="shared" si="106"/>
        <v>1.345</v>
      </c>
      <c r="F276">
        <f t="shared" si="111"/>
        <v>0.1630102463265069</v>
      </c>
      <c r="G276">
        <f t="shared" si="99"/>
        <v>0.21849664328069346</v>
      </c>
      <c r="H276">
        <f t="shared" si="100"/>
        <v>3.5003940894810348E-2</v>
      </c>
      <c r="I276" t="b">
        <f t="shared" si="112"/>
        <v>1</v>
      </c>
      <c r="J276">
        <f t="shared" si="101"/>
        <v>1.345</v>
      </c>
      <c r="K276">
        <f t="shared" si="113"/>
        <v>3.5003940894810348E-2</v>
      </c>
      <c r="L276">
        <f t="shared" si="102"/>
        <v>0.15718598319273558</v>
      </c>
      <c r="M276">
        <f t="shared" si="103"/>
        <v>0.19000788178962069</v>
      </c>
      <c r="N276">
        <f t="shared" si="104"/>
        <v>0.18789281262126112</v>
      </c>
      <c r="O276">
        <f t="shared" si="105"/>
        <v>0.15777871790155057</v>
      </c>
      <c r="P276">
        <f t="shared" si="118"/>
        <v>0.08</v>
      </c>
      <c r="Q276">
        <f t="shared" si="114"/>
        <v>0.08</v>
      </c>
      <c r="R276">
        <f t="shared" si="107"/>
        <v>0.08</v>
      </c>
      <c r="S276">
        <f t="shared" si="108"/>
        <v>0.06</v>
      </c>
      <c r="T276">
        <f t="shared" si="109"/>
        <v>0.1</v>
      </c>
      <c r="U276">
        <f t="shared" si="115"/>
        <v>0.08</v>
      </c>
      <c r="V276">
        <f t="shared" si="95"/>
        <v>0.18789281262126112</v>
      </c>
      <c r="W276">
        <f t="shared" si="116"/>
        <v>0.15692712288210348</v>
      </c>
      <c r="X276">
        <f t="shared" si="117"/>
        <v>0.21866828686069278</v>
      </c>
      <c r="Y276" t="b">
        <f t="shared" si="119"/>
        <v>0</v>
      </c>
    </row>
    <row xmlns:x14ac="http://schemas.microsoft.com/office/spreadsheetml/2009/9/ac" r="277" x14ac:dyDescent="0.45">
      <c r="A277">
        <v>1.35</v>
      </c>
      <c r="B277">
        <f t="shared" si="97"/>
        <v>0.16299823435341074</v>
      </c>
      <c r="C277" t="b">
        <f t="shared" si="110"/>
        <v>1</v>
      </c>
      <c r="D277" t="b">
        <f t="shared" si="98"/>
        <v>1</v>
      </c>
      <c r="E277">
        <f t="shared" si="106"/>
        <v>1.35</v>
      </c>
      <c r="F277">
        <f t="shared" si="111"/>
        <v>0.16299823435341074</v>
      </c>
      <c r="G277">
        <f t="shared" si="99"/>
        <v>0.21845426609553864</v>
      </c>
      <c r="H277">
        <f t="shared" si="100"/>
        <v>3.4999320905157977E-2</v>
      </c>
      <c r="I277" t="b">
        <f t="shared" si="112"/>
        <v>1</v>
      </c>
      <c r="J277">
        <f t="shared" si="101"/>
        <v>1.35</v>
      </c>
      <c r="K277">
        <f t="shared" si="113"/>
        <v>3.4999320905157977E-2</v>
      </c>
      <c r="L277">
        <f t="shared" si="102"/>
        <v>0.15724989336818712</v>
      </c>
      <c r="M277">
        <f t="shared" si="103"/>
        <v>0.18999864181031595</v>
      </c>
      <c r="N277">
        <f t="shared" si="104"/>
        <v>0.18779821874003677</v>
      </c>
      <c r="O277">
        <f t="shared" si="105"/>
        <v>0.1577783404383909</v>
      </c>
      <c r="P277">
        <f t="shared" si="118"/>
        <v>0.08</v>
      </c>
      <c r="Q277">
        <f t="shared" si="114"/>
        <v>0.08</v>
      </c>
      <c r="R277">
        <f t="shared" si="107"/>
        <v>0.08</v>
      </c>
      <c r="S277">
        <f t="shared" si="108"/>
        <v>0.06</v>
      </c>
      <c r="T277">
        <f t="shared" si="109"/>
        <v>0.1</v>
      </c>
      <c r="U277">
        <f t="shared" si="115"/>
        <v>0.08</v>
      </c>
      <c r="V277">
        <f t="shared" ref="V277:V340" si="120">MAX(IF(Y277,MAX(H277,$AB$6+$AF$13),MAX(T277,$AB$6+$AF$13)),O277,N277)</f>
        <v>0.18779821874003677</v>
      </c>
      <c r="W277">
        <f t="shared" si="116"/>
        <v>0.15699232412874048</v>
      </c>
      <c r="X277">
        <f t="shared" si="117"/>
        <v>0.21862505359961132</v>
      </c>
      <c r="Y277" t="b">
        <f t="shared" si="119"/>
        <v>0</v>
      </c>
    </row>
    <row xmlns:x14ac="http://schemas.microsoft.com/office/spreadsheetml/2009/9/ac" r="278" x14ac:dyDescent="0.45">
      <c r="A278">
        <v>1.355</v>
      </c>
      <c r="B278">
        <f t="shared" si="97"/>
        <v>0.16298681665740214</v>
      </c>
      <c r="C278" t="b">
        <f t="shared" si="110"/>
        <v>1</v>
      </c>
      <c r="D278" t="b">
        <f t="shared" si="98"/>
        <v>1</v>
      </c>
      <c r="E278">
        <f t="shared" si="106"/>
        <v>1.355</v>
      </c>
      <c r="F278">
        <f t="shared" si="111"/>
        <v>0.16298681665740214</v>
      </c>
      <c r="G278">
        <f t="shared" si="99"/>
        <v>0.21841210026747654</v>
      </c>
      <c r="H278">
        <f t="shared" si="100"/>
        <v>3.4994929483616211E-2</v>
      </c>
      <c r="I278" t="b">
        <f t="shared" si="112"/>
        <v>1</v>
      </c>
      <c r="J278">
        <f t="shared" si="101"/>
        <v>1.355</v>
      </c>
      <c r="K278">
        <f t="shared" si="113"/>
        <v>3.4994929483616211E-2</v>
      </c>
      <c r="L278">
        <f t="shared" si="102"/>
        <v>0.15731348479030882</v>
      </c>
      <c r="M278">
        <f t="shared" si="103"/>
        <v>0.18998985896723242</v>
      </c>
      <c r="N278">
        <f t="shared" si="104"/>
        <v>0.18770750464133562</v>
      </c>
      <c r="O278">
        <f t="shared" si="105"/>
        <v>0.15777798617087513</v>
      </c>
      <c r="P278">
        <f t="shared" si="118"/>
        <v>0.08</v>
      </c>
      <c r="Q278">
        <f t="shared" si="114"/>
        <v>0.08</v>
      </c>
      <c r="R278">
        <f t="shared" si="107"/>
        <v>0.08</v>
      </c>
      <c r="S278">
        <f t="shared" si="108"/>
        <v>0.06</v>
      </c>
      <c r="T278">
        <f t="shared" si="109"/>
        <v>0.1</v>
      </c>
      <c r="U278">
        <f t="shared" si="115"/>
        <v>0.08</v>
      </c>
      <c r="V278">
        <f t="shared" si="120"/>
        <v>0.18770750464133562</v>
      </c>
      <c r="W278">
        <f t="shared" si="116"/>
        <v>0.15705720018280322</v>
      </c>
      <c r="X278">
        <f t="shared" si="117"/>
        <v>0.218582035965319</v>
      </c>
      <c r="Y278" t="b">
        <f t="shared" si="119"/>
        <v>0</v>
      </c>
    </row>
    <row xmlns:x14ac="http://schemas.microsoft.com/office/spreadsheetml/2009/9/ac" r="279" x14ac:dyDescent="0.45">
      <c r="A279">
        <v>1.36</v>
      </c>
      <c r="B279">
        <f t="shared" si="97"/>
        <v>0.16297601887358137</v>
      </c>
      <c r="C279" t="b">
        <f t="shared" si="110"/>
        <v>1</v>
      </c>
      <c r="D279" t="b">
        <f t="shared" si="98"/>
        <v>1</v>
      </c>
      <c r="E279">
        <f t="shared" si="106"/>
        <v>1.36</v>
      </c>
      <c r="F279">
        <f t="shared" si="111"/>
        <v>0.16297601887358137</v>
      </c>
      <c r="G279">
        <f t="shared" si="99"/>
        <v>0.21837014474235927</v>
      </c>
      <c r="H279">
        <f t="shared" si="100"/>
        <v>3.499077648983899E-2</v>
      </c>
      <c r="I279" t="b">
        <f t="shared" si="112"/>
        <v>1</v>
      </c>
      <c r="J279">
        <f t="shared" si="101"/>
        <v>1.36</v>
      </c>
      <c r="K279">
        <f t="shared" si="113"/>
        <v>3.499077648983899E-2</v>
      </c>
      <c r="L279">
        <f t="shared" si="102"/>
        <v>0.15737675904888951</v>
      </c>
      <c r="M279">
        <f t="shared" si="103"/>
        <v>0.18998155297967798</v>
      </c>
      <c r="N279">
        <f t="shared" si="104"/>
        <v>0.18762095306116022</v>
      </c>
      <c r="O279">
        <f t="shared" si="105"/>
        <v>0.15777765539312194</v>
      </c>
      <c r="P279">
        <f t="shared" si="118"/>
        <v>0.08</v>
      </c>
      <c r="Q279">
        <f t="shared" si="114"/>
        <v>0.08</v>
      </c>
      <c r="R279">
        <f t="shared" si="107"/>
        <v>0.08</v>
      </c>
      <c r="S279">
        <f t="shared" si="108"/>
        <v>0.06</v>
      </c>
      <c r="T279">
        <f t="shared" si="109"/>
        <v>0.1</v>
      </c>
      <c r="U279">
        <f t="shared" si="115"/>
        <v>0.08</v>
      </c>
      <c r="V279">
        <f t="shared" si="120"/>
        <v>0.18762095306116022</v>
      </c>
      <c r="W279">
        <f t="shared" si="116"/>
        <v>0.15712175266619646</v>
      </c>
      <c r="X279">
        <f t="shared" si="117"/>
        <v>0.21853923288237281</v>
      </c>
      <c r="Y279" t="b">
        <f t="shared" si="119"/>
        <v>0</v>
      </c>
    </row>
    <row xmlns:x14ac="http://schemas.microsoft.com/office/spreadsheetml/2009/9/ac" r="280" x14ac:dyDescent="0.45">
      <c r="A280">
        <v>1.365</v>
      </c>
      <c r="B280">
        <f t="shared" si="97"/>
        <v>0.16296586242136299</v>
      </c>
      <c r="C280" t="b">
        <f t="shared" si="110"/>
        <v>1</v>
      </c>
      <c r="D280" t="b">
        <f t="shared" si="98"/>
        <v>1</v>
      </c>
      <c r="E280">
        <f t="shared" si="106"/>
        <v>1.365</v>
      </c>
      <c r="F280">
        <f t="shared" si="111"/>
        <v>0.16296586242136299</v>
      </c>
      <c r="G280">
        <f t="shared" si="99"/>
        <v>0.21832839847129648</v>
      </c>
      <c r="H280">
        <f t="shared" si="100"/>
        <v>3.4986870162062686E-2</v>
      </c>
      <c r="I280" t="b">
        <f t="shared" si="112"/>
        <v>1</v>
      </c>
      <c r="J280">
        <f t="shared" si="101"/>
        <v>1.365</v>
      </c>
      <c r="K280">
        <f t="shared" si="113"/>
        <v>3.4986870162062686E-2</v>
      </c>
      <c r="L280">
        <f t="shared" si="102"/>
        <v>0.15743971772578896</v>
      </c>
      <c r="M280">
        <f t="shared" si="103"/>
        <v>0.1899737403241254</v>
      </c>
      <c r="N280">
        <f t="shared" si="104"/>
        <v>0.18753881925081409</v>
      </c>
      <c r="O280">
        <f t="shared" si="105"/>
        <v>0.15777734825247353</v>
      </c>
      <c r="P280">
        <f t="shared" si="118"/>
        <v>0.08</v>
      </c>
      <c r="Q280">
        <f t="shared" si="114"/>
        <v>0.08</v>
      </c>
      <c r="R280">
        <f t="shared" si="107"/>
        <v>0.08</v>
      </c>
      <c r="S280">
        <f t="shared" si="108"/>
        <v>0.06</v>
      </c>
      <c r="T280">
        <f t="shared" si="109"/>
        <v>0.1</v>
      </c>
      <c r="U280">
        <f t="shared" si="115"/>
        <v>0.08</v>
      </c>
      <c r="V280">
        <f t="shared" si="120"/>
        <v>0.18753881925081409</v>
      </c>
      <c r="W280">
        <f t="shared" si="116"/>
        <v>0.15718598319273558</v>
      </c>
      <c r="X280">
        <f t="shared" si="117"/>
        <v>0.21849664328069346</v>
      </c>
      <c r="Y280" t="b">
        <f t="shared" si="119"/>
        <v>0</v>
      </c>
    </row>
    <row xmlns:x14ac="http://schemas.microsoft.com/office/spreadsheetml/2009/9/ac" r="281" x14ac:dyDescent="0.45">
      <c r="A281">
        <v>1.37</v>
      </c>
      <c r="B281">
        <f t="shared" si="97"/>
        <v>0.16295636460761445</v>
      </c>
      <c r="C281" t="b">
        <f t="shared" si="110"/>
        <v>1</v>
      </c>
      <c r="D281" t="b">
        <f t="shared" si="98"/>
        <v>1</v>
      </c>
      <c r="E281">
        <f t="shared" si="106"/>
        <v>1.37</v>
      </c>
      <c r="F281">
        <f t="shared" si="111"/>
        <v>0.16295636460761445</v>
      </c>
      <c r="G281">
        <f t="shared" si="99"/>
        <v>0.21828686041062928</v>
      </c>
      <c r="H281">
        <f t="shared" si="100"/>
        <v>3.4983217156774785E-2</v>
      </c>
      <c r="I281" t="b">
        <f t="shared" si="112"/>
        <v>1</v>
      </c>
      <c r="J281">
        <f t="shared" si="101"/>
        <v>1.37</v>
      </c>
      <c r="K281">
        <f t="shared" si="113"/>
        <v>3.4983217156774785E-2</v>
      </c>
      <c r="L281">
        <f t="shared" si="102"/>
        <v>0.15750236239497736</v>
      </c>
      <c r="M281">
        <f t="shared" si="103"/>
        <v>0.18996643431354959</v>
      </c>
      <c r="N281">
        <f t="shared" si="104"/>
        <v>0.18746133070311499</v>
      </c>
      <c r="O281">
        <f t="shared" si="105"/>
        <v>0.15777706475889941</v>
      </c>
      <c r="P281">
        <f t="shared" si="118"/>
        <v>0.08</v>
      </c>
      <c r="Q281">
        <f t="shared" si="114"/>
        <v>0.08</v>
      </c>
      <c r="R281">
        <f t="shared" si="107"/>
        <v>0.08</v>
      </c>
      <c r="S281">
        <f t="shared" si="108"/>
        <v>0.06</v>
      </c>
      <c r="T281">
        <f t="shared" si="109"/>
        <v>0.1</v>
      </c>
      <c r="U281">
        <f t="shared" si="115"/>
        <v>0.08</v>
      </c>
      <c r="V281">
        <f t="shared" si="120"/>
        <v>0.18746133070311499</v>
      </c>
      <c r="W281">
        <f t="shared" si="116"/>
        <v>0.15724989336818712</v>
      </c>
      <c r="X281">
        <f t="shared" si="117"/>
        <v>0.21845426609553864</v>
      </c>
      <c r="Y281" t="b">
        <f t="shared" si="119"/>
        <v>0</v>
      </c>
    </row>
    <row xmlns:x14ac="http://schemas.microsoft.com/office/spreadsheetml/2009/9/ac" r="282" x14ac:dyDescent="0.45">
      <c r="A282">
        <v>1.375</v>
      </c>
      <c r="B282">
        <f t="shared" si="97"/>
        <v>0.16294753874443701</v>
      </c>
      <c r="C282" t="b">
        <f t="shared" si="110"/>
        <v>1</v>
      </c>
      <c r="D282" t="b">
        <f t="shared" si="98"/>
        <v>1</v>
      </c>
      <c r="E282">
        <f t="shared" si="106"/>
        <v>1.375</v>
      </c>
      <c r="F282">
        <f t="shared" si="111"/>
        <v>0.16294753874443701</v>
      </c>
      <c r="G282">
        <f t="shared" si="99"/>
        <v>0.2182455295219039</v>
      </c>
      <c r="H282">
        <f t="shared" si="100"/>
        <v>3.4979822594014234E-2</v>
      </c>
      <c r="I282" t="b">
        <f t="shared" si="112"/>
        <v>1</v>
      </c>
      <c r="J282">
        <f t="shared" si="101"/>
        <v>1.375</v>
      </c>
      <c r="K282">
        <f t="shared" si="113"/>
        <v>3.4979822594014234E-2</v>
      </c>
      <c r="L282">
        <f t="shared" si="102"/>
        <v>0.15756469462257472</v>
      </c>
      <c r="M282">
        <f t="shared" si="103"/>
        <v>0.18995964518802849</v>
      </c>
      <c r="N282">
        <f t="shared" si="104"/>
        <v>0.18738868701113714</v>
      </c>
      <c r="O282">
        <f t="shared" si="105"/>
        <v>0.15777680479448591</v>
      </c>
      <c r="P282">
        <f t="shared" si="118"/>
        <v>0.08</v>
      </c>
      <c r="Q282">
        <f t="shared" si="114"/>
        <v>0.08</v>
      </c>
      <c r="R282">
        <f t="shared" si="107"/>
        <v>0.08</v>
      </c>
      <c r="S282">
        <f t="shared" si="108"/>
        <v>0.06</v>
      </c>
      <c r="T282">
        <f t="shared" si="109"/>
        <v>0.1</v>
      </c>
      <c r="U282">
        <f t="shared" si="115"/>
        <v>0.08</v>
      </c>
      <c r="V282">
        <f t="shared" si="120"/>
        <v>0.18738868701113714</v>
      </c>
      <c r="W282">
        <f t="shared" si="116"/>
        <v>0.15731348479030882</v>
      </c>
      <c r="X282">
        <f t="shared" si="117"/>
        <v>0.21841210026747654</v>
      </c>
      <c r="Y282" t="b">
        <f t="shared" si="119"/>
        <v>0</v>
      </c>
    </row>
    <row xmlns:x14ac="http://schemas.microsoft.com/office/spreadsheetml/2009/9/ac" r="283" x14ac:dyDescent="0.45">
      <c r="A283">
        <v>1.38</v>
      </c>
      <c r="B283">
        <f t="shared" si="97"/>
        <v>0.16293939428031246</v>
      </c>
      <c r="C283" t="b">
        <f t="shared" si="110"/>
        <v>1</v>
      </c>
      <c r="D283" t="b">
        <f t="shared" si="98"/>
        <v>1</v>
      </c>
      <c r="E283">
        <f t="shared" si="106"/>
        <v>1.38</v>
      </c>
      <c r="F283">
        <f t="shared" si="111"/>
        <v>0.16293939428031246</v>
      </c>
      <c r="G283">
        <f t="shared" si="99"/>
        <v>0.21820440477184605</v>
      </c>
      <c r="H283">
        <f t="shared" si="100"/>
        <v>3.4976690107812486E-2</v>
      </c>
      <c r="I283" t="b">
        <f t="shared" si="112"/>
        <v>1</v>
      </c>
      <c r="J283">
        <f t="shared" si="101"/>
        <v>1.38</v>
      </c>
      <c r="K283">
        <f t="shared" si="113"/>
        <v>3.4976690107812486E-2</v>
      </c>
      <c r="L283">
        <f t="shared" si="102"/>
        <v>0.15762671596688999</v>
      </c>
      <c r="M283">
        <f t="shared" si="103"/>
        <v>0.18995338021562497</v>
      </c>
      <c r="N283">
        <f t="shared" si="104"/>
        <v>0.18732105985593889</v>
      </c>
      <c r="O283">
        <f t="shared" si="105"/>
        <v>0.15777656812295443</v>
      </c>
      <c r="P283">
        <f t="shared" si="118"/>
        <v>0.08</v>
      </c>
      <c r="Q283">
        <f t="shared" si="114"/>
        <v>0.08</v>
      </c>
      <c r="R283">
        <f t="shared" si="107"/>
        <v>0.08</v>
      </c>
      <c r="S283">
        <f t="shared" si="108"/>
        <v>0.06</v>
      </c>
      <c r="T283">
        <f t="shared" si="109"/>
        <v>0.1</v>
      </c>
      <c r="U283">
        <f t="shared" si="115"/>
        <v>0.08</v>
      </c>
      <c r="V283">
        <f t="shared" si="120"/>
        <v>0.18732105985593889</v>
      </c>
      <c r="W283">
        <f t="shared" si="116"/>
        <v>0.15737675904888951</v>
      </c>
      <c r="X283">
        <f t="shared" si="117"/>
        <v>0.21837014474235927</v>
      </c>
      <c r="Y283" t="b">
        <f t="shared" si="119"/>
        <v>0</v>
      </c>
    </row>
    <row xmlns:x14ac="http://schemas.microsoft.com/office/spreadsheetml/2009/9/ac" r="284" x14ac:dyDescent="0.45">
      <c r="A284">
        <v>1.385</v>
      </c>
      <c r="B284">
        <f t="shared" si="97"/>
        <v>0.16293193694333555</v>
      </c>
      <c r="C284" t="b">
        <f t="shared" si="110"/>
        <v>1</v>
      </c>
      <c r="D284" t="b">
        <f t="shared" si="98"/>
        <v>1</v>
      </c>
      <c r="E284">
        <f t="shared" si="106"/>
        <v>1.385</v>
      </c>
      <c r="F284">
        <f t="shared" si="111"/>
        <v>0.16293193694333555</v>
      </c>
      <c r="G284">
        <f t="shared" si="99"/>
        <v>0.2181634851323348</v>
      </c>
      <c r="H284">
        <f t="shared" si="100"/>
        <v>3.4973821901282912E-2</v>
      </c>
      <c r="I284" t="b">
        <f t="shared" si="112"/>
        <v>1</v>
      </c>
      <c r="J284">
        <f t="shared" si="101"/>
        <v>1.385</v>
      </c>
      <c r="K284">
        <f t="shared" si="113"/>
        <v>3.4973821901282912E-2</v>
      </c>
      <c r="L284">
        <f t="shared" si="102"/>
        <v>0.15768842797846</v>
      </c>
      <c r="M284">
        <f t="shared" si="103"/>
        <v>0.18994764380256582</v>
      </c>
      <c r="N284">
        <f t="shared" si="104"/>
        <v>0.18725859311926912</v>
      </c>
      <c r="O284">
        <f t="shared" si="105"/>
        <v>0.15777635439915488</v>
      </c>
      <c r="P284">
        <f t="shared" si="118"/>
        <v>0.08</v>
      </c>
      <c r="Q284">
        <f t="shared" si="114"/>
        <v>0.08</v>
      </c>
      <c r="R284">
        <f t="shared" si="107"/>
        <v>0.08</v>
      </c>
      <c r="S284">
        <f t="shared" si="108"/>
        <v>0.06</v>
      </c>
      <c r="T284">
        <f t="shared" si="109"/>
        <v>0.1</v>
      </c>
      <c r="U284">
        <f t="shared" si="115"/>
        <v>0.08</v>
      </c>
      <c r="V284">
        <f t="shared" si="120"/>
        <v>0.18725859311926912</v>
      </c>
      <c r="W284">
        <f t="shared" si="116"/>
        <v>0.15743971772578896</v>
      </c>
      <c r="X284">
        <f t="shared" si="117"/>
        <v>0.21832839847129648</v>
      </c>
      <c r="Y284" t="b">
        <f t="shared" si="119"/>
        <v>0</v>
      </c>
    </row>
    <row xmlns:x14ac="http://schemas.microsoft.com/office/spreadsheetml/2009/9/ac" r="285" x14ac:dyDescent="0.45">
      <c r="A285">
        <v>1.39</v>
      </c>
      <c r="B285">
        <f t="shared" si="97"/>
        <v>0.16292516889525849</v>
      </c>
      <c r="C285" t="b">
        <f t="shared" si="110"/>
        <v>1</v>
      </c>
      <c r="D285" t="b">
        <f t="shared" si="98"/>
        <v>1</v>
      </c>
      <c r="E285">
        <f t="shared" si="106"/>
        <v>1.39</v>
      </c>
      <c r="F285">
        <f t="shared" si="111"/>
        <v>0.16292516889525849</v>
      </c>
      <c r="G285">
        <f t="shared" si="99"/>
        <v>0.21812276958037707</v>
      </c>
      <c r="H285">
        <f t="shared" si="100"/>
        <v>3.4971218805868648E-2</v>
      </c>
      <c r="I285" t="b">
        <f t="shared" si="112"/>
        <v>1</v>
      </c>
      <c r="J285">
        <f t="shared" si="101"/>
        <v>1.39</v>
      </c>
      <c r="K285">
        <f t="shared" si="113"/>
        <v>3.4971218805868648E-2</v>
      </c>
      <c r="L285">
        <f t="shared" si="102"/>
        <v>0.1577498322000882</v>
      </c>
      <c r="M285">
        <f t="shared" si="103"/>
        <v>0.18994243761173729</v>
      </c>
      <c r="N285">
        <f t="shared" si="104"/>
        <v>0.18720140311681249</v>
      </c>
      <c r="O285">
        <f t="shared" si="105"/>
        <v>0.15777616317848556</v>
      </c>
      <c r="P285">
        <f t="shared" si="118"/>
        <v>0.08</v>
      </c>
      <c r="Q285">
        <f t="shared" si="114"/>
        <v>0.08</v>
      </c>
      <c r="R285">
        <f t="shared" si="107"/>
        <v>0.08</v>
      </c>
      <c r="S285">
        <f t="shared" si="108"/>
        <v>0.06</v>
      </c>
      <c r="T285">
        <f t="shared" si="109"/>
        <v>0.1</v>
      </c>
      <c r="U285">
        <f t="shared" si="115"/>
        <v>0.08</v>
      </c>
      <c r="V285">
        <f t="shared" si="120"/>
        <v>0.18720140311681249</v>
      </c>
      <c r="W285">
        <f t="shared" si="116"/>
        <v>0.15750236239497736</v>
      </c>
      <c r="X285">
        <f t="shared" si="117"/>
        <v>0.21828686041062928</v>
      </c>
      <c r="Y285" t="b">
        <f t="shared" si="119"/>
        <v>0</v>
      </c>
    </row>
    <row xmlns:x14ac="http://schemas.microsoft.com/office/spreadsheetml/2009/9/ac" r="286" x14ac:dyDescent="0.45">
      <c r="A286">
        <v>1.395</v>
      </c>
      <c r="B286">
        <f t="shared" si="97"/>
        <v>0.16291908889508205</v>
      </c>
      <c r="C286" t="b">
        <f t="shared" si="110"/>
        <v>1</v>
      </c>
      <c r="D286" t="b">
        <f t="shared" si="98"/>
        <v>1</v>
      </c>
      <c r="E286">
        <f t="shared" si="106"/>
        <v>1.395</v>
      </c>
      <c r="F286">
        <f t="shared" si="111"/>
        <v>0.16291908889508205</v>
      </c>
      <c r="G286">
        <f t="shared" si="99"/>
        <v>0.21808225709808188</v>
      </c>
      <c r="H286">
        <f t="shared" si="100"/>
        <v>3.4968880344262335E-2</v>
      </c>
      <c r="I286" t="b">
        <f t="shared" si="112"/>
        <v>1</v>
      </c>
      <c r="J286">
        <f t="shared" si="101"/>
        <v>1.395</v>
      </c>
      <c r="K286">
        <f t="shared" si="113"/>
        <v>3.4968880344262335E-2</v>
      </c>
      <c r="L286">
        <f t="shared" si="102"/>
        <v>0.15781093016688341</v>
      </c>
      <c r="M286">
        <f t="shared" si="103"/>
        <v>0.18993776068852466</v>
      </c>
      <c r="N286">
        <f t="shared" si="104"/>
        <v>0.1871495789471368</v>
      </c>
      <c r="O286">
        <f t="shared" si="105"/>
        <v>0.15777599392619313</v>
      </c>
      <c r="P286">
        <f t="shared" si="118"/>
        <v>0.08</v>
      </c>
      <c r="Q286">
        <f t="shared" si="114"/>
        <v>0.08</v>
      </c>
      <c r="R286">
        <f t="shared" si="107"/>
        <v>0.08</v>
      </c>
      <c r="S286">
        <f t="shared" si="108"/>
        <v>0.06</v>
      </c>
      <c r="T286">
        <f t="shared" si="109"/>
        <v>0.1</v>
      </c>
      <c r="U286">
        <f t="shared" si="115"/>
        <v>0.08</v>
      </c>
      <c r="V286">
        <f t="shared" si="120"/>
        <v>0.1871495789471368</v>
      </c>
      <c r="W286">
        <f t="shared" si="116"/>
        <v>0.15756469462257472</v>
      </c>
      <c r="X286">
        <f t="shared" si="117"/>
        <v>0.2182455295219039</v>
      </c>
      <c r="Y286" t="b">
        <f t="shared" si="119"/>
        <v>0</v>
      </c>
    </row>
    <row xmlns:x14ac="http://schemas.microsoft.com/office/spreadsheetml/2009/9/ac" r="287" x14ac:dyDescent="0.45">
      <c r="A287">
        <v>1.4</v>
      </c>
      <c r="B287">
        <f t="shared" si="97"/>
        <v>0.16291369247094664</v>
      </c>
      <c r="C287" t="b">
        <f t="shared" si="110"/>
        <v>1</v>
      </c>
      <c r="D287" t="b">
        <f t="shared" si="98"/>
        <v>1</v>
      </c>
      <c r="E287">
        <f t="shared" si="106"/>
        <v>1.4</v>
      </c>
      <c r="F287">
        <f t="shared" si="111"/>
        <v>0.16291369247094664</v>
      </c>
      <c r="G287">
        <f t="shared" si="99"/>
        <v>0.2180419466726351</v>
      </c>
      <c r="H287">
        <f t="shared" si="100"/>
        <v>3.4966804796517939E-2</v>
      </c>
      <c r="I287" t="b">
        <f t="shared" si="112"/>
        <v>1</v>
      </c>
      <c r="J287">
        <f t="shared" si="101"/>
        <v>1.4</v>
      </c>
      <c r="K287">
        <f t="shared" si="113"/>
        <v>3.4966804796517939E-2</v>
      </c>
      <c r="L287">
        <f t="shared" si="102"/>
        <v>0.1578717234062979</v>
      </c>
      <c r="M287">
        <f t="shared" si="103"/>
        <v>0.18993360959303587</v>
      </c>
      <c r="N287">
        <f t="shared" si="104"/>
        <v>0.18710318295114076</v>
      </c>
      <c r="O287">
        <f t="shared" si="105"/>
        <v>0.15777584602651171</v>
      </c>
      <c r="P287">
        <f t="shared" si="118"/>
        <v>0.08</v>
      </c>
      <c r="Q287">
        <f t="shared" si="114"/>
        <v>0.08</v>
      </c>
      <c r="R287">
        <f t="shared" si="107"/>
        <v>0.08</v>
      </c>
      <c r="S287">
        <f t="shared" si="108"/>
        <v>0.06</v>
      </c>
      <c r="T287">
        <f t="shared" si="109"/>
        <v>0.1</v>
      </c>
      <c r="U287">
        <f t="shared" si="115"/>
        <v>0.08</v>
      </c>
      <c r="V287">
        <f t="shared" si="120"/>
        <v>0.18710318295114076</v>
      </c>
      <c r="W287">
        <f t="shared" si="116"/>
        <v>0.15762671596688999</v>
      </c>
      <c r="X287">
        <f t="shared" si="117"/>
        <v>0.21820440477184605</v>
      </c>
      <c r="Y287" t="b">
        <f t="shared" si="119"/>
        <v>0</v>
      </c>
    </row>
    <row xmlns:x14ac="http://schemas.microsoft.com/office/spreadsheetml/2009/9/ac" r="288" x14ac:dyDescent="0.45">
      <c r="A288">
        <v>1.405</v>
      </c>
      <c r="B288">
        <f t="shared" si="97"/>
        <v>0.16290897209909466</v>
      </c>
      <c r="C288" t="b">
        <f t="shared" si="110"/>
        <v>1</v>
      </c>
      <c r="D288" t="b">
        <f t="shared" si="98"/>
        <v>1</v>
      </c>
      <c r="E288">
        <f t="shared" si="106"/>
        <v>1.405</v>
      </c>
      <c r="F288">
        <f t="shared" si="111"/>
        <v>0.16290897209909466</v>
      </c>
      <c r="G288">
        <f t="shared" si="99"/>
        <v>0.21800183729627404</v>
      </c>
      <c r="H288">
        <f t="shared" si="100"/>
        <v>3.4964989268882557E-2</v>
      </c>
      <c r="I288" t="b">
        <f t="shared" si="112"/>
        <v>1</v>
      </c>
      <c r="J288">
        <f t="shared" si="101"/>
        <v>1.405</v>
      </c>
      <c r="K288">
        <f t="shared" si="113"/>
        <v>3.4964989268882557E-2</v>
      </c>
      <c r="L288">
        <f t="shared" si="102"/>
        <v>0.15793221343816591</v>
      </c>
      <c r="M288">
        <f t="shared" si="103"/>
        <v>0.18992997853776511</v>
      </c>
      <c r="N288">
        <f t="shared" si="104"/>
        <v>0.18706225127647111</v>
      </c>
      <c r="O288">
        <f t="shared" si="105"/>
        <v>0.15777571879160285</v>
      </c>
      <c r="P288">
        <f t="shared" si="118"/>
        <v>0.08</v>
      </c>
      <c r="Q288">
        <f t="shared" si="114"/>
        <v>0.08</v>
      </c>
      <c r="R288">
        <f t="shared" si="107"/>
        <v>0.08</v>
      </c>
      <c r="S288">
        <f t="shared" si="108"/>
        <v>0.06</v>
      </c>
      <c r="T288">
        <f t="shared" si="109"/>
        <v>0.1</v>
      </c>
      <c r="U288">
        <f t="shared" si="115"/>
        <v>0.08</v>
      </c>
      <c r="V288">
        <f t="shared" si="120"/>
        <v>0.18706225127647111</v>
      </c>
      <c r="W288">
        <f t="shared" si="116"/>
        <v>0.15768842797846</v>
      </c>
      <c r="X288">
        <f t="shared" si="117"/>
        <v>0.2181634851323348</v>
      </c>
      <c r="Y288" t="b">
        <f t="shared" si="119"/>
        <v>0</v>
      </c>
    </row>
    <row xmlns:x14ac="http://schemas.microsoft.com/office/spreadsheetml/2009/9/ac" r="289" x14ac:dyDescent="0.45">
      <c r="A289">
        <v>1.41</v>
      </c>
      <c r="B289">
        <f t="shared" si="97"/>
        <v>0.16290491738870475</v>
      </c>
      <c r="C289" t="b">
        <f t="shared" si="110"/>
        <v>1</v>
      </c>
      <c r="D289" t="b">
        <f t="shared" si="98"/>
        <v>1</v>
      </c>
      <c r="E289">
        <f t="shared" si="106"/>
        <v>1.41</v>
      </c>
      <c r="F289">
        <f t="shared" si="111"/>
        <v>0.16290491738870475</v>
      </c>
      <c r="G289">
        <f t="shared" si="99"/>
        <v>0.21796192796626207</v>
      </c>
      <c r="H289">
        <f t="shared" si="100"/>
        <v>3.496342976488645E-2</v>
      </c>
      <c r="I289" t="b">
        <f t="shared" si="112"/>
        <v>1</v>
      </c>
      <c r="J289">
        <f t="shared" si="101"/>
        <v>1.41</v>
      </c>
      <c r="K289">
        <f t="shared" si="113"/>
        <v>3.496342976488645E-2</v>
      </c>
      <c r="L289">
        <f t="shared" si="102"/>
        <v>0.15799240177474133</v>
      </c>
      <c r="M289">
        <f t="shared" si="103"/>
        <v>0.1899268595297729</v>
      </c>
      <c r="N289">
        <f t="shared" si="104"/>
        <v>0.18702679454108434</v>
      </c>
      <c r="O289">
        <f t="shared" si="105"/>
        <v>0.15777561147026198</v>
      </c>
      <c r="P289">
        <f t="shared" si="118"/>
        <v>0.08</v>
      </c>
      <c r="Q289">
        <f t="shared" si="114"/>
        <v>0.08</v>
      </c>
      <c r="R289">
        <f t="shared" si="107"/>
        <v>0.08</v>
      </c>
      <c r="S289">
        <f t="shared" si="108"/>
        <v>0.06</v>
      </c>
      <c r="T289">
        <f t="shared" si="109"/>
        <v>0.1</v>
      </c>
      <c r="U289">
        <f t="shared" si="115"/>
        <v>0.08</v>
      </c>
      <c r="V289">
        <f t="shared" si="120"/>
        <v>0.18702679454108434</v>
      </c>
      <c r="W289">
        <f t="shared" si="116"/>
        <v>0.1577498322000882</v>
      </c>
      <c r="X289">
        <f t="shared" si="117"/>
        <v>0.21812276958037707</v>
      </c>
      <c r="Y289" t="b">
        <f t="shared" si="119"/>
        <v>0</v>
      </c>
    </row>
    <row xmlns:x14ac="http://schemas.microsoft.com/office/spreadsheetml/2009/9/ac" r="290" x14ac:dyDescent="0.45">
      <c r="A290">
        <v>1.415</v>
      </c>
      <c r="B290">
        <f t="shared" si="97"/>
        <v>0.16290151527142605</v>
      </c>
      <c r="C290" t="b">
        <f t="shared" si="110"/>
        <v>1</v>
      </c>
      <c r="D290" t="b">
        <f t="shared" si="98"/>
        <v>1</v>
      </c>
      <c r="E290">
        <f t="shared" si="106"/>
        <v>1.415</v>
      </c>
      <c r="F290">
        <f t="shared" si="111"/>
        <v>0.16290151527142605</v>
      </c>
      <c r="G290">
        <f t="shared" si="99"/>
        <v>0.21792221768486397</v>
      </c>
      <c r="H290">
        <f t="shared" si="100"/>
        <v>3.4962121258240789E-2</v>
      </c>
      <c r="I290" t="b">
        <f t="shared" si="112"/>
        <v>1</v>
      </c>
      <c r="J290">
        <f t="shared" si="101"/>
        <v>1.415</v>
      </c>
      <c r="K290">
        <f t="shared" si="113"/>
        <v>3.4962121258240789E-2</v>
      </c>
      <c r="L290">
        <f t="shared" si="102"/>
        <v>0.15805228992073572</v>
      </c>
      <c r="M290">
        <f t="shared" si="103"/>
        <v>0.1899242425164816</v>
      </c>
      <c r="N290">
        <f t="shared" si="104"/>
        <v>0.18699679858986806</v>
      </c>
      <c r="O290">
        <f t="shared" si="105"/>
        <v>0.15777552325636091</v>
      </c>
      <c r="P290">
        <f t="shared" si="118"/>
        <v>0.08</v>
      </c>
      <c r="Q290">
        <f t="shared" si="114"/>
        <v>0.08</v>
      </c>
      <c r="R290">
        <f t="shared" si="107"/>
        <v>0.08</v>
      </c>
      <c r="S290">
        <f t="shared" si="108"/>
        <v>0.06</v>
      </c>
      <c r="T290">
        <f t="shared" si="109"/>
        <v>0.1</v>
      </c>
      <c r="U290">
        <f t="shared" si="115"/>
        <v>0.08</v>
      </c>
      <c r="V290">
        <f t="shared" si="120"/>
        <v>0.18699679858986806</v>
      </c>
      <c r="W290">
        <f t="shared" si="116"/>
        <v>0.15781093016688341</v>
      </c>
      <c r="X290">
        <f t="shared" si="117"/>
        <v>0.21808225709808188</v>
      </c>
      <c r="Y290" t="b">
        <f t="shared" si="119"/>
        <v>0</v>
      </c>
    </row>
    <row xmlns:x14ac="http://schemas.microsoft.com/office/spreadsheetml/2009/9/ac" r="291" x14ac:dyDescent="0.45">
      <c r="A291">
        <v>1.42</v>
      </c>
      <c r="B291">
        <f t="shared" si="97"/>
        <v>0.16289875019447739</v>
      </c>
      <c r="C291" t="b">
        <f t="shared" si="110"/>
        <v>1</v>
      </c>
      <c r="D291" t="b">
        <f t="shared" si="98"/>
        <v>1</v>
      </c>
      <c r="E291">
        <f t="shared" si="106"/>
        <v>1.42</v>
      </c>
      <c r="F291">
        <f t="shared" si="111"/>
        <v>0.16289875019447739</v>
      </c>
      <c r="G291">
        <f t="shared" si="99"/>
        <v>0.21788270545932065</v>
      </c>
      <c r="H291">
        <f t="shared" si="100"/>
        <v>3.4961057767106687E-2</v>
      </c>
      <c r="I291" t="b">
        <f t="shared" si="112"/>
        <v>1</v>
      </c>
      <c r="J291">
        <f t="shared" si="101"/>
        <v>1.42</v>
      </c>
      <c r="K291">
        <f t="shared" si="113"/>
        <v>3.4961057767106687E-2</v>
      </c>
      <c r="L291">
        <f t="shared" si="102"/>
        <v>0.15811187937335586</v>
      </c>
      <c r="M291">
        <f t="shared" si="103"/>
        <v>0.1899221155342134</v>
      </c>
      <c r="N291">
        <f t="shared" si="104"/>
        <v>0.18697222533801422</v>
      </c>
      <c r="O291">
        <f t="shared" si="105"/>
        <v>0.1577754532969991</v>
      </c>
      <c r="P291">
        <f t="shared" si="118"/>
        <v>0.08</v>
      </c>
      <c r="Q291">
        <f t="shared" si="114"/>
        <v>0.08</v>
      </c>
      <c r="R291">
        <f t="shared" si="107"/>
        <v>0.08</v>
      </c>
      <c r="S291">
        <f t="shared" si="108"/>
        <v>0.06</v>
      </c>
      <c r="T291">
        <f t="shared" si="109"/>
        <v>0.1</v>
      </c>
      <c r="U291">
        <f t="shared" si="115"/>
        <v>0.08</v>
      </c>
      <c r="V291">
        <f t="shared" si="120"/>
        <v>0.18697222533801422</v>
      </c>
      <c r="W291">
        <f t="shared" si="116"/>
        <v>0.1578717234062979</v>
      </c>
      <c r="X291">
        <f t="shared" si="117"/>
        <v>0.2180419466726351</v>
      </c>
      <c r="Y291" t="b">
        <f t="shared" si="119"/>
        <v>0</v>
      </c>
    </row>
    <row xmlns:x14ac="http://schemas.microsoft.com/office/spreadsheetml/2009/9/ac" r="292" x14ac:dyDescent="0.45">
      <c r="A292">
        <v>1.425</v>
      </c>
      <c r="B292">
        <f t="shared" si="97"/>
        <v>0.16289660431621358</v>
      </c>
      <c r="C292" t="b">
        <f t="shared" si="110"/>
        <v>1</v>
      </c>
      <c r="D292" t="b">
        <f t="shared" si="98"/>
        <v>1</v>
      </c>
      <c r="E292">
        <f t="shared" si="106"/>
        <v>1.425</v>
      </c>
      <c r="F292">
        <f t="shared" si="111"/>
        <v>0.16289660431621358</v>
      </c>
      <c r="G292">
        <f t="shared" si="99"/>
        <v>0.21784339030182431</v>
      </c>
      <c r="H292">
        <f t="shared" si="100"/>
        <v>3.4960232429312926E-2</v>
      </c>
      <c r="I292" t="b">
        <f t="shared" si="112"/>
        <v>1</v>
      </c>
      <c r="J292">
        <f t="shared" si="101"/>
        <v>1.425</v>
      </c>
      <c r="K292">
        <f t="shared" si="113"/>
        <v>3.4960232429312926E-2</v>
      </c>
      <c r="L292">
        <f t="shared" si="102"/>
        <v>0.15817117162234112</v>
      </c>
      <c r="M292">
        <f t="shared" si="103"/>
        <v>0.18992046485862585</v>
      </c>
      <c r="N292">
        <f t="shared" si="104"/>
        <v>0.18695301369464756</v>
      </c>
      <c r="O292">
        <f t="shared" si="105"/>
        <v>0.15777540070034068</v>
      </c>
      <c r="P292">
        <f t="shared" si="118"/>
        <v>0.08</v>
      </c>
      <c r="Q292">
        <f t="shared" si="114"/>
        <v>0.08</v>
      </c>
      <c r="R292">
        <f t="shared" si="107"/>
        <v>0.08</v>
      </c>
      <c r="S292">
        <f t="shared" si="108"/>
        <v>0.06</v>
      </c>
      <c r="T292">
        <f t="shared" si="109"/>
        <v>0.1</v>
      </c>
      <c r="U292">
        <f t="shared" si="115"/>
        <v>0.08</v>
      </c>
      <c r="V292">
        <f t="shared" si="120"/>
        <v>0.18695301369464756</v>
      </c>
      <c r="W292">
        <f t="shared" si="116"/>
        <v>0.15793221343816591</v>
      </c>
      <c r="X292">
        <f t="shared" si="117"/>
        <v>0.21800183729627404</v>
      </c>
      <c r="Y292" t="b">
        <f t="shared" si="119"/>
        <v>0</v>
      </c>
    </row>
    <row xmlns:x14ac="http://schemas.microsoft.com/office/spreadsheetml/2009/9/ac" r="293" x14ac:dyDescent="0.45">
      <c r="A293">
        <v>1.43</v>
      </c>
      <c r="B293">
        <f t="shared" si="97"/>
        <v>0.162895057703103</v>
      </c>
      <c r="C293" t="b">
        <f t="shared" si="110"/>
        <v>1</v>
      </c>
      <c r="D293" t="b">
        <f t="shared" si="98"/>
        <v>1</v>
      </c>
      <c r="E293">
        <f t="shared" si="106"/>
        <v>1.43</v>
      </c>
      <c r="F293">
        <f t="shared" si="111"/>
        <v>0.162895057703103</v>
      </c>
      <c r="G293">
        <f t="shared" si="99"/>
        <v>0.21780427122949403</v>
      </c>
      <c r="H293">
        <f t="shared" si="100"/>
        <v>3.4959637578116542E-2</v>
      </c>
      <c r="I293" t="b">
        <f t="shared" si="112"/>
        <v>1</v>
      </c>
      <c r="J293">
        <f t="shared" si="101"/>
        <v>1.43</v>
      </c>
      <c r="K293">
        <f t="shared" si="113"/>
        <v>3.4959637578116542E-2</v>
      </c>
      <c r="L293">
        <f t="shared" si="102"/>
        <v>0.1582301681500009</v>
      </c>
      <c r="M293">
        <f t="shared" si="103"/>
        <v>0.18991927515623308</v>
      </c>
      <c r="N293">
        <f t="shared" si="104"/>
        <v>0.18693908056005873</v>
      </c>
      <c r="O293">
        <f t="shared" si="105"/>
        <v>0.15777536454311591</v>
      </c>
      <c r="P293">
        <f t="shared" si="118"/>
        <v>0.08</v>
      </c>
      <c r="Q293">
        <f t="shared" si="114"/>
        <v>0.08</v>
      </c>
      <c r="R293">
        <f t="shared" si="107"/>
        <v>0.08</v>
      </c>
      <c r="S293">
        <f t="shared" si="108"/>
        <v>0.06</v>
      </c>
      <c r="T293">
        <f t="shared" si="109"/>
        <v>0.1</v>
      </c>
      <c r="U293">
        <f t="shared" si="115"/>
        <v>0.08</v>
      </c>
      <c r="V293">
        <f t="shared" si="120"/>
        <v>0.18693908056005873</v>
      </c>
      <c r="W293">
        <f t="shared" si="116"/>
        <v>0.15799240177474133</v>
      </c>
      <c r="X293">
        <f t="shared" si="117"/>
        <v>0.21796192796626207</v>
      </c>
      <c r="Y293" t="b">
        <f t="shared" si="119"/>
        <v>0</v>
      </c>
    </row>
    <row xmlns:x14ac="http://schemas.microsoft.com/office/spreadsheetml/2009/9/ac" r="294" x14ac:dyDescent="0.45">
      <c r="A294">
        <v>1.4350000000000001</v>
      </c>
      <c r="B294">
        <f t="shared" si="97"/>
        <v>0.16289408852710499</v>
      </c>
      <c r="C294" t="b">
        <f t="shared" si="110"/>
        <v>1</v>
      </c>
      <c r="D294" t="b">
        <f t="shared" si="98"/>
        <v>1</v>
      </c>
      <c r="E294">
        <f t="shared" si="106"/>
        <v>1.4350000000000001</v>
      </c>
      <c r="F294">
        <f t="shared" si="111"/>
        <v>0.16289408852710499</v>
      </c>
      <c r="G294">
        <f t="shared" si="99"/>
        <v>0.21776534726435098</v>
      </c>
      <c r="H294">
        <f t="shared" si="100"/>
        <v>3.4959264818117314E-2</v>
      </c>
      <c r="I294" t="b">
        <f t="shared" si="112"/>
        <v>1</v>
      </c>
      <c r="J294">
        <f t="shared" si="101"/>
        <v>1.4350000000000001</v>
      </c>
      <c r="K294">
        <f t="shared" si="113"/>
        <v>3.4959264818117314E-2</v>
      </c>
      <c r="L294">
        <f t="shared" si="102"/>
        <v>0.15828887043125139</v>
      </c>
      <c r="M294">
        <f t="shared" si="103"/>
        <v>0.18991852963623462</v>
      </c>
      <c r="N294">
        <f t="shared" si="104"/>
        <v>0.18693032188977265</v>
      </c>
      <c r="O294">
        <f t="shared" si="105"/>
        <v>0.15777534387777098</v>
      </c>
      <c r="P294">
        <f t="shared" si="118"/>
        <v>0.08</v>
      </c>
      <c r="Q294">
        <f t="shared" si="114"/>
        <v>0.08</v>
      </c>
      <c r="R294">
        <f t="shared" si="107"/>
        <v>0.08</v>
      </c>
      <c r="S294">
        <f t="shared" si="108"/>
        <v>0.06</v>
      </c>
      <c r="T294">
        <f t="shared" si="109"/>
        <v>0.1</v>
      </c>
      <c r="U294">
        <f t="shared" si="115"/>
        <v>0.08</v>
      </c>
      <c r="V294">
        <f t="shared" si="120"/>
        <v>0.18693032188977265</v>
      </c>
      <c r="W294">
        <f t="shared" si="116"/>
        <v>0.15805228992073572</v>
      </c>
      <c r="X294">
        <f t="shared" si="117"/>
        <v>0.21792221768486397</v>
      </c>
      <c r="Y294" t="b">
        <f t="shared" si="119"/>
        <v>0</v>
      </c>
    </row>
    <row xmlns:x14ac="http://schemas.microsoft.com/office/spreadsheetml/2009/9/ac" r="295" x14ac:dyDescent="0.45">
      <c r="A295">
        <v>1.44</v>
      </c>
      <c r="B295">
        <f t="shared" si="97"/>
        <v>0.16289367326248444</v>
      </c>
      <c r="C295" t="b">
        <f t="shared" si="110"/>
        <v>1</v>
      </c>
      <c r="D295" t="b">
        <f t="shared" si="98"/>
        <v>1</v>
      </c>
      <c r="E295">
        <f t="shared" si="106"/>
        <v>1.44</v>
      </c>
      <c r="F295">
        <f t="shared" si="111"/>
        <v>0.16289367326248444</v>
      </c>
      <c r="G295">
        <f t="shared" si="99"/>
        <v>0.21772661743329402</v>
      </c>
      <c r="H295">
        <f t="shared" si="100"/>
        <v>3.4959105100955554E-2</v>
      </c>
      <c r="I295" t="b">
        <f t="shared" si="112"/>
        <v>1</v>
      </c>
      <c r="J295">
        <f t="shared" si="101"/>
        <v>1.44</v>
      </c>
      <c r="K295">
        <f t="shared" si="113"/>
        <v>3.4959105100955554E-2</v>
      </c>
      <c r="L295">
        <f t="shared" si="102"/>
        <v>0.15834727993365272</v>
      </c>
      <c r="M295">
        <f t="shared" si="103"/>
        <v>0.18991821020191113</v>
      </c>
      <c r="N295">
        <f t="shared" si="104"/>
        <v>0.18692661381859771</v>
      </c>
      <c r="O295">
        <f t="shared" si="105"/>
        <v>0.15777533773925168</v>
      </c>
      <c r="P295">
        <f t="shared" si="118"/>
        <v>0.08</v>
      </c>
      <c r="Q295">
        <f t="shared" si="114"/>
        <v>0.08</v>
      </c>
      <c r="R295">
        <f t="shared" si="107"/>
        <v>0.08</v>
      </c>
      <c r="S295">
        <f t="shared" si="108"/>
        <v>0.06</v>
      </c>
      <c r="T295">
        <f t="shared" si="109"/>
        <v>0.1</v>
      </c>
      <c r="U295">
        <f t="shared" si="115"/>
        <v>0.08</v>
      </c>
      <c r="V295">
        <f t="shared" si="120"/>
        <v>0.18692661381859771</v>
      </c>
      <c r="W295">
        <f t="shared" si="116"/>
        <v>0.15811187937335586</v>
      </c>
      <c r="X295">
        <f t="shared" si="117"/>
        <v>0.21788270545932065</v>
      </c>
      <c r="Y295" t="b">
        <f t="shared" si="119"/>
        <v>0</v>
      </c>
    </row>
    <row xmlns:x14ac="http://schemas.microsoft.com/office/spreadsheetml/2009/9/ac" r="296" x14ac:dyDescent="0.45">
      <c r="A296">
        <v>1.4450000000000001</v>
      </c>
      <c r="B296">
        <f t="shared" si="97"/>
        <v>0.16289378688114795</v>
      </c>
      <c r="C296" t="b">
        <f t="shared" si="110"/>
        <v>1</v>
      </c>
      <c r="D296" t="b">
        <f t="shared" si="98"/>
        <v>1</v>
      </c>
      <c r="E296">
        <f t="shared" si="106"/>
        <v>1.4450000000000001</v>
      </c>
      <c r="F296">
        <f t="shared" si="111"/>
        <v>0.16289378688114795</v>
      </c>
      <c r="G296">
        <f t="shared" si="99"/>
        <v>0.21768808076807528</v>
      </c>
      <c r="H296">
        <f t="shared" si="100"/>
        <v>3.4959148800441514E-2</v>
      </c>
      <c r="I296" t="b">
        <f t="shared" si="112"/>
        <v>1</v>
      </c>
      <c r="J296">
        <f t="shared" si="101"/>
        <v>1.4450000000000001</v>
      </c>
      <c r="K296">
        <f t="shared" si="113"/>
        <v>3.4959148800441514E-2</v>
      </c>
      <c r="L296">
        <f t="shared" si="102"/>
        <v>0.15840539811744547</v>
      </c>
      <c r="M296">
        <f t="shared" si="103"/>
        <v>0.18991829760088302</v>
      </c>
      <c r="N296">
        <f t="shared" si="104"/>
        <v>0.18692781383774901</v>
      </c>
      <c r="O296">
        <f t="shared" si="105"/>
        <v>0.15777534515140962</v>
      </c>
      <c r="P296">
        <f t="shared" si="118"/>
        <v>0.08</v>
      </c>
      <c r="Q296">
        <f t="shared" si="114"/>
        <v>0.08</v>
      </c>
      <c r="R296">
        <f t="shared" si="107"/>
        <v>0.08</v>
      </c>
      <c r="S296">
        <f t="shared" si="108"/>
        <v>0.06</v>
      </c>
      <c r="T296">
        <f t="shared" si="109"/>
        <v>0.1</v>
      </c>
      <c r="U296">
        <f t="shared" si="115"/>
        <v>0.08</v>
      </c>
      <c r="V296">
        <f t="shared" si="120"/>
        <v>0.18692781383774901</v>
      </c>
      <c r="W296">
        <f t="shared" si="116"/>
        <v>0.15817117162234112</v>
      </c>
      <c r="X296">
        <f t="shared" si="117"/>
        <v>0.21784339030182431</v>
      </c>
      <c r="Y296" t="b">
        <f t="shared" si="119"/>
        <v>0</v>
      </c>
    </row>
    <row xmlns:x14ac="http://schemas.microsoft.com/office/spreadsheetml/2009/9/ac" r="297" x14ac:dyDescent="0.45">
      <c r="A297">
        <v>1.45</v>
      </c>
      <c r="B297">
        <f t="shared" si="97"/>
        <v>0.16289440304564071</v>
      </c>
      <c r="C297" t="b">
        <f t="shared" si="110"/>
        <v>1</v>
      </c>
      <c r="D297" t="b">
        <f t="shared" si="98"/>
        <v>1</v>
      </c>
      <c r="E297">
        <f t="shared" si="106"/>
        <v>1.45</v>
      </c>
      <c r="F297">
        <f t="shared" si="111"/>
        <v>0.16289440304564071</v>
      </c>
      <c r="G297">
        <f t="shared" si="99"/>
        <v>0.21764973630527612</v>
      </c>
      <c r="H297">
        <f t="shared" si="100"/>
        <v>3.4959385786784883E-2</v>
      </c>
      <c r="I297" t="b">
        <f t="shared" si="112"/>
        <v>1</v>
      </c>
      <c r="J297">
        <f t="shared" si="101"/>
        <v>1.45</v>
      </c>
      <c r="K297">
        <f t="shared" si="113"/>
        <v>3.4959385786784883E-2</v>
      </c>
      <c r="L297">
        <f t="shared" si="102"/>
        <v>0.1584632264355873</v>
      </c>
      <c r="M297">
        <f t="shared" si="103"/>
        <v>0.18991877157356979</v>
      </c>
      <c r="N297">
        <f t="shared" si="104"/>
        <v>0.18693376201812034</v>
      </c>
      <c r="O297">
        <f t="shared" si="105"/>
        <v>0.15777536513302365</v>
      </c>
      <c r="P297">
        <f t="shared" si="118"/>
        <v>0.08</v>
      </c>
      <c r="Q297">
        <f t="shared" si="114"/>
        <v>0.08</v>
      </c>
      <c r="R297">
        <f t="shared" si="107"/>
        <v>0.08</v>
      </c>
      <c r="S297">
        <f t="shared" si="108"/>
        <v>0.06</v>
      </c>
      <c r="T297">
        <f t="shared" si="109"/>
        <v>0.1</v>
      </c>
      <c r="U297">
        <f t="shared" si="115"/>
        <v>0.08</v>
      </c>
      <c r="V297">
        <f t="shared" si="120"/>
        <v>0.18693376201812034</v>
      </c>
      <c r="W297">
        <f t="shared" si="116"/>
        <v>0.1582301681500009</v>
      </c>
      <c r="X297">
        <f t="shared" si="117"/>
        <v>0.21780427122949403</v>
      </c>
      <c r="Y297" t="b">
        <f t="shared" si="119"/>
        <v>0</v>
      </c>
    </row>
    <row xmlns:x14ac="http://schemas.microsoft.com/office/spreadsheetml/2009/9/ac" r="298" x14ac:dyDescent="0.45">
      <c r="A298">
        <v>1.4550000000000001</v>
      </c>
      <c r="B298">
        <f t="shared" si="97"/>
        <v>0.16289549429899414</v>
      </c>
      <c r="C298" t="b">
        <f t="shared" si="110"/>
        <v>1</v>
      </c>
      <c r="D298" t="b">
        <f t="shared" si="98"/>
        <v>1</v>
      </c>
      <c r="E298">
        <f t="shared" si="106"/>
        <v>1.4550000000000001</v>
      </c>
      <c r="F298">
        <f t="shared" si="111"/>
        <v>0.16289549429899414</v>
      </c>
      <c r="G298">
        <f t="shared" si="99"/>
        <v>0.21761158308628309</v>
      </c>
      <c r="H298">
        <f t="shared" si="100"/>
        <v>3.4959805499613125E-2</v>
      </c>
      <c r="I298" t="b">
        <f t="shared" si="112"/>
        <v>1</v>
      </c>
      <c r="J298">
        <f t="shared" si="101"/>
        <v>1.4550000000000001</v>
      </c>
      <c r="K298">
        <f t="shared" si="113"/>
        <v>3.4959805499613125E-2</v>
      </c>
      <c r="L298">
        <f t="shared" si="102"/>
        <v>0.15852076633378909</v>
      </c>
      <c r="M298">
        <f t="shared" si="103"/>
        <v>0.18991961099922627</v>
      </c>
      <c r="N298">
        <f t="shared" si="104"/>
        <v>0.18694428227279056</v>
      </c>
      <c r="O298">
        <f t="shared" si="105"/>
        <v>0.15777539670342977</v>
      </c>
      <c r="P298">
        <f t="shared" si="118"/>
        <v>0.08</v>
      </c>
      <c r="Q298">
        <f t="shared" si="114"/>
        <v>0.08</v>
      </c>
      <c r="R298">
        <f t="shared" si="107"/>
        <v>0.08</v>
      </c>
      <c r="S298">
        <f t="shared" si="108"/>
        <v>0.06</v>
      </c>
      <c r="T298">
        <f t="shared" si="109"/>
        <v>0.1</v>
      </c>
      <c r="U298">
        <f t="shared" si="115"/>
        <v>0.08</v>
      </c>
      <c r="V298">
        <f t="shared" si="120"/>
        <v>0.18694428227279056</v>
      </c>
      <c r="W298">
        <f t="shared" si="116"/>
        <v>0.15828887043125139</v>
      </c>
      <c r="X298">
        <f t="shared" si="117"/>
        <v>0.21776534726435098</v>
      </c>
      <c r="Y298" t="b">
        <f t="shared" si="119"/>
        <v>0</v>
      </c>
    </row>
    <row xmlns:x14ac="http://schemas.microsoft.com/office/spreadsheetml/2009/9/ac" r="299" x14ac:dyDescent="0.45">
      <c r="A299">
        <v>1.46</v>
      </c>
      <c r="B299">
        <f t="shared" si="97"/>
        <v>0.1628970322506699</v>
      </c>
      <c r="C299" t="b">
        <f t="shared" si="110"/>
        <v>1</v>
      </c>
      <c r="D299" t="b">
        <f t="shared" si="98"/>
        <v>1</v>
      </c>
      <c r="E299">
        <f t="shared" si="106"/>
        <v>1.46</v>
      </c>
      <c r="F299">
        <f t="shared" si="111"/>
        <v>0.1628970322506699</v>
      </c>
      <c r="G299">
        <f t="shared" si="99"/>
        <v>0.21757362015726361</v>
      </c>
      <c r="H299">
        <f t="shared" si="100"/>
        <v>3.4960397019488429E-2</v>
      </c>
      <c r="I299" t="b">
        <f t="shared" si="112"/>
        <v>1</v>
      </c>
      <c r="J299">
        <f t="shared" si="101"/>
        <v>1.46</v>
      </c>
      <c r="K299">
        <f t="shared" si="113"/>
        <v>3.4960397019488429E-2</v>
      </c>
      <c r="L299">
        <f t="shared" si="102"/>
        <v>0.15857801925055137</v>
      </c>
      <c r="M299">
        <f t="shared" si="103"/>
        <v>0.18992079403897685</v>
      </c>
      <c r="N299">
        <f t="shared" si="104"/>
        <v>0.18695918365189354</v>
      </c>
      <c r="O299">
        <f t="shared" si="105"/>
        <v>0.15777543888775719</v>
      </c>
      <c r="P299">
        <f t="shared" si="118"/>
        <v>0.08</v>
      </c>
      <c r="Q299">
        <f t="shared" si="114"/>
        <v>0.08</v>
      </c>
      <c r="R299">
        <f t="shared" si="107"/>
        <v>0.08</v>
      </c>
      <c r="S299">
        <f t="shared" si="108"/>
        <v>0.06</v>
      </c>
      <c r="T299">
        <f t="shared" si="109"/>
        <v>0.1</v>
      </c>
      <c r="U299">
        <f t="shared" si="115"/>
        <v>0.08</v>
      </c>
      <c r="V299">
        <f t="shared" si="120"/>
        <v>0.18695918365189354</v>
      </c>
      <c r="W299">
        <f t="shared" si="116"/>
        <v>0.15834727993365272</v>
      </c>
      <c r="X299">
        <f t="shared" si="117"/>
        <v>0.21772661743329402</v>
      </c>
      <c r="Y299" t="b">
        <f t="shared" si="119"/>
        <v>0</v>
      </c>
    </row>
    <row xmlns:x14ac="http://schemas.microsoft.com/office/spreadsheetml/2009/9/ac" r="300" x14ac:dyDescent="0.45">
      <c r="A300">
        <v>1.4650000000000001</v>
      </c>
      <c r="B300">
        <f t="shared" si="97"/>
        <v>0.16289898775790121</v>
      </c>
      <c r="C300" t="b">
        <f t="shared" si="110"/>
        <v>1</v>
      </c>
      <c r="D300" t="b">
        <f t="shared" si="98"/>
        <v>1</v>
      </c>
      <c r="E300">
        <f t="shared" si="106"/>
        <v>1.4650000000000001</v>
      </c>
      <c r="F300">
        <f t="shared" si="111"/>
        <v>0.16289898775790121</v>
      </c>
      <c r="G300">
        <f t="shared" si="99"/>
        <v>0.21753584656914254</v>
      </c>
      <c r="H300">
        <f t="shared" si="100"/>
        <v>3.4961149137654315E-2</v>
      </c>
      <c r="I300" t="b">
        <f t="shared" si="112"/>
        <v>1</v>
      </c>
      <c r="J300">
        <f t="shared" si="101"/>
        <v>1.4650000000000001</v>
      </c>
      <c r="K300">
        <f t="shared" si="113"/>
        <v>3.4961149137654315E-2</v>
      </c>
      <c r="L300">
        <f t="shared" si="102"/>
        <v>0.15863498661720005</v>
      </c>
      <c r="M300">
        <f t="shared" si="103"/>
        <v>0.18992229827530863</v>
      </c>
      <c r="N300">
        <f t="shared" si="104"/>
        <v>0.1869782616630527</v>
      </c>
      <c r="O300">
        <f t="shared" si="105"/>
        <v>0.15777549072176933</v>
      </c>
      <c r="P300">
        <f t="shared" si="118"/>
        <v>0.08</v>
      </c>
      <c r="Q300">
        <f t="shared" si="114"/>
        <v>0.08</v>
      </c>
      <c r="R300">
        <f t="shared" si="107"/>
        <v>0.08</v>
      </c>
      <c r="S300">
        <f t="shared" si="108"/>
        <v>0.06</v>
      </c>
      <c r="T300">
        <f t="shared" si="109"/>
        <v>0.1</v>
      </c>
      <c r="U300">
        <f t="shared" si="115"/>
        <v>0.08</v>
      </c>
      <c r="V300">
        <f t="shared" si="120"/>
        <v>0.1869782616630527</v>
      </c>
      <c r="W300">
        <f t="shared" si="116"/>
        <v>0.15840539811744547</v>
      </c>
      <c r="X300">
        <f t="shared" si="117"/>
        <v>0.21768808076807528</v>
      </c>
      <c r="Y300" t="b">
        <f t="shared" si="119"/>
        <v>0</v>
      </c>
    </row>
    <row xmlns:x14ac="http://schemas.microsoft.com/office/spreadsheetml/2009/9/ac" r="301" x14ac:dyDescent="0.45">
      <c r="A301">
        <v>1.47</v>
      </c>
      <c r="B301">
        <f t="shared" si="97"/>
        <v>0.16290133110178839</v>
      </c>
      <c r="C301" t="b">
        <f t="shared" si="110"/>
        <v>1</v>
      </c>
      <c r="D301" t="b">
        <f t="shared" si="98"/>
        <v>1</v>
      </c>
      <c r="E301">
        <f t="shared" si="106"/>
        <v>1.47</v>
      </c>
      <c r="F301">
        <f t="shared" si="111"/>
        <v>0.16290133110178839</v>
      </c>
      <c r="G301">
        <f t="shared" si="99"/>
        <v>0.21749826137757822</v>
      </c>
      <c r="H301">
        <f t="shared" si="100"/>
        <v>3.4962050423764768E-2</v>
      </c>
      <c r="I301" t="b">
        <f t="shared" si="112"/>
        <v>1</v>
      </c>
      <c r="J301">
        <f t="shared" si="101"/>
        <v>1.47</v>
      </c>
      <c r="K301">
        <f t="shared" si="113"/>
        <v>3.4962050423764768E-2</v>
      </c>
      <c r="L301">
        <f t="shared" si="102"/>
        <v>0.15869166985792221</v>
      </c>
      <c r="M301">
        <f t="shared" si="103"/>
        <v>0.18992410084752953</v>
      </c>
      <c r="N301">
        <f t="shared" si="104"/>
        <v>0.18700129961068032</v>
      </c>
      <c r="O301">
        <f t="shared" si="105"/>
        <v>0.1577755512563116</v>
      </c>
      <c r="P301">
        <f t="shared" si="118"/>
        <v>0.08</v>
      </c>
      <c r="Q301">
        <f t="shared" si="114"/>
        <v>0.08</v>
      </c>
      <c r="R301">
        <f t="shared" si="107"/>
        <v>0.08</v>
      </c>
      <c r="S301">
        <f t="shared" si="108"/>
        <v>0.06</v>
      </c>
      <c r="T301">
        <f t="shared" si="109"/>
        <v>0.1</v>
      </c>
      <c r="U301">
        <f t="shared" si="115"/>
        <v>0.08</v>
      </c>
      <c r="V301">
        <f t="shared" si="120"/>
        <v>0.18700129961068032</v>
      </c>
      <c r="W301">
        <f t="shared" si="116"/>
        <v>0.1584632264355873</v>
      </c>
      <c r="X301">
        <f t="shared" si="117"/>
        <v>0.21764973630527612</v>
      </c>
      <c r="Y301" t="b">
        <f t="shared" si="119"/>
        <v>0</v>
      </c>
    </row>
    <row xmlns:x14ac="http://schemas.microsoft.com/office/spreadsheetml/2009/9/ac" r="302" x14ac:dyDescent="0.45">
      <c r="A302">
        <v>1.4750000000000001</v>
      </c>
      <c r="B302">
        <f t="shared" si="97"/>
        <v>0.16290403215756236</v>
      </c>
      <c r="C302" t="b">
        <f t="shared" si="110"/>
        <v>1</v>
      </c>
      <c r="D302" t="b">
        <f t="shared" si="98"/>
        <v>1</v>
      </c>
      <c r="E302">
        <f t="shared" si="106"/>
        <v>1.4750000000000001</v>
      </c>
      <c r="F302">
        <f t="shared" si="111"/>
        <v>0.16290403215756236</v>
      </c>
      <c r="G302">
        <f t="shared" si="99"/>
        <v>0.21746086364293882</v>
      </c>
      <c r="H302">
        <f t="shared" si="100"/>
        <v>3.4963089291370139E-2</v>
      </c>
      <c r="I302" t="b">
        <f t="shared" si="112"/>
        <v>1</v>
      </c>
      <c r="J302">
        <f t="shared" si="101"/>
        <v>1.4750000000000001</v>
      </c>
      <c r="K302">
        <f t="shared" si="113"/>
        <v>3.4963089291370139E-2</v>
      </c>
      <c r="L302">
        <f t="shared" si="102"/>
        <v>0.15874807038980182</v>
      </c>
      <c r="M302">
        <f t="shared" si="103"/>
        <v>0.18992617858274027</v>
      </c>
      <c r="N302">
        <f t="shared" si="104"/>
        <v>0.1870280699475701</v>
      </c>
      <c r="O302">
        <f t="shared" si="105"/>
        <v>0.15777561956136868</v>
      </c>
      <c r="P302">
        <f t="shared" si="118"/>
        <v>0.08</v>
      </c>
      <c r="Q302">
        <f t="shared" si="114"/>
        <v>0.08</v>
      </c>
      <c r="R302">
        <f t="shared" si="107"/>
        <v>0.08</v>
      </c>
      <c r="S302">
        <f t="shared" si="108"/>
        <v>0.06</v>
      </c>
      <c r="T302">
        <f t="shared" si="109"/>
        <v>0.1</v>
      </c>
      <c r="U302">
        <f t="shared" si="115"/>
        <v>0.08</v>
      </c>
      <c r="V302">
        <f t="shared" si="120"/>
        <v>0.1870280699475701</v>
      </c>
      <c r="W302">
        <f t="shared" si="116"/>
        <v>0.15852076633378909</v>
      </c>
      <c r="X302">
        <f t="shared" si="117"/>
        <v>0.21761158308628309</v>
      </c>
      <c r="Y302" t="b">
        <f t="shared" si="119"/>
        <v>0</v>
      </c>
    </row>
    <row xmlns:x14ac="http://schemas.microsoft.com/office/spreadsheetml/2009/9/ac" r="303" x14ac:dyDescent="0.45">
      <c r="A303">
        <v>1.48</v>
      </c>
      <c r="B303">
        <f t="shared" si="97"/>
        <v>0.16290706055848547</v>
      </c>
      <c r="C303" t="b">
        <f t="shared" si="110"/>
        <v>1</v>
      </c>
      <c r="D303" t="b">
        <f t="shared" si="98"/>
        <v>1</v>
      </c>
      <c r="E303">
        <f t="shared" si="106"/>
        <v>1.48</v>
      </c>
      <c r="F303">
        <f t="shared" si="111"/>
        <v>0.16290706055848547</v>
      </c>
      <c r="G303">
        <f t="shared" si="99"/>
        <v>0.21742365243027911</v>
      </c>
      <c r="H303">
        <f t="shared" si="100"/>
        <v>3.4964254060955949E-2</v>
      </c>
      <c r="I303" t="b">
        <f t="shared" si="112"/>
        <v>1</v>
      </c>
      <c r="J303">
        <f t="shared" si="101"/>
        <v>1.48</v>
      </c>
      <c r="K303">
        <f t="shared" si="113"/>
        <v>3.4964254060955949E-2</v>
      </c>
      <c r="L303">
        <f t="shared" si="102"/>
        <v>0.15880418962285517</v>
      </c>
      <c r="M303">
        <f t="shared" si="103"/>
        <v>0.18992850812191192</v>
      </c>
      <c r="N303">
        <f t="shared" si="104"/>
        <v>0.18705833563236174</v>
      </c>
      <c r="O303">
        <f t="shared" si="105"/>
        <v>0.15777569472973729</v>
      </c>
      <c r="P303">
        <f t="shared" si="118"/>
        <v>0.08</v>
      </c>
      <c r="Q303">
        <f t="shared" si="114"/>
        <v>0.08</v>
      </c>
      <c r="R303">
        <f t="shared" si="107"/>
        <v>0.08</v>
      </c>
      <c r="S303">
        <f t="shared" si="108"/>
        <v>0.06</v>
      </c>
      <c r="T303">
        <f t="shared" si="109"/>
        <v>0.1</v>
      </c>
      <c r="U303">
        <f t="shared" si="115"/>
        <v>0.08</v>
      </c>
      <c r="V303">
        <f t="shared" si="120"/>
        <v>0.18705833563236174</v>
      </c>
      <c r="W303">
        <f t="shared" si="116"/>
        <v>0.15857801925055137</v>
      </c>
      <c r="X303">
        <f t="shared" si="117"/>
        <v>0.21757362015726361</v>
      </c>
      <c r="Y303" t="b">
        <f t="shared" si="119"/>
        <v>0</v>
      </c>
    </row>
    <row xmlns:x14ac="http://schemas.microsoft.com/office/spreadsheetml/2009/9/ac" r="304" x14ac:dyDescent="0.45">
      <c r="A304">
        <v>1.4850000000000001</v>
      </c>
      <c r="B304">
        <f t="shared" si="97"/>
        <v>0.16291038585291667</v>
      </c>
      <c r="C304" t="b">
        <f t="shared" si="110"/>
        <v>1</v>
      </c>
      <c r="D304" t="b">
        <f t="shared" si="98"/>
        <v>1</v>
      </c>
      <c r="E304">
        <f t="shared" si="106"/>
        <v>1.4850000000000001</v>
      </c>
      <c r="F304">
        <f t="shared" si="111"/>
        <v>0.16291038585291667</v>
      </c>
      <c r="G304">
        <f t="shared" si="99"/>
        <v>0.21738662680931681</v>
      </c>
      <c r="H304">
        <f t="shared" si="100"/>
        <v>3.496553302035256E-2</v>
      </c>
      <c r="I304" t="b">
        <f t="shared" si="112"/>
        <v>1</v>
      </c>
      <c r="J304">
        <f t="shared" si="101"/>
        <v>1.4850000000000001</v>
      </c>
      <c r="K304">
        <f t="shared" si="113"/>
        <v>3.496553302035256E-2</v>
      </c>
      <c r="L304">
        <f t="shared" si="102"/>
        <v>0.15886002896006596</v>
      </c>
      <c r="M304">
        <f t="shared" si="103"/>
        <v>0.18993106604070514</v>
      </c>
      <c r="N304">
        <f t="shared" si="104"/>
        <v>0.18709185148663399</v>
      </c>
      <c r="O304">
        <f t="shared" si="105"/>
        <v>0.15777577588032116</v>
      </c>
      <c r="P304">
        <f t="shared" si="118"/>
        <v>0.08</v>
      </c>
      <c r="Q304">
        <f t="shared" si="114"/>
        <v>0.08</v>
      </c>
      <c r="R304">
        <f t="shared" si="107"/>
        <v>0.08</v>
      </c>
      <c r="S304">
        <f t="shared" si="108"/>
        <v>0.06</v>
      </c>
      <c r="T304">
        <f t="shared" si="109"/>
        <v>0.1</v>
      </c>
      <c r="U304">
        <f t="shared" si="115"/>
        <v>0.08</v>
      </c>
      <c r="V304">
        <f t="shared" si="120"/>
        <v>0.18709185148663399</v>
      </c>
      <c r="W304">
        <f t="shared" si="116"/>
        <v>0.15863498661720005</v>
      </c>
      <c r="X304">
        <f t="shared" si="117"/>
        <v>0.21753584656914254</v>
      </c>
      <c r="Y304" t="b">
        <f t="shared" si="119"/>
        <v>0</v>
      </c>
    </row>
    <row xmlns:x14ac="http://schemas.microsoft.com/office/spreadsheetml/2009/9/ac" r="305" x14ac:dyDescent="0.45">
      <c r="A305">
        <v>1.49</v>
      </c>
      <c r="B305">
        <f t="shared" si="97"/>
        <v>0.16291397765412233</v>
      </c>
      <c r="C305" t="b">
        <f t="shared" si="110"/>
        <v>1</v>
      </c>
      <c r="D305" t="b">
        <f t="shared" si="98"/>
        <v>1</v>
      </c>
      <c r="E305">
        <f t="shared" si="106"/>
        <v>1.49</v>
      </c>
      <c r="F305">
        <f t="shared" si="111"/>
        <v>0.16291397765412233</v>
      </c>
      <c r="G305">
        <f t="shared" si="99"/>
        <v>0.21734978585440945</v>
      </c>
      <c r="H305">
        <f t="shared" si="100"/>
        <v>3.4966914482354741E-2</v>
      </c>
      <c r="I305" t="b">
        <f t="shared" si="112"/>
        <v>1</v>
      </c>
      <c r="J305">
        <f t="shared" si="101"/>
        <v>1.49</v>
      </c>
      <c r="K305">
        <f t="shared" si="113"/>
        <v>3.4966914482354741E-2</v>
      </c>
      <c r="L305">
        <f t="shared" si="102"/>
        <v>0.15891558979742054</v>
      </c>
      <c r="M305">
        <f t="shared" si="103"/>
        <v>0.18993382896470951</v>
      </c>
      <c r="N305">
        <f t="shared" si="104"/>
        <v>0.18712836554557974</v>
      </c>
      <c r="O305">
        <f t="shared" si="105"/>
        <v>0.15777586216105627</v>
      </c>
      <c r="P305">
        <f t="shared" si="118"/>
        <v>0.08</v>
      </c>
      <c r="Q305">
        <f t="shared" si="114"/>
        <v>0.08</v>
      </c>
      <c r="R305">
        <f t="shared" si="107"/>
        <v>0.08</v>
      </c>
      <c r="S305">
        <f t="shared" si="108"/>
        <v>0.06</v>
      </c>
      <c r="T305">
        <f t="shared" si="109"/>
        <v>0.1</v>
      </c>
      <c r="U305">
        <f t="shared" si="115"/>
        <v>0.08</v>
      </c>
      <c r="V305">
        <f t="shared" si="120"/>
        <v>0.18712836554557974</v>
      </c>
      <c r="W305">
        <f t="shared" si="116"/>
        <v>0.15869166985792221</v>
      </c>
      <c r="X305">
        <f t="shared" si="117"/>
        <v>0.21749826137757822</v>
      </c>
      <c r="Y305" t="b">
        <f t="shared" si="119"/>
        <v>0</v>
      </c>
    </row>
    <row xmlns:x14ac="http://schemas.microsoft.com/office/spreadsheetml/2009/9/ac" r="306" x14ac:dyDescent="0.45">
      <c r="A306">
        <v>1.4950000000000001</v>
      </c>
      <c r="B306">
        <f t="shared" si="97"/>
        <v>0.16291780578247056</v>
      </c>
      <c r="C306" t="b">
        <f t="shared" si="110"/>
        <v>1</v>
      </c>
      <c r="D306" t="b">
        <f t="shared" si="98"/>
        <v>1</v>
      </c>
      <c r="E306">
        <f t="shared" si="106"/>
        <v>1.4950000000000001</v>
      </c>
      <c r="F306">
        <f t="shared" si="111"/>
        <v>0.16291780578247056</v>
      </c>
      <c r="G306">
        <f t="shared" si="99"/>
        <v>0.21731312864453123</v>
      </c>
      <c r="H306">
        <f t="shared" si="100"/>
        <v>3.4968386839411753E-2</v>
      </c>
      <c r="I306" t="b">
        <f t="shared" si="112"/>
        <v>1</v>
      </c>
      <c r="J306">
        <f t="shared" si="101"/>
        <v>1.4950000000000001</v>
      </c>
      <c r="K306">
        <f t="shared" si="113"/>
        <v>3.4968386839411753E-2</v>
      </c>
      <c r="L306">
        <f t="shared" si="102"/>
        <v>0.15897087352394276</v>
      </c>
      <c r="M306">
        <f t="shared" si="103"/>
        <v>0.1899367736788235</v>
      </c>
      <c r="N306">
        <f t="shared" si="104"/>
        <v>0.1871676203964365</v>
      </c>
      <c r="O306">
        <f t="shared" si="105"/>
        <v>0.15777595275147729</v>
      </c>
      <c r="P306">
        <f t="shared" si="118"/>
        <v>0.08</v>
      </c>
      <c r="Q306">
        <f t="shared" si="114"/>
        <v>0.08</v>
      </c>
      <c r="R306">
        <f t="shared" si="107"/>
        <v>0.08</v>
      </c>
      <c r="S306">
        <f t="shared" si="108"/>
        <v>0.06</v>
      </c>
      <c r="T306">
        <f t="shared" si="109"/>
        <v>0.1</v>
      </c>
      <c r="U306">
        <f t="shared" si="115"/>
        <v>0.08</v>
      </c>
      <c r="V306">
        <f t="shared" si="120"/>
        <v>0.1871676203964365</v>
      </c>
      <c r="W306">
        <f t="shared" si="116"/>
        <v>0.15874807038980182</v>
      </c>
      <c r="X306">
        <f t="shared" si="117"/>
        <v>0.21746086364293882</v>
      </c>
      <c r="Y306" t="b">
        <f t="shared" si="119"/>
        <v>0</v>
      </c>
    </row>
    <row xmlns:x14ac="http://schemas.microsoft.com/office/spreadsheetml/2009/9/ac" r="307" x14ac:dyDescent="0.45">
      <c r="A307">
        <v>1.5</v>
      </c>
      <c r="B307">
        <f t="shared" si="97"/>
        <v>0.16292184039969945</v>
      </c>
      <c r="C307" t="b">
        <f t="shared" si="110"/>
        <v>1</v>
      </c>
      <c r="D307" t="b">
        <f t="shared" si="98"/>
        <v>1</v>
      </c>
      <c r="E307">
        <f t="shared" si="106"/>
        <v>1.5</v>
      </c>
      <c r="F307">
        <f t="shared" si="111"/>
        <v>0.16292184039969945</v>
      </c>
      <c r="G307">
        <f t="shared" si="99"/>
        <v>0.21727665426325005</v>
      </c>
      <c r="H307">
        <f t="shared" si="100"/>
        <v>3.4969938615269022E-2</v>
      </c>
      <c r="I307" t="b">
        <f t="shared" si="112"/>
        <v>1</v>
      </c>
      <c r="J307">
        <f t="shared" si="101"/>
        <v>1.5</v>
      </c>
      <c r="K307">
        <f t="shared" si="113"/>
        <v>3.4969938615269022E-2</v>
      </c>
      <c r="L307">
        <f t="shared" si="102"/>
        <v>0.15902588152172864</v>
      </c>
      <c r="M307">
        <f t="shared" si="103"/>
        <v>0.18993987723053807</v>
      </c>
      <c r="N307">
        <f t="shared" si="104"/>
        <v>0.18720935449908316</v>
      </c>
      <c r="O307">
        <f t="shared" si="105"/>
        <v>0.15777604686493535</v>
      </c>
      <c r="P307">
        <f t="shared" si="118"/>
        <v>0.08</v>
      </c>
      <c r="Q307">
        <f t="shared" si="114"/>
        <v>0.08</v>
      </c>
      <c r="R307">
        <f t="shared" si="107"/>
        <v>0.08</v>
      </c>
      <c r="S307">
        <f t="shared" si="108"/>
        <v>0.06</v>
      </c>
      <c r="T307">
        <f t="shared" si="109"/>
        <v>0.1</v>
      </c>
      <c r="U307">
        <f t="shared" si="115"/>
        <v>0.08</v>
      </c>
      <c r="V307">
        <f t="shared" si="120"/>
        <v>0.18720935449908316</v>
      </c>
      <c r="W307">
        <f t="shared" si="116"/>
        <v>0.15880418962285517</v>
      </c>
      <c r="X307">
        <f t="shared" si="117"/>
        <v>0.21742365243027911</v>
      </c>
      <c r="Y307" t="b">
        <f t="shared" si="119"/>
        <v>0</v>
      </c>
    </row>
    <row xmlns:x14ac="http://schemas.microsoft.com/office/spreadsheetml/2009/9/ac" r="308" x14ac:dyDescent="0.45">
      <c r="A308">
        <v>1.5049999999999999</v>
      </c>
      <c r="B308">
        <f t="shared" si="97"/>
        <v>0.16292605213500455</v>
      </c>
      <c r="C308" t="b">
        <f t="shared" si="110"/>
        <v>1</v>
      </c>
      <c r="D308" t="b">
        <f t="shared" si="98"/>
        <v>1</v>
      </c>
      <c r="E308">
        <f t="shared" si="106"/>
        <v>1.5049999999999999</v>
      </c>
      <c r="F308">
        <f t="shared" si="111"/>
        <v>0.16292605213500455</v>
      </c>
      <c r="G308">
        <f t="shared" si="99"/>
        <v>0.21724036179870443</v>
      </c>
      <c r="H308">
        <f t="shared" si="100"/>
        <v>3.4971558513463286E-2</v>
      </c>
      <c r="I308" t="b">
        <f t="shared" si="112"/>
        <v>1</v>
      </c>
      <c r="J308">
        <f t="shared" si="101"/>
        <v>1.5049999999999999</v>
      </c>
      <c r="K308">
        <f t="shared" si="113"/>
        <v>3.4971558513463286E-2</v>
      </c>
      <c r="L308">
        <f t="shared" si="102"/>
        <v>0.15908061516598099</v>
      </c>
      <c r="M308">
        <f t="shared" si="103"/>
        <v>0.18994311702692657</v>
      </c>
      <c r="N308">
        <f t="shared" si="104"/>
        <v>0.18725330348347019</v>
      </c>
      <c r="O308">
        <f t="shared" si="105"/>
        <v>0.15777614375047999</v>
      </c>
      <c r="P308">
        <f t="shared" si="118"/>
        <v>0.08</v>
      </c>
      <c r="Q308">
        <f t="shared" si="114"/>
        <v>0.08</v>
      </c>
      <c r="R308">
        <f t="shared" si="107"/>
        <v>0.08</v>
      </c>
      <c r="S308">
        <f t="shared" si="108"/>
        <v>0.06</v>
      </c>
      <c r="T308">
        <f t="shared" si="109"/>
        <v>0.1</v>
      </c>
      <c r="U308">
        <f t="shared" si="115"/>
        <v>0.08</v>
      </c>
      <c r="V308">
        <f t="shared" si="120"/>
        <v>0.18725330348347019</v>
      </c>
      <c r="W308">
        <f t="shared" si="116"/>
        <v>0.15886002896006596</v>
      </c>
      <c r="X308">
        <f t="shared" si="117"/>
        <v>0.21738662680931681</v>
      </c>
      <c r="Y308" t="b">
        <f t="shared" si="119"/>
        <v>0</v>
      </c>
    </row>
    <row xmlns:x14ac="http://schemas.microsoft.com/office/spreadsheetml/2009/9/ac" r="309" x14ac:dyDescent="0.45">
      <c r="A309">
        <v>1.51</v>
      </c>
      <c r="B309">
        <f t="shared" si="97"/>
        <v>0.16293041220274038</v>
      </c>
      <c r="C309" t="b">
        <f t="shared" si="110"/>
        <v>1</v>
      </c>
      <c r="D309" t="b">
        <f t="shared" si="98"/>
        <v>1</v>
      </c>
      <c r="E309">
        <f t="shared" si="106"/>
        <v>1.51</v>
      </c>
      <c r="F309">
        <f t="shared" si="111"/>
        <v>0.16293041220274038</v>
      </c>
      <c r="G309">
        <f t="shared" si="99"/>
        <v>0.21720425034358087</v>
      </c>
      <c r="H309">
        <f t="shared" si="100"/>
        <v>3.4973235462592456E-2</v>
      </c>
      <c r="I309" t="b">
        <f t="shared" si="112"/>
        <v>1</v>
      </c>
      <c r="J309">
        <f t="shared" si="101"/>
        <v>1.51</v>
      </c>
      <c r="K309">
        <f t="shared" si="113"/>
        <v>3.4973235462592456E-2</v>
      </c>
      <c r="L309">
        <f t="shared" si="102"/>
        <v>0.15913507582504377</v>
      </c>
      <c r="M309">
        <f t="shared" si="103"/>
        <v>0.18994647092518491</v>
      </c>
      <c r="N309">
        <f t="shared" si="104"/>
        <v>0.18729920141882139</v>
      </c>
      <c r="O309">
        <f t="shared" si="105"/>
        <v>0.15777624269441834</v>
      </c>
      <c r="P309">
        <f t="shared" si="118"/>
        <v>0.08</v>
      </c>
      <c r="Q309">
        <f t="shared" si="114"/>
        <v>0.08</v>
      </c>
      <c r="R309">
        <f t="shared" si="107"/>
        <v>0.08</v>
      </c>
      <c r="S309">
        <f t="shared" si="108"/>
        <v>0.06</v>
      </c>
      <c r="T309">
        <f t="shared" si="109"/>
        <v>0.1</v>
      </c>
      <c r="U309">
        <f t="shared" si="115"/>
        <v>0.08</v>
      </c>
      <c r="V309">
        <f t="shared" si="120"/>
        <v>0.18729920141882139</v>
      </c>
      <c r="W309">
        <f t="shared" si="116"/>
        <v>0.15891558979742054</v>
      </c>
      <c r="X309">
        <f t="shared" si="117"/>
        <v>0.21734978585440945</v>
      </c>
      <c r="Y309" t="b">
        <f t="shared" si="119"/>
        <v>0</v>
      </c>
    </row>
    <row xmlns:x14ac="http://schemas.microsoft.com/office/spreadsheetml/2009/9/ac" r="310" x14ac:dyDescent="0.45">
      <c r="A310">
        <v>1.5149999999999999</v>
      </c>
      <c r="B310">
        <f t="shared" si="97"/>
        <v>0.1629348925115825</v>
      </c>
      <c r="C310" t="b">
        <f t="shared" si="110"/>
        <v>1</v>
      </c>
      <c r="D310" t="b">
        <f t="shared" si="98"/>
        <v>1</v>
      </c>
      <c r="E310">
        <f t="shared" si="106"/>
        <v>1.5149999999999999</v>
      </c>
      <c r="F310">
        <f t="shared" si="111"/>
        <v>0.1629348925115825</v>
      </c>
      <c r="G310">
        <f t="shared" si="99"/>
        <v>0.21716831899509115</v>
      </c>
      <c r="H310">
        <f t="shared" si="100"/>
        <v>3.4974958658300956E-2</v>
      </c>
      <c r="I310" t="b">
        <f t="shared" si="112"/>
        <v>1</v>
      </c>
      <c r="J310">
        <f t="shared" si="101"/>
        <v>1.5149999999999999</v>
      </c>
      <c r="K310">
        <f t="shared" si="113"/>
        <v>3.4974958658300956E-2</v>
      </c>
      <c r="L310">
        <f t="shared" si="102"/>
        <v>0.15918926486043627</v>
      </c>
      <c r="M310">
        <f t="shared" si="103"/>
        <v>0.18994991731660194</v>
      </c>
      <c r="N310">
        <f t="shared" si="104"/>
        <v>0.18734678204983088</v>
      </c>
      <c r="O310">
        <f t="shared" si="105"/>
        <v>0.15777634302156571</v>
      </c>
      <c r="P310">
        <f t="shared" si="118"/>
        <v>0.08</v>
      </c>
      <c r="Q310">
        <f t="shared" si="114"/>
        <v>0.08</v>
      </c>
      <c r="R310">
        <f t="shared" si="107"/>
        <v>0.08</v>
      </c>
      <c r="S310">
        <f t="shared" si="108"/>
        <v>0.06</v>
      </c>
      <c r="T310">
        <f t="shared" si="109"/>
        <v>0.1</v>
      </c>
      <c r="U310">
        <f t="shared" si="115"/>
        <v>0.08</v>
      </c>
      <c r="V310">
        <f t="shared" si="120"/>
        <v>0.18734678204983088</v>
      </c>
      <c r="W310">
        <f t="shared" si="116"/>
        <v>0.15897087352394276</v>
      </c>
      <c r="X310">
        <f t="shared" si="117"/>
        <v>0.21731312864453123</v>
      </c>
      <c r="Y310" t="b">
        <f t="shared" si="119"/>
        <v>0</v>
      </c>
    </row>
    <row xmlns:x14ac="http://schemas.microsoft.com/office/spreadsheetml/2009/9/ac" r="311" x14ac:dyDescent="0.45">
      <c r="A311">
        <v>1.52</v>
      </c>
      <c r="B311">
        <f t="shared" si="97"/>
        <v>0.16293946576504445</v>
      </c>
      <c r="C311" t="b">
        <f t="shared" si="110"/>
        <v>1</v>
      </c>
      <c r="D311" t="b">
        <f t="shared" si="98"/>
        <v>1</v>
      </c>
      <c r="E311">
        <f t="shared" si="106"/>
        <v>1.52</v>
      </c>
      <c r="F311">
        <f t="shared" si="111"/>
        <v>0.16293946576504445</v>
      </c>
      <c r="G311">
        <f t="shared" si="99"/>
        <v>0.21713256685494964</v>
      </c>
      <c r="H311">
        <f t="shared" si="100"/>
        <v>3.4976717601940169E-2</v>
      </c>
      <c r="I311" t="b">
        <f t="shared" si="112"/>
        <v>1</v>
      </c>
      <c r="J311">
        <f t="shared" si="101"/>
        <v>1.52</v>
      </c>
      <c r="K311">
        <f t="shared" si="113"/>
        <v>3.4976717601940169E-2</v>
      </c>
      <c r="L311">
        <f t="shared" si="102"/>
        <v>0.15924318362688727</v>
      </c>
      <c r="M311">
        <f t="shared" si="103"/>
        <v>0.18995343520388036</v>
      </c>
      <c r="N311">
        <f t="shared" si="104"/>
        <v>0.18739577999537627</v>
      </c>
      <c r="O311">
        <f t="shared" si="105"/>
        <v>0.15777644409620198</v>
      </c>
      <c r="P311">
        <f t="shared" si="118"/>
        <v>0.08</v>
      </c>
      <c r="Q311">
        <f t="shared" si="114"/>
        <v>0.08</v>
      </c>
      <c r="R311">
        <f t="shared" si="107"/>
        <v>0.08</v>
      </c>
      <c r="S311">
        <f t="shared" si="108"/>
        <v>0.06</v>
      </c>
      <c r="T311">
        <f t="shared" si="109"/>
        <v>0.1</v>
      </c>
      <c r="U311">
        <f t="shared" si="115"/>
        <v>0.08</v>
      </c>
      <c r="V311">
        <f t="shared" si="120"/>
        <v>0.18739577999537627</v>
      </c>
      <c r="W311">
        <f t="shared" si="116"/>
        <v>0.15902588152172864</v>
      </c>
      <c r="X311">
        <f t="shared" si="117"/>
        <v>0.21727665426325005</v>
      </c>
      <c r="Y311" t="b">
        <f t="shared" si="119"/>
        <v>0</v>
      </c>
    </row>
    <row xmlns:x14ac="http://schemas.microsoft.com/office/spreadsheetml/2009/9/ac" r="312" x14ac:dyDescent="0.45">
      <c r="A312">
        <v>1.5249999999999999</v>
      </c>
      <c r="B312">
        <f t="shared" si="97"/>
        <v>0.16294410555328998</v>
      </c>
      <c r="C312" t="b">
        <f t="shared" si="110"/>
        <v>1</v>
      </c>
      <c r="D312" t="b">
        <f t="shared" si="98"/>
        <v>1</v>
      </c>
      <c r="E312">
        <f t="shared" si="106"/>
        <v>1.5249999999999999</v>
      </c>
      <c r="F312">
        <f t="shared" si="111"/>
        <v>0.16294410555328998</v>
      </c>
      <c r="G312">
        <f t="shared" si="99"/>
        <v>0.21709699302935098</v>
      </c>
      <c r="H312">
        <f t="shared" si="100"/>
        <v>3.497850213588076E-2</v>
      </c>
      <c r="I312" t="b">
        <f t="shared" si="112"/>
        <v>1</v>
      </c>
      <c r="J312">
        <f t="shared" si="101"/>
        <v>1.5249999999999999</v>
      </c>
      <c r="K312">
        <f t="shared" si="113"/>
        <v>3.497850213588076E-2</v>
      </c>
      <c r="L312">
        <f t="shared" si="102"/>
        <v>0.15929683347236867</v>
      </c>
      <c r="M312">
        <f t="shared" si="103"/>
        <v>0.18995700427176151</v>
      </c>
      <c r="N312">
        <f t="shared" si="104"/>
        <v>0.18744593190557862</v>
      </c>
      <c r="O312">
        <f t="shared" si="105"/>
        <v>0.15777654532274943</v>
      </c>
      <c r="P312">
        <f t="shared" si="118"/>
        <v>0.08</v>
      </c>
      <c r="Q312">
        <f t="shared" si="114"/>
        <v>0.08</v>
      </c>
      <c r="R312">
        <f t="shared" si="107"/>
        <v>0.08</v>
      </c>
      <c r="S312">
        <f t="shared" si="108"/>
        <v>0.06</v>
      </c>
      <c r="T312">
        <f t="shared" si="109"/>
        <v>0.1</v>
      </c>
      <c r="U312">
        <f t="shared" si="115"/>
        <v>0.08</v>
      </c>
      <c r="V312">
        <f t="shared" si="120"/>
        <v>0.18744593190557862</v>
      </c>
      <c r="W312">
        <f t="shared" si="116"/>
        <v>0.15908061516598099</v>
      </c>
      <c r="X312">
        <f t="shared" si="117"/>
        <v>0.21724036179870443</v>
      </c>
      <c r="Y312" t="b">
        <f t="shared" si="119"/>
        <v>0</v>
      </c>
    </row>
    <row xmlns:x14ac="http://schemas.microsoft.com/office/spreadsheetml/2009/9/ac" r="313" x14ac:dyDescent="0.45">
      <c r="A313">
        <v>1.53</v>
      </c>
      <c r="B313">
        <f t="shared" si="97"/>
        <v>0.1629487864362261</v>
      </c>
      <c r="C313" t="b">
        <f t="shared" si="110"/>
        <v>1</v>
      </c>
      <c r="D313" t="b">
        <f t="shared" si="98"/>
        <v>1</v>
      </c>
      <c r="E313">
        <f t="shared" si="106"/>
        <v>1.53</v>
      </c>
      <c r="F313">
        <f t="shared" si="111"/>
        <v>0.1629487864362261</v>
      </c>
      <c r="G313">
        <f t="shared" si="99"/>
        <v>0.2170615966289477</v>
      </c>
      <c r="H313">
        <f t="shared" si="100"/>
        <v>3.4980302475471584E-2</v>
      </c>
      <c r="I313" t="b">
        <f t="shared" si="112"/>
        <v>1</v>
      </c>
      <c r="J313">
        <f t="shared" si="101"/>
        <v>1.53</v>
      </c>
      <c r="K313">
        <f t="shared" si="113"/>
        <v>3.4980302475471584E-2</v>
      </c>
      <c r="L313">
        <f t="shared" si="102"/>
        <v>0.15935021573812941</v>
      </c>
      <c r="M313">
        <f t="shared" si="103"/>
        <v>0.18996060495094316</v>
      </c>
      <c r="N313">
        <f t="shared" si="104"/>
        <v>0.18749697757335543</v>
      </c>
      <c r="O313">
        <f t="shared" si="105"/>
        <v>0.15777664614618753</v>
      </c>
      <c r="P313">
        <f t="shared" si="118"/>
        <v>0.08</v>
      </c>
      <c r="Q313">
        <f t="shared" si="114"/>
        <v>0.08</v>
      </c>
      <c r="R313">
        <f t="shared" si="107"/>
        <v>0.08</v>
      </c>
      <c r="S313">
        <f t="shared" si="108"/>
        <v>0.06</v>
      </c>
      <c r="T313">
        <f t="shared" si="109"/>
        <v>0.1</v>
      </c>
      <c r="U313">
        <f t="shared" si="115"/>
        <v>0.08</v>
      </c>
      <c r="V313">
        <f t="shared" si="120"/>
        <v>0.18749697757335543</v>
      </c>
      <c r="W313">
        <f t="shared" si="116"/>
        <v>0.15913507582504377</v>
      </c>
      <c r="X313">
        <f t="shared" si="117"/>
        <v>0.21720425034358087</v>
      </c>
      <c r="Y313" t="b">
        <f t="shared" si="119"/>
        <v>0</v>
      </c>
    </row>
    <row xmlns:x14ac="http://schemas.microsoft.com/office/spreadsheetml/2009/9/ac" r="314" x14ac:dyDescent="0.45">
      <c r="A314">
        <v>1.5349999999999999</v>
      </c>
      <c r="B314">
        <f t="shared" si="97"/>
        <v>0.1629534840179051</v>
      </c>
      <c r="C314" t="b">
        <f t="shared" si="110"/>
        <v>1</v>
      </c>
      <c r="D314" t="b">
        <f t="shared" si="98"/>
        <v>1</v>
      </c>
      <c r="E314">
        <f t="shared" si="106"/>
        <v>1.5349999999999999</v>
      </c>
      <c r="F314">
        <f t="shared" si="111"/>
        <v>0.1629534840179051</v>
      </c>
      <c r="G314">
        <f t="shared" si="99"/>
        <v>0.21702637676882797</v>
      </c>
      <c r="H314">
        <f t="shared" si="100"/>
        <v>3.4982109237655809E-2</v>
      </c>
      <c r="I314" t="b">
        <f t="shared" si="112"/>
        <v>1</v>
      </c>
      <c r="J314">
        <f t="shared" si="101"/>
        <v>1.5349999999999999</v>
      </c>
      <c r="K314">
        <f t="shared" si="113"/>
        <v>3.4982109237655809E-2</v>
      </c>
      <c r="L314">
        <f t="shared" si="102"/>
        <v>0.15940333175872895</v>
      </c>
      <c r="M314">
        <f t="shared" si="103"/>
        <v>0.18996421847531161</v>
      </c>
      <c r="N314">
        <f t="shared" si="104"/>
        <v>0.1875486609969384</v>
      </c>
      <c r="O314">
        <f t="shared" si="105"/>
        <v>0.15777674605222064</v>
      </c>
      <c r="P314">
        <f t="shared" si="118"/>
        <v>0.08</v>
      </c>
      <c r="Q314">
        <f t="shared" si="114"/>
        <v>0.08</v>
      </c>
      <c r="R314">
        <f t="shared" si="107"/>
        <v>0.08</v>
      </c>
      <c r="S314">
        <f t="shared" si="108"/>
        <v>0.06</v>
      </c>
      <c r="T314">
        <f t="shared" si="109"/>
        <v>0.1</v>
      </c>
      <c r="U314">
        <f t="shared" si="115"/>
        <v>0.08</v>
      </c>
      <c r="V314">
        <f t="shared" si="120"/>
        <v>0.1875486609969384</v>
      </c>
      <c r="W314">
        <f t="shared" si="116"/>
        <v>0.15918926486043627</v>
      </c>
      <c r="X314">
        <f t="shared" si="117"/>
        <v>0.21716831899509115</v>
      </c>
      <c r="Y314" t="b">
        <f t="shared" si="119"/>
        <v>0</v>
      </c>
    </row>
    <row xmlns:x14ac="http://schemas.microsoft.com/office/spreadsheetml/2009/9/ac" r="315" x14ac:dyDescent="0.45">
      <c r="A315">
        <v>1.54</v>
      </c>
      <c r="B315">
        <f t="shared" si="97"/>
        <v>0.16295817501230245</v>
      </c>
      <c r="C315" t="b">
        <f t="shared" si="110"/>
        <v>1</v>
      </c>
      <c r="D315" t="b">
        <f t="shared" si="98"/>
        <v>1</v>
      </c>
      <c r="E315">
        <f t="shared" si="106"/>
        <v>1.54</v>
      </c>
      <c r="F315">
        <f t="shared" si="111"/>
        <v>0.16295817501230245</v>
      </c>
      <c r="G315">
        <f t="shared" si="99"/>
        <v>0.21699133256849334</v>
      </c>
      <c r="H315">
        <f t="shared" si="100"/>
        <v>3.4983913466270181E-2</v>
      </c>
      <c r="I315" t="b">
        <f t="shared" si="112"/>
        <v>1</v>
      </c>
      <c r="J315">
        <f t="shared" si="101"/>
        <v>1.54</v>
      </c>
      <c r="K315">
        <f t="shared" si="113"/>
        <v>3.4983913466270181E-2</v>
      </c>
      <c r="L315">
        <f t="shared" si="102"/>
        <v>0.15945618286207053</v>
      </c>
      <c r="M315">
        <f t="shared" si="103"/>
        <v>0.18996782693254036</v>
      </c>
      <c r="N315">
        <f t="shared" si="104"/>
        <v>0.18760073139015759</v>
      </c>
      <c r="O315">
        <f t="shared" si="105"/>
        <v>0.15777684456721539</v>
      </c>
      <c r="P315">
        <f t="shared" si="118"/>
        <v>0.08</v>
      </c>
      <c r="Q315">
        <f t="shared" si="114"/>
        <v>0.08</v>
      </c>
      <c r="R315">
        <f t="shared" si="107"/>
        <v>0.08</v>
      </c>
      <c r="S315">
        <f t="shared" si="108"/>
        <v>0.06</v>
      </c>
      <c r="T315">
        <f t="shared" si="109"/>
        <v>0.1</v>
      </c>
      <c r="U315">
        <f t="shared" si="115"/>
        <v>0.08</v>
      </c>
      <c r="V315">
        <f t="shared" si="120"/>
        <v>0.18760073139015759</v>
      </c>
      <c r="W315">
        <f t="shared" si="116"/>
        <v>0.15924318362688727</v>
      </c>
      <c r="X315">
        <f t="shared" si="117"/>
        <v>0.21713256685494964</v>
      </c>
      <c r="Y315" t="b">
        <f t="shared" si="119"/>
        <v>0</v>
      </c>
    </row>
    <row xmlns:x14ac="http://schemas.microsoft.com/office/spreadsheetml/2009/9/ac" r="316" x14ac:dyDescent="0.45">
      <c r="A316">
        <v>1.5449999999999999</v>
      </c>
      <c r="B316">
        <f t="shared" si="97"/>
        <v>0.16296283730057784</v>
      </c>
      <c r="C316" t="b">
        <f t="shared" si="110"/>
        <v>1</v>
      </c>
      <c r="D316" t="b">
        <f t="shared" si="98"/>
        <v>1</v>
      </c>
      <c r="E316">
        <f t="shared" si="106"/>
        <v>1.5449999999999999</v>
      </c>
      <c r="F316">
        <f t="shared" si="111"/>
        <v>0.16296283730057784</v>
      </c>
      <c r="G316">
        <f t="shared" si="99"/>
        <v>0.21695646315183714</v>
      </c>
      <c r="H316">
        <f t="shared" si="100"/>
        <v>3.4985706654068402E-2</v>
      </c>
      <c r="I316" t="b">
        <f t="shared" si="112"/>
        <v>1</v>
      </c>
      <c r="J316">
        <f t="shared" si="101"/>
        <v>1.5449999999999999</v>
      </c>
      <c r="K316">
        <f t="shared" si="113"/>
        <v>3.4985706654068402E-2</v>
      </c>
      <c r="L316">
        <f t="shared" si="102"/>
        <v>0.1595087703694345</v>
      </c>
      <c r="M316">
        <f t="shared" si="103"/>
        <v>0.18997141330813683</v>
      </c>
      <c r="N316">
        <f t="shared" si="104"/>
        <v>0.18765294413762718</v>
      </c>
      <c r="O316">
        <f t="shared" si="105"/>
        <v>0.15777694125792308</v>
      </c>
      <c r="P316">
        <f t="shared" si="118"/>
        <v>0.08</v>
      </c>
      <c r="Q316">
        <f t="shared" si="114"/>
        <v>0.08</v>
      </c>
      <c r="R316">
        <f t="shared" si="107"/>
        <v>0.08</v>
      </c>
      <c r="S316">
        <f t="shared" si="108"/>
        <v>0.06</v>
      </c>
      <c r="T316">
        <f t="shared" si="109"/>
        <v>0.1</v>
      </c>
      <c r="U316">
        <f t="shared" si="115"/>
        <v>0.08</v>
      </c>
      <c r="V316">
        <f t="shared" si="120"/>
        <v>0.18765294413762718</v>
      </c>
      <c r="W316">
        <f t="shared" si="116"/>
        <v>0.15929683347236867</v>
      </c>
      <c r="X316">
        <f t="shared" si="117"/>
        <v>0.21709699302935098</v>
      </c>
      <c r="Y316" t="b">
        <f t="shared" si="119"/>
        <v>0</v>
      </c>
    </row>
    <row xmlns:x14ac="http://schemas.microsoft.com/office/spreadsheetml/2009/9/ac" r="317" x14ac:dyDescent="0.45">
      <c r="A317">
        <v>1.5499999999999901</v>
      </c>
      <c r="B317">
        <f t="shared" si="97"/>
        <v>0.16296744997995971</v>
      </c>
      <c r="C317" t="b">
        <f t="shared" si="110"/>
        <v>1</v>
      </c>
      <c r="D317" t="b">
        <f t="shared" si="98"/>
        <v>1</v>
      </c>
      <c r="E317">
        <f t="shared" si="106"/>
        <v>1.5499999999999901</v>
      </c>
      <c r="F317">
        <f t="shared" si="111"/>
        <v>0.16296744997995971</v>
      </c>
      <c r="G317">
        <f t="shared" si="99"/>
        <v>0.21692176764712207</v>
      </c>
      <c r="H317">
        <f t="shared" si="100"/>
        <v>3.4987480761522971E-2</v>
      </c>
      <c r="I317" t="b">
        <f t="shared" si="112"/>
        <v>1</v>
      </c>
      <c r="J317">
        <f t="shared" si="101"/>
        <v>1.5499999999999901</v>
      </c>
      <c r="K317">
        <f t="shared" si="113"/>
        <v>3.4987480761522971E-2</v>
      </c>
      <c r="L317">
        <f t="shared" si="102"/>
        <v>0.15956109559551118</v>
      </c>
      <c r="M317">
        <f t="shared" si="103"/>
        <v>0.18997496152304594</v>
      </c>
      <c r="N317">
        <f t="shared" si="104"/>
        <v>0.18770506169230428</v>
      </c>
      <c r="O317">
        <f t="shared" si="105"/>
        <v>0.15777703573100488</v>
      </c>
      <c r="P317">
        <f t="shared" si="118"/>
        <v>0.08</v>
      </c>
      <c r="Q317">
        <f t="shared" si="114"/>
        <v>0.08</v>
      </c>
      <c r="R317">
        <f t="shared" si="107"/>
        <v>0.08</v>
      </c>
      <c r="S317">
        <f t="shared" si="108"/>
        <v>0.06</v>
      </c>
      <c r="T317">
        <f t="shared" si="109"/>
        <v>0.1</v>
      </c>
      <c r="U317">
        <f t="shared" si="115"/>
        <v>0.08</v>
      </c>
      <c r="V317">
        <f t="shared" si="120"/>
        <v>0.18770506169230428</v>
      </c>
      <c r="W317">
        <f t="shared" si="116"/>
        <v>0.15935021573812941</v>
      </c>
      <c r="X317">
        <f t="shared" si="117"/>
        <v>0.2170615966289477</v>
      </c>
      <c r="Y317" t="b">
        <f t="shared" si="119"/>
        <v>0</v>
      </c>
    </row>
    <row xmlns:x14ac="http://schemas.microsoft.com/office/spreadsheetml/2009/9/ac" r="318" x14ac:dyDescent="0.45">
      <c r="A318">
        <v>1.5549999999999999</v>
      </c>
      <c r="B318">
        <f t="shared" si="97"/>
        <v>0.16297199340442867</v>
      </c>
      <c r="C318" t="b">
        <f t="shared" si="110"/>
        <v>1</v>
      </c>
      <c r="D318" t="b">
        <f t="shared" si="98"/>
        <v>1</v>
      </c>
      <c r="E318">
        <f t="shared" si="106"/>
        <v>1.5549999999999999</v>
      </c>
      <c r="F318">
        <f t="shared" si="111"/>
        <v>0.16297199340442867</v>
      </c>
      <c r="G318">
        <f t="shared" si="99"/>
        <v>0.21688724518695857</v>
      </c>
      <c r="H318">
        <f t="shared" si="100"/>
        <v>3.4989228232472566E-2</v>
      </c>
      <c r="I318" t="b">
        <f t="shared" si="112"/>
        <v>1</v>
      </c>
      <c r="J318">
        <f t="shared" si="101"/>
        <v>1.5549999999999999</v>
      </c>
      <c r="K318">
        <f t="shared" si="113"/>
        <v>3.4989228232472566E-2</v>
      </c>
      <c r="L318">
        <f t="shared" si="102"/>
        <v>0.15961315984843427</v>
      </c>
      <c r="M318">
        <f t="shared" si="103"/>
        <v>0.18997845646494513</v>
      </c>
      <c r="N318">
        <f t="shared" si="104"/>
        <v>0.18775685441323001</v>
      </c>
      <c r="O318">
        <f t="shared" si="105"/>
        <v>0.1577771276323747</v>
      </c>
      <c r="P318">
        <f t="shared" si="118"/>
        <v>0.08</v>
      </c>
      <c r="Q318">
        <f t="shared" si="114"/>
        <v>0.08</v>
      </c>
      <c r="R318">
        <f t="shared" si="107"/>
        <v>0.08</v>
      </c>
      <c r="S318">
        <f t="shared" si="108"/>
        <v>0.06</v>
      </c>
      <c r="T318">
        <f t="shared" si="109"/>
        <v>0.1</v>
      </c>
      <c r="U318">
        <f t="shared" si="115"/>
        <v>0.08</v>
      </c>
      <c r="V318">
        <f t="shared" si="120"/>
        <v>0.18775685441323001</v>
      </c>
      <c r="W318">
        <f t="shared" si="116"/>
        <v>0.15940333175872895</v>
      </c>
      <c r="X318">
        <f t="shared" si="117"/>
        <v>0.21702637676882797</v>
      </c>
      <c r="Y318" t="b">
        <f t="shared" si="119"/>
        <v>0</v>
      </c>
    </row>
    <row xmlns:x14ac="http://schemas.microsoft.com/office/spreadsheetml/2009/9/ac" r="319" x14ac:dyDescent="0.45">
      <c r="A319">
        <v>1.56</v>
      </c>
      <c r="B319">
        <f t="shared" si="97"/>
        <v>0.16297644921740459</v>
      </c>
      <c r="C319" t="b">
        <f t="shared" si="110"/>
        <v>1</v>
      </c>
      <c r="D319" t="b">
        <f t="shared" si="98"/>
        <v>1</v>
      </c>
      <c r="E319">
        <f t="shared" si="106"/>
        <v>1.56</v>
      </c>
      <c r="F319">
        <f t="shared" si="111"/>
        <v>0.16297644921740459</v>
      </c>
      <c r="G319">
        <f t="shared" si="99"/>
        <v>0.21685289490828352</v>
      </c>
      <c r="H319">
        <f t="shared" si="100"/>
        <v>3.4990942006694073E-2</v>
      </c>
      <c r="I319" t="b">
        <f t="shared" si="112"/>
        <v>1</v>
      </c>
      <c r="J319">
        <f t="shared" si="101"/>
        <v>1.56</v>
      </c>
      <c r="K319">
        <f t="shared" si="113"/>
        <v>3.4990942006694073E-2</v>
      </c>
      <c r="L319">
        <f t="shared" si="102"/>
        <v>0.15966496442981248</v>
      </c>
      <c r="M319">
        <f t="shared" si="103"/>
        <v>0.18998188401338814</v>
      </c>
      <c r="N319">
        <f t="shared" si="104"/>
        <v>0.18780810134159509</v>
      </c>
      <c r="O319">
        <f t="shared" si="105"/>
        <v>0.15777721664637698</v>
      </c>
      <c r="P319">
        <f t="shared" si="118"/>
        <v>0.08</v>
      </c>
      <c r="Q319">
        <f t="shared" si="114"/>
        <v>0.08</v>
      </c>
      <c r="R319">
        <f t="shared" si="107"/>
        <v>0.08</v>
      </c>
      <c r="S319">
        <f t="shared" si="108"/>
        <v>0.06</v>
      </c>
      <c r="T319">
        <f t="shared" si="109"/>
        <v>0.1</v>
      </c>
      <c r="U319">
        <f t="shared" si="115"/>
        <v>0.08</v>
      </c>
      <c r="V319">
        <f t="shared" si="120"/>
        <v>0.18780810134159509</v>
      </c>
      <c r="W319">
        <f t="shared" si="116"/>
        <v>0.15945618286207053</v>
      </c>
      <c r="X319">
        <f t="shared" si="117"/>
        <v>0.21699133256849334</v>
      </c>
      <c r="Y319" t="b">
        <f t="shared" si="119"/>
        <v>0</v>
      </c>
    </row>
    <row xmlns:x14ac="http://schemas.microsoft.com/office/spreadsheetml/2009/9/ac" r="320" x14ac:dyDescent="0.45">
      <c r="A320">
        <v>1.5649999999999999</v>
      </c>
      <c r="B320">
        <f t="shared" si="97"/>
        <v>0.1629808003766717</v>
      </c>
      <c r="C320" t="b">
        <f t="shared" si="110"/>
        <v>1</v>
      </c>
      <c r="D320" t="b">
        <f t="shared" si="98"/>
        <v>1</v>
      </c>
      <c r="E320">
        <f t="shared" si="106"/>
        <v>1.5649999999999999</v>
      </c>
      <c r="F320">
        <f t="shared" si="111"/>
        <v>0.1629808003766717</v>
      </c>
      <c r="G320">
        <f t="shared" si="99"/>
        <v>0.21681871595233809</v>
      </c>
      <c r="H320">
        <f t="shared" si="100"/>
        <v>3.499261552948911E-2</v>
      </c>
      <c r="I320" t="b">
        <f t="shared" si="112"/>
        <v>1</v>
      </c>
      <c r="J320">
        <f t="shared" si="101"/>
        <v>1.5649999999999999</v>
      </c>
      <c r="K320">
        <f t="shared" si="113"/>
        <v>3.499261552948911E-2</v>
      </c>
      <c r="L320">
        <f t="shared" si="102"/>
        <v>0.15971651063476316</v>
      </c>
      <c r="M320">
        <f t="shared" si="103"/>
        <v>0.18998523105897824</v>
      </c>
      <c r="N320">
        <f t="shared" si="104"/>
        <v>0.18785859091361162</v>
      </c>
      <c r="O320">
        <f t="shared" si="105"/>
        <v>0.15777730249481481</v>
      </c>
      <c r="P320">
        <f t="shared" si="118"/>
        <v>0.08</v>
      </c>
      <c r="Q320">
        <f t="shared" si="114"/>
        <v>0.08</v>
      </c>
      <c r="R320">
        <f t="shared" si="107"/>
        <v>0.08</v>
      </c>
      <c r="S320">
        <f t="shared" si="108"/>
        <v>0.06</v>
      </c>
      <c r="T320">
        <f t="shared" si="109"/>
        <v>0.1</v>
      </c>
      <c r="U320">
        <f t="shared" si="115"/>
        <v>0.08</v>
      </c>
      <c r="V320">
        <f t="shared" si="120"/>
        <v>0.18785859091361162</v>
      </c>
      <c r="W320">
        <f t="shared" si="116"/>
        <v>0.1595087703694345</v>
      </c>
      <c r="X320">
        <f t="shared" si="117"/>
        <v>0.21695646315183714</v>
      </c>
      <c r="Y320" t="b">
        <f t="shared" si="119"/>
        <v>0</v>
      </c>
    </row>
    <row xmlns:x14ac="http://schemas.microsoft.com/office/spreadsheetml/2009/9/ac" r="321" x14ac:dyDescent="0.45">
      <c r="A321">
        <v>1.5699999999999901</v>
      </c>
      <c r="B321">
        <f t="shared" si="97"/>
        <v>0.16298503117180027</v>
      </c>
      <c r="C321" t="b">
        <f t="shared" si="110"/>
        <v>1</v>
      </c>
      <c r="D321" t="b">
        <f t="shared" si="98"/>
        <v>1</v>
      </c>
      <c r="E321">
        <f t="shared" si="106"/>
        <v>1.5699999999999901</v>
      </c>
      <c r="F321">
        <f t="shared" si="111"/>
        <v>0.16298503117180027</v>
      </c>
      <c r="G321">
        <f t="shared" si="99"/>
        <v>0.21678470746464668</v>
      </c>
      <c r="H321">
        <f t="shared" si="100"/>
        <v>3.4994242758384725E-2</v>
      </c>
      <c r="I321" t="b">
        <f t="shared" si="112"/>
        <v>1</v>
      </c>
      <c r="J321">
        <f t="shared" si="101"/>
        <v>1.5699999999999901</v>
      </c>
      <c r="K321">
        <f t="shared" si="113"/>
        <v>3.4994242758384725E-2</v>
      </c>
      <c r="L321">
        <f t="shared" si="102"/>
        <v>0.159767799751944</v>
      </c>
      <c r="M321">
        <f t="shared" si="103"/>
        <v>0.18998848551676945</v>
      </c>
      <c r="N321">
        <f t="shared" si="104"/>
        <v>0.18790812160899562</v>
      </c>
      <c r="O321">
        <f t="shared" si="105"/>
        <v>0.15777738493584392</v>
      </c>
      <c r="P321">
        <f t="shared" si="118"/>
        <v>0.08</v>
      </c>
      <c r="Q321">
        <f t="shared" si="114"/>
        <v>0.08</v>
      </c>
      <c r="R321">
        <f t="shared" si="107"/>
        <v>0.08</v>
      </c>
      <c r="S321">
        <f t="shared" si="108"/>
        <v>0.06</v>
      </c>
      <c r="T321">
        <f t="shared" si="109"/>
        <v>0.1</v>
      </c>
      <c r="U321">
        <f t="shared" si="115"/>
        <v>0.08</v>
      </c>
      <c r="V321">
        <f t="shared" si="120"/>
        <v>0.18790812160899562</v>
      </c>
      <c r="W321">
        <f t="shared" si="116"/>
        <v>0.15956109559551118</v>
      </c>
      <c r="X321">
        <f t="shared" si="117"/>
        <v>0.21692176764712207</v>
      </c>
      <c r="Y321" t="b">
        <f t="shared" si="119"/>
        <v>0</v>
      </c>
    </row>
    <row xmlns:x14ac="http://schemas.microsoft.com/office/spreadsheetml/2009/9/ac" r="322" x14ac:dyDescent="0.45">
      <c r="A322">
        <v>1.57499999999999</v>
      </c>
      <c r="B322">
        <f t="shared" si="97"/>
        <v>0.162989127234348</v>
      </c>
      <c r="C322" t="b">
        <f t="shared" si="110"/>
        <v>1</v>
      </c>
      <c r="D322" t="b">
        <f t="shared" si="98"/>
        <v>1</v>
      </c>
      <c r="E322">
        <f t="shared" si="106"/>
        <v>1.57499999999999</v>
      </c>
      <c r="F322">
        <f t="shared" si="111"/>
        <v>0.162989127234348</v>
      </c>
      <c r="G322">
        <f t="shared" si="99"/>
        <v>0.21675086859499521</v>
      </c>
      <c r="H322">
        <f t="shared" si="100"/>
        <v>3.4995818167056922E-2</v>
      </c>
      <c r="I322" t="b">
        <f t="shared" si="112"/>
        <v>1</v>
      </c>
      <c r="J322">
        <f t="shared" si="101"/>
        <v>1.57499999999999</v>
      </c>
      <c r="K322">
        <f t="shared" si="113"/>
        <v>3.4995818167056922E-2</v>
      </c>
      <c r="L322">
        <f t="shared" si="102"/>
        <v>0.15981883306358582</v>
      </c>
      <c r="M322">
        <f t="shared" si="103"/>
        <v>0.18999163633411387</v>
      </c>
      <c r="N322">
        <f t="shared" si="104"/>
        <v>0.18795650253419627</v>
      </c>
      <c r="O322">
        <f t="shared" si="105"/>
        <v>0.15777746376274826</v>
      </c>
      <c r="P322">
        <f t="shared" si="118"/>
        <v>0.08</v>
      </c>
      <c r="Q322">
        <f t="shared" si="114"/>
        <v>0.08</v>
      </c>
      <c r="R322">
        <f t="shared" si="107"/>
        <v>0.08</v>
      </c>
      <c r="S322">
        <f t="shared" si="108"/>
        <v>0.06</v>
      </c>
      <c r="T322">
        <f t="shared" si="109"/>
        <v>0.1</v>
      </c>
      <c r="U322">
        <f t="shared" si="115"/>
        <v>0.08</v>
      </c>
      <c r="V322">
        <f t="shared" si="120"/>
        <v>0.18795650253419627</v>
      </c>
      <c r="W322">
        <f t="shared" si="116"/>
        <v>0.15961315984843427</v>
      </c>
      <c r="X322">
        <f t="shared" si="117"/>
        <v>0.21688724518695857</v>
      </c>
      <c r="Y322" t="b">
        <f t="shared" si="119"/>
        <v>0</v>
      </c>
    </row>
    <row xmlns:x14ac="http://schemas.microsoft.com/office/spreadsheetml/2009/9/ac" r="323" x14ac:dyDescent="0.45">
      <c r="A323">
        <v>1.5799999999999901</v>
      </c>
      <c r="B323">
        <f t="shared" si="97"/>
        <v>0.16299307554114414</v>
      </c>
      <c r="C323" t="b">
        <f t="shared" si="110"/>
        <v>1</v>
      </c>
      <c r="D323" t="b">
        <f t="shared" si="98"/>
        <v>1</v>
      </c>
      <c r="E323">
        <f t="shared" si="106"/>
        <v>1.5799999999999901</v>
      </c>
      <c r="F323">
        <f t="shared" si="111"/>
        <v>0.16299307554114414</v>
      </c>
      <c r="G323">
        <f t="shared" si="99"/>
        <v>0.21671719849741017</v>
      </c>
      <c r="H323">
        <f t="shared" si="100"/>
        <v>3.4997336746593902E-2</v>
      </c>
      <c r="I323" t="b">
        <f t="shared" si="112"/>
        <v>1</v>
      </c>
      <c r="J323">
        <f t="shared" si="101"/>
        <v>1.5799999999999901</v>
      </c>
      <c r="K323">
        <f t="shared" si="113"/>
        <v>3.4997336746593902E-2</v>
      </c>
      <c r="L323">
        <f t="shared" si="102"/>
        <v>0.15986961184552398</v>
      </c>
      <c r="M323">
        <f t="shared" si="103"/>
        <v>0.1899946734931878</v>
      </c>
      <c r="N323">
        <f t="shared" si="104"/>
        <v>0.18800355393982118</v>
      </c>
      <c r="O323">
        <f t="shared" si="105"/>
        <v>0.15777753880261139</v>
      </c>
      <c r="P323">
        <f t="shared" si="118"/>
        <v>0.08</v>
      </c>
      <c r="Q323">
        <f t="shared" si="114"/>
        <v>0.08</v>
      </c>
      <c r="R323">
        <f t="shared" si="107"/>
        <v>0.08</v>
      </c>
      <c r="S323">
        <f t="shared" si="108"/>
        <v>0.06</v>
      </c>
      <c r="T323">
        <f t="shared" si="109"/>
        <v>0.1</v>
      </c>
      <c r="U323">
        <f t="shared" si="115"/>
        <v>0.08</v>
      </c>
      <c r="V323">
        <f t="shared" si="120"/>
        <v>0.18800355393982118</v>
      </c>
      <c r="W323">
        <f t="shared" si="116"/>
        <v>0.15966496442981248</v>
      </c>
      <c r="X323">
        <f t="shared" si="117"/>
        <v>0.21685289490828352</v>
      </c>
      <c r="Y323" t="b">
        <f t="shared" si="119"/>
        <v>0</v>
      </c>
    </row>
    <row xmlns:x14ac="http://schemas.microsoft.com/office/spreadsheetml/2009/9/ac" r="324" x14ac:dyDescent="0.45">
      <c r="A324">
        <v>1.58499999999999</v>
      </c>
      <c r="B324">
        <f t="shared" si="97"/>
        <v>0.16299686441097821</v>
      </c>
      <c r="C324" t="b">
        <f t="shared" si="110"/>
        <v>1</v>
      </c>
      <c r="D324" t="b">
        <f t="shared" si="98"/>
        <v>1</v>
      </c>
      <c r="E324">
        <f t="shared" si="106"/>
        <v>1.58499999999999</v>
      </c>
      <c r="F324">
        <f t="shared" si="111"/>
        <v>0.16299686441097821</v>
      </c>
      <c r="G324">
        <f t="shared" si="99"/>
        <v>0.21668369633013745</v>
      </c>
      <c r="H324">
        <f t="shared" si="100"/>
        <v>3.49987940042224E-2</v>
      </c>
      <c r="I324" t="b">
        <f t="shared" si="112"/>
        <v>1</v>
      </c>
      <c r="J324">
        <f t="shared" si="101"/>
        <v>1.58499999999999</v>
      </c>
      <c r="K324">
        <f t="shared" si="113"/>
        <v>3.49987940042224E-2</v>
      </c>
      <c r="L324">
        <f t="shared" si="102"/>
        <v>0.15992013736723062</v>
      </c>
      <c r="M324">
        <f t="shared" si="103"/>
        <v>0.1899975880084448</v>
      </c>
      <c r="N324">
        <f t="shared" si="104"/>
        <v>0.18804910767202263</v>
      </c>
      <c r="O324">
        <f t="shared" si="105"/>
        <v>0.15777760991489864</v>
      </c>
      <c r="P324">
        <f t="shared" si="118"/>
        <v>0.08</v>
      </c>
      <c r="Q324">
        <f t="shared" si="114"/>
        <v>0.08</v>
      </c>
      <c r="R324">
        <f t="shared" si="107"/>
        <v>0.08</v>
      </c>
      <c r="S324">
        <f t="shared" si="108"/>
        <v>0.06</v>
      </c>
      <c r="T324">
        <f t="shared" si="109"/>
        <v>0.1</v>
      </c>
      <c r="U324">
        <f t="shared" si="115"/>
        <v>0.08</v>
      </c>
      <c r="V324">
        <f t="shared" si="120"/>
        <v>0.18804910767202263</v>
      </c>
      <c r="W324">
        <f t="shared" si="116"/>
        <v>0.15971651063476316</v>
      </c>
      <c r="X324">
        <f t="shared" si="117"/>
        <v>0.21681871595233809</v>
      </c>
      <c r="Y324" t="b">
        <f t="shared" si="119"/>
        <v>0</v>
      </c>
    </row>
    <row xmlns:x14ac="http://schemas.microsoft.com/office/spreadsheetml/2009/9/ac" r="325" x14ac:dyDescent="0.45">
      <c r="A325">
        <v>1.5899999999999901</v>
      </c>
      <c r="B325">
        <f t="shared" si="97"/>
        <v>0.16300048349503082</v>
      </c>
      <c r="C325" t="b">
        <f t="shared" si="110"/>
        <v>1</v>
      </c>
      <c r="D325" t="b">
        <f t="shared" si="98"/>
        <v>1</v>
      </c>
      <c r="E325">
        <f t="shared" si="106"/>
        <v>1.5899999999999901</v>
      </c>
      <c r="F325">
        <f t="shared" si="111"/>
        <v>0.16300048349503082</v>
      </c>
      <c r="G325">
        <f t="shared" si="99"/>
        <v>0.21665036125562109</v>
      </c>
      <c r="H325">
        <f t="shared" si="100"/>
        <v>3.5000185959627242E-2</v>
      </c>
      <c r="I325" t="b">
        <f t="shared" si="112"/>
        <v>1</v>
      </c>
      <c r="J325">
        <f t="shared" si="101"/>
        <v>1.5899999999999901</v>
      </c>
      <c r="K325">
        <f t="shared" si="113"/>
        <v>3.5000185959627242E-2</v>
      </c>
      <c r="L325">
        <f t="shared" si="102"/>
        <v>0.15997041089184647</v>
      </c>
      <c r="M325">
        <f t="shared" si="103"/>
        <v>0.19000037191925451</v>
      </c>
      <c r="N325">
        <f t="shared" si="104"/>
        <v>0.18809300755790825</v>
      </c>
      <c r="O325">
        <f t="shared" si="105"/>
        <v>0.15777767698996339</v>
      </c>
      <c r="P325">
        <f t="shared" si="118"/>
        <v>0.08</v>
      </c>
      <c r="Q325">
        <f t="shared" si="114"/>
        <v>0.08</v>
      </c>
      <c r="R325">
        <f t="shared" si="107"/>
        <v>0.08</v>
      </c>
      <c r="S325">
        <f t="shared" si="108"/>
        <v>0.06</v>
      </c>
      <c r="T325">
        <f t="shared" si="109"/>
        <v>0.1</v>
      </c>
      <c r="U325">
        <f t="shared" si="115"/>
        <v>0.08</v>
      </c>
      <c r="V325">
        <f t="shared" si="120"/>
        <v>0.18809300755790825</v>
      </c>
      <c r="W325">
        <f t="shared" si="116"/>
        <v>0.159767799751944</v>
      </c>
      <c r="X325">
        <f t="shared" si="117"/>
        <v>0.21678470746464668</v>
      </c>
      <c r="Y325" t="b">
        <f t="shared" si="119"/>
        <v>0</v>
      </c>
    </row>
    <row xmlns:x14ac="http://schemas.microsoft.com/office/spreadsheetml/2009/9/ac" r="326" x14ac:dyDescent="0.45">
      <c r="A326">
        <v>1.59499999999999</v>
      </c>
      <c r="B326">
        <f t="shared" si="97"/>
        <v>0.16300392376139725</v>
      </c>
      <c r="C326" t="b">
        <f t="shared" si="110"/>
        <v>1</v>
      </c>
      <c r="D326" t="b">
        <f t="shared" si="98"/>
        <v>1</v>
      </c>
      <c r="E326">
        <f t="shared" si="106"/>
        <v>1.59499999999999</v>
      </c>
      <c r="F326">
        <f t="shared" si="111"/>
        <v>0.16300392376139725</v>
      </c>
      <c r="G326">
        <f t="shared" si="99"/>
        <v>0.21661719244048255</v>
      </c>
      <c r="H326">
        <f t="shared" si="100"/>
        <v>3.5001509138998937E-2</v>
      </c>
      <c r="I326" t="b">
        <f t="shared" si="112"/>
        <v>1</v>
      </c>
      <c r="J326">
        <f t="shared" si="101"/>
        <v>1.59499999999999</v>
      </c>
      <c r="K326">
        <f t="shared" si="113"/>
        <v>3.5001509138998937E-2</v>
      </c>
      <c r="L326">
        <f t="shared" si="102"/>
        <v>0.16002043367621221</v>
      </c>
      <c r="M326">
        <f t="shared" si="103"/>
        <v>0.19000301827799787</v>
      </c>
      <c r="N326">
        <f t="shared" si="104"/>
        <v>0.18813510972533404</v>
      </c>
      <c r="O326">
        <f t="shared" si="105"/>
        <v>0.15777773994749109</v>
      </c>
      <c r="P326">
        <f t="shared" si="118"/>
        <v>0.08</v>
      </c>
      <c r="Q326">
        <f t="shared" si="114"/>
        <v>0.08</v>
      </c>
      <c r="R326">
        <f t="shared" si="107"/>
        <v>0.08</v>
      </c>
      <c r="S326">
        <f t="shared" si="108"/>
        <v>0.06</v>
      </c>
      <c r="T326">
        <f t="shared" si="109"/>
        <v>0.1</v>
      </c>
      <c r="U326">
        <f t="shared" si="115"/>
        <v>0.08</v>
      </c>
      <c r="V326">
        <f t="shared" si="120"/>
        <v>0.18813510972533404</v>
      </c>
      <c r="W326">
        <f t="shared" si="116"/>
        <v>0.15981883306358582</v>
      </c>
      <c r="X326">
        <f t="shared" si="117"/>
        <v>0.21675086859499521</v>
      </c>
      <c r="Y326" t="b">
        <f t="shared" si="119"/>
        <v>0</v>
      </c>
    </row>
    <row xmlns:x14ac="http://schemas.microsoft.com/office/spreadsheetml/2009/9/ac" r="327" x14ac:dyDescent="0.45">
      <c r="A327">
        <v>1.5999999999999901</v>
      </c>
      <c r="B327">
        <f t="shared" ref="B327:B390" si="121">-(1+Marge_haute)*(A+B/Tpll*EXP(-$A327/Tpll)+C_*EXP(-epsilon*Wn*$A327)*COS(Wd*$A327)+C_*(D/C_-epsilon*Wn)/Wd*EXP(-epsilon*Wn*$A327)*SIN(Wd*$A327))+SIGN(DeltaPexpected)*Tunnel</f>
        <v>0.1630071774740664</v>
      </c>
      <c r="C327" t="b">
        <f t="shared" si="110"/>
        <v>1</v>
      </c>
      <c r="D327" t="b">
        <f t="shared" ref="D327:D390" si="122">IF(D326,D326,IF(C327,B327&gt;B326,C327))</f>
        <v>1</v>
      </c>
      <c r="E327">
        <f t="shared" si="106"/>
        <v>1.5999999999999901</v>
      </c>
      <c r="F327">
        <f t="shared" si="111"/>
        <v>0.1630071774740664</v>
      </c>
      <c r="G327">
        <f t="shared" ref="G327:G390" si="123">P0-SIGN(Rocof)*IF(D327,DeltaPexpected+SIGN(DeltaPexpected)*Tunnel+(MIN(F$7:F$1495)-DeltaPexpected-+SIGN(DeltaPexpected)*Tunnel)*EXP(-(A327-MIN(E$7:E$1495))/Texpodecrease),B327)</f>
        <v>0.21658418905549959</v>
      </c>
      <c r="H327">
        <f t="shared" ref="H327:H390" si="124">-(1-marge_basse)*(A+B/Tpll*EXP(-$A327/Tpll)+C_*EXP(-epsilon*Wn*$A327)*COS(Wd*$A327)+C_*(D/C_-epsilon*Wn)/Wd*EXP(-epsilon*Wn*$A327)*SIN(Wd*$A327))-Tunnel</f>
        <v>3.5002760566948621E-2</v>
      </c>
      <c r="I327" t="b">
        <f t="shared" si="112"/>
        <v>1</v>
      </c>
      <c r="J327">
        <f t="shared" ref="J327:J390" si="125">IF(I327,A327,I327)</f>
        <v>1.5999999999999901</v>
      </c>
      <c r="K327">
        <f t="shared" si="113"/>
        <v>3.5002760566948621E-2</v>
      </c>
      <c r="L327">
        <f t="shared" ref="L327:L390" si="126">P0-SIGN(Rocof)*IF(I327,AF$23-AF$13+(MAX(K$7:K$1495)-AF$23+AF$13)*EXP(-(A327-MIN(J$7:J$1495))/AB$21),H327)</f>
        <v>0.16007020697090013</v>
      </c>
      <c r="M327">
        <f t="shared" ref="M327:M390" si="127">P0-(1)*(A+B/Tpll*EXP(-$A327/Tpll)+C_*EXP(-epsilon*Wn*$A327)*COS(Wd*$A327)+C_*(D/C_-epsilon*Wn)/Wd*EXP(-epsilon*Wn*$A327)*SIN(Wd*$A327))</f>
        <v>0.19000552113389724</v>
      </c>
      <c r="N327">
        <f t="shared" ref="N327:N390" si="128">AB$6-(AG$17+AG$16/AC$18*EXP(-$A327/AC$18)+AG$18*EXP(-AG$6*AG$12*$A327)*COS(AG$5*$A327)+AG$18*(AG$19/AG$18-AG$6*AG$12)/AG$5*EXP(-AG$6*AG$12*$A327)*SIN(AG$5*$A327))</f>
        <v>0.18817528285771867</v>
      </c>
      <c r="O327">
        <f t="shared" ref="O327:O390" si="129">AB$6-(AH$17+AH$16/AD$18*EXP(-$A327/AD$18)+AH$18*EXP(-AH$6*AH$12*$A327)*COS(AH$5*$A327)+AH$18*(AH$19/AH$18-AH$6*AH$12)/AH$5*EXP(-AH$6*AH$12*$A327)*SIN(AH$5*$A327))</f>
        <v>0.15777779873489356</v>
      </c>
      <c r="P327">
        <f t="shared" si="118"/>
        <v>0.08</v>
      </c>
      <c r="Q327">
        <f t="shared" si="114"/>
        <v>0.08</v>
      </c>
      <c r="R327">
        <f t="shared" si="107"/>
        <v>0.08</v>
      </c>
      <c r="S327">
        <f t="shared" si="108"/>
        <v>0.06</v>
      </c>
      <c r="T327">
        <f t="shared" si="109"/>
        <v>0.1</v>
      </c>
      <c r="U327">
        <f t="shared" si="115"/>
        <v>0.08</v>
      </c>
      <c r="V327">
        <f t="shared" si="120"/>
        <v>0.18817528285771867</v>
      </c>
      <c r="W327">
        <f t="shared" si="116"/>
        <v>0.15986961184552398</v>
      </c>
      <c r="X327">
        <f t="shared" si="117"/>
        <v>0.21671719849741017</v>
      </c>
      <c r="Y327" t="b">
        <f t="shared" si="119"/>
        <v>0</v>
      </c>
    </row>
    <row xmlns:x14ac="http://schemas.microsoft.com/office/spreadsheetml/2009/9/ac" r="328" x14ac:dyDescent="0.45">
      <c r="A328">
        <v>1.60499999999999</v>
      </c>
      <c r="B328">
        <f t="shared" si="121"/>
        <v>0.16301023816672564</v>
      </c>
      <c r="C328" t="b">
        <f t="shared" si="110"/>
        <v>1</v>
      </c>
      <c r="D328" t="b">
        <f t="shared" si="122"/>
        <v>1</v>
      </c>
      <c r="E328">
        <f t="shared" ref="E328:E391" si="130">IF(D328,A328,D328)</f>
        <v>1.60499999999999</v>
      </c>
      <c r="F328">
        <f t="shared" si="111"/>
        <v>0.16301023816672564</v>
      </c>
      <c r="G328">
        <f t="shared" si="123"/>
        <v>0.21655135027558597</v>
      </c>
      <c r="H328">
        <f t="shared" si="124"/>
        <v>3.5003937756432943E-2</v>
      </c>
      <c r="I328" t="b">
        <f t="shared" si="112"/>
        <v>1</v>
      </c>
      <c r="J328">
        <f t="shared" si="125"/>
        <v>1.60499999999999</v>
      </c>
      <c r="K328">
        <f t="shared" si="113"/>
        <v>3.5003937756432943E-2</v>
      </c>
      <c r="L328">
        <f t="shared" si="126"/>
        <v>0.16011973202024513</v>
      </c>
      <c r="M328">
        <f t="shared" si="127"/>
        <v>0.19000787551286588</v>
      </c>
      <c r="N328">
        <f t="shared" si="128"/>
        <v>0.18821340838478828</v>
      </c>
      <c r="O328">
        <f t="shared" si="129"/>
        <v>0.15777785332566577</v>
      </c>
      <c r="P328">
        <f t="shared" si="118"/>
        <v>0.08</v>
      </c>
      <c r="Q328">
        <f t="shared" si="114"/>
        <v>0.08</v>
      </c>
      <c r="R328">
        <f t="shared" ref="R328:R391" si="131">$AB$6-(1+AB$17)*EXP(-AF$6*AF$12*A328)*(COS(AF$5*A328)-(AF$6*AF$12-1)/(AF$5)*SIN(AF$5*A328))*AF$15</f>
        <v>0.08</v>
      </c>
      <c r="S328">
        <f t="shared" ref="S328:S391" si="132">R328-AF$13</f>
        <v>0.06</v>
      </c>
      <c r="T328">
        <f t="shared" ref="T328:T391" si="133">R328+AF$13</f>
        <v>0.1</v>
      </c>
      <c r="U328">
        <f t="shared" si="115"/>
        <v>0.08</v>
      </c>
      <c r="V328">
        <f t="shared" si="120"/>
        <v>0.18821340838478828</v>
      </c>
      <c r="W328">
        <f t="shared" si="116"/>
        <v>0.15992013736723062</v>
      </c>
      <c r="X328">
        <f t="shared" si="117"/>
        <v>0.21668369633013745</v>
      </c>
      <c r="Y328" t="b">
        <f t="shared" si="119"/>
        <v>0</v>
      </c>
    </row>
    <row xmlns:x14ac="http://schemas.microsoft.com/office/spreadsheetml/2009/9/ac" r="329" x14ac:dyDescent="0.45">
      <c r="A329">
        <v>1.6099999999999901</v>
      </c>
      <c r="B329">
        <f t="shared" si="121"/>
        <v>0.16301310061176963</v>
      </c>
      <c r="C329" t="b">
        <f t="shared" ref="C329:C392" si="134">IF(C328,C328,(B329&lt;B328))</f>
        <v>1</v>
      </c>
      <c r="D329" t="b">
        <f t="shared" si="122"/>
        <v>1</v>
      </c>
      <c r="E329">
        <f t="shared" si="130"/>
        <v>1.6099999999999901</v>
      </c>
      <c r="F329">
        <f t="shared" ref="F329:F392" si="135">IF(D329,B329,D329)</f>
        <v>0.16301310061176963</v>
      </c>
      <c r="G329">
        <f t="shared" si="123"/>
        <v>0.21651867527977048</v>
      </c>
      <c r="H329">
        <f t="shared" si="124"/>
        <v>3.5005038696834467E-2</v>
      </c>
      <c r="I329" t="b">
        <f t="shared" ref="I329:I392" si="136">IF(I328,I328,H328&gt;H329)</f>
        <v>1</v>
      </c>
      <c r="J329">
        <f t="shared" si="125"/>
        <v>1.6099999999999901</v>
      </c>
      <c r="K329">
        <f t="shared" ref="K329:K392" si="137">IF(I329,H329,I329)</f>
        <v>3.5005038696834467E-2</v>
      </c>
      <c r="L329">
        <f t="shared" si="126"/>
        <v>0.16016901006237602</v>
      </c>
      <c r="M329">
        <f t="shared" si="127"/>
        <v>0.19001007739366893</v>
      </c>
      <c r="N329">
        <f t="shared" si="128"/>
        <v>0.1882493806104179</v>
      </c>
      <c r="O329">
        <f t="shared" si="129"/>
        <v>0.15777790371771638</v>
      </c>
      <c r="P329">
        <f t="shared" si="118"/>
        <v>0.08</v>
      </c>
      <c r="Q329">
        <f t="shared" ref="Q329:Q392" si="138">$AB$6-(1+AB$17)*EXP(-AF$6*AF$12*A327)*(COS(AF$5*A327)-(AF$6*AF$12-1)/(AF$5)*SIN(AF$5*A327))*AF$15</f>
        <v>0.08</v>
      </c>
      <c r="R329">
        <f t="shared" si="131"/>
        <v>0.08</v>
      </c>
      <c r="S329">
        <f t="shared" si="132"/>
        <v>0.06</v>
      </c>
      <c r="T329">
        <f t="shared" si="133"/>
        <v>0.1</v>
      </c>
      <c r="U329">
        <f t="shared" ref="U329:U392" si="139">$AB$6-AB$18*EXP(-AF$6*AF$12*A327)*(COS(AF$5*A327)-(AF$6*AF$12-1)/(AF$5)*SIN(AF$5*A327))*AF$15</f>
        <v>0.08</v>
      </c>
      <c r="V329">
        <f t="shared" si="120"/>
        <v>0.1882493806104179</v>
      </c>
      <c r="W329">
        <f t="shared" si="116"/>
        <v>0.15997041089184647</v>
      </c>
      <c r="X329">
        <f t="shared" si="117"/>
        <v>0.21665036125562109</v>
      </c>
      <c r="Y329" t="b">
        <f t="shared" si="119"/>
        <v>0</v>
      </c>
    </row>
    <row xmlns:x14ac="http://schemas.microsoft.com/office/spreadsheetml/2009/9/ac" r="330" x14ac:dyDescent="0.45">
      <c r="A330">
        <v>1.61499999999999</v>
      </c>
      <c r="B330">
        <f t="shared" si="121"/>
        <v>0.16301576078489477</v>
      </c>
      <c r="C330" t="b">
        <f t="shared" si="134"/>
        <v>1</v>
      </c>
      <c r="D330" t="b">
        <f t="shared" si="122"/>
        <v>1</v>
      </c>
      <c r="E330">
        <f t="shared" si="130"/>
        <v>1.61499999999999</v>
      </c>
      <c r="F330">
        <f t="shared" si="135"/>
        <v>0.16301576078489477</v>
      </c>
      <c r="G330">
        <f t="shared" si="123"/>
        <v>0.21648616325117648</v>
      </c>
      <c r="H330">
        <f t="shared" si="124"/>
        <v>3.5006061840344146E-2</v>
      </c>
      <c r="I330" t="b">
        <f t="shared" si="136"/>
        <v>1</v>
      </c>
      <c r="J330">
        <f t="shared" si="125"/>
        <v>1.61499999999999</v>
      </c>
      <c r="K330">
        <f t="shared" si="137"/>
        <v>3.5006061840344146E-2</v>
      </c>
      <c r="L330">
        <f t="shared" si="126"/>
        <v>0.16021804232924647</v>
      </c>
      <c r="M330">
        <f t="shared" si="127"/>
        <v>0.19001212368068829</v>
      </c>
      <c r="N330">
        <f t="shared" si="128"/>
        <v>0.1882831067789798</v>
      </c>
      <c r="O330">
        <f t="shared" si="129"/>
        <v>0.15777794993168298</v>
      </c>
      <c r="P330">
        <f t="shared" si="118"/>
        <v>0.08</v>
      </c>
      <c r="Q330">
        <f t="shared" si="138"/>
        <v>0.08</v>
      </c>
      <c r="R330">
        <f t="shared" si="131"/>
        <v>0.08</v>
      </c>
      <c r="S330">
        <f t="shared" si="132"/>
        <v>0.06</v>
      </c>
      <c r="T330">
        <f t="shared" si="133"/>
        <v>0.1</v>
      </c>
      <c r="U330">
        <f t="shared" si="139"/>
        <v>0.08</v>
      </c>
      <c r="V330">
        <f t="shared" si="120"/>
        <v>0.1882831067789798</v>
      </c>
      <c r="W330">
        <f t="shared" si="116"/>
        <v>0.16002043367621221</v>
      </c>
      <c r="X330">
        <f t="shared" si="117"/>
        <v>0.21661719244048255</v>
      </c>
      <c r="Y330" t="b">
        <f t="shared" si="119"/>
        <v>0</v>
      </c>
    </row>
    <row xmlns:x14ac="http://schemas.microsoft.com/office/spreadsheetml/2009/9/ac" r="331" x14ac:dyDescent="0.45">
      <c r="A331">
        <v>1.6199999999999899</v>
      </c>
      <c r="B331">
        <f t="shared" si="121"/>
        <v>0.16301821582566448</v>
      </c>
      <c r="C331" t="b">
        <f t="shared" si="134"/>
        <v>1</v>
      </c>
      <c r="D331" t="b">
        <f t="shared" si="122"/>
        <v>1</v>
      </c>
      <c r="E331">
        <f t="shared" si="130"/>
        <v>1.6199999999999899</v>
      </c>
      <c r="F331">
        <f t="shared" si="135"/>
        <v>0.16301821582566448</v>
      </c>
      <c r="G331">
        <f t="shared" si="123"/>
        <v>0.21645381337700154</v>
      </c>
      <c r="H331">
        <f t="shared" si="124"/>
        <v>3.5007006086794037E-2</v>
      </c>
      <c r="I331" t="b">
        <f t="shared" si="136"/>
        <v>1</v>
      </c>
      <c r="J331">
        <f t="shared" si="125"/>
        <v>1.6199999999999899</v>
      </c>
      <c r="K331">
        <f t="shared" si="137"/>
        <v>3.5007006086794037E-2</v>
      </c>
      <c r="L331">
        <f t="shared" si="126"/>
        <v>0.16026683004666564</v>
      </c>
      <c r="M331">
        <f t="shared" si="127"/>
        <v>0.19001401217358807</v>
      </c>
      <c r="N331">
        <f t="shared" si="128"/>
        <v>0.1883145070818395</v>
      </c>
      <c r="O331">
        <f t="shared" si="129"/>
        <v>0.15777799200924217</v>
      </c>
      <c r="P331">
        <f t="shared" si="118"/>
        <v>0.08</v>
      </c>
      <c r="Q331">
        <f t="shared" si="138"/>
        <v>0.08</v>
      </c>
      <c r="R331">
        <f t="shared" si="131"/>
        <v>0.08</v>
      </c>
      <c r="S331">
        <f t="shared" si="132"/>
        <v>0.06</v>
      </c>
      <c r="T331">
        <f t="shared" si="133"/>
        <v>0.1</v>
      </c>
      <c r="U331">
        <f t="shared" si="139"/>
        <v>0.08</v>
      </c>
      <c r="V331">
        <f t="shared" si="120"/>
        <v>0.1883145070818395</v>
      </c>
      <c r="W331">
        <f t="shared" ref="W331:W394" si="140">IF(EMT_Simulation,L327,L331)</f>
        <v>0.16007020697090013</v>
      </c>
      <c r="X331">
        <f t="shared" ref="X331:X394" si="141">IF(EMT_Simulation,G327,G331)</f>
        <v>0.21658418905549959</v>
      </c>
      <c r="Y331" t="b">
        <f t="shared" si="119"/>
        <v>0</v>
      </c>
    </row>
    <row xmlns:x14ac="http://schemas.microsoft.com/office/spreadsheetml/2009/9/ac" r="332" x14ac:dyDescent="0.45">
      <c r="A332">
        <v>1.62499999999999</v>
      </c>
      <c r="B332">
        <f t="shared" si="121"/>
        <v>0.16302046399443007</v>
      </c>
      <c r="C332" t="b">
        <f t="shared" si="134"/>
        <v>1</v>
      </c>
      <c r="D332" t="b">
        <f t="shared" si="122"/>
        <v>1</v>
      </c>
      <c r="E332">
        <f t="shared" si="130"/>
        <v>1.62499999999999</v>
      </c>
      <c r="F332">
        <f t="shared" si="135"/>
        <v>0.16302046399443007</v>
      </c>
      <c r="G332">
        <f t="shared" si="123"/>
        <v>0.2164216248484972</v>
      </c>
      <c r="H332">
        <f t="shared" si="124"/>
        <v>3.5007870767088486E-2</v>
      </c>
      <c r="I332" t="b">
        <f t="shared" si="136"/>
        <v>1</v>
      </c>
      <c r="J332">
        <f t="shared" si="125"/>
        <v>1.62499999999999</v>
      </c>
      <c r="K332">
        <f t="shared" si="137"/>
        <v>3.5007870767088486E-2</v>
      </c>
      <c r="L332">
        <f t="shared" si="126"/>
        <v>0.16031537443432906</v>
      </c>
      <c r="M332">
        <f t="shared" si="127"/>
        <v>0.190015741534177</v>
      </c>
      <c r="N332">
        <f t="shared" si="128"/>
        <v>0.18834351460585522</v>
      </c>
      <c r="O332">
        <f t="shared" si="129"/>
        <v>0.15777803001142385</v>
      </c>
      <c r="P332">
        <f t="shared" si="118"/>
        <v>0.08</v>
      </c>
      <c r="Q332">
        <f t="shared" si="138"/>
        <v>0.08</v>
      </c>
      <c r="R332">
        <f t="shared" si="131"/>
        <v>0.08</v>
      </c>
      <c r="S332">
        <f t="shared" si="132"/>
        <v>0.06</v>
      </c>
      <c r="T332">
        <f t="shared" si="133"/>
        <v>0.1</v>
      </c>
      <c r="U332">
        <f t="shared" si="139"/>
        <v>0.08</v>
      </c>
      <c r="V332">
        <f t="shared" si="120"/>
        <v>0.18834351460585522</v>
      </c>
      <c r="W332">
        <f t="shared" si="140"/>
        <v>0.16011973202024513</v>
      </c>
      <c r="X332">
        <f t="shared" si="141"/>
        <v>0.21655135027558597</v>
      </c>
      <c r="Y332" t="b">
        <f t="shared" si="119"/>
        <v>0</v>
      </c>
    </row>
    <row xmlns:x14ac="http://schemas.microsoft.com/office/spreadsheetml/2009/9/ac" r="333" x14ac:dyDescent="0.45">
      <c r="A333">
        <v>1.6299999999999899</v>
      </c>
      <c r="B333">
        <f t="shared" si="121"/>
        <v>0.16302250462599108</v>
      </c>
      <c r="C333" t="b">
        <f t="shared" si="134"/>
        <v>1</v>
      </c>
      <c r="D333" t="b">
        <f t="shared" si="122"/>
        <v>1</v>
      </c>
      <c r="E333">
        <f t="shared" si="130"/>
        <v>1.6299999999999899</v>
      </c>
      <c r="F333">
        <f t="shared" si="135"/>
        <v>0.16302250462599108</v>
      </c>
      <c r="G333">
        <f t="shared" si="123"/>
        <v>0.21638959686094855</v>
      </c>
      <c r="H333">
        <f t="shared" si="124"/>
        <v>3.5008655625381177E-2</v>
      </c>
      <c r="I333" t="b">
        <f t="shared" si="136"/>
        <v>1</v>
      </c>
      <c r="J333">
        <f t="shared" si="125"/>
        <v>1.6299999999999899</v>
      </c>
      <c r="K333">
        <f t="shared" si="137"/>
        <v>3.5008655625381177E-2</v>
      </c>
      <c r="L333">
        <f t="shared" si="126"/>
        <v>0.16036367670584892</v>
      </c>
      <c r="M333">
        <f t="shared" si="127"/>
        <v>0.19001731125076238</v>
      </c>
      <c r="N333">
        <f t="shared" si="128"/>
        <v>0.18837007522593724</v>
      </c>
      <c r="O333">
        <f t="shared" si="129"/>
        <v>0.15777806401693839</v>
      </c>
      <c r="P333">
        <f t="shared" si="118"/>
        <v>0.08</v>
      </c>
      <c r="Q333">
        <f t="shared" si="138"/>
        <v>0.08</v>
      </c>
      <c r="R333">
        <f t="shared" si="131"/>
        <v>0.08</v>
      </c>
      <c r="S333">
        <f t="shared" si="132"/>
        <v>0.06</v>
      </c>
      <c r="T333">
        <f t="shared" si="133"/>
        <v>0.1</v>
      </c>
      <c r="U333">
        <f t="shared" si="139"/>
        <v>0.08</v>
      </c>
      <c r="V333">
        <f t="shared" si="120"/>
        <v>0.18837007522593724</v>
      </c>
      <c r="W333">
        <f t="shared" si="140"/>
        <v>0.16016901006237602</v>
      </c>
      <c r="X333">
        <f t="shared" si="141"/>
        <v>0.21651867527977048</v>
      </c>
      <c r="Y333" t="b">
        <f t="shared" si="119"/>
        <v>0</v>
      </c>
    </row>
    <row xmlns:x14ac="http://schemas.microsoft.com/office/spreadsheetml/2009/9/ac" r="334" x14ac:dyDescent="0.45">
      <c r="A334">
        <v>1.63499999999999</v>
      </c>
      <c r="B334">
        <f t="shared" si="121"/>
        <v>0.16302433808037595</v>
      </c>
      <c r="C334" t="b">
        <f t="shared" si="134"/>
        <v>1</v>
      </c>
      <c r="D334" t="b">
        <f t="shared" si="122"/>
        <v>1</v>
      </c>
      <c r="E334">
        <f t="shared" si="130"/>
        <v>1.63499999999999</v>
      </c>
      <c r="F334">
        <f t="shared" si="135"/>
        <v>0.16302433808037595</v>
      </c>
      <c r="G334">
        <f t="shared" si="123"/>
        <v>0.21635772861365421</v>
      </c>
      <c r="H334">
        <f t="shared" si="124"/>
        <v>3.5009360800144593E-2</v>
      </c>
      <c r="I334" t="b">
        <f t="shared" si="136"/>
        <v>1</v>
      </c>
      <c r="J334">
        <f t="shared" si="125"/>
        <v>1.63499999999999</v>
      </c>
      <c r="K334">
        <f t="shared" si="137"/>
        <v>3.5009360800144593E-2</v>
      </c>
      <c r="L334">
        <f t="shared" si="126"/>
        <v>0.16041173806878453</v>
      </c>
      <c r="M334">
        <f t="shared" si="127"/>
        <v>0.19001872160028921</v>
      </c>
      <c r="N334">
        <f t="shared" si="128"/>
        <v>0.18839414744390842</v>
      </c>
      <c r="O334">
        <f t="shared" si="129"/>
        <v>0.15777809412052524</v>
      </c>
      <c r="P334">
        <f t="shared" ref="P334:P397" si="142">$AB$6-EXP(-AF$6*AF$12*A334)*(COS(AF$5*A334)-(AF$6*AF$12-1)/(AF$5)*SIN(AF$5*A334))*AF$15</f>
        <v>0.08</v>
      </c>
      <c r="Q334">
        <f t="shared" si="138"/>
        <v>0.08</v>
      </c>
      <c r="R334">
        <f t="shared" si="131"/>
        <v>0.08</v>
      </c>
      <c r="S334">
        <f t="shared" si="132"/>
        <v>0.06</v>
      </c>
      <c r="T334">
        <f t="shared" si="133"/>
        <v>0.1</v>
      </c>
      <c r="U334">
        <f t="shared" si="139"/>
        <v>0.08</v>
      </c>
      <c r="V334">
        <f t="shared" si="120"/>
        <v>0.18839414744390842</v>
      </c>
      <c r="W334">
        <f t="shared" si="140"/>
        <v>0.16021804232924647</v>
      </c>
      <c r="X334">
        <f t="shared" si="141"/>
        <v>0.21648616325117648</v>
      </c>
      <c r="Y334" t="b">
        <f t="shared" si="119"/>
        <v>0</v>
      </c>
    </row>
    <row xmlns:x14ac="http://schemas.microsoft.com/office/spreadsheetml/2009/9/ac" r="335" x14ac:dyDescent="0.45">
      <c r="A335">
        <v>1.6399999999999899</v>
      </c>
      <c r="B335">
        <f t="shared" si="121"/>
        <v>0.16302596569111882</v>
      </c>
      <c r="C335" t="b">
        <f t="shared" si="134"/>
        <v>1</v>
      </c>
      <c r="D335" t="b">
        <f t="shared" si="122"/>
        <v>1</v>
      </c>
      <c r="E335">
        <f t="shared" si="130"/>
        <v>1.6399999999999899</v>
      </c>
      <c r="F335">
        <f t="shared" si="135"/>
        <v>0.16302596569111882</v>
      </c>
      <c r="G335">
        <f t="shared" si="123"/>
        <v>0.2163260193099063</v>
      </c>
      <c r="H335">
        <f t="shared" si="124"/>
        <v>3.5009986804276472E-2</v>
      </c>
      <c r="I335" t="b">
        <f t="shared" si="136"/>
        <v>1</v>
      </c>
      <c r="J335">
        <f t="shared" si="125"/>
        <v>1.6399999999999899</v>
      </c>
      <c r="K335">
        <f t="shared" si="137"/>
        <v>3.5009986804276472E-2</v>
      </c>
      <c r="L335">
        <f t="shared" si="126"/>
        <v>0.16045955972467246</v>
      </c>
      <c r="M335">
        <f t="shared" si="127"/>
        <v>0.19001997360855294</v>
      </c>
      <c r="N335">
        <f t="shared" si="128"/>
        <v>0.18841570217607637</v>
      </c>
      <c r="O335">
        <f t="shared" si="129"/>
        <v>0.15777812043132949</v>
      </c>
      <c r="P335">
        <f t="shared" si="142"/>
        <v>0.08</v>
      </c>
      <c r="Q335">
        <f t="shared" si="138"/>
        <v>0.08</v>
      </c>
      <c r="R335">
        <f t="shared" si="131"/>
        <v>0.08</v>
      </c>
      <c r="S335">
        <f t="shared" si="132"/>
        <v>0.06</v>
      </c>
      <c r="T335">
        <f t="shared" si="133"/>
        <v>0.1</v>
      </c>
      <c r="U335">
        <f t="shared" si="139"/>
        <v>0.08</v>
      </c>
      <c r="V335">
        <f t="shared" si="120"/>
        <v>0.18841570217607637</v>
      </c>
      <c r="W335">
        <f t="shared" si="140"/>
        <v>0.16026683004666564</v>
      </c>
      <c r="X335">
        <f t="shared" si="141"/>
        <v>0.21645381337700154</v>
      </c>
      <c r="Y335" t="b">
        <f t="shared" ref="Y335:Y398" si="143">IF(Y334,TRUE,IF(P335&lt;P334,TRUE))</f>
        <v>0</v>
      </c>
    </row>
    <row xmlns:x14ac="http://schemas.microsoft.com/office/spreadsheetml/2009/9/ac" r="336" x14ac:dyDescent="0.45">
      <c r="A336">
        <v>1.64499999999999</v>
      </c>
      <c r="B336">
        <f t="shared" si="121"/>
        <v>0.16302738971140185</v>
      </c>
      <c r="C336" t="b">
        <f t="shared" si="134"/>
        <v>1</v>
      </c>
      <c r="D336" t="b">
        <f t="shared" si="122"/>
        <v>1</v>
      </c>
      <c r="E336">
        <f t="shared" si="130"/>
        <v>1.64499999999999</v>
      </c>
      <c r="F336">
        <f t="shared" si="135"/>
        <v>0.16302738971140185</v>
      </c>
      <c r="G336">
        <f t="shared" si="123"/>
        <v>0.21629446815697068</v>
      </c>
      <c r="H336">
        <f t="shared" si="124"/>
        <v>3.5010534504385335E-2</v>
      </c>
      <c r="I336" t="b">
        <f t="shared" si="136"/>
        <v>1</v>
      </c>
      <c r="J336">
        <f t="shared" si="125"/>
        <v>1.64499999999999</v>
      </c>
      <c r="K336">
        <f t="shared" si="137"/>
        <v>3.5010534504385335E-2</v>
      </c>
      <c r="L336">
        <f t="shared" si="126"/>
        <v>0.16050714286905665</v>
      </c>
      <c r="M336">
        <f t="shared" si="127"/>
        <v>0.19002106900877067</v>
      </c>
      <c r="N336">
        <f t="shared" si="128"/>
        <v>0.18843472249208079</v>
      </c>
      <c r="O336">
        <f t="shared" si="129"/>
        <v>0.15777814307131444</v>
      </c>
      <c r="P336">
        <f t="shared" si="142"/>
        <v>0.08</v>
      </c>
      <c r="Q336">
        <f t="shared" si="138"/>
        <v>0.08</v>
      </c>
      <c r="R336">
        <f t="shared" si="131"/>
        <v>0.08</v>
      </c>
      <c r="S336">
        <f t="shared" si="132"/>
        <v>0.06</v>
      </c>
      <c r="T336">
        <f t="shared" si="133"/>
        <v>0.1</v>
      </c>
      <c r="U336">
        <f t="shared" si="139"/>
        <v>0.08</v>
      </c>
      <c r="V336">
        <f t="shared" si="120"/>
        <v>0.18843472249208079</v>
      </c>
      <c r="W336">
        <f t="shared" si="140"/>
        <v>0.16031537443432906</v>
      </c>
      <c r="X336">
        <f t="shared" si="141"/>
        <v>0.2164216248484972</v>
      </c>
      <c r="Y336" t="b">
        <f t="shared" si="143"/>
        <v>0</v>
      </c>
    </row>
    <row xmlns:x14ac="http://schemas.microsoft.com/office/spreadsheetml/2009/9/ac" r="337" x14ac:dyDescent="0.45">
      <c r="A337">
        <v>1.6499999999999899</v>
      </c>
      <c r="B337">
        <f t="shared" si="121"/>
        <v>0.16302861325842508</v>
      </c>
      <c r="C337" t="b">
        <f t="shared" si="134"/>
        <v>1</v>
      </c>
      <c r="D337" t="b">
        <f t="shared" si="122"/>
        <v>1</v>
      </c>
      <c r="E337">
        <f t="shared" si="130"/>
        <v>1.6499999999999899</v>
      </c>
      <c r="F337">
        <f t="shared" si="135"/>
        <v>0.16302861325842508</v>
      </c>
      <c r="G337">
        <f t="shared" si="123"/>
        <v>0.21626307436606679</v>
      </c>
      <c r="H337">
        <f t="shared" si="124"/>
        <v>3.5011005099394255E-2</v>
      </c>
      <c r="I337" t="b">
        <f t="shared" si="136"/>
        <v>1</v>
      </c>
      <c r="J337">
        <f t="shared" si="125"/>
        <v>1.6499999999999899</v>
      </c>
      <c r="K337">
        <f t="shared" si="137"/>
        <v>3.5011005099394255E-2</v>
      </c>
      <c r="L337">
        <f t="shared" si="126"/>
        <v>0.16055448869151812</v>
      </c>
      <c r="M337">
        <f t="shared" si="127"/>
        <v>0.1900220101987885</v>
      </c>
      <c r="N337">
        <f t="shared" si="128"/>
        <v>0.18845120330771614</v>
      </c>
      <c r="O337">
        <f t="shared" si="129"/>
        <v>0.1577781621737149</v>
      </c>
      <c r="P337">
        <f t="shared" si="142"/>
        <v>0.08</v>
      </c>
      <c r="Q337">
        <f t="shared" si="138"/>
        <v>0.08</v>
      </c>
      <c r="R337">
        <f t="shared" si="131"/>
        <v>0.08</v>
      </c>
      <c r="S337">
        <f t="shared" si="132"/>
        <v>0.06</v>
      </c>
      <c r="T337">
        <f t="shared" si="133"/>
        <v>0.1</v>
      </c>
      <c r="U337">
        <f t="shared" si="139"/>
        <v>0.08</v>
      </c>
      <c r="V337">
        <f t="shared" si="120"/>
        <v>0.18845120330771614</v>
      </c>
      <c r="W337">
        <f t="shared" si="140"/>
        <v>0.16036367670584892</v>
      </c>
      <c r="X337">
        <f t="shared" si="141"/>
        <v>0.21638959686094855</v>
      </c>
      <c r="Y337" t="b">
        <f t="shared" si="143"/>
        <v>0</v>
      </c>
    </row>
    <row xmlns:x14ac="http://schemas.microsoft.com/office/spreadsheetml/2009/9/ac" r="338" x14ac:dyDescent="0.45">
      <c r="A338">
        <v>1.65499999999999</v>
      </c>
      <c r="B338">
        <f t="shared" si="121"/>
        <v>0.16302964025635602</v>
      </c>
      <c r="C338" t="b">
        <f t="shared" si="134"/>
        <v>1</v>
      </c>
      <c r="D338" t="b">
        <f t="shared" si="122"/>
        <v>1</v>
      </c>
      <c r="E338">
        <f t="shared" si="130"/>
        <v>1.65499999999999</v>
      </c>
      <c r="F338">
        <f t="shared" si="135"/>
        <v>0.16302964025635602</v>
      </c>
      <c r="G338">
        <f t="shared" si="123"/>
        <v>0.21623183715234823</v>
      </c>
      <c r="H338">
        <f t="shared" si="124"/>
        <v>3.5011400098598475E-2</v>
      </c>
      <c r="I338" t="b">
        <f t="shared" si="136"/>
        <v>1</v>
      </c>
      <c r="J338">
        <f t="shared" si="125"/>
        <v>1.65499999999999</v>
      </c>
      <c r="K338">
        <f t="shared" si="137"/>
        <v>3.5011400098598475E-2</v>
      </c>
      <c r="L338">
        <f t="shared" si="126"/>
        <v>0.16060159837570492</v>
      </c>
      <c r="M338">
        <f t="shared" si="127"/>
        <v>0.19002280019719694</v>
      </c>
      <c r="N338">
        <f t="shared" si="128"/>
        <v>0.18846515103455028</v>
      </c>
      <c r="O338">
        <f t="shared" si="129"/>
        <v>0.15777817788153756</v>
      </c>
      <c r="P338">
        <f t="shared" si="142"/>
        <v>0.08</v>
      </c>
      <c r="Q338">
        <f t="shared" si="138"/>
        <v>0.08</v>
      </c>
      <c r="R338">
        <f t="shared" si="131"/>
        <v>0.08</v>
      </c>
      <c r="S338">
        <f t="shared" si="132"/>
        <v>0.06</v>
      </c>
      <c r="T338">
        <f t="shared" si="133"/>
        <v>0.1</v>
      </c>
      <c r="U338">
        <f t="shared" si="139"/>
        <v>0.08</v>
      </c>
      <c r="V338">
        <f t="shared" si="120"/>
        <v>0.18846515103455028</v>
      </c>
      <c r="W338">
        <f t="shared" si="140"/>
        <v>0.16041173806878453</v>
      </c>
      <c r="X338">
        <f t="shared" si="141"/>
        <v>0.21635772861365421</v>
      </c>
      <c r="Y338" t="b">
        <f t="shared" si="143"/>
        <v>0</v>
      </c>
    </row>
    <row xmlns:x14ac="http://schemas.microsoft.com/office/spreadsheetml/2009/9/ac" r="339" x14ac:dyDescent="0.45">
      <c r="A339">
        <v>1.6599999999999899</v>
      </c>
      <c r="B339">
        <f t="shared" si="121"/>
        <v>0.16303047537820173</v>
      </c>
      <c r="C339" t="b">
        <f t="shared" si="134"/>
        <v>1</v>
      </c>
      <c r="D339" t="b">
        <f t="shared" si="122"/>
        <v>1</v>
      </c>
      <c r="E339">
        <f t="shared" si="130"/>
        <v>1.6599999999999899</v>
      </c>
      <c r="F339">
        <f t="shared" si="135"/>
        <v>0.16303047537820173</v>
      </c>
      <c r="G339">
        <f t="shared" si="123"/>
        <v>0.21620075573488307</v>
      </c>
      <c r="H339">
        <f t="shared" si="124"/>
        <v>3.5011721299308352E-2</v>
      </c>
      <c r="I339" t="b">
        <f t="shared" si="136"/>
        <v>1</v>
      </c>
      <c r="J339">
        <f t="shared" si="125"/>
        <v>1.6599999999999899</v>
      </c>
      <c r="K339">
        <f t="shared" si="137"/>
        <v>3.5011721299308352E-2</v>
      </c>
      <c r="L339">
        <f t="shared" si="126"/>
        <v>0.16064847309936164</v>
      </c>
      <c r="M339">
        <f t="shared" si="127"/>
        <v>0.1900234425986167</v>
      </c>
      <c r="N339">
        <f t="shared" si="128"/>
        <v>0.18847658318926361</v>
      </c>
      <c r="O339">
        <f t="shared" si="129"/>
        <v>0.15777819034611298</v>
      </c>
      <c r="P339">
        <f t="shared" si="142"/>
        <v>0.08</v>
      </c>
      <c r="Q339">
        <f t="shared" si="138"/>
        <v>0.08</v>
      </c>
      <c r="R339">
        <f t="shared" si="131"/>
        <v>0.08</v>
      </c>
      <c r="S339">
        <f t="shared" si="132"/>
        <v>0.06</v>
      </c>
      <c r="T339">
        <f t="shared" si="133"/>
        <v>0.1</v>
      </c>
      <c r="U339">
        <f t="shared" si="139"/>
        <v>0.08</v>
      </c>
      <c r="V339">
        <f t="shared" si="120"/>
        <v>0.18847658318926361</v>
      </c>
      <c r="W339">
        <f t="shared" si="140"/>
        <v>0.16045955972467246</v>
      </c>
      <c r="X339">
        <f t="shared" si="141"/>
        <v>0.2163260193099063</v>
      </c>
      <c r="Y339" t="b">
        <f t="shared" si="143"/>
        <v>0</v>
      </c>
    </row>
    <row xmlns:x14ac="http://schemas.microsoft.com/office/spreadsheetml/2009/9/ac" r="340" x14ac:dyDescent="0.45">
      <c r="A340">
        <v>1.66499999999999</v>
      </c>
      <c r="B340">
        <f t="shared" si="121"/>
        <v>0.16303112398693323</v>
      </c>
      <c r="C340" t="b">
        <f t="shared" si="134"/>
        <v>1</v>
      </c>
      <c r="D340" t="b">
        <f t="shared" si="122"/>
        <v>1</v>
      </c>
      <c r="E340">
        <f t="shared" si="130"/>
        <v>1.66499999999999</v>
      </c>
      <c r="F340">
        <f t="shared" si="135"/>
        <v>0.16303112398693323</v>
      </c>
      <c r="G340">
        <f t="shared" si="123"/>
        <v>0.21616982933663426</v>
      </c>
      <c r="H340">
        <f t="shared" si="124"/>
        <v>3.5011970764205091E-2</v>
      </c>
      <c r="I340" t="b">
        <f t="shared" si="136"/>
        <v>1</v>
      </c>
      <c r="J340">
        <f t="shared" si="125"/>
        <v>1.66499999999999</v>
      </c>
      <c r="K340">
        <f t="shared" si="137"/>
        <v>3.5011970764205091E-2</v>
      </c>
      <c r="L340">
        <f t="shared" si="126"/>
        <v>0.16069511403435877</v>
      </c>
      <c r="M340">
        <f t="shared" si="127"/>
        <v>0.19002394152841018</v>
      </c>
      <c r="N340">
        <f t="shared" si="128"/>
        <v>0.18848552796572157</v>
      </c>
      <c r="O340">
        <f t="shared" si="129"/>
        <v>0.15777819972570342</v>
      </c>
      <c r="P340">
        <f t="shared" si="142"/>
        <v>0.08</v>
      </c>
      <c r="Q340">
        <f t="shared" si="138"/>
        <v>0.08</v>
      </c>
      <c r="R340">
        <f t="shared" si="131"/>
        <v>0.08</v>
      </c>
      <c r="S340">
        <f t="shared" si="132"/>
        <v>0.06</v>
      </c>
      <c r="T340">
        <f t="shared" si="133"/>
        <v>0.1</v>
      </c>
      <c r="U340">
        <f t="shared" si="139"/>
        <v>0.08</v>
      </c>
      <c r="V340">
        <f t="shared" si="120"/>
        <v>0.18848552796572157</v>
      </c>
      <c r="W340">
        <f t="shared" si="140"/>
        <v>0.16050714286905665</v>
      </c>
      <c r="X340">
        <f t="shared" si="141"/>
        <v>0.21629446815697068</v>
      </c>
      <c r="Y340" t="b">
        <f t="shared" si="143"/>
        <v>0</v>
      </c>
    </row>
    <row xmlns:x14ac="http://schemas.microsoft.com/office/spreadsheetml/2009/9/ac" r="341" x14ac:dyDescent="0.45">
      <c r="A341">
        <v>1.6699999999999899</v>
      </c>
      <c r="B341">
        <f t="shared" si="121"/>
        <v>0.16303159207618109</v>
      </c>
      <c r="C341" t="b">
        <f t="shared" si="134"/>
        <v>1</v>
      </c>
      <c r="D341" t="b">
        <f t="shared" si="122"/>
        <v>1</v>
      </c>
      <c r="E341">
        <f t="shared" si="130"/>
        <v>1.6699999999999899</v>
      </c>
      <c r="F341">
        <f t="shared" si="135"/>
        <v>0.16303159207618109</v>
      </c>
      <c r="G341">
        <f t="shared" si="123"/>
        <v>0.21613905718444021</v>
      </c>
      <c r="H341">
        <f t="shared" si="124"/>
        <v>3.5012150798531191E-2</v>
      </c>
      <c r="I341" t="b">
        <f t="shared" si="136"/>
        <v>1</v>
      </c>
      <c r="J341">
        <f t="shared" si="125"/>
        <v>1.6699999999999899</v>
      </c>
      <c r="K341">
        <f t="shared" si="137"/>
        <v>3.5012150798531191E-2</v>
      </c>
      <c r="L341">
        <f t="shared" si="126"/>
        <v>0.16074152234672212</v>
      </c>
      <c r="M341">
        <f t="shared" si="127"/>
        <v>0.19002430159706241</v>
      </c>
      <c r="N341">
        <f t="shared" si="128"/>
        <v>0.18849202377286345</v>
      </c>
      <c r="O341">
        <f t="shared" si="129"/>
        <v>0.15777820618417004</v>
      </c>
      <c r="P341">
        <f t="shared" si="142"/>
        <v>0.08</v>
      </c>
      <c r="Q341">
        <f t="shared" si="138"/>
        <v>0.08</v>
      </c>
      <c r="R341">
        <f t="shared" si="131"/>
        <v>0.08</v>
      </c>
      <c r="S341">
        <f t="shared" si="132"/>
        <v>0.06</v>
      </c>
      <c r="T341">
        <f t="shared" si="133"/>
        <v>0.1</v>
      </c>
      <c r="U341">
        <f t="shared" si="139"/>
        <v>0.08</v>
      </c>
      <c r="V341">
        <f t="shared" ref="V341:V404" si="144">MAX(IF(Y341,MAX(H341,$AB$6+$AF$13),MAX(T341,$AB$6+$AF$13)),O341,N341)</f>
        <v>0.18849202377286345</v>
      </c>
      <c r="W341">
        <f t="shared" si="140"/>
        <v>0.16055448869151812</v>
      </c>
      <c r="X341">
        <f t="shared" si="141"/>
        <v>0.21626307436606679</v>
      </c>
      <c r="Y341" t="b">
        <f t="shared" si="143"/>
        <v>0</v>
      </c>
    </row>
    <row xmlns:x14ac="http://schemas.microsoft.com/office/spreadsheetml/2009/9/ac" r="342" x14ac:dyDescent="0.45">
      <c r="A342">
        <v>1.6749999999999901</v>
      </c>
      <c r="B342">
        <f t="shared" si="121"/>
        <v>0.16303188621080625</v>
      </c>
      <c r="C342" t="b">
        <f t="shared" si="134"/>
        <v>1</v>
      </c>
      <c r="D342" t="b">
        <f t="shared" si="122"/>
        <v>1</v>
      </c>
      <c r="E342">
        <f t="shared" si="130"/>
        <v>1.6749999999999901</v>
      </c>
      <c r="F342">
        <f t="shared" si="135"/>
        <v>0.16303188621080625</v>
      </c>
      <c r="G342">
        <f t="shared" si="123"/>
        <v>0.21610843850899547</v>
      </c>
      <c r="H342">
        <f t="shared" si="124"/>
        <v>3.5012263927233167E-2</v>
      </c>
      <c r="I342" t="b">
        <f t="shared" si="136"/>
        <v>1</v>
      </c>
      <c r="J342">
        <f t="shared" si="125"/>
        <v>1.6749999999999901</v>
      </c>
      <c r="K342">
        <f t="shared" si="137"/>
        <v>3.5012263927233167E-2</v>
      </c>
      <c r="L342">
        <f t="shared" si="126"/>
        <v>0.16078769919666192</v>
      </c>
      <c r="M342">
        <f t="shared" si="127"/>
        <v>0.19002452785446633</v>
      </c>
      <c r="N342">
        <f t="shared" si="128"/>
        <v>0.18849611874154762</v>
      </c>
      <c r="O342">
        <f t="shared" si="129"/>
        <v>0.15777820988970245</v>
      </c>
      <c r="P342">
        <f t="shared" si="142"/>
        <v>0.08</v>
      </c>
      <c r="Q342">
        <f t="shared" si="138"/>
        <v>0.08</v>
      </c>
      <c r="R342">
        <f t="shared" si="131"/>
        <v>0.08</v>
      </c>
      <c r="S342">
        <f t="shared" si="132"/>
        <v>0.06</v>
      </c>
      <c r="T342">
        <f t="shared" si="133"/>
        <v>0.1</v>
      </c>
      <c r="U342">
        <f t="shared" si="139"/>
        <v>0.08</v>
      </c>
      <c r="V342">
        <f t="shared" si="144"/>
        <v>0.18849611874154762</v>
      </c>
      <c r="W342">
        <f t="shared" si="140"/>
        <v>0.16060159837570492</v>
      </c>
      <c r="X342">
        <f t="shared" si="141"/>
        <v>0.21623183715234823</v>
      </c>
      <c r="Y342" t="b">
        <f t="shared" si="143"/>
        <v>0</v>
      </c>
    </row>
    <row xmlns:x14ac="http://schemas.microsoft.com/office/spreadsheetml/2009/9/ac" r="343" x14ac:dyDescent="0.45">
      <c r="A343">
        <v>1.6799999999999899</v>
      </c>
      <c r="B343">
        <f t="shared" si="121"/>
        <v>0.16303201346763671</v>
      </c>
      <c r="C343" t="b">
        <f t="shared" si="134"/>
        <v>1</v>
      </c>
      <c r="D343" t="b">
        <f t="shared" si="122"/>
        <v>1</v>
      </c>
      <c r="E343">
        <f t="shared" si="130"/>
        <v>1.6799999999999899</v>
      </c>
      <c r="F343">
        <f t="shared" si="135"/>
        <v>0.16303201346763671</v>
      </c>
      <c r="G343">
        <f t="shared" si="123"/>
        <v>0.21607797254483169</v>
      </c>
      <c r="H343">
        <f t="shared" si="124"/>
        <v>3.5012312872167967E-2</v>
      </c>
      <c r="I343" t="b">
        <f t="shared" si="136"/>
        <v>1</v>
      </c>
      <c r="J343">
        <f t="shared" si="125"/>
        <v>1.6799999999999899</v>
      </c>
      <c r="K343">
        <f t="shared" si="137"/>
        <v>3.5012312872167967E-2</v>
      </c>
      <c r="L343">
        <f t="shared" si="126"/>
        <v>0.16083364573860184</v>
      </c>
      <c r="M343">
        <f t="shared" si="127"/>
        <v>0.19002462574433593</v>
      </c>
      <c r="N343">
        <f t="shared" si="128"/>
        <v>0.18849787020353165</v>
      </c>
      <c r="O343">
        <f t="shared" si="129"/>
        <v>0.15777821101361364</v>
      </c>
      <c r="P343">
        <f t="shared" si="142"/>
        <v>0.08</v>
      </c>
      <c r="Q343">
        <f t="shared" si="138"/>
        <v>0.08</v>
      </c>
      <c r="R343">
        <f t="shared" si="131"/>
        <v>0.08</v>
      </c>
      <c r="S343">
        <f t="shared" si="132"/>
        <v>0.06</v>
      </c>
      <c r="T343">
        <f t="shared" si="133"/>
        <v>0.1</v>
      </c>
      <c r="U343">
        <f t="shared" si="139"/>
        <v>0.08</v>
      </c>
      <c r="V343">
        <f t="shared" si="144"/>
        <v>0.18849787020353165</v>
      </c>
      <c r="W343">
        <f t="shared" si="140"/>
        <v>0.16064847309936164</v>
      </c>
      <c r="X343">
        <f t="shared" si="141"/>
        <v>0.21620075573488307</v>
      </c>
      <c r="Y343" t="b">
        <f t="shared" si="143"/>
        <v>0</v>
      </c>
    </row>
    <row xmlns:x14ac="http://schemas.microsoft.com/office/spreadsheetml/2009/9/ac" r="344" x14ac:dyDescent="0.45">
      <c r="A344">
        <v>1.6849999999999901</v>
      </c>
      <c r="B344">
        <f t="shared" si="121"/>
        <v>0.1630319813766456</v>
      </c>
      <c r="C344" t="b">
        <f t="shared" si="134"/>
        <v>1</v>
      </c>
      <c r="D344" t="b">
        <f t="shared" si="122"/>
        <v>1</v>
      </c>
      <c r="E344">
        <f t="shared" si="130"/>
        <v>1.6849999999999901</v>
      </c>
      <c r="F344">
        <f t="shared" si="135"/>
        <v>0.1630319813766456</v>
      </c>
      <c r="G344">
        <f t="shared" si="123"/>
        <v>0.216047658530298</v>
      </c>
      <c r="H344">
        <f t="shared" si="124"/>
        <v>3.5012300529479082E-2</v>
      </c>
      <c r="I344" t="b">
        <f t="shared" si="136"/>
        <v>1</v>
      </c>
      <c r="J344">
        <f t="shared" si="125"/>
        <v>1.6849999999999901</v>
      </c>
      <c r="K344">
        <f t="shared" si="137"/>
        <v>3.5012300529479082E-2</v>
      </c>
      <c r="L344">
        <f t="shared" si="126"/>
        <v>0.16087936312120782</v>
      </c>
      <c r="M344">
        <f t="shared" si="127"/>
        <v>0.19002460105895816</v>
      </c>
      <c r="N344">
        <f t="shared" si="128"/>
        <v>0.18849734414579092</v>
      </c>
      <c r="O344">
        <f t="shared" si="129"/>
        <v>0.15777820972920131</v>
      </c>
      <c r="P344">
        <f t="shared" si="142"/>
        <v>0.08</v>
      </c>
      <c r="Q344">
        <f t="shared" si="138"/>
        <v>0.08</v>
      </c>
      <c r="R344">
        <f t="shared" si="131"/>
        <v>0.08</v>
      </c>
      <c r="S344">
        <f t="shared" si="132"/>
        <v>0.06</v>
      </c>
      <c r="T344">
        <f t="shared" si="133"/>
        <v>0.1</v>
      </c>
      <c r="U344">
        <f t="shared" si="139"/>
        <v>0.08</v>
      </c>
      <c r="V344">
        <f t="shared" si="144"/>
        <v>0.18849734414579092</v>
      </c>
      <c r="W344">
        <f t="shared" si="140"/>
        <v>0.16069511403435877</v>
      </c>
      <c r="X344">
        <f t="shared" si="141"/>
        <v>0.21616982933663426</v>
      </c>
      <c r="Y344" t="b">
        <f t="shared" si="143"/>
        <v>0</v>
      </c>
    </row>
    <row xmlns:x14ac="http://schemas.microsoft.com/office/spreadsheetml/2009/9/ac" r="345" x14ac:dyDescent="0.45">
      <c r="A345">
        <v>1.68999999999999</v>
      </c>
      <c r="B345">
        <f t="shared" si="121"/>
        <v>0.1630317978628302</v>
      </c>
      <c r="C345" t="b">
        <f t="shared" si="134"/>
        <v>1</v>
      </c>
      <c r="D345" t="b">
        <f t="shared" si="122"/>
        <v>1</v>
      </c>
      <c r="E345">
        <f t="shared" si="130"/>
        <v>1.68999999999999</v>
      </c>
      <c r="F345">
        <f t="shared" si="135"/>
        <v>0.1630317978628302</v>
      </c>
      <c r="G345">
        <f t="shared" si="123"/>
        <v>0.21601749570754258</v>
      </c>
      <c r="H345">
        <f t="shared" si="124"/>
        <v>3.5012229947242388E-2</v>
      </c>
      <c r="I345" t="b">
        <f t="shared" si="136"/>
        <v>1</v>
      </c>
      <c r="J345">
        <f t="shared" si="125"/>
        <v>1.68999999999999</v>
      </c>
      <c r="K345">
        <f t="shared" si="137"/>
        <v>3.5012229947242388E-2</v>
      </c>
      <c r="L345">
        <f t="shared" si="126"/>
        <v>0.16092485248741678</v>
      </c>
      <c r="M345">
        <f t="shared" si="127"/>
        <v>0.19002445989448477</v>
      </c>
      <c r="N345">
        <f t="shared" si="128"/>
        <v>0.18849461464338774</v>
      </c>
      <c r="O345">
        <f t="shared" si="129"/>
        <v>0.15777820621067801</v>
      </c>
      <c r="P345">
        <f t="shared" si="142"/>
        <v>0.08</v>
      </c>
      <c r="Q345">
        <f t="shared" si="138"/>
        <v>0.08</v>
      </c>
      <c r="R345">
        <f t="shared" si="131"/>
        <v>0.08</v>
      </c>
      <c r="S345">
        <f t="shared" si="132"/>
        <v>0.06</v>
      </c>
      <c r="T345">
        <f t="shared" si="133"/>
        <v>0.1</v>
      </c>
      <c r="U345">
        <f t="shared" si="139"/>
        <v>0.08</v>
      </c>
      <c r="V345">
        <f t="shared" si="144"/>
        <v>0.18849461464338774</v>
      </c>
      <c r="W345">
        <f t="shared" si="140"/>
        <v>0.16074152234672212</v>
      </c>
      <c r="X345">
        <f t="shared" si="141"/>
        <v>0.21613905718444021</v>
      </c>
      <c r="Y345" t="b">
        <f t="shared" si="143"/>
        <v>0</v>
      </c>
    </row>
    <row xmlns:x14ac="http://schemas.microsoft.com/office/spreadsheetml/2009/9/ac" r="346" x14ac:dyDescent="0.45">
      <c r="A346">
        <v>1.6949999999999901</v>
      </c>
      <c r="B346">
        <f t="shared" si="121"/>
        <v>0.16303147118903583</v>
      </c>
      <c r="C346" t="b">
        <f t="shared" si="134"/>
        <v>1</v>
      </c>
      <c r="D346" t="b">
        <f t="shared" si="122"/>
        <v>1</v>
      </c>
      <c r="E346">
        <f t="shared" si="130"/>
        <v>1.6949999999999901</v>
      </c>
      <c r="F346">
        <f t="shared" si="135"/>
        <v>0.16303147118903583</v>
      </c>
      <c r="G346">
        <f t="shared" si="123"/>
        <v>0.21598748332249329</v>
      </c>
      <c r="H346">
        <f t="shared" si="124"/>
        <v>3.5012104303475317E-2</v>
      </c>
      <c r="I346" t="b">
        <f t="shared" si="136"/>
        <v>1</v>
      </c>
      <c r="J346">
        <f t="shared" si="125"/>
        <v>1.6949999999999901</v>
      </c>
      <c r="K346">
        <f t="shared" si="137"/>
        <v>3.5012104303475317E-2</v>
      </c>
      <c r="L346">
        <f t="shared" si="126"/>
        <v>0.16097011497446526</v>
      </c>
      <c r="M346">
        <f t="shared" si="127"/>
        <v>0.19002420860695063</v>
      </c>
      <c r="N346">
        <f t="shared" si="128"/>
        <v>0.18848976327409875</v>
      </c>
      <c r="O346">
        <f t="shared" si="129"/>
        <v>0.15777820063217052</v>
      </c>
      <c r="P346">
        <f t="shared" si="142"/>
        <v>0.08</v>
      </c>
      <c r="Q346">
        <f t="shared" si="138"/>
        <v>0.08</v>
      </c>
      <c r="R346">
        <f t="shared" si="131"/>
        <v>0.08</v>
      </c>
      <c r="S346">
        <f t="shared" si="132"/>
        <v>0.06</v>
      </c>
      <c r="T346">
        <f t="shared" si="133"/>
        <v>0.1</v>
      </c>
      <c r="U346">
        <f t="shared" si="139"/>
        <v>0.08</v>
      </c>
      <c r="V346">
        <f t="shared" si="144"/>
        <v>0.18848976327409875</v>
      </c>
      <c r="W346">
        <f t="shared" si="140"/>
        <v>0.16078769919666192</v>
      </c>
      <c r="X346">
        <f t="shared" si="141"/>
        <v>0.21610843850899547</v>
      </c>
      <c r="Y346" t="b">
        <f t="shared" si="143"/>
        <v>0</v>
      </c>
    </row>
    <row xmlns:x14ac="http://schemas.microsoft.com/office/spreadsheetml/2009/9/ac" r="347" x14ac:dyDescent="0.45">
      <c r="A347">
        <v>1.69999999999999</v>
      </c>
      <c r="B347">
        <f t="shared" si="121"/>
        <v>0.16303100989995228</v>
      </c>
      <c r="C347" t="b">
        <f t="shared" si="134"/>
        <v>1</v>
      </c>
      <c r="D347" t="b">
        <f t="shared" si="122"/>
        <v>1</v>
      </c>
      <c r="E347">
        <f t="shared" si="130"/>
        <v>1.69999999999999</v>
      </c>
      <c r="F347">
        <f t="shared" si="135"/>
        <v>0.16303100989995228</v>
      </c>
      <c r="G347">
        <f t="shared" si="123"/>
        <v>0.21595762062483886</v>
      </c>
      <c r="H347">
        <f t="shared" si="124"/>
        <v>3.5011926884597033E-2</v>
      </c>
      <c r="I347" t="b">
        <f t="shared" si="136"/>
        <v>1</v>
      </c>
      <c r="J347">
        <f t="shared" si="125"/>
        <v>1.69999999999999</v>
      </c>
      <c r="K347">
        <f t="shared" si="137"/>
        <v>3.5011926884597033E-2</v>
      </c>
      <c r="L347">
        <f t="shared" si="126"/>
        <v>0.16101515171391778</v>
      </c>
      <c r="M347">
        <f t="shared" si="127"/>
        <v>0.19002385376919406</v>
      </c>
      <c r="N347">
        <f t="shared" si="128"/>
        <v>0.18848287851798698</v>
      </c>
      <c r="O347">
        <f t="shared" si="129"/>
        <v>0.15777819316678923</v>
      </c>
      <c r="P347">
        <f t="shared" si="142"/>
        <v>0.08</v>
      </c>
      <c r="Q347">
        <f t="shared" si="138"/>
        <v>0.08</v>
      </c>
      <c r="R347">
        <f t="shared" si="131"/>
        <v>0.08</v>
      </c>
      <c r="S347">
        <f t="shared" si="132"/>
        <v>0.06</v>
      </c>
      <c r="T347">
        <f t="shared" si="133"/>
        <v>0.1</v>
      </c>
      <c r="U347">
        <f t="shared" si="139"/>
        <v>0.08</v>
      </c>
      <c r="V347">
        <f t="shared" si="144"/>
        <v>0.18848287851798698</v>
      </c>
      <c r="W347">
        <f t="shared" si="140"/>
        <v>0.16083364573860184</v>
      </c>
      <c r="X347">
        <f t="shared" si="141"/>
        <v>0.21607797254483169</v>
      </c>
      <c r="Y347" t="b">
        <f t="shared" si="143"/>
        <v>0</v>
      </c>
    </row>
    <row xmlns:x14ac="http://schemas.microsoft.com/office/spreadsheetml/2009/9/ac" r="348" x14ac:dyDescent="0.45">
      <c r="A348">
        <v>1.7049999999999901</v>
      </c>
      <c r="B348">
        <f t="shared" si="121"/>
        <v>0.16303042276749316</v>
      </c>
      <c r="C348" t="b">
        <f t="shared" si="134"/>
        <v>1</v>
      </c>
      <c r="D348" t="b">
        <f t="shared" si="122"/>
        <v>1</v>
      </c>
      <c r="E348">
        <f t="shared" si="130"/>
        <v>1.7049999999999901</v>
      </c>
      <c r="F348">
        <f t="shared" si="135"/>
        <v>0.16303042276749316</v>
      </c>
      <c r="G348">
        <f t="shared" si="123"/>
        <v>0.21592790686801039</v>
      </c>
      <c r="H348">
        <f t="shared" si="124"/>
        <v>3.5011701064420447E-2</v>
      </c>
      <c r="I348" t="b">
        <f t="shared" si="136"/>
        <v>1</v>
      </c>
      <c r="J348">
        <f t="shared" si="125"/>
        <v>1.7049999999999901</v>
      </c>
      <c r="K348">
        <f t="shared" si="137"/>
        <v>3.5011701064420447E-2</v>
      </c>
      <c r="L348">
        <f t="shared" si="126"/>
        <v>0.16105996383169524</v>
      </c>
      <c r="M348">
        <f t="shared" si="127"/>
        <v>0.19002340212884089</v>
      </c>
      <c r="N348">
        <f t="shared" si="128"/>
        <v>0.18847405514507401</v>
      </c>
      <c r="O348">
        <f t="shared" si="129"/>
        <v>0.15777818398576765</v>
      </c>
      <c r="P348">
        <f t="shared" si="142"/>
        <v>0.08</v>
      </c>
      <c r="Q348">
        <f t="shared" si="138"/>
        <v>0.08</v>
      </c>
      <c r="R348">
        <f t="shared" si="131"/>
        <v>0.08</v>
      </c>
      <c r="S348">
        <f t="shared" si="132"/>
        <v>0.06</v>
      </c>
      <c r="T348">
        <f t="shared" si="133"/>
        <v>0.1</v>
      </c>
      <c r="U348">
        <f t="shared" si="139"/>
        <v>0.08</v>
      </c>
      <c r="V348">
        <f t="shared" si="144"/>
        <v>0.18847405514507401</v>
      </c>
      <c r="W348">
        <f t="shared" si="140"/>
        <v>0.16087936312120782</v>
      </c>
      <c r="X348">
        <f t="shared" si="141"/>
        <v>0.216047658530298</v>
      </c>
      <c r="Y348" t="b">
        <f t="shared" si="143"/>
        <v>0</v>
      </c>
    </row>
    <row xmlns:x14ac="http://schemas.microsoft.com/office/spreadsheetml/2009/9/ac" r="349" x14ac:dyDescent="0.45">
      <c r="A349">
        <v>1.70999999999999</v>
      </c>
      <c r="B349">
        <f t="shared" si="121"/>
        <v>0.16302971873775238</v>
      </c>
      <c r="C349" t="b">
        <f t="shared" si="134"/>
        <v>1</v>
      </c>
      <c r="D349" t="b">
        <f t="shared" si="122"/>
        <v>1</v>
      </c>
      <c r="E349">
        <f t="shared" si="130"/>
        <v>1.70999999999999</v>
      </c>
      <c r="F349">
        <f t="shared" si="135"/>
        <v>0.16302971873775238</v>
      </c>
      <c r="G349">
        <f t="shared" si="123"/>
        <v>0.21589834130916236</v>
      </c>
      <c r="H349">
        <f t="shared" si="124"/>
        <v>3.5011430283750908E-2</v>
      </c>
      <c r="I349" t="b">
        <f t="shared" si="136"/>
        <v>1</v>
      </c>
      <c r="J349">
        <f t="shared" si="125"/>
        <v>1.70999999999999</v>
      </c>
      <c r="K349">
        <f t="shared" si="137"/>
        <v>3.5011430283750908E-2</v>
      </c>
      <c r="L349">
        <f t="shared" si="126"/>
        <v>0.16110455244810282</v>
      </c>
      <c r="M349">
        <f t="shared" si="127"/>
        <v>0.19002286056750184</v>
      </c>
      <c r="N349">
        <f t="shared" si="128"/>
        <v>0.18846339359421943</v>
      </c>
      <c r="O349">
        <f t="shared" si="129"/>
        <v>0.15777817325767168</v>
      </c>
      <c r="P349">
        <f t="shared" si="142"/>
        <v>0.08</v>
      </c>
      <c r="Q349">
        <f t="shared" si="138"/>
        <v>0.08</v>
      </c>
      <c r="R349">
        <f t="shared" si="131"/>
        <v>0.08</v>
      </c>
      <c r="S349">
        <f t="shared" si="132"/>
        <v>0.06</v>
      </c>
      <c r="T349">
        <f t="shared" si="133"/>
        <v>0.1</v>
      </c>
      <c r="U349">
        <f t="shared" si="139"/>
        <v>0.08</v>
      </c>
      <c r="V349">
        <f t="shared" si="144"/>
        <v>0.18846339359421943</v>
      </c>
      <c r="W349">
        <f t="shared" si="140"/>
        <v>0.16092485248741678</v>
      </c>
      <c r="X349">
        <f t="shared" si="141"/>
        <v>0.21601749570754258</v>
      </c>
      <c r="Y349" t="b">
        <f t="shared" si="143"/>
        <v>0</v>
      </c>
    </row>
    <row xmlns:x14ac="http://schemas.microsoft.com/office/spreadsheetml/2009/9/ac" r="350" x14ac:dyDescent="0.45">
      <c r="A350">
        <v>1.7149999999999901</v>
      </c>
      <c r="B350">
        <f t="shared" si="121"/>
        <v>0.16302890687971405</v>
      </c>
      <c r="C350" t="b">
        <f t="shared" si="134"/>
        <v>1</v>
      </c>
      <c r="D350" t="b">
        <f t="shared" si="122"/>
        <v>1</v>
      </c>
      <c r="E350">
        <f t="shared" si="130"/>
        <v>1.7149999999999901</v>
      </c>
      <c r="F350">
        <f t="shared" si="135"/>
        <v>0.16302890687971405</v>
      </c>
      <c r="G350">
        <f t="shared" si="123"/>
        <v>0.21586892320915424</v>
      </c>
      <c r="H350">
        <f t="shared" si="124"/>
        <v>3.5011118030659261E-2</v>
      </c>
      <c r="I350" t="b">
        <f t="shared" si="136"/>
        <v>1</v>
      </c>
      <c r="J350">
        <f t="shared" si="125"/>
        <v>1.7149999999999901</v>
      </c>
      <c r="K350">
        <f t="shared" si="137"/>
        <v>3.5011118030659261E-2</v>
      </c>
      <c r="L350">
        <f t="shared" si="126"/>
        <v>0.1611489186778583</v>
      </c>
      <c r="M350">
        <f t="shared" si="127"/>
        <v>0.19002223606131852</v>
      </c>
      <c r="N350">
        <f t="shared" si="128"/>
        <v>0.18845099934625739</v>
      </c>
      <c r="O350">
        <f t="shared" si="129"/>
        <v>0.15777816114767851</v>
      </c>
      <c r="P350">
        <f t="shared" si="142"/>
        <v>0.08</v>
      </c>
      <c r="Q350">
        <f t="shared" si="138"/>
        <v>0.08</v>
      </c>
      <c r="R350">
        <f t="shared" si="131"/>
        <v>0.08</v>
      </c>
      <c r="S350">
        <f t="shared" si="132"/>
        <v>0.06</v>
      </c>
      <c r="T350">
        <f t="shared" si="133"/>
        <v>0.1</v>
      </c>
      <c r="U350">
        <f t="shared" si="139"/>
        <v>0.08</v>
      </c>
      <c r="V350">
        <f t="shared" si="144"/>
        <v>0.18845099934625739</v>
      </c>
      <c r="W350">
        <f t="shared" si="140"/>
        <v>0.16097011497446526</v>
      </c>
      <c r="X350">
        <f t="shared" si="141"/>
        <v>0.21598748332249329</v>
      </c>
      <c r="Y350" t="b">
        <f t="shared" si="143"/>
        <v>0</v>
      </c>
    </row>
    <row xmlns:x14ac="http://schemas.microsoft.com/office/spreadsheetml/2009/9/ac" r="351" x14ac:dyDescent="0.45">
      <c r="A351">
        <v>1.71999999999999</v>
      </c>
      <c r="B351">
        <f t="shared" si="121"/>
        <v>0.16302799633587634</v>
      </c>
      <c r="C351" t="b">
        <f t="shared" si="134"/>
        <v>1</v>
      </c>
      <c r="D351" t="b">
        <f t="shared" si="122"/>
        <v>1</v>
      </c>
      <c r="E351">
        <f t="shared" si="130"/>
        <v>1.71999999999999</v>
      </c>
      <c r="F351">
        <f t="shared" si="135"/>
        <v>0.16302799633587634</v>
      </c>
      <c r="G351">
        <f t="shared" si="123"/>
        <v>0.21583965183253201</v>
      </c>
      <c r="H351">
        <f t="shared" si="124"/>
        <v>3.5010767821490901E-2</v>
      </c>
      <c r="I351" t="b">
        <f t="shared" si="136"/>
        <v>1</v>
      </c>
      <c r="J351">
        <f t="shared" si="125"/>
        <v>1.71999999999999</v>
      </c>
      <c r="K351">
        <f t="shared" si="137"/>
        <v>3.5010767821490901E-2</v>
      </c>
      <c r="L351">
        <f t="shared" si="126"/>
        <v>0.16119306363011976</v>
      </c>
      <c r="M351">
        <f t="shared" si="127"/>
        <v>0.1900215356429818</v>
      </c>
      <c r="N351">
        <f t="shared" si="128"/>
        <v>0.18843698229436917</v>
      </c>
      <c r="O351">
        <f t="shared" si="129"/>
        <v>0.15777814781692329</v>
      </c>
      <c r="P351">
        <f t="shared" si="142"/>
        <v>0.08</v>
      </c>
      <c r="Q351">
        <f t="shared" si="138"/>
        <v>0.08</v>
      </c>
      <c r="R351">
        <f t="shared" si="131"/>
        <v>0.08</v>
      </c>
      <c r="S351">
        <f t="shared" si="132"/>
        <v>0.06</v>
      </c>
      <c r="T351">
        <f t="shared" si="133"/>
        <v>0.1</v>
      </c>
      <c r="U351">
        <f t="shared" si="139"/>
        <v>0.08</v>
      </c>
      <c r="V351">
        <f t="shared" si="144"/>
        <v>0.18843698229436917</v>
      </c>
      <c r="W351">
        <f t="shared" si="140"/>
        <v>0.16101515171391778</v>
      </c>
      <c r="X351">
        <f t="shared" si="141"/>
        <v>0.21595762062483886</v>
      </c>
      <c r="Y351" t="b">
        <f t="shared" si="143"/>
        <v>0</v>
      </c>
    </row>
    <row xmlns:x14ac="http://schemas.microsoft.com/office/spreadsheetml/2009/9/ac" r="352" x14ac:dyDescent="0.45">
      <c r="A352">
        <v>1.7249999999999901</v>
      </c>
      <c r="B352">
        <f t="shared" si="121"/>
        <v>0.16302699627493136</v>
      </c>
      <c r="C352" t="b">
        <f t="shared" si="134"/>
        <v>1</v>
      </c>
      <c r="D352" t="b">
        <f t="shared" si="122"/>
        <v>1</v>
      </c>
      <c r="E352">
        <f t="shared" si="130"/>
        <v>1.7249999999999901</v>
      </c>
      <c r="F352">
        <f t="shared" si="135"/>
        <v>0.16302699627493136</v>
      </c>
      <c r="G352">
        <f t="shared" si="123"/>
        <v>0.21581052644750981</v>
      </c>
      <c r="H352">
        <f t="shared" si="124"/>
        <v>3.5010383182665902E-2</v>
      </c>
      <c r="I352" t="b">
        <f t="shared" si="136"/>
        <v>1</v>
      </c>
      <c r="J352">
        <f t="shared" si="125"/>
        <v>1.7249999999999901</v>
      </c>
      <c r="K352">
        <f t="shared" si="137"/>
        <v>3.5010383182665902E-2</v>
      </c>
      <c r="L352">
        <f t="shared" si="126"/>
        <v>0.16123698840851325</v>
      </c>
      <c r="M352">
        <f t="shared" si="127"/>
        <v>0.19002076636533183</v>
      </c>
      <c r="N352">
        <f t="shared" si="128"/>
        <v>0.18842145611458944</v>
      </c>
      <c r="O352">
        <f t="shared" si="129"/>
        <v>0.15777813342191344</v>
      </c>
      <c r="P352">
        <f t="shared" si="142"/>
        <v>0.08</v>
      </c>
      <c r="Q352">
        <f t="shared" si="138"/>
        <v>0.08</v>
      </c>
      <c r="R352">
        <f t="shared" si="131"/>
        <v>0.08</v>
      </c>
      <c r="S352">
        <f t="shared" si="132"/>
        <v>0.06</v>
      </c>
      <c r="T352">
        <f t="shared" si="133"/>
        <v>0.1</v>
      </c>
      <c r="U352">
        <f t="shared" si="139"/>
        <v>0.08</v>
      </c>
      <c r="V352">
        <f t="shared" si="144"/>
        <v>0.18842145611458944</v>
      </c>
      <c r="W352">
        <f t="shared" si="140"/>
        <v>0.16105996383169524</v>
      </c>
      <c r="X352">
        <f t="shared" si="141"/>
        <v>0.21592790686801039</v>
      </c>
      <c r="Y352" t="b">
        <f t="shared" si="143"/>
        <v>0</v>
      </c>
    </row>
    <row xmlns:x14ac="http://schemas.microsoft.com/office/spreadsheetml/2009/9/ac" r="353" x14ac:dyDescent="0.45">
      <c r="A353">
        <v>1.72999999999999</v>
      </c>
      <c r="B353">
        <f t="shared" si="121"/>
        <v>0.16302591584662804</v>
      </c>
      <c r="C353" t="b">
        <f t="shared" si="134"/>
        <v>1</v>
      </c>
      <c r="D353" t="b">
        <f t="shared" si="122"/>
        <v>1</v>
      </c>
      <c r="E353">
        <f t="shared" si="130"/>
        <v>1.72999999999999</v>
      </c>
      <c r="F353">
        <f t="shared" si="135"/>
        <v>0.16302591584662804</v>
      </c>
      <c r="G353">
        <f t="shared" si="123"/>
        <v>0.21578154632595137</v>
      </c>
      <c r="H353">
        <f t="shared" si="124"/>
        <v>3.500996763331847E-2</v>
      </c>
      <c r="I353" t="b">
        <f t="shared" si="136"/>
        <v>1</v>
      </c>
      <c r="J353">
        <f t="shared" si="125"/>
        <v>1.72999999999999</v>
      </c>
      <c r="K353">
        <f t="shared" si="137"/>
        <v>3.500996763331847E-2</v>
      </c>
      <c r="L353">
        <f t="shared" si="126"/>
        <v>0.16128069411116058</v>
      </c>
      <c r="M353">
        <f t="shared" si="127"/>
        <v>0.19001993526663696</v>
      </c>
      <c r="N353">
        <f t="shared" si="128"/>
        <v>0.18840453763925152</v>
      </c>
      <c r="O353">
        <f t="shared" si="129"/>
        <v>0.15777811811400824</v>
      </c>
      <c r="P353">
        <f t="shared" si="142"/>
        <v>0.08</v>
      </c>
      <c r="Q353">
        <f t="shared" si="138"/>
        <v>0.08</v>
      </c>
      <c r="R353">
        <f t="shared" si="131"/>
        <v>0.08</v>
      </c>
      <c r="S353">
        <f t="shared" si="132"/>
        <v>0.06</v>
      </c>
      <c r="T353">
        <f t="shared" si="133"/>
        <v>0.1</v>
      </c>
      <c r="U353">
        <f t="shared" si="139"/>
        <v>0.08</v>
      </c>
      <c r="V353">
        <f t="shared" si="144"/>
        <v>0.18840453763925152</v>
      </c>
      <c r="W353">
        <f t="shared" si="140"/>
        <v>0.16110455244810282</v>
      </c>
      <c r="X353">
        <f t="shared" si="141"/>
        <v>0.21589834130916236</v>
      </c>
      <c r="Y353" t="b">
        <f t="shared" si="143"/>
        <v>0</v>
      </c>
    </row>
    <row xmlns:x14ac="http://schemas.microsoft.com/office/spreadsheetml/2009/9/ac" r="354" x14ac:dyDescent="0.45">
      <c r="A354">
        <v>1.7349999999999901</v>
      </c>
      <c r="B354">
        <f t="shared" si="121"/>
        <v>0.16302476413892653</v>
      </c>
      <c r="C354" t="b">
        <f t="shared" si="134"/>
        <v>1</v>
      </c>
      <c r="D354" t="b">
        <f t="shared" si="122"/>
        <v>1</v>
      </c>
      <c r="E354">
        <f t="shared" si="130"/>
        <v>1.7349999999999901</v>
      </c>
      <c r="F354">
        <f t="shared" si="135"/>
        <v>0.16302476413892653</v>
      </c>
      <c r="G354">
        <f t="shared" si="123"/>
        <v>0.21575271074335223</v>
      </c>
      <c r="H354">
        <f t="shared" si="124"/>
        <v>3.5009524668817904E-2</v>
      </c>
      <c r="I354" t="b">
        <f t="shared" si="136"/>
        <v>1</v>
      </c>
      <c r="J354">
        <f t="shared" si="125"/>
        <v>1.7349999999999901</v>
      </c>
      <c r="K354">
        <f t="shared" si="137"/>
        <v>3.5009524668817904E-2</v>
      </c>
      <c r="L354">
        <f t="shared" si="126"/>
        <v>0.16132418183070651</v>
      </c>
      <c r="M354">
        <f t="shared" si="127"/>
        <v>0.1900190493376358</v>
      </c>
      <c r="N354">
        <f t="shared" si="128"/>
        <v>0.18838634623607647</v>
      </c>
      <c r="O354">
        <f t="shared" si="129"/>
        <v>0.15777810203896236</v>
      </c>
      <c r="P354">
        <f t="shared" si="142"/>
        <v>0.08</v>
      </c>
      <c r="Q354">
        <f t="shared" si="138"/>
        <v>0.08</v>
      </c>
      <c r="R354">
        <f t="shared" si="131"/>
        <v>0.08</v>
      </c>
      <c r="S354">
        <f t="shared" si="132"/>
        <v>0.06</v>
      </c>
      <c r="T354">
        <f t="shared" si="133"/>
        <v>0.1</v>
      </c>
      <c r="U354">
        <f t="shared" si="139"/>
        <v>0.08</v>
      </c>
      <c r="V354">
        <f t="shared" si="144"/>
        <v>0.18838634623607647</v>
      </c>
      <c r="W354">
        <f t="shared" si="140"/>
        <v>0.1611489186778583</v>
      </c>
      <c r="X354">
        <f t="shared" si="141"/>
        <v>0.21586892320915424</v>
      </c>
      <c r="Y354" t="b">
        <f t="shared" si="143"/>
        <v>0</v>
      </c>
    </row>
    <row xmlns:x14ac="http://schemas.microsoft.com/office/spreadsheetml/2009/9/ac" r="355" x14ac:dyDescent="0.45">
      <c r="A355">
        <v>1.73999999999999</v>
      </c>
      <c r="B355">
        <f t="shared" si="121"/>
        <v>0.16302355013753822</v>
      </c>
      <c r="C355" t="b">
        <f t="shared" si="134"/>
        <v>1</v>
      </c>
      <c r="D355" t="b">
        <f t="shared" si="122"/>
        <v>1</v>
      </c>
      <c r="E355">
        <f t="shared" si="130"/>
        <v>1.73999999999999</v>
      </c>
      <c r="F355">
        <f t="shared" si="135"/>
        <v>0.16302355013753822</v>
      </c>
      <c r="G355">
        <f t="shared" si="123"/>
        <v>0.21572401897882126</v>
      </c>
      <c r="H355">
        <f t="shared" si="124"/>
        <v>3.5009057745207003E-2</v>
      </c>
      <c r="I355" t="b">
        <f t="shared" si="136"/>
        <v>1</v>
      </c>
      <c r="J355">
        <f t="shared" si="125"/>
        <v>1.73999999999999</v>
      </c>
      <c r="K355">
        <f t="shared" si="137"/>
        <v>3.5009057745207003E-2</v>
      </c>
      <c r="L355">
        <f t="shared" si="126"/>
        <v>0.16136745265434638</v>
      </c>
      <c r="M355">
        <f t="shared" si="127"/>
        <v>0.19001811549041403</v>
      </c>
      <c r="N355">
        <f t="shared" si="128"/>
        <v>0.18836700319549912</v>
      </c>
      <c r="O355">
        <f t="shared" si="129"/>
        <v>0.15777808533653132</v>
      </c>
      <c r="P355">
        <f t="shared" si="142"/>
        <v>0.08</v>
      </c>
      <c r="Q355">
        <f t="shared" si="138"/>
        <v>0.08</v>
      </c>
      <c r="R355">
        <f t="shared" si="131"/>
        <v>0.08</v>
      </c>
      <c r="S355">
        <f t="shared" si="132"/>
        <v>0.06</v>
      </c>
      <c r="T355">
        <f t="shared" si="133"/>
        <v>0.1</v>
      </c>
      <c r="U355">
        <f t="shared" si="139"/>
        <v>0.08</v>
      </c>
      <c r="V355">
        <f t="shared" si="144"/>
        <v>0.18836700319549912</v>
      </c>
      <c r="W355">
        <f t="shared" si="140"/>
        <v>0.16119306363011976</v>
      </c>
      <c r="X355">
        <f t="shared" si="141"/>
        <v>0.21583965183253201</v>
      </c>
      <c r="Y355" t="b">
        <f t="shared" si="143"/>
        <v>0</v>
      </c>
    </row>
    <row xmlns:x14ac="http://schemas.microsoft.com/office/spreadsheetml/2009/9/ac" r="356" x14ac:dyDescent="0.45">
      <c r="A356">
        <v>1.7449999999999899</v>
      </c>
      <c r="B356">
        <f t="shared" si="121"/>
        <v>0.16302228268792762</v>
      </c>
      <c r="C356" t="b">
        <f t="shared" si="134"/>
        <v>1</v>
      </c>
      <c r="D356" t="b">
        <f t="shared" si="122"/>
        <v>1</v>
      </c>
      <c r="E356">
        <f t="shared" si="130"/>
        <v>1.7449999999999899</v>
      </c>
      <c r="F356">
        <f t="shared" si="135"/>
        <v>0.16302228268792762</v>
      </c>
      <c r="G356">
        <f t="shared" si="123"/>
        <v>0.21569547031506292</v>
      </c>
      <c r="H356">
        <f t="shared" si="124"/>
        <v>3.5008570264587549E-2</v>
      </c>
      <c r="I356" t="b">
        <f t="shared" si="136"/>
        <v>1</v>
      </c>
      <c r="J356">
        <f t="shared" si="125"/>
        <v>1.7449999999999899</v>
      </c>
      <c r="K356">
        <f t="shared" si="137"/>
        <v>3.5008570264587549E-2</v>
      </c>
      <c r="L356">
        <f t="shared" si="126"/>
        <v>0.16141050766385295</v>
      </c>
      <c r="M356">
        <f t="shared" si="127"/>
        <v>0.19001714052917512</v>
      </c>
      <c r="N356">
        <f t="shared" si="128"/>
        <v>0.1883466311287072</v>
      </c>
      <c r="O356">
        <f t="shared" si="129"/>
        <v>0.15777806814013629</v>
      </c>
      <c r="P356">
        <f t="shared" si="142"/>
        <v>0.08</v>
      </c>
      <c r="Q356">
        <f t="shared" si="138"/>
        <v>0.08</v>
      </c>
      <c r="R356">
        <f t="shared" si="131"/>
        <v>0.08</v>
      </c>
      <c r="S356">
        <f t="shared" si="132"/>
        <v>0.06</v>
      </c>
      <c r="T356">
        <f t="shared" si="133"/>
        <v>0.1</v>
      </c>
      <c r="U356">
        <f t="shared" si="139"/>
        <v>0.08</v>
      </c>
      <c r="V356">
        <f t="shared" si="144"/>
        <v>0.1883466311287072</v>
      </c>
      <c r="W356">
        <f t="shared" si="140"/>
        <v>0.16123698840851325</v>
      </c>
      <c r="X356">
        <f t="shared" si="141"/>
        <v>0.21581052644750981</v>
      </c>
      <c r="Y356" t="b">
        <f t="shared" si="143"/>
        <v>0</v>
      </c>
    </row>
    <row xmlns:x14ac="http://schemas.microsoft.com/office/spreadsheetml/2009/9/ac" r="357" x14ac:dyDescent="0.45">
      <c r="A357">
        <v>1.74999999999999</v>
      </c>
      <c r="B357">
        <f t="shared" si="121"/>
        <v>0.1630209704598389</v>
      </c>
      <c r="C357" t="b">
        <f t="shared" si="134"/>
        <v>1</v>
      </c>
      <c r="D357" t="b">
        <f t="shared" si="122"/>
        <v>1</v>
      </c>
      <c r="E357">
        <f t="shared" si="130"/>
        <v>1.74999999999999</v>
      </c>
      <c r="F357">
        <f t="shared" si="135"/>
        <v>0.1630209704598389</v>
      </c>
      <c r="G357">
        <f t="shared" si="123"/>
        <v>0.21566706403835906</v>
      </c>
      <c r="H357">
        <f t="shared" si="124"/>
        <v>3.5008065561476509E-2</v>
      </c>
      <c r="I357" t="b">
        <f t="shared" si="136"/>
        <v>1</v>
      </c>
      <c r="J357">
        <f t="shared" si="125"/>
        <v>1.74999999999999</v>
      </c>
      <c r="K357">
        <f t="shared" si="137"/>
        <v>3.5008065561476509E-2</v>
      </c>
      <c r="L357">
        <f t="shared" si="126"/>
        <v>0.16145334793560379</v>
      </c>
      <c r="M357">
        <f t="shared" si="127"/>
        <v>0.19001613112295301</v>
      </c>
      <c r="N357">
        <f t="shared" si="128"/>
        <v>0.18832535337874232</v>
      </c>
      <c r="O357">
        <f t="shared" si="129"/>
        <v>0.15777805057658689</v>
      </c>
      <c r="P357">
        <f t="shared" si="142"/>
        <v>0.08</v>
      </c>
      <c r="Q357">
        <f t="shared" si="138"/>
        <v>0.08</v>
      </c>
      <c r="R357">
        <f t="shared" si="131"/>
        <v>0.08</v>
      </c>
      <c r="S357">
        <f t="shared" si="132"/>
        <v>0.06</v>
      </c>
      <c r="T357">
        <f t="shared" si="133"/>
        <v>0.1</v>
      </c>
      <c r="U357">
        <f t="shared" si="139"/>
        <v>0.08</v>
      </c>
      <c r="V357">
        <f t="shared" si="144"/>
        <v>0.18832535337874232</v>
      </c>
      <c r="W357">
        <f t="shared" si="140"/>
        <v>0.16128069411116058</v>
      </c>
      <c r="X357">
        <f t="shared" si="141"/>
        <v>0.21578154632595137</v>
      </c>
      <c r="Y357" t="b">
        <f t="shared" si="143"/>
        <v>0</v>
      </c>
    </row>
    <row xmlns:x14ac="http://schemas.microsoft.com/office/spreadsheetml/2009/9/ac" r="358" x14ac:dyDescent="0.45">
      <c r="A358">
        <v>1.7549999999999899</v>
      </c>
      <c r="B358">
        <f t="shared" si="121"/>
        <v>0.16301962191439268</v>
      </c>
      <c r="C358" t="b">
        <f t="shared" si="134"/>
        <v>1</v>
      </c>
      <c r="D358" t="b">
        <f t="shared" si="122"/>
        <v>1</v>
      </c>
      <c r="E358">
        <f t="shared" si="130"/>
        <v>1.7549999999999899</v>
      </c>
      <c r="F358">
        <f t="shared" si="135"/>
        <v>0.16301962191439268</v>
      </c>
      <c r="G358">
        <f t="shared" si="123"/>
        <v>0.21563879943855135</v>
      </c>
      <c r="H358">
        <f t="shared" si="124"/>
        <v>3.5007546890151023E-2</v>
      </c>
      <c r="I358" t="b">
        <f t="shared" si="136"/>
        <v>1</v>
      </c>
      <c r="J358">
        <f t="shared" si="125"/>
        <v>1.7549999999999899</v>
      </c>
      <c r="K358">
        <f t="shared" si="137"/>
        <v>3.5007546890151023E-2</v>
      </c>
      <c r="L358">
        <f t="shared" si="126"/>
        <v>0.16149597454060788</v>
      </c>
      <c r="M358">
        <f t="shared" si="127"/>
        <v>0.19001509378030207</v>
      </c>
      <c r="N358">
        <f t="shared" si="128"/>
        <v>0.18830329344688107</v>
      </c>
      <c r="O358">
        <f t="shared" si="129"/>
        <v>0.15777803276585806</v>
      </c>
      <c r="P358">
        <f t="shared" si="142"/>
        <v>0.08</v>
      </c>
      <c r="Q358">
        <f t="shared" si="138"/>
        <v>0.08</v>
      </c>
      <c r="R358">
        <f t="shared" si="131"/>
        <v>0.08</v>
      </c>
      <c r="S358">
        <f t="shared" si="132"/>
        <v>0.06</v>
      </c>
      <c r="T358">
        <f t="shared" si="133"/>
        <v>0.1</v>
      </c>
      <c r="U358">
        <f t="shared" si="139"/>
        <v>0.08</v>
      </c>
      <c r="V358">
        <f t="shared" si="144"/>
        <v>0.18830329344688107</v>
      </c>
      <c r="W358">
        <f t="shared" si="140"/>
        <v>0.16132418183070651</v>
      </c>
      <c r="X358">
        <f t="shared" si="141"/>
        <v>0.21575271074335223</v>
      </c>
      <c r="Y358" t="b">
        <f t="shared" si="143"/>
        <v>0</v>
      </c>
    </row>
    <row xmlns:x14ac="http://schemas.microsoft.com/office/spreadsheetml/2009/9/ac" r="359" x14ac:dyDescent="0.45">
      <c r="A359">
        <v>1.75999999999999</v>
      </c>
      <c r="B359">
        <f t="shared" si="121"/>
        <v>0.1630182452737855</v>
      </c>
      <c r="C359" t="b">
        <f t="shared" si="134"/>
        <v>1</v>
      </c>
      <c r="D359" t="b">
        <f t="shared" si="122"/>
        <v>1</v>
      </c>
      <c r="E359">
        <f t="shared" si="130"/>
        <v>1.75999999999999</v>
      </c>
      <c r="F359">
        <f t="shared" si="135"/>
        <v>0.1630182452737855</v>
      </c>
      <c r="G359">
        <f t="shared" si="123"/>
        <v>0.21561067580902327</v>
      </c>
      <c r="H359">
        <f t="shared" si="124"/>
        <v>3.5007017412994432E-2</v>
      </c>
      <c r="I359" t="b">
        <f t="shared" si="136"/>
        <v>1</v>
      </c>
      <c r="J359">
        <f t="shared" si="125"/>
        <v>1.75999999999999</v>
      </c>
      <c r="K359">
        <f t="shared" si="137"/>
        <v>3.5007017412994432E-2</v>
      </c>
      <c r="L359">
        <f t="shared" si="126"/>
        <v>0.16153838854453256</v>
      </c>
      <c r="M359">
        <f t="shared" si="127"/>
        <v>0.19001403482598886</v>
      </c>
      <c r="N359">
        <f t="shared" si="128"/>
        <v>0.18828057443637475</v>
      </c>
      <c r="O359">
        <f t="shared" si="129"/>
        <v>0.15777801482091969</v>
      </c>
      <c r="P359">
        <f t="shared" si="142"/>
        <v>0.08</v>
      </c>
      <c r="Q359">
        <f t="shared" si="138"/>
        <v>0.08</v>
      </c>
      <c r="R359">
        <f t="shared" si="131"/>
        <v>0.08</v>
      </c>
      <c r="S359">
        <f t="shared" si="132"/>
        <v>0.06</v>
      </c>
      <c r="T359">
        <f t="shared" si="133"/>
        <v>0.1</v>
      </c>
      <c r="U359">
        <f t="shared" si="139"/>
        <v>0.08</v>
      </c>
      <c r="V359">
        <f t="shared" si="144"/>
        <v>0.18828057443637475</v>
      </c>
      <c r="W359">
        <f t="shared" si="140"/>
        <v>0.16136745265434638</v>
      </c>
      <c r="X359">
        <f t="shared" si="141"/>
        <v>0.21572401897882126</v>
      </c>
      <c r="Y359" t="b">
        <f t="shared" si="143"/>
        <v>0</v>
      </c>
    </row>
    <row xmlns:x14ac="http://schemas.microsoft.com/office/spreadsheetml/2009/9/ac" r="360" x14ac:dyDescent="0.45">
      <c r="A360">
        <v>1.7649999999999899</v>
      </c>
      <c r="B360">
        <f t="shared" si="121"/>
        <v>0.16301684849361039</v>
      </c>
      <c r="C360" t="b">
        <f t="shared" si="134"/>
        <v>1</v>
      </c>
      <c r="D360" t="b">
        <f t="shared" si="122"/>
        <v>1</v>
      </c>
      <c r="E360">
        <f t="shared" si="130"/>
        <v>1.7649999999999899</v>
      </c>
      <c r="F360">
        <f t="shared" si="135"/>
        <v>0.16301684849361039</v>
      </c>
      <c r="G360">
        <f t="shared" si="123"/>
        <v>0.21558269244668266</v>
      </c>
      <c r="H360">
        <f t="shared" si="124"/>
        <v>3.5006480189850156E-2</v>
      </c>
      <c r="I360" t="b">
        <f t="shared" si="136"/>
        <v>1</v>
      </c>
      <c r="J360">
        <f t="shared" si="125"/>
        <v>1.7649999999999899</v>
      </c>
      <c r="K360">
        <f t="shared" si="137"/>
        <v>3.5006480189850156E-2</v>
      </c>
      <c r="L360">
        <f t="shared" si="126"/>
        <v>0.16158059100773015</v>
      </c>
      <c r="M360">
        <f t="shared" si="127"/>
        <v>0.19001296037970031</v>
      </c>
      <c r="N360">
        <f t="shared" si="128"/>
        <v>0.18825731851548422</v>
      </c>
      <c r="O360">
        <f t="shared" si="129"/>
        <v>0.15777799684761579</v>
      </c>
      <c r="P360">
        <f t="shared" si="142"/>
        <v>0.08</v>
      </c>
      <c r="Q360">
        <f t="shared" si="138"/>
        <v>0.08</v>
      </c>
      <c r="R360">
        <f t="shared" si="131"/>
        <v>0.08</v>
      </c>
      <c r="S360">
        <f t="shared" si="132"/>
        <v>0.06</v>
      </c>
      <c r="T360">
        <f t="shared" si="133"/>
        <v>0.1</v>
      </c>
      <c r="U360">
        <f t="shared" si="139"/>
        <v>0.08</v>
      </c>
      <c r="V360">
        <f t="shared" si="144"/>
        <v>0.18825731851548422</v>
      </c>
      <c r="W360">
        <f t="shared" si="140"/>
        <v>0.16141050766385295</v>
      </c>
      <c r="X360">
        <f t="shared" si="141"/>
        <v>0.21569547031506292</v>
      </c>
      <c r="Y360" t="b">
        <f t="shared" si="143"/>
        <v>0</v>
      </c>
    </row>
    <row xmlns:x14ac="http://schemas.microsoft.com/office/spreadsheetml/2009/9/ac" r="361" x14ac:dyDescent="0.45">
      <c r="A361">
        <v>1.76999999999999</v>
      </c>
      <c r="B361">
        <f t="shared" si="121"/>
        <v>0.16301543923780221</v>
      </c>
      <c r="C361" t="b">
        <f t="shared" si="134"/>
        <v>1</v>
      </c>
      <c r="D361" t="b">
        <f t="shared" si="122"/>
        <v>1</v>
      </c>
      <c r="E361">
        <f t="shared" si="130"/>
        <v>1.76999999999999</v>
      </c>
      <c r="F361">
        <f t="shared" si="135"/>
        <v>0.16301543923780221</v>
      </c>
      <c r="G361">
        <f t="shared" si="123"/>
        <v>0.21555484865194396</v>
      </c>
      <c r="H361">
        <f t="shared" si="124"/>
        <v>3.5005938168385459E-2</v>
      </c>
      <c r="I361" t="b">
        <f t="shared" si="136"/>
        <v>1</v>
      </c>
      <c r="J361">
        <f t="shared" si="125"/>
        <v>1.76999999999999</v>
      </c>
      <c r="K361">
        <f t="shared" si="137"/>
        <v>3.5005938168385459E-2</v>
      </c>
      <c r="L361">
        <f t="shared" si="126"/>
        <v>0.16162258298526441</v>
      </c>
      <c r="M361">
        <f t="shared" si="127"/>
        <v>0.19001187633677091</v>
      </c>
      <c r="N361">
        <f t="shared" si="128"/>
        <v>0.18823364640159956</v>
      </c>
      <c r="O361">
        <f t="shared" si="129"/>
        <v>0.15777797894458978</v>
      </c>
      <c r="P361">
        <f t="shared" si="142"/>
        <v>0.08</v>
      </c>
      <c r="Q361">
        <f t="shared" si="138"/>
        <v>0.08</v>
      </c>
      <c r="R361">
        <f t="shared" si="131"/>
        <v>0.08</v>
      </c>
      <c r="S361">
        <f t="shared" si="132"/>
        <v>0.06</v>
      </c>
      <c r="T361">
        <f t="shared" si="133"/>
        <v>0.1</v>
      </c>
      <c r="U361">
        <f t="shared" si="139"/>
        <v>0.08</v>
      </c>
      <c r="V361">
        <f t="shared" si="144"/>
        <v>0.18823364640159956</v>
      </c>
      <c r="W361">
        <f t="shared" si="140"/>
        <v>0.16145334793560379</v>
      </c>
      <c r="X361">
        <f t="shared" si="141"/>
        <v>0.21566706403835906</v>
      </c>
      <c r="Y361" t="b">
        <f t="shared" si="143"/>
        <v>0</v>
      </c>
    </row>
    <row xmlns:x14ac="http://schemas.microsoft.com/office/spreadsheetml/2009/9/ac" r="362" x14ac:dyDescent="0.45">
      <c r="A362">
        <v>1.7749999999999899</v>
      </c>
      <c r="B362">
        <f t="shared" si="121"/>
        <v>0.16301402485620045</v>
      </c>
      <c r="C362" t="b">
        <f t="shared" si="134"/>
        <v>1</v>
      </c>
      <c r="D362" t="b">
        <f t="shared" si="122"/>
        <v>1</v>
      </c>
      <c r="E362">
        <f t="shared" si="130"/>
        <v>1.7749999999999899</v>
      </c>
      <c r="F362">
        <f t="shared" si="135"/>
        <v>0.16301402485620045</v>
      </c>
      <c r="G362">
        <f t="shared" si="123"/>
        <v>0.2155271437287109</v>
      </c>
      <c r="H362">
        <f t="shared" si="124"/>
        <v>3.500539417546171E-2</v>
      </c>
      <c r="I362" t="b">
        <f t="shared" si="136"/>
        <v>1</v>
      </c>
      <c r="J362">
        <f t="shared" si="125"/>
        <v>1.7749999999999899</v>
      </c>
      <c r="K362">
        <f t="shared" si="137"/>
        <v>3.500539417546171E-2</v>
      </c>
      <c r="L362">
        <f t="shared" si="126"/>
        <v>0.16166436552693697</v>
      </c>
      <c r="M362">
        <f t="shared" si="127"/>
        <v>0.19001078835092344</v>
      </c>
      <c r="N362">
        <f t="shared" si="128"/>
        <v>0.1882096768680824</v>
      </c>
      <c r="O362">
        <f t="shared" si="129"/>
        <v>0.15777796120325471</v>
      </c>
      <c r="P362">
        <f t="shared" si="142"/>
        <v>0.08</v>
      </c>
      <c r="Q362">
        <f t="shared" si="138"/>
        <v>0.08</v>
      </c>
      <c r="R362">
        <f t="shared" si="131"/>
        <v>0.08</v>
      </c>
      <c r="S362">
        <f t="shared" si="132"/>
        <v>0.06</v>
      </c>
      <c r="T362">
        <f t="shared" si="133"/>
        <v>0.1</v>
      </c>
      <c r="U362">
        <f t="shared" si="139"/>
        <v>0.08</v>
      </c>
      <c r="V362">
        <f t="shared" si="144"/>
        <v>0.1882096768680824</v>
      </c>
      <c r="W362">
        <f t="shared" si="140"/>
        <v>0.16149597454060788</v>
      </c>
      <c r="X362">
        <f t="shared" si="141"/>
        <v>0.21563879943855135</v>
      </c>
      <c r="Y362" t="b">
        <f t="shared" si="143"/>
        <v>0</v>
      </c>
    </row>
    <row xmlns:x14ac="http://schemas.microsoft.com/office/spreadsheetml/2009/9/ac" r="363" x14ac:dyDescent="0.45">
      <c r="A363">
        <v>1.77999999999999</v>
      </c>
      <c r="B363">
        <f t="shared" si="121"/>
        <v>0.16301261236470882</v>
      </c>
      <c r="C363" t="b">
        <f t="shared" si="134"/>
        <v>1</v>
      </c>
      <c r="D363" t="b">
        <f t="shared" si="122"/>
        <v>1</v>
      </c>
      <c r="E363">
        <f t="shared" si="130"/>
        <v>1.77999999999999</v>
      </c>
      <c r="F363">
        <f t="shared" si="135"/>
        <v>0.16301261236470882</v>
      </c>
      <c r="G363">
        <f t="shared" si="123"/>
        <v>0.21549957698435895</v>
      </c>
      <c r="H363">
        <f t="shared" si="124"/>
        <v>3.5004850909503393E-2</v>
      </c>
      <c r="I363" t="b">
        <f t="shared" si="136"/>
        <v>1</v>
      </c>
      <c r="J363">
        <f t="shared" si="125"/>
        <v>1.77999999999999</v>
      </c>
      <c r="K363">
        <f t="shared" si="137"/>
        <v>3.5004850909503393E-2</v>
      </c>
      <c r="L363">
        <f t="shared" si="126"/>
        <v>0.16170593967731356</v>
      </c>
      <c r="M363">
        <f t="shared" si="127"/>
        <v>0.19000970181900678</v>
      </c>
      <c r="N363">
        <f t="shared" si="128"/>
        <v>0.18818552627531743</v>
      </c>
      <c r="O363">
        <f t="shared" si="129"/>
        <v>0.15777794370780329</v>
      </c>
      <c r="P363">
        <f t="shared" si="142"/>
        <v>0.08</v>
      </c>
      <c r="Q363">
        <f t="shared" si="138"/>
        <v>0.08</v>
      </c>
      <c r="R363">
        <f t="shared" si="131"/>
        <v>0.08</v>
      </c>
      <c r="S363">
        <f t="shared" si="132"/>
        <v>0.06</v>
      </c>
      <c r="T363">
        <f t="shared" si="133"/>
        <v>0.1</v>
      </c>
      <c r="U363">
        <f t="shared" si="139"/>
        <v>0.08</v>
      </c>
      <c r="V363">
        <f t="shared" si="144"/>
        <v>0.18818552627531743</v>
      </c>
      <c r="W363">
        <f t="shared" si="140"/>
        <v>0.16153838854453256</v>
      </c>
      <c r="X363">
        <f t="shared" si="141"/>
        <v>0.21561067580902327</v>
      </c>
      <c r="Y363" t="b">
        <f t="shared" si="143"/>
        <v>0</v>
      </c>
    </row>
    <row xmlns:x14ac="http://schemas.microsoft.com/office/spreadsheetml/2009/9/ac" r="364" x14ac:dyDescent="0.45">
      <c r="A364">
        <v>1.7849999999999899</v>
      </c>
      <c r="B364">
        <f t="shared" si="121"/>
        <v>0.16301120842801967</v>
      </c>
      <c r="C364" t="b">
        <f t="shared" si="134"/>
        <v>1</v>
      </c>
      <c r="D364" t="b">
        <f t="shared" si="122"/>
        <v>1</v>
      </c>
      <c r="E364">
        <f t="shared" si="130"/>
        <v>1.7849999999999899</v>
      </c>
      <c r="F364">
        <f t="shared" si="135"/>
        <v>0.16301120842801967</v>
      </c>
      <c r="G364">
        <f t="shared" si="123"/>
        <v>0.21547214772971801</v>
      </c>
      <c r="H364">
        <f t="shared" si="124"/>
        <v>3.5004310933853713E-2</v>
      </c>
      <c r="I364" t="b">
        <f t="shared" si="136"/>
        <v>1</v>
      </c>
      <c r="J364">
        <f t="shared" si="125"/>
        <v>1.7849999999999899</v>
      </c>
      <c r="K364">
        <f t="shared" si="137"/>
        <v>3.5004310933853713E-2</v>
      </c>
      <c r="L364">
        <f t="shared" si="126"/>
        <v>0.16174730647575011</v>
      </c>
      <c r="M364">
        <f t="shared" si="127"/>
        <v>0.19000862186770745</v>
      </c>
      <c r="N364">
        <f t="shared" si="128"/>
        <v>0.1881613081273035</v>
      </c>
      <c r="O364">
        <f t="shared" si="129"/>
        <v>0.15777792653525707</v>
      </c>
      <c r="P364">
        <f t="shared" si="142"/>
        <v>0.08</v>
      </c>
      <c r="Q364">
        <f t="shared" si="138"/>
        <v>0.08</v>
      </c>
      <c r="R364">
        <f t="shared" si="131"/>
        <v>0.08</v>
      </c>
      <c r="S364">
        <f t="shared" si="132"/>
        <v>0.06</v>
      </c>
      <c r="T364">
        <f t="shared" si="133"/>
        <v>0.1</v>
      </c>
      <c r="U364">
        <f t="shared" si="139"/>
        <v>0.08</v>
      </c>
      <c r="V364">
        <f t="shared" si="144"/>
        <v>0.1881613081273035</v>
      </c>
      <c r="W364">
        <f t="shared" si="140"/>
        <v>0.16158059100773015</v>
      </c>
      <c r="X364">
        <f t="shared" si="141"/>
        <v>0.21558269244668266</v>
      </c>
      <c r="Y364" t="b">
        <f t="shared" si="143"/>
        <v>0</v>
      </c>
    </row>
    <row xmlns:x14ac="http://schemas.microsoft.com/office/spreadsheetml/2009/9/ac" r="365" x14ac:dyDescent="0.45">
      <c r="A365">
        <v>1.78999999999999</v>
      </c>
      <c r="B365">
        <f t="shared" si="121"/>
        <v>0.16300981934486117</v>
      </c>
      <c r="C365" t="b">
        <f t="shared" si="134"/>
        <v>1</v>
      </c>
      <c r="D365" t="b">
        <f t="shared" si="122"/>
        <v>1</v>
      </c>
      <c r="E365">
        <f t="shared" si="130"/>
        <v>1.78999999999999</v>
      </c>
      <c r="F365">
        <f t="shared" si="135"/>
        <v>0.16300981934486117</v>
      </c>
      <c r="G365">
        <f t="shared" si="123"/>
        <v>0.21544485527905533</v>
      </c>
      <c r="H365">
        <f t="shared" si="124"/>
        <v>3.5003776671100453E-2</v>
      </c>
      <c r="I365" t="b">
        <f t="shared" si="136"/>
        <v>1</v>
      </c>
      <c r="J365">
        <f t="shared" si="125"/>
        <v>1.78999999999999</v>
      </c>
      <c r="K365">
        <f t="shared" si="137"/>
        <v>3.5003776671100453E-2</v>
      </c>
      <c r="L365">
        <f t="shared" si="126"/>
        <v>0.16178846695641874</v>
      </c>
      <c r="M365">
        <f t="shared" si="127"/>
        <v>0.1900075533422009</v>
      </c>
      <c r="N365">
        <f t="shared" si="128"/>
        <v>0.18813713265495918</v>
      </c>
      <c r="O365">
        <f t="shared" si="129"/>
        <v>0.15777790975555012</v>
      </c>
      <c r="P365">
        <f t="shared" si="142"/>
        <v>0.08</v>
      </c>
      <c r="Q365">
        <f t="shared" si="138"/>
        <v>0.08</v>
      </c>
      <c r="R365">
        <f t="shared" si="131"/>
        <v>0.08</v>
      </c>
      <c r="S365">
        <f t="shared" si="132"/>
        <v>0.06</v>
      </c>
      <c r="T365">
        <f t="shared" si="133"/>
        <v>0.1</v>
      </c>
      <c r="U365">
        <f t="shared" si="139"/>
        <v>0.08</v>
      </c>
      <c r="V365">
        <f t="shared" si="144"/>
        <v>0.18813713265495918</v>
      </c>
      <c r="W365">
        <f t="shared" si="140"/>
        <v>0.16162258298526441</v>
      </c>
      <c r="X365">
        <f t="shared" si="141"/>
        <v>0.21555484865194396</v>
      </c>
      <c r="Y365" t="b">
        <f t="shared" si="143"/>
        <v>0</v>
      </c>
    </row>
    <row xmlns:x14ac="http://schemas.microsoft.com/office/spreadsheetml/2009/9/ac" r="366" x14ac:dyDescent="0.45">
      <c r="A366">
        <v>1.7949999999999899</v>
      </c>
      <c r="B366">
        <f t="shared" si="121"/>
        <v>0.16300845103571482</v>
      </c>
      <c r="C366" t="b">
        <f t="shared" si="134"/>
        <v>1</v>
      </c>
      <c r="D366" t="b">
        <f t="shared" si="122"/>
        <v>1</v>
      </c>
      <c r="E366">
        <f t="shared" si="130"/>
        <v>1.7949999999999899</v>
      </c>
      <c r="F366">
        <f t="shared" si="135"/>
        <v>0.16300845103571482</v>
      </c>
      <c r="G366">
        <f t="shared" si="123"/>
        <v>0.21541769895005819</v>
      </c>
      <c r="H366">
        <f t="shared" si="124"/>
        <v>3.5003250398351851E-2</v>
      </c>
      <c r="I366" t="b">
        <f t="shared" si="136"/>
        <v>1</v>
      </c>
      <c r="J366">
        <f t="shared" si="125"/>
        <v>1.7949999999999899</v>
      </c>
      <c r="K366">
        <f t="shared" si="137"/>
        <v>3.5003250398351851E-2</v>
      </c>
      <c r="L366">
        <f t="shared" si="126"/>
        <v>0.16182942214833357</v>
      </c>
      <c r="M366">
        <f t="shared" si="127"/>
        <v>0.19000650079670373</v>
      </c>
      <c r="N366">
        <f t="shared" si="128"/>
        <v>0.18811310642716186</v>
      </c>
      <c r="O366">
        <f t="shared" si="129"/>
        <v>0.15777789343164528</v>
      </c>
      <c r="P366">
        <f t="shared" si="142"/>
        <v>0.08</v>
      </c>
      <c r="Q366">
        <f t="shared" si="138"/>
        <v>0.08</v>
      </c>
      <c r="R366">
        <f t="shared" si="131"/>
        <v>0.08</v>
      </c>
      <c r="S366">
        <f t="shared" si="132"/>
        <v>0.06</v>
      </c>
      <c r="T366">
        <f t="shared" si="133"/>
        <v>0.1</v>
      </c>
      <c r="U366">
        <f t="shared" si="139"/>
        <v>0.08</v>
      </c>
      <c r="V366">
        <f t="shared" si="144"/>
        <v>0.18811310642716186</v>
      </c>
      <c r="W366">
        <f t="shared" si="140"/>
        <v>0.16166436552693697</v>
      </c>
      <c r="X366">
        <f t="shared" si="141"/>
        <v>0.2155271437287109</v>
      </c>
      <c r="Y366" t="b">
        <f t="shared" si="143"/>
        <v>0</v>
      </c>
    </row>
    <row xmlns:x14ac="http://schemas.microsoft.com/office/spreadsheetml/2009/9/ac" r="367" x14ac:dyDescent="0.45">
      <c r="A367">
        <v>1.7999999999999901</v>
      </c>
      <c r="B367">
        <f t="shared" si="121"/>
        <v>0.16300710903294102</v>
      </c>
      <c r="C367" t="b">
        <f t="shared" si="134"/>
        <v>1</v>
      </c>
      <c r="D367" t="b">
        <f t="shared" si="122"/>
        <v>1</v>
      </c>
      <c r="E367">
        <f t="shared" si="130"/>
        <v>1.7999999999999901</v>
      </c>
      <c r="F367">
        <f t="shared" si="135"/>
        <v>0.16300710903294102</v>
      </c>
      <c r="G367">
        <f t="shared" si="123"/>
        <v>0.21539067806381701</v>
      </c>
      <c r="H367">
        <f t="shared" si="124"/>
        <v>3.500273424343886E-2</v>
      </c>
      <c r="I367" t="b">
        <f t="shared" si="136"/>
        <v>1</v>
      </c>
      <c r="J367">
        <f t="shared" si="125"/>
        <v>1.7999999999999901</v>
      </c>
      <c r="K367">
        <f t="shared" si="137"/>
        <v>3.500273424343886E-2</v>
      </c>
      <c r="L367">
        <f t="shared" si="126"/>
        <v>0.16187017307537654</v>
      </c>
      <c r="M367">
        <f t="shared" si="127"/>
        <v>0.19000546848687772</v>
      </c>
      <c r="N367">
        <f t="shared" si="128"/>
        <v>0.18808933199038275</v>
      </c>
      <c r="O367">
        <f t="shared" si="129"/>
        <v>0.15777787761967982</v>
      </c>
      <c r="P367">
        <f t="shared" si="142"/>
        <v>0.08</v>
      </c>
      <c r="Q367">
        <f t="shared" si="138"/>
        <v>0.08</v>
      </c>
      <c r="R367">
        <f t="shared" si="131"/>
        <v>0.08</v>
      </c>
      <c r="S367">
        <f t="shared" si="132"/>
        <v>0.06</v>
      </c>
      <c r="T367">
        <f t="shared" si="133"/>
        <v>0.1</v>
      </c>
      <c r="U367">
        <f t="shared" si="139"/>
        <v>0.08</v>
      </c>
      <c r="V367">
        <f t="shared" si="144"/>
        <v>0.18808933199038275</v>
      </c>
      <c r="W367">
        <f t="shared" si="140"/>
        <v>0.16170593967731356</v>
      </c>
      <c r="X367">
        <f t="shared" si="141"/>
        <v>0.21549957698435895</v>
      </c>
      <c r="Y367" t="b">
        <f t="shared" si="143"/>
        <v>0</v>
      </c>
    </row>
    <row xmlns:x14ac="http://schemas.microsoft.com/office/spreadsheetml/2009/9/ac" r="368" x14ac:dyDescent="0.45">
      <c r="A368">
        <v>1.8049999999999899</v>
      </c>
      <c r="B368">
        <f t="shared" si="121"/>
        <v>0.16300579847324317</v>
      </c>
      <c r="C368" t="b">
        <f t="shared" si="134"/>
        <v>1</v>
      </c>
      <c r="D368" t="b">
        <f t="shared" si="122"/>
        <v>1</v>
      </c>
      <c r="E368">
        <f t="shared" si="130"/>
        <v>1.8049999999999899</v>
      </c>
      <c r="F368">
        <f t="shared" si="135"/>
        <v>0.16300579847324317</v>
      </c>
      <c r="G368">
        <f t="shared" si="123"/>
        <v>0.21536379194480815</v>
      </c>
      <c r="H368">
        <f t="shared" si="124"/>
        <v>3.5002230182016605E-2</v>
      </c>
      <c r="I368" t="b">
        <f t="shared" si="136"/>
        <v>1</v>
      </c>
      <c r="J368">
        <f t="shared" si="125"/>
        <v>1.8049999999999899</v>
      </c>
      <c r="K368">
        <f t="shared" si="137"/>
        <v>3.5002230182016605E-2</v>
      </c>
      <c r="L368">
        <f t="shared" si="126"/>
        <v>0.16191072075632301</v>
      </c>
      <c r="M368">
        <f t="shared" si="127"/>
        <v>0.19000446036403323</v>
      </c>
      <c r="N368">
        <f t="shared" si="128"/>
        <v>0.18806590753762603</v>
      </c>
      <c r="O368">
        <f t="shared" si="129"/>
        <v>0.1577778623691376</v>
      </c>
      <c r="P368">
        <f t="shared" si="142"/>
        <v>0.08</v>
      </c>
      <c r="Q368">
        <f t="shared" si="138"/>
        <v>0.08</v>
      </c>
      <c r="R368">
        <f t="shared" si="131"/>
        <v>0.08</v>
      </c>
      <c r="S368">
        <f t="shared" si="132"/>
        <v>0.06</v>
      </c>
      <c r="T368">
        <f t="shared" si="133"/>
        <v>0.1</v>
      </c>
      <c r="U368">
        <f t="shared" si="139"/>
        <v>0.08</v>
      </c>
      <c r="V368">
        <f t="shared" si="144"/>
        <v>0.18806590753762603</v>
      </c>
      <c r="W368">
        <f t="shared" si="140"/>
        <v>0.16174730647575011</v>
      </c>
      <c r="X368">
        <f t="shared" si="141"/>
        <v>0.21547214772971801</v>
      </c>
      <c r="Y368" t="b">
        <f t="shared" si="143"/>
        <v>0</v>
      </c>
    </row>
    <row xmlns:x14ac="http://schemas.microsoft.com/office/spreadsheetml/2009/9/ac" r="369" x14ac:dyDescent="0.45">
      <c r="A369">
        <v>1.8099999999999901</v>
      </c>
      <c r="B369">
        <f t="shared" si="121"/>
        <v>0.16300452409239177</v>
      </c>
      <c r="C369" t="b">
        <f t="shared" si="134"/>
        <v>1</v>
      </c>
      <c r="D369" t="b">
        <f t="shared" si="122"/>
        <v>1</v>
      </c>
      <c r="E369">
        <f t="shared" si="130"/>
        <v>1.8099999999999901</v>
      </c>
      <c r="F369">
        <f t="shared" si="135"/>
        <v>0.16300452409239177</v>
      </c>
      <c r="G369">
        <f t="shared" si="123"/>
        <v>0.21533703992087727</v>
      </c>
      <c r="H369">
        <f t="shared" si="124"/>
        <v>3.50017400355353E-2</v>
      </c>
      <c r="I369" t="b">
        <f t="shared" si="136"/>
        <v>1</v>
      </c>
      <c r="J369">
        <f t="shared" si="125"/>
        <v>1.8099999999999901</v>
      </c>
      <c r="K369">
        <f t="shared" si="137"/>
        <v>3.50017400355353E-2</v>
      </c>
      <c r="L369">
        <f t="shared" si="126"/>
        <v>0.16195106620486704</v>
      </c>
      <c r="M369">
        <f t="shared" si="127"/>
        <v>0.1900034800710706</v>
      </c>
      <c r="N369">
        <f t="shared" si="128"/>
        <v>0.18804292660722699</v>
      </c>
      <c r="O369">
        <f t="shared" si="129"/>
        <v>0.15777784772304521</v>
      </c>
      <c r="P369">
        <f t="shared" si="142"/>
        <v>0.08</v>
      </c>
      <c r="Q369">
        <f t="shared" si="138"/>
        <v>0.08</v>
      </c>
      <c r="R369">
        <f t="shared" si="131"/>
        <v>0.08</v>
      </c>
      <c r="S369">
        <f t="shared" si="132"/>
        <v>0.06</v>
      </c>
      <c r="T369">
        <f t="shared" si="133"/>
        <v>0.1</v>
      </c>
      <c r="U369">
        <f t="shared" si="139"/>
        <v>0.08</v>
      </c>
      <c r="V369">
        <f t="shared" si="144"/>
        <v>0.18804292660722699</v>
      </c>
      <c r="W369">
        <f t="shared" si="140"/>
        <v>0.16178846695641874</v>
      </c>
      <c r="X369">
        <f t="shared" si="141"/>
        <v>0.21544485527905533</v>
      </c>
      <c r="Y369" t="b">
        <f t="shared" si="143"/>
        <v>0</v>
      </c>
    </row>
    <row xmlns:x14ac="http://schemas.microsoft.com/office/spreadsheetml/2009/9/ac" r="370" x14ac:dyDescent="0.45">
      <c r="A370">
        <v>1.81499999999999</v>
      </c>
      <c r="B370">
        <f t="shared" si="121"/>
        <v>0.16300329022212387</v>
      </c>
      <c r="C370" t="b">
        <f t="shared" si="134"/>
        <v>1</v>
      </c>
      <c r="D370" t="b">
        <f t="shared" si="122"/>
        <v>1</v>
      </c>
      <c r="E370">
        <f t="shared" si="130"/>
        <v>1.81499999999999</v>
      </c>
      <c r="F370">
        <f t="shared" si="135"/>
        <v>0.16300329022212387</v>
      </c>
      <c r="G370">
        <f t="shared" si="123"/>
        <v>0.21531042132322242</v>
      </c>
      <c r="H370">
        <f t="shared" si="124"/>
        <v>3.5001265470047643E-2</v>
      </c>
      <c r="I370" t="b">
        <f t="shared" si="136"/>
        <v>1</v>
      </c>
      <c r="J370">
        <f t="shared" si="125"/>
        <v>1.81499999999999</v>
      </c>
      <c r="K370">
        <f t="shared" si="137"/>
        <v>3.5001265470047643E-2</v>
      </c>
      <c r="L370">
        <f t="shared" si="126"/>
        <v>0.16199121042964701</v>
      </c>
      <c r="M370">
        <f t="shared" si="127"/>
        <v>0.19000253094009528</v>
      </c>
      <c r="N370">
        <f t="shared" si="128"/>
        <v>0.18802047781191308</v>
      </c>
      <c r="O370">
        <f t="shared" si="129"/>
        <v>0.15777783371818893</v>
      </c>
      <c r="P370">
        <f t="shared" si="142"/>
        <v>0.08</v>
      </c>
      <c r="Q370">
        <f t="shared" si="138"/>
        <v>0.08</v>
      </c>
      <c r="R370">
        <f t="shared" si="131"/>
        <v>0.08</v>
      </c>
      <c r="S370">
        <f t="shared" si="132"/>
        <v>0.06</v>
      </c>
      <c r="T370">
        <f t="shared" si="133"/>
        <v>0.1</v>
      </c>
      <c r="U370">
        <f t="shared" si="139"/>
        <v>0.08</v>
      </c>
      <c r="V370">
        <f t="shared" si="144"/>
        <v>0.18802047781191308</v>
      </c>
      <c r="W370">
        <f t="shared" si="140"/>
        <v>0.16182942214833357</v>
      </c>
      <c r="X370">
        <f t="shared" si="141"/>
        <v>0.21541769895005819</v>
      </c>
      <c r="Y370" t="b">
        <f t="shared" si="143"/>
        <v>0</v>
      </c>
    </row>
    <row xmlns:x14ac="http://schemas.microsoft.com/office/spreadsheetml/2009/9/ac" r="371" x14ac:dyDescent="0.45">
      <c r="A371">
        <v>1.8199999999999901</v>
      </c>
      <c r="B371">
        <f t="shared" si="121"/>
        <v>0.16300210078912661</v>
      </c>
      <c r="C371" t="b">
        <f t="shared" si="134"/>
        <v>1</v>
      </c>
      <c r="D371" t="b">
        <f t="shared" si="122"/>
        <v>1</v>
      </c>
      <c r="E371">
        <f t="shared" si="130"/>
        <v>1.8199999999999901</v>
      </c>
      <c r="F371">
        <f t="shared" si="135"/>
        <v>0.16300210078912661</v>
      </c>
      <c r="G371">
        <f t="shared" si="123"/>
        <v>0.21528393548637725</v>
      </c>
      <c r="H371">
        <f t="shared" si="124"/>
        <v>3.5000807995817923E-2</v>
      </c>
      <c r="I371" t="b">
        <f t="shared" si="136"/>
        <v>1</v>
      </c>
      <c r="J371">
        <f t="shared" si="125"/>
        <v>1.8199999999999901</v>
      </c>
      <c r="K371">
        <f t="shared" si="137"/>
        <v>3.5000807995817923E-2</v>
      </c>
      <c r="L371">
        <f t="shared" si="126"/>
        <v>0.16203115443427057</v>
      </c>
      <c r="M371">
        <f t="shared" si="127"/>
        <v>0.19000161599163584</v>
      </c>
      <c r="N371">
        <f t="shared" si="128"/>
        <v>0.18799864459838467</v>
      </c>
      <c r="O371">
        <f t="shared" si="129"/>
        <v>0.15777782038535074</v>
      </c>
      <c r="P371">
        <f t="shared" si="142"/>
        <v>0.08</v>
      </c>
      <c r="Q371">
        <f t="shared" si="138"/>
        <v>0.08</v>
      </c>
      <c r="R371">
        <f t="shared" si="131"/>
        <v>0.08</v>
      </c>
      <c r="S371">
        <f t="shared" si="132"/>
        <v>0.06</v>
      </c>
      <c r="T371">
        <f t="shared" si="133"/>
        <v>0.1</v>
      </c>
      <c r="U371">
        <f t="shared" si="139"/>
        <v>0.08</v>
      </c>
      <c r="V371">
        <f t="shared" si="144"/>
        <v>0.18799864459838467</v>
      </c>
      <c r="W371">
        <f t="shared" si="140"/>
        <v>0.16187017307537654</v>
      </c>
      <c r="X371">
        <f t="shared" si="141"/>
        <v>0.21539067806381701</v>
      </c>
      <c r="Y371" t="b">
        <f t="shared" si="143"/>
        <v>0</v>
      </c>
    </row>
    <row xmlns:x14ac="http://schemas.microsoft.com/office/spreadsheetml/2009/9/ac" r="372" x14ac:dyDescent="0.45">
      <c r="A372">
        <v>1.82499999999999</v>
      </c>
      <c r="B372">
        <f t="shared" si="121"/>
        <v>0.16300095931600753</v>
      </c>
      <c r="C372" t="b">
        <f t="shared" si="134"/>
        <v>1</v>
      </c>
      <c r="D372" t="b">
        <f t="shared" si="122"/>
        <v>1</v>
      </c>
      <c r="E372">
        <f t="shared" si="130"/>
        <v>1.82499999999999</v>
      </c>
      <c r="F372">
        <f t="shared" si="135"/>
        <v>0.16300095931600753</v>
      </c>
      <c r="G372">
        <f t="shared" si="123"/>
        <v>0.21525758174819443</v>
      </c>
      <c r="H372">
        <f t="shared" si="124"/>
        <v>3.5000368967695206E-2</v>
      </c>
      <c r="I372" t="b">
        <f t="shared" si="136"/>
        <v>1</v>
      </c>
      <c r="J372">
        <f t="shared" si="125"/>
        <v>1.82499999999999</v>
      </c>
      <c r="K372">
        <f t="shared" si="137"/>
        <v>3.5000368967695206E-2</v>
      </c>
      <c r="L372">
        <f t="shared" si="126"/>
        <v>0.16207089921733994</v>
      </c>
      <c r="M372">
        <f t="shared" si="127"/>
        <v>0.19000073793539041</v>
      </c>
      <c r="N372">
        <f t="shared" si="128"/>
        <v>0.18797750503752689</v>
      </c>
      <c r="O372">
        <f t="shared" si="129"/>
        <v>0.15777780774955941</v>
      </c>
      <c r="P372">
        <f t="shared" si="142"/>
        <v>0.08</v>
      </c>
      <c r="Q372">
        <f t="shared" si="138"/>
        <v>0.08</v>
      </c>
      <c r="R372">
        <f t="shared" si="131"/>
        <v>0.08</v>
      </c>
      <c r="S372">
        <f t="shared" si="132"/>
        <v>0.06</v>
      </c>
      <c r="T372">
        <f t="shared" si="133"/>
        <v>0.1</v>
      </c>
      <c r="U372">
        <f t="shared" si="139"/>
        <v>0.08</v>
      </c>
      <c r="V372">
        <f t="shared" si="144"/>
        <v>0.18797750503752689</v>
      </c>
      <c r="W372">
        <f t="shared" si="140"/>
        <v>0.16191072075632301</v>
      </c>
      <c r="X372">
        <f t="shared" si="141"/>
        <v>0.21536379194480815</v>
      </c>
      <c r="Y372" t="b">
        <f t="shared" si="143"/>
        <v>0</v>
      </c>
    </row>
    <row xmlns:x14ac="http://schemas.microsoft.com/office/spreadsheetml/2009/9/ac" r="373" x14ac:dyDescent="0.45">
      <c r="A373">
        <v>1.8299999999999901</v>
      </c>
      <c r="B373">
        <f t="shared" si="121"/>
        <v>0.16299986892415114</v>
      </c>
      <c r="C373" t="b">
        <f t="shared" si="134"/>
        <v>1</v>
      </c>
      <c r="D373" t="b">
        <f t="shared" si="122"/>
        <v>1</v>
      </c>
      <c r="E373">
        <f t="shared" si="130"/>
        <v>1.8299999999999901</v>
      </c>
      <c r="F373">
        <f t="shared" si="135"/>
        <v>0.16299986892415114</v>
      </c>
      <c r="G373">
        <f t="shared" si="123"/>
        <v>0.21523135944982913</v>
      </c>
      <c r="H373">
        <f t="shared" si="124"/>
        <v>3.4999949586211984E-2</v>
      </c>
      <c r="I373" t="b">
        <f t="shared" si="136"/>
        <v>1</v>
      </c>
      <c r="J373">
        <f t="shared" si="125"/>
        <v>1.8299999999999901</v>
      </c>
      <c r="K373">
        <f t="shared" si="137"/>
        <v>3.4999949586211984E-2</v>
      </c>
      <c r="L373">
        <f t="shared" si="126"/>
        <v>0.1621104457724768</v>
      </c>
      <c r="M373">
        <f t="shared" si="127"/>
        <v>0.18999989917242396</v>
      </c>
      <c r="N373">
        <f t="shared" si="128"/>
        <v>0.18795713164522471</v>
      </c>
      <c r="O373">
        <f t="shared" si="129"/>
        <v>0.15777779583035589</v>
      </c>
      <c r="P373">
        <f t="shared" si="142"/>
        <v>0.08</v>
      </c>
      <c r="Q373">
        <f t="shared" si="138"/>
        <v>0.08</v>
      </c>
      <c r="R373">
        <f t="shared" si="131"/>
        <v>0.08</v>
      </c>
      <c r="S373">
        <f t="shared" si="132"/>
        <v>0.06</v>
      </c>
      <c r="T373">
        <f t="shared" si="133"/>
        <v>0.1</v>
      </c>
      <c r="U373">
        <f t="shared" si="139"/>
        <v>0.08</v>
      </c>
      <c r="V373">
        <f t="shared" si="144"/>
        <v>0.18795713164522471</v>
      </c>
      <c r="W373">
        <f t="shared" si="140"/>
        <v>0.16195106620486704</v>
      </c>
      <c r="X373">
        <f t="shared" si="141"/>
        <v>0.21533703992087727</v>
      </c>
      <c r="Y373" t="b">
        <f t="shared" si="143"/>
        <v>0</v>
      </c>
    </row>
    <row xmlns:x14ac="http://schemas.microsoft.com/office/spreadsheetml/2009/9/ac" r="374" x14ac:dyDescent="0.45">
      <c r="A374">
        <v>1.83499999999999</v>
      </c>
      <c r="B374">
        <f t="shared" si="121"/>
        <v>0.16299883233835497</v>
      </c>
      <c r="C374" t="b">
        <f t="shared" si="134"/>
        <v>1</v>
      </c>
      <c r="D374" t="b">
        <f t="shared" si="122"/>
        <v>1</v>
      </c>
      <c r="E374">
        <f t="shared" si="130"/>
        <v>1.83499999999999</v>
      </c>
      <c r="F374">
        <f t="shared" si="135"/>
        <v>0.16299883233835497</v>
      </c>
      <c r="G374">
        <f t="shared" si="123"/>
        <v>0.21520526793572253</v>
      </c>
      <c r="H374">
        <f t="shared" si="124"/>
        <v>3.4999550899367293E-2</v>
      </c>
      <c r="I374" t="b">
        <f t="shared" si="136"/>
        <v>1</v>
      </c>
      <c r="J374">
        <f t="shared" si="125"/>
        <v>1.83499999999999</v>
      </c>
      <c r="K374">
        <f t="shared" si="137"/>
        <v>3.4999550899367293E-2</v>
      </c>
      <c r="L374">
        <f t="shared" si="126"/>
        <v>0.16214979508834704</v>
      </c>
      <c r="M374">
        <f t="shared" si="127"/>
        <v>0.18999910179873458</v>
      </c>
      <c r="N374">
        <f t="shared" si="128"/>
        <v>0.18793759123361742</v>
      </c>
      <c r="O374">
        <f t="shared" si="129"/>
        <v>0.15777778464206937</v>
      </c>
      <c r="P374">
        <f t="shared" si="142"/>
        <v>0.08</v>
      </c>
      <c r="Q374">
        <f t="shared" si="138"/>
        <v>0.08</v>
      </c>
      <c r="R374">
        <f t="shared" si="131"/>
        <v>0.08</v>
      </c>
      <c r="S374">
        <f t="shared" si="132"/>
        <v>0.06</v>
      </c>
      <c r="T374">
        <f t="shared" si="133"/>
        <v>0.1</v>
      </c>
      <c r="U374">
        <f t="shared" si="139"/>
        <v>0.08</v>
      </c>
      <c r="V374">
        <f t="shared" si="144"/>
        <v>0.18793759123361742</v>
      </c>
      <c r="W374">
        <f t="shared" si="140"/>
        <v>0.16199121042964701</v>
      </c>
      <c r="X374">
        <f t="shared" si="141"/>
        <v>0.21531042132322242</v>
      </c>
      <c r="Y374" t="b">
        <f t="shared" si="143"/>
        <v>0</v>
      </c>
    </row>
    <row xmlns:x14ac="http://schemas.microsoft.com/office/spreadsheetml/2009/9/ac" r="375" x14ac:dyDescent="0.45">
      <c r="A375">
        <v>1.8399999999999901</v>
      </c>
      <c r="B375">
        <f t="shared" si="121"/>
        <v>0.16299785189313681</v>
      </c>
      <c r="C375" t="b">
        <f t="shared" si="134"/>
        <v>1</v>
      </c>
      <c r="D375" t="b">
        <f t="shared" si="122"/>
        <v>1</v>
      </c>
      <c r="E375">
        <f t="shared" si="130"/>
        <v>1.8399999999999901</v>
      </c>
      <c r="F375">
        <f t="shared" si="135"/>
        <v>0.16299785189313681</v>
      </c>
      <c r="G375">
        <f t="shared" si="123"/>
        <v>0.21517930655358547</v>
      </c>
      <c r="H375">
        <f t="shared" si="124"/>
        <v>3.4999173805052616E-2</v>
      </c>
      <c r="I375" t="b">
        <f t="shared" si="136"/>
        <v>1</v>
      </c>
      <c r="J375">
        <f t="shared" si="125"/>
        <v>1.8399999999999901</v>
      </c>
      <c r="K375">
        <f t="shared" si="137"/>
        <v>3.4999173805052616E-2</v>
      </c>
      <c r="L375">
        <f t="shared" si="126"/>
        <v>0.16218894814868559</v>
      </c>
      <c r="M375">
        <f t="shared" si="127"/>
        <v>0.18999834761010526</v>
      </c>
      <c r="N375">
        <f t="shared" si="128"/>
        <v>0.18791894479249732</v>
      </c>
      <c r="O375">
        <f t="shared" si="129"/>
        <v>0.15777777419410208</v>
      </c>
      <c r="P375">
        <f t="shared" si="142"/>
        <v>0.08</v>
      </c>
      <c r="Q375">
        <f t="shared" si="138"/>
        <v>0.08</v>
      </c>
      <c r="R375">
        <f t="shared" si="131"/>
        <v>0.08</v>
      </c>
      <c r="S375">
        <f t="shared" si="132"/>
        <v>0.06</v>
      </c>
      <c r="T375">
        <f t="shared" si="133"/>
        <v>0.1</v>
      </c>
      <c r="U375">
        <f t="shared" si="139"/>
        <v>0.08</v>
      </c>
      <c r="V375">
        <f t="shared" si="144"/>
        <v>0.18791894479249732</v>
      </c>
      <c r="W375">
        <f t="shared" si="140"/>
        <v>0.16203115443427057</v>
      </c>
      <c r="X375">
        <f t="shared" si="141"/>
        <v>0.21528393548637725</v>
      </c>
      <c r="Y375" t="b">
        <f t="shared" si="143"/>
        <v>0</v>
      </c>
    </row>
    <row xmlns:x14ac="http://schemas.microsoft.com/office/spreadsheetml/2009/9/ac" r="376" x14ac:dyDescent="0.45">
      <c r="A376">
        <v>1.84499999999999</v>
      </c>
      <c r="B376">
        <f t="shared" si="121"/>
        <v>0.16299692954060158</v>
      </c>
      <c r="C376" t="b">
        <f t="shared" si="134"/>
        <v>1</v>
      </c>
      <c r="D376" t="b">
        <f t="shared" si="122"/>
        <v>1</v>
      </c>
      <c r="E376">
        <f t="shared" si="130"/>
        <v>1.84499999999999</v>
      </c>
      <c r="F376">
        <f t="shared" si="135"/>
        <v>0.16299692954060158</v>
      </c>
      <c r="G376">
        <f t="shared" si="123"/>
        <v>0.21515347465438195</v>
      </c>
      <c r="H376">
        <f t="shared" si="124"/>
        <v>3.4998819054077535E-2</v>
      </c>
      <c r="I376" t="b">
        <f t="shared" si="136"/>
        <v>1</v>
      </c>
      <c r="J376">
        <f t="shared" si="125"/>
        <v>1.84499999999999</v>
      </c>
      <c r="K376">
        <f t="shared" si="137"/>
        <v>3.4998819054077535E-2</v>
      </c>
      <c r="L376">
        <f t="shared" si="126"/>
        <v>0.16222790593232106</v>
      </c>
      <c r="M376">
        <f t="shared" si="127"/>
        <v>0.18999763810815506</v>
      </c>
      <c r="N376">
        <f t="shared" si="128"/>
        <v>0.18790124740043318</v>
      </c>
      <c r="O376">
        <f t="shared" si="129"/>
        <v>0.15777776449122127</v>
      </c>
      <c r="P376">
        <f t="shared" si="142"/>
        <v>0.08</v>
      </c>
      <c r="Q376">
        <f t="shared" si="138"/>
        <v>0.08</v>
      </c>
      <c r="R376">
        <f t="shared" si="131"/>
        <v>0.08</v>
      </c>
      <c r="S376">
        <f t="shared" si="132"/>
        <v>0.06</v>
      </c>
      <c r="T376">
        <f t="shared" si="133"/>
        <v>0.1</v>
      </c>
      <c r="U376">
        <f t="shared" si="139"/>
        <v>0.08</v>
      </c>
      <c r="V376">
        <f t="shared" si="144"/>
        <v>0.18790124740043318</v>
      </c>
      <c r="W376">
        <f t="shared" si="140"/>
        <v>0.16207089921733994</v>
      </c>
      <c r="X376">
        <f t="shared" si="141"/>
        <v>0.21525758174819443</v>
      </c>
      <c r="Y376" t="b">
        <f t="shared" si="143"/>
        <v>0</v>
      </c>
    </row>
    <row xmlns:x14ac="http://schemas.microsoft.com/office/spreadsheetml/2009/9/ac" r="377" x14ac:dyDescent="0.45">
      <c r="A377">
        <v>1.8499999999999901</v>
      </c>
      <c r="B377">
        <f t="shared" si="121"/>
        <v>0.16299606685975337</v>
      </c>
      <c r="C377" t="b">
        <f t="shared" si="134"/>
        <v>1</v>
      </c>
      <c r="D377" t="b">
        <f t="shared" si="122"/>
        <v>1</v>
      </c>
      <c r="E377">
        <f t="shared" si="130"/>
        <v>1.8499999999999901</v>
      </c>
      <c r="F377">
        <f t="shared" si="135"/>
        <v>0.16299606685975337</v>
      </c>
      <c r="G377">
        <f t="shared" si="123"/>
        <v>0.21512777159231328</v>
      </c>
      <c r="H377">
        <f t="shared" si="124"/>
        <v>3.4998487253751293E-2</v>
      </c>
      <c r="I377" t="b">
        <f t="shared" si="136"/>
        <v>1</v>
      </c>
      <c r="J377">
        <f t="shared" si="125"/>
        <v>1.8499999999999901</v>
      </c>
      <c r="K377">
        <f t="shared" si="137"/>
        <v>3.4998487253751293E-2</v>
      </c>
      <c r="L377">
        <f t="shared" si="126"/>
        <v>0.16226666941320006</v>
      </c>
      <c r="M377">
        <f t="shared" si="127"/>
        <v>0.18999697450750258</v>
      </c>
      <c r="N377">
        <f t="shared" si="128"/>
        <v>0.18788454816507869</v>
      </c>
      <c r="O377">
        <f t="shared" si="129"/>
        <v>0.15777775553385531</v>
      </c>
      <c r="P377">
        <f t="shared" si="142"/>
        <v>0.08</v>
      </c>
      <c r="Q377">
        <f t="shared" si="138"/>
        <v>0.08</v>
      </c>
      <c r="R377">
        <f t="shared" si="131"/>
        <v>0.08</v>
      </c>
      <c r="S377">
        <f t="shared" si="132"/>
        <v>0.06</v>
      </c>
      <c r="T377">
        <f t="shared" si="133"/>
        <v>0.1</v>
      </c>
      <c r="U377">
        <f t="shared" si="139"/>
        <v>0.08</v>
      </c>
      <c r="V377">
        <f t="shared" si="144"/>
        <v>0.18788454816507869</v>
      </c>
      <c r="W377">
        <f t="shared" si="140"/>
        <v>0.1621104457724768</v>
      </c>
      <c r="X377">
        <f t="shared" si="141"/>
        <v>0.21523135944982913</v>
      </c>
      <c r="Y377" t="b">
        <f t="shared" si="143"/>
        <v>0</v>
      </c>
    </row>
    <row xmlns:x14ac="http://schemas.microsoft.com/office/spreadsheetml/2009/9/ac" r="378" x14ac:dyDescent="0.45">
      <c r="A378">
        <v>1.85499999999999</v>
      </c>
      <c r="B378">
        <f t="shared" si="121"/>
        <v>0.16299526506713852</v>
      </c>
      <c r="C378" t="b">
        <f t="shared" si="134"/>
        <v>1</v>
      </c>
      <c r="D378" t="b">
        <f t="shared" si="122"/>
        <v>1</v>
      </c>
      <c r="E378">
        <f t="shared" si="130"/>
        <v>1.85499999999999</v>
      </c>
      <c r="F378">
        <f t="shared" si="135"/>
        <v>0.16299526506713852</v>
      </c>
      <c r="G378">
        <f t="shared" si="123"/>
        <v>0.21510219672480141</v>
      </c>
      <c r="H378">
        <f t="shared" si="124"/>
        <v>3.4998178871976357E-2</v>
      </c>
      <c r="I378" t="b">
        <f t="shared" si="136"/>
        <v>1</v>
      </c>
      <c r="J378">
        <f t="shared" si="125"/>
        <v>1.85499999999999</v>
      </c>
      <c r="K378">
        <f t="shared" si="137"/>
        <v>3.4998178871976357E-2</v>
      </c>
      <c r="L378">
        <f t="shared" si="126"/>
        <v>0.16230523956041157</v>
      </c>
      <c r="M378">
        <f t="shared" si="127"/>
        <v>0.18999635774395271</v>
      </c>
      <c r="N378">
        <f t="shared" si="128"/>
        <v>0.18786889019201364</v>
      </c>
      <c r="O378">
        <f t="shared" si="129"/>
        <v>0.15777774731839295</v>
      </c>
      <c r="P378">
        <f t="shared" si="142"/>
        <v>0.08</v>
      </c>
      <c r="Q378">
        <f t="shared" si="138"/>
        <v>0.08</v>
      </c>
      <c r="R378">
        <f t="shared" si="131"/>
        <v>0.08</v>
      </c>
      <c r="S378">
        <f t="shared" si="132"/>
        <v>0.06</v>
      </c>
      <c r="T378">
        <f t="shared" si="133"/>
        <v>0.1</v>
      </c>
      <c r="U378">
        <f t="shared" si="139"/>
        <v>0.08</v>
      </c>
      <c r="V378">
        <f t="shared" si="144"/>
        <v>0.18786889019201364</v>
      </c>
      <c r="W378">
        <f t="shared" si="140"/>
        <v>0.16214979508834704</v>
      </c>
      <c r="X378">
        <f t="shared" si="141"/>
        <v>0.21520526793572253</v>
      </c>
      <c r="Y378" t="b">
        <f t="shared" si="143"/>
        <v>0</v>
      </c>
    </row>
    <row xmlns:x14ac="http://schemas.microsoft.com/office/spreadsheetml/2009/9/ac" r="379" x14ac:dyDescent="0.45">
      <c r="A379">
        <v>1.8599999999999901</v>
      </c>
      <c r="B379">
        <f t="shared" si="121"/>
        <v>0.16299452502870332</v>
      </c>
      <c r="C379" t="b">
        <f t="shared" si="134"/>
        <v>1</v>
      </c>
      <c r="D379" t="b">
        <f t="shared" si="122"/>
        <v>1</v>
      </c>
      <c r="E379">
        <f t="shared" si="130"/>
        <v>1.8599999999999901</v>
      </c>
      <c r="F379">
        <f t="shared" si="135"/>
        <v>0.16299452502870332</v>
      </c>
      <c r="G379">
        <f t="shared" si="123"/>
        <v>0.21507674941247346</v>
      </c>
      <c r="H379">
        <f t="shared" si="124"/>
        <v>3.4997894241808977E-2</v>
      </c>
      <c r="I379" t="b">
        <f t="shared" si="136"/>
        <v>1</v>
      </c>
      <c r="J379">
        <f t="shared" si="125"/>
        <v>1.8599999999999901</v>
      </c>
      <c r="K379">
        <f t="shared" si="137"/>
        <v>3.4997894241808977E-2</v>
      </c>
      <c r="L379">
        <f t="shared" si="126"/>
        <v>0.16234361733821134</v>
      </c>
      <c r="M379">
        <f t="shared" si="127"/>
        <v>0.18999578848361795</v>
      </c>
      <c r="N379">
        <f t="shared" si="128"/>
        <v>0.18785431058135771</v>
      </c>
      <c r="O379">
        <f t="shared" si="129"/>
        <v>0.15777773983748336</v>
      </c>
      <c r="P379">
        <f t="shared" si="142"/>
        <v>0.08</v>
      </c>
      <c r="Q379">
        <f t="shared" si="138"/>
        <v>0.08</v>
      </c>
      <c r="R379">
        <f t="shared" si="131"/>
        <v>0.08</v>
      </c>
      <c r="S379">
        <f t="shared" si="132"/>
        <v>0.06</v>
      </c>
      <c r="T379">
        <f t="shared" si="133"/>
        <v>0.1</v>
      </c>
      <c r="U379">
        <f t="shared" si="139"/>
        <v>0.08</v>
      </c>
      <c r="V379">
        <f t="shared" si="144"/>
        <v>0.18785431058135771</v>
      </c>
      <c r="W379">
        <f t="shared" si="140"/>
        <v>0.16218894814868559</v>
      </c>
      <c r="X379">
        <f t="shared" si="141"/>
        <v>0.21517930655358547</v>
      </c>
      <c r="Y379" t="b">
        <f t="shared" si="143"/>
        <v>0</v>
      </c>
    </row>
    <row xmlns:x14ac="http://schemas.microsoft.com/office/spreadsheetml/2009/9/ac" r="380" x14ac:dyDescent="0.45">
      <c r="A380">
        <v>1.86499999999999</v>
      </c>
      <c r="B380">
        <f t="shared" si="121"/>
        <v>0.16299384727275054</v>
      </c>
      <c r="C380" t="b">
        <f t="shared" si="134"/>
        <v>1</v>
      </c>
      <c r="D380" t="b">
        <f t="shared" si="122"/>
        <v>1</v>
      </c>
      <c r="E380">
        <f t="shared" si="130"/>
        <v>1.86499999999999</v>
      </c>
      <c r="F380">
        <f t="shared" si="135"/>
        <v>0.16299384727275054</v>
      </c>
      <c r="G380">
        <f t="shared" si="123"/>
        <v>0.2150514290191452</v>
      </c>
      <c r="H380">
        <f t="shared" si="124"/>
        <v>3.4997633566442518E-2</v>
      </c>
      <c r="I380" t="b">
        <f t="shared" si="136"/>
        <v>1</v>
      </c>
      <c r="J380">
        <f t="shared" si="125"/>
        <v>1.86499999999999</v>
      </c>
      <c r="K380">
        <f t="shared" si="137"/>
        <v>3.4997633566442518E-2</v>
      </c>
      <c r="L380">
        <f t="shared" si="126"/>
        <v>0.1623818037060458</v>
      </c>
      <c r="M380">
        <f t="shared" si="127"/>
        <v>0.18999526713288506</v>
      </c>
      <c r="N380">
        <f t="shared" si="128"/>
        <v>0.18784084045129806</v>
      </c>
      <c r="O380">
        <f t="shared" si="129"/>
        <v>0.15777773308033538</v>
      </c>
      <c r="P380">
        <f t="shared" si="142"/>
        <v>0.08</v>
      </c>
      <c r="Q380">
        <f t="shared" si="138"/>
        <v>0.08</v>
      </c>
      <c r="R380">
        <f t="shared" si="131"/>
        <v>0.08</v>
      </c>
      <c r="S380">
        <f t="shared" si="132"/>
        <v>0.06</v>
      </c>
      <c r="T380">
        <f t="shared" si="133"/>
        <v>0.1</v>
      </c>
      <c r="U380">
        <f t="shared" si="139"/>
        <v>0.08</v>
      </c>
      <c r="V380">
        <f t="shared" si="144"/>
        <v>0.18784084045129806</v>
      </c>
      <c r="W380">
        <f t="shared" si="140"/>
        <v>0.16222790593232106</v>
      </c>
      <c r="X380">
        <f t="shared" si="141"/>
        <v>0.21515347465438195</v>
      </c>
      <c r="Y380" t="b">
        <f t="shared" si="143"/>
        <v>0</v>
      </c>
    </row>
    <row xmlns:x14ac="http://schemas.microsoft.com/office/spreadsheetml/2009/9/ac" r="381" x14ac:dyDescent="0.45">
      <c r="A381">
        <v>1.8699999999999899</v>
      </c>
      <c r="B381">
        <f t="shared" si="121"/>
        <v>0.16299323200387936</v>
      </c>
      <c r="C381" t="b">
        <f t="shared" si="134"/>
        <v>1</v>
      </c>
      <c r="D381" t="b">
        <f t="shared" si="122"/>
        <v>1</v>
      </c>
      <c r="E381">
        <f t="shared" si="130"/>
        <v>1.8699999999999899</v>
      </c>
      <c r="F381">
        <f t="shared" si="135"/>
        <v>0.16299323200387936</v>
      </c>
      <c r="G381">
        <f t="shared" si="123"/>
        <v>0.2150262349118055</v>
      </c>
      <c r="H381">
        <f t="shared" si="124"/>
        <v>3.4997396924568991E-2</v>
      </c>
      <c r="I381" t="b">
        <f t="shared" si="136"/>
        <v>1</v>
      </c>
      <c r="J381">
        <f t="shared" si="125"/>
        <v>1.8699999999999899</v>
      </c>
      <c r="K381">
        <f t="shared" si="137"/>
        <v>3.4997396924568991E-2</v>
      </c>
      <c r="L381">
        <f t="shared" si="126"/>
        <v>0.16241979961857611</v>
      </c>
      <c r="M381">
        <f t="shared" si="127"/>
        <v>0.18999479384913798</v>
      </c>
      <c r="N381">
        <f t="shared" si="128"/>
        <v>0.1878285049875773</v>
      </c>
      <c r="O381">
        <f t="shared" si="129"/>
        <v>0.15777772703301468</v>
      </c>
      <c r="P381">
        <f t="shared" si="142"/>
        <v>0.08</v>
      </c>
      <c r="Q381">
        <f t="shared" si="138"/>
        <v>0.08</v>
      </c>
      <c r="R381">
        <f t="shared" si="131"/>
        <v>0.08</v>
      </c>
      <c r="S381">
        <f t="shared" si="132"/>
        <v>0.06</v>
      </c>
      <c r="T381">
        <f t="shared" si="133"/>
        <v>0.1</v>
      </c>
      <c r="U381">
        <f t="shared" si="139"/>
        <v>0.08</v>
      </c>
      <c r="V381">
        <f t="shared" si="144"/>
        <v>0.1878285049875773</v>
      </c>
      <c r="W381">
        <f t="shared" si="140"/>
        <v>0.16226666941320006</v>
      </c>
      <c r="X381">
        <f t="shared" si="141"/>
        <v>0.21512777159231328</v>
      </c>
      <c r="Y381" t="b">
        <f t="shared" si="143"/>
        <v>0</v>
      </c>
    </row>
    <row xmlns:x14ac="http://schemas.microsoft.com/office/spreadsheetml/2009/9/ac" r="382" x14ac:dyDescent="0.45">
      <c r="A382">
        <v>1.87499999999999</v>
      </c>
      <c r="B382">
        <f t="shared" si="121"/>
        <v>0.1629926791177938</v>
      </c>
      <c r="C382" t="b">
        <f t="shared" si="134"/>
        <v>1</v>
      </c>
      <c r="D382" t="b">
        <f t="shared" si="122"/>
        <v>1</v>
      </c>
      <c r="E382">
        <f t="shared" si="130"/>
        <v>1.87499999999999</v>
      </c>
      <c r="F382">
        <f t="shared" si="135"/>
        <v>0.1629926791177938</v>
      </c>
      <c r="G382">
        <f t="shared" si="123"/>
        <v>0.21500116646060041</v>
      </c>
      <c r="H382">
        <f t="shared" si="124"/>
        <v>3.4997184276074539E-2</v>
      </c>
      <c r="I382" t="b">
        <f t="shared" si="136"/>
        <v>1</v>
      </c>
      <c r="J382">
        <f t="shared" si="125"/>
        <v>1.87499999999999</v>
      </c>
      <c r="K382">
        <f t="shared" si="137"/>
        <v>3.4997184276074539E-2</v>
      </c>
      <c r="L382">
        <f t="shared" si="126"/>
        <v>0.16245760602570214</v>
      </c>
      <c r="M382">
        <f t="shared" si="127"/>
        <v>0.18999436855214907</v>
      </c>
      <c r="N382">
        <f t="shared" si="128"/>
        <v>0.1878173235179042</v>
      </c>
      <c r="O382">
        <f t="shared" si="129"/>
        <v>0.15777772167873683</v>
      </c>
      <c r="P382">
        <f t="shared" si="142"/>
        <v>0.08</v>
      </c>
      <c r="Q382">
        <f t="shared" si="138"/>
        <v>0.08</v>
      </c>
      <c r="R382">
        <f t="shared" si="131"/>
        <v>0.08</v>
      </c>
      <c r="S382">
        <f t="shared" si="132"/>
        <v>0.06</v>
      </c>
      <c r="T382">
        <f t="shared" si="133"/>
        <v>0.1</v>
      </c>
      <c r="U382">
        <f t="shared" si="139"/>
        <v>0.08</v>
      </c>
      <c r="V382">
        <f t="shared" si="144"/>
        <v>0.1878173235179042</v>
      </c>
      <c r="W382">
        <f t="shared" si="140"/>
        <v>0.16230523956041157</v>
      </c>
      <c r="X382">
        <f t="shared" si="141"/>
        <v>0.21510219672480141</v>
      </c>
      <c r="Y382" t="b">
        <f t="shared" si="143"/>
        <v>0</v>
      </c>
    </row>
    <row xmlns:x14ac="http://schemas.microsoft.com/office/spreadsheetml/2009/9/ac" r="383" x14ac:dyDescent="0.45">
      <c r="A383">
        <v>1.8799999999999899</v>
      </c>
      <c r="B383">
        <f t="shared" si="121"/>
        <v>0.16299218821686659</v>
      </c>
      <c r="C383" t="b">
        <f t="shared" si="134"/>
        <v>1</v>
      </c>
      <c r="D383" t="b">
        <f t="shared" si="122"/>
        <v>1</v>
      </c>
      <c r="E383">
        <f t="shared" si="130"/>
        <v>1.8799999999999899</v>
      </c>
      <c r="F383">
        <f t="shared" si="135"/>
        <v>0.16299218821686659</v>
      </c>
      <c r="G383">
        <f t="shared" si="123"/>
        <v>0.2149762230388173</v>
      </c>
      <c r="H383">
        <f t="shared" si="124"/>
        <v>3.4996995468025607E-2</v>
      </c>
      <c r="I383" t="b">
        <f t="shared" si="136"/>
        <v>1</v>
      </c>
      <c r="J383">
        <f t="shared" si="125"/>
        <v>1.8799999999999899</v>
      </c>
      <c r="K383">
        <f t="shared" si="137"/>
        <v>3.4996995468025607E-2</v>
      </c>
      <c r="L383">
        <f t="shared" si="126"/>
        <v>0.16249522387258591</v>
      </c>
      <c r="M383">
        <f t="shared" si="127"/>
        <v>0.18999399093605124</v>
      </c>
      <c r="N383">
        <f t="shared" si="128"/>
        <v>0.18780730961016928</v>
      </c>
      <c r="O383">
        <f t="shared" si="129"/>
        <v>0.15777771699815593</v>
      </c>
      <c r="P383">
        <f t="shared" si="142"/>
        <v>0.08</v>
      </c>
      <c r="Q383">
        <f t="shared" si="138"/>
        <v>0.08</v>
      </c>
      <c r="R383">
        <f t="shared" si="131"/>
        <v>0.08</v>
      </c>
      <c r="S383">
        <f t="shared" si="132"/>
        <v>0.06</v>
      </c>
      <c r="T383">
        <f t="shared" si="133"/>
        <v>0.1</v>
      </c>
      <c r="U383">
        <f t="shared" si="139"/>
        <v>0.08</v>
      </c>
      <c r="V383">
        <f t="shared" si="144"/>
        <v>0.18780730961016928</v>
      </c>
      <c r="W383">
        <f t="shared" si="140"/>
        <v>0.16234361733821134</v>
      </c>
      <c r="X383">
        <f t="shared" si="141"/>
        <v>0.21507674941247346</v>
      </c>
      <c r="Y383" t="b">
        <f t="shared" si="143"/>
        <v>0</v>
      </c>
    </row>
    <row xmlns:x14ac="http://schemas.microsoft.com/office/spreadsheetml/2009/9/ac" r="384" x14ac:dyDescent="0.45">
      <c r="A384">
        <v>1.88499999999999</v>
      </c>
      <c r="B384">
        <f t="shared" si="121"/>
        <v>0.16299175862634732</v>
      </c>
      <c r="C384" t="b">
        <f t="shared" si="134"/>
        <v>1</v>
      </c>
      <c r="D384" t="b">
        <f t="shared" si="122"/>
        <v>1</v>
      </c>
      <c r="E384">
        <f t="shared" si="130"/>
        <v>1.88499999999999</v>
      </c>
      <c r="F384">
        <f t="shared" si="135"/>
        <v>0.16299175862634732</v>
      </c>
      <c r="G384">
        <f t="shared" si="123"/>
        <v>0.21495140402286939</v>
      </c>
      <c r="H384">
        <f t="shared" si="124"/>
        <v>3.4996830240902818E-2</v>
      </c>
      <c r="I384" t="b">
        <f t="shared" si="136"/>
        <v>1</v>
      </c>
      <c r="J384">
        <f t="shared" si="125"/>
        <v>1.88499999999999</v>
      </c>
      <c r="K384">
        <f t="shared" si="137"/>
        <v>3.4996830240902818E-2</v>
      </c>
      <c r="L384">
        <f t="shared" si="126"/>
        <v>0.16253265409967566</v>
      </c>
      <c r="M384">
        <f t="shared" si="127"/>
        <v>0.18999366048180563</v>
      </c>
      <c r="N384">
        <f t="shared" si="128"/>
        <v>0.18779847119327786</v>
      </c>
      <c r="O384">
        <f t="shared" si="129"/>
        <v>0.15777771296964624</v>
      </c>
      <c r="P384">
        <f t="shared" si="142"/>
        <v>0.08</v>
      </c>
      <c r="Q384">
        <f t="shared" si="138"/>
        <v>0.08</v>
      </c>
      <c r="R384">
        <f t="shared" si="131"/>
        <v>0.08</v>
      </c>
      <c r="S384">
        <f t="shared" si="132"/>
        <v>0.06</v>
      </c>
      <c r="T384">
        <f t="shared" si="133"/>
        <v>0.1</v>
      </c>
      <c r="U384">
        <f t="shared" si="139"/>
        <v>0.08</v>
      </c>
      <c r="V384">
        <f t="shared" si="144"/>
        <v>0.18779847119327786</v>
      </c>
      <c r="W384">
        <f t="shared" si="140"/>
        <v>0.1623818037060458</v>
      </c>
      <c r="X384">
        <f t="shared" si="141"/>
        <v>0.2150514290191452</v>
      </c>
      <c r="Y384" t="b">
        <f t="shared" si="143"/>
        <v>0</v>
      </c>
    </row>
    <row xmlns:x14ac="http://schemas.microsoft.com/office/spreadsheetml/2009/9/ac" r="385" x14ac:dyDescent="0.45">
      <c r="A385">
        <v>1.8899999999999899</v>
      </c>
      <c r="B385">
        <f t="shared" si="121"/>
        <v>0.16299138941110558</v>
      </c>
      <c r="C385" t="b">
        <f t="shared" si="134"/>
        <v>1</v>
      </c>
      <c r="D385" t="b">
        <f t="shared" si="122"/>
        <v>1</v>
      </c>
      <c r="E385">
        <f t="shared" si="130"/>
        <v>1.8899999999999899</v>
      </c>
      <c r="F385">
        <f t="shared" si="135"/>
        <v>0.16299138941110558</v>
      </c>
      <c r="G385">
        <f t="shared" si="123"/>
        <v>0.21492670879227987</v>
      </c>
      <c r="H385">
        <f t="shared" si="124"/>
        <v>3.499668823504061E-2</v>
      </c>
      <c r="I385" t="b">
        <f t="shared" si="136"/>
        <v>1</v>
      </c>
      <c r="J385">
        <f t="shared" si="125"/>
        <v>1.8899999999999899</v>
      </c>
      <c r="K385">
        <f t="shared" si="137"/>
        <v>3.499668823504061E-2</v>
      </c>
      <c r="L385">
        <f t="shared" si="126"/>
        <v>0.16256989764272894</v>
      </c>
      <c r="M385">
        <f t="shared" si="127"/>
        <v>0.18999337647008122</v>
      </c>
      <c r="N385">
        <f t="shared" si="128"/>
        <v>0.18779081069934828</v>
      </c>
      <c r="O385">
        <f t="shared" si="129"/>
        <v>0.15777770956957715</v>
      </c>
      <c r="P385">
        <f t="shared" si="142"/>
        <v>0.08</v>
      </c>
      <c r="Q385">
        <f t="shared" si="138"/>
        <v>0.08</v>
      </c>
      <c r="R385">
        <f t="shared" si="131"/>
        <v>0.08</v>
      </c>
      <c r="S385">
        <f t="shared" si="132"/>
        <v>0.06</v>
      </c>
      <c r="T385">
        <f t="shared" si="133"/>
        <v>0.1</v>
      </c>
      <c r="U385">
        <f t="shared" si="139"/>
        <v>0.08</v>
      </c>
      <c r="V385">
        <f t="shared" si="144"/>
        <v>0.18779081069934828</v>
      </c>
      <c r="W385">
        <f t="shared" si="140"/>
        <v>0.16241979961857611</v>
      </c>
      <c r="X385">
        <f t="shared" si="141"/>
        <v>0.2150262349118055</v>
      </c>
      <c r="Y385" t="b">
        <f t="shared" si="143"/>
        <v>0</v>
      </c>
    </row>
    <row xmlns:x14ac="http://schemas.microsoft.com/office/spreadsheetml/2009/9/ac" r="386" x14ac:dyDescent="0.45">
      <c r="A386">
        <v>1.89499999999999</v>
      </c>
      <c r="B386">
        <f t="shared" si="121"/>
        <v>0.16299107939280322</v>
      </c>
      <c r="C386" t="b">
        <f t="shared" si="134"/>
        <v>1</v>
      </c>
      <c r="D386" t="b">
        <f t="shared" si="122"/>
        <v>1</v>
      </c>
      <c r="E386">
        <f t="shared" si="130"/>
        <v>1.89499999999999</v>
      </c>
      <c r="F386">
        <f t="shared" si="135"/>
        <v>0.16299107939280322</v>
      </c>
      <c r="G386">
        <f t="shared" si="123"/>
        <v>0.21490213672966679</v>
      </c>
      <c r="H386">
        <f t="shared" si="124"/>
        <v>3.4996568997232011E-2</v>
      </c>
      <c r="I386" t="b">
        <f t="shared" si="136"/>
        <v>1</v>
      </c>
      <c r="J386">
        <f t="shared" si="125"/>
        <v>1.89499999999999</v>
      </c>
      <c r="K386">
        <f t="shared" si="137"/>
        <v>3.4996568997232011E-2</v>
      </c>
      <c r="L386">
        <f t="shared" si="126"/>
        <v>0.16260695543283635</v>
      </c>
      <c r="M386">
        <f t="shared" si="127"/>
        <v>0.18999313799446402</v>
      </c>
      <c r="N386">
        <f t="shared" si="128"/>
        <v>0.18778432522596838</v>
      </c>
      <c r="O386">
        <f t="shared" si="129"/>
        <v>0.15777770677257935</v>
      </c>
      <c r="P386">
        <f t="shared" si="142"/>
        <v>0.08</v>
      </c>
      <c r="Q386">
        <f t="shared" si="138"/>
        <v>0.08</v>
      </c>
      <c r="R386">
        <f t="shared" si="131"/>
        <v>0.08</v>
      </c>
      <c r="S386">
        <f t="shared" si="132"/>
        <v>0.06</v>
      </c>
      <c r="T386">
        <f t="shared" si="133"/>
        <v>0.1</v>
      </c>
      <c r="U386">
        <f t="shared" si="139"/>
        <v>0.08</v>
      </c>
      <c r="V386">
        <f t="shared" si="144"/>
        <v>0.18778432522596838</v>
      </c>
      <c r="W386">
        <f t="shared" si="140"/>
        <v>0.16245760602570214</v>
      </c>
      <c r="X386">
        <f t="shared" si="141"/>
        <v>0.21500116646060041</v>
      </c>
      <c r="Y386" t="b">
        <f t="shared" si="143"/>
        <v>0</v>
      </c>
    </row>
    <row xmlns:x14ac="http://schemas.microsoft.com/office/spreadsheetml/2009/9/ac" r="387" x14ac:dyDescent="0.45">
      <c r="A387">
        <v>1.8999999999999899</v>
      </c>
      <c r="B387">
        <f t="shared" si="121"/>
        <v>0.16299082716739252</v>
      </c>
      <c r="C387" t="b">
        <f t="shared" si="134"/>
        <v>1</v>
      </c>
      <c r="D387" t="b">
        <f t="shared" si="122"/>
        <v>1</v>
      </c>
      <c r="E387">
        <f t="shared" si="130"/>
        <v>1.8999999999999899</v>
      </c>
      <c r="F387">
        <f t="shared" si="135"/>
        <v>0.16299082716739252</v>
      </c>
      <c r="G387">
        <f t="shared" si="123"/>
        <v>0.21487768722072725</v>
      </c>
      <c r="H387">
        <f t="shared" si="124"/>
        <v>3.4996471987458672E-2</v>
      </c>
      <c r="I387" t="b">
        <f t="shared" si="136"/>
        <v>1</v>
      </c>
      <c r="J387">
        <f t="shared" si="125"/>
        <v>1.8999999999999899</v>
      </c>
      <c r="K387">
        <f t="shared" si="137"/>
        <v>3.4996471987458672E-2</v>
      </c>
      <c r="L387">
        <f t="shared" si="126"/>
        <v>0.16264382839644451</v>
      </c>
      <c r="M387">
        <f t="shared" si="127"/>
        <v>0.18999294397491734</v>
      </c>
      <c r="N387">
        <f t="shared" si="128"/>
        <v>0.18777900671715353</v>
      </c>
      <c r="O387">
        <f t="shared" si="129"/>
        <v>0.15777770455180229</v>
      </c>
      <c r="P387">
        <f t="shared" si="142"/>
        <v>0.08</v>
      </c>
      <c r="Q387">
        <f t="shared" si="138"/>
        <v>0.08</v>
      </c>
      <c r="R387">
        <f t="shared" si="131"/>
        <v>0.08</v>
      </c>
      <c r="S387">
        <f t="shared" si="132"/>
        <v>0.06</v>
      </c>
      <c r="T387">
        <f t="shared" si="133"/>
        <v>0.1</v>
      </c>
      <c r="U387">
        <f t="shared" si="139"/>
        <v>0.08</v>
      </c>
      <c r="V387">
        <f t="shared" si="144"/>
        <v>0.18777900671715353</v>
      </c>
      <c r="W387">
        <f t="shared" si="140"/>
        <v>0.16249522387258591</v>
      </c>
      <c r="X387">
        <f t="shared" si="141"/>
        <v>0.2149762230388173</v>
      </c>
      <c r="Y387" t="b">
        <f t="shared" si="143"/>
        <v>0</v>
      </c>
    </row>
    <row xmlns:x14ac="http://schemas.microsoft.com/office/spreadsheetml/2009/9/ac" r="388" x14ac:dyDescent="0.45">
      <c r="A388">
        <v>1.90499999999999</v>
      </c>
      <c r="B388">
        <f t="shared" si="121"/>
        <v>0.16299063112284065</v>
      </c>
      <c r="C388" t="b">
        <f t="shared" si="134"/>
        <v>1</v>
      </c>
      <c r="D388" t="b">
        <f t="shared" si="122"/>
        <v>1</v>
      </c>
      <c r="E388">
        <f t="shared" si="130"/>
        <v>1.90499999999999</v>
      </c>
      <c r="F388">
        <f t="shared" si="135"/>
        <v>0.16299063112284065</v>
      </c>
      <c r="G388">
        <f t="shared" si="123"/>
        <v>0.21485335965422231</v>
      </c>
      <c r="H388">
        <f t="shared" si="124"/>
        <v>3.499639658570794E-2</v>
      </c>
      <c r="I388" t="b">
        <f t="shared" si="136"/>
        <v>1</v>
      </c>
      <c r="J388">
        <f t="shared" si="125"/>
        <v>1.90499999999999</v>
      </c>
      <c r="K388">
        <f t="shared" si="137"/>
        <v>3.499639658570794E-2</v>
      </c>
      <c r="L388">
        <f t="shared" si="126"/>
        <v>0.16268051745537943</v>
      </c>
      <c r="M388">
        <f t="shared" si="127"/>
        <v>0.18999279317141587</v>
      </c>
      <c r="N388">
        <f t="shared" si="128"/>
        <v>0.18777484216161006</v>
      </c>
      <c r="O388">
        <f t="shared" si="129"/>
        <v>0.15777770287916132</v>
      </c>
      <c r="P388">
        <f t="shared" si="142"/>
        <v>0.08</v>
      </c>
      <c r="Q388">
        <f t="shared" si="138"/>
        <v>0.08</v>
      </c>
      <c r="R388">
        <f t="shared" si="131"/>
        <v>0.08</v>
      </c>
      <c r="S388">
        <f t="shared" si="132"/>
        <v>0.06</v>
      </c>
      <c r="T388">
        <f t="shared" si="133"/>
        <v>0.1</v>
      </c>
      <c r="U388">
        <f t="shared" si="139"/>
        <v>0.08</v>
      </c>
      <c r="V388">
        <f t="shared" si="144"/>
        <v>0.18777484216161006</v>
      </c>
      <c r="W388">
        <f t="shared" si="140"/>
        <v>0.16253265409967566</v>
      </c>
      <c r="X388">
        <f t="shared" si="141"/>
        <v>0.21495140402286939</v>
      </c>
      <c r="Y388" t="b">
        <f t="shared" si="143"/>
        <v>0</v>
      </c>
    </row>
    <row xmlns:x14ac="http://schemas.microsoft.com/office/spreadsheetml/2009/9/ac" r="389" x14ac:dyDescent="0.45">
      <c r="A389">
        <v>1.9099999999999899</v>
      </c>
      <c r="B389">
        <f t="shared" si="121"/>
        <v>0.16299048945698455</v>
      </c>
      <c r="C389" t="b">
        <f t="shared" si="134"/>
        <v>1</v>
      </c>
      <c r="D389" t="b">
        <f t="shared" si="122"/>
        <v>1</v>
      </c>
      <c r="E389">
        <f t="shared" si="130"/>
        <v>1.9099999999999899</v>
      </c>
      <c r="F389">
        <f t="shared" si="135"/>
        <v>0.16299048945698455</v>
      </c>
      <c r="G389">
        <f t="shared" si="123"/>
        <v>0.21482915342196146</v>
      </c>
      <c r="H389">
        <f t="shared" si="124"/>
        <v>3.4996342098840214E-2</v>
      </c>
      <c r="I389" t="b">
        <f t="shared" si="136"/>
        <v>1</v>
      </c>
      <c r="J389">
        <f t="shared" si="125"/>
        <v>1.9099999999999899</v>
      </c>
      <c r="K389">
        <f t="shared" si="137"/>
        <v>3.4996342098840214E-2</v>
      </c>
      <c r="L389">
        <f t="shared" si="126"/>
        <v>0.16271702352686954</v>
      </c>
      <c r="M389">
        <f t="shared" si="127"/>
        <v>0.18999268419768042</v>
      </c>
      <c r="N389">
        <f t="shared" si="128"/>
        <v>0.18777181380687397</v>
      </c>
      <c r="O389">
        <f t="shared" si="129"/>
        <v>0.15777770172557457</v>
      </c>
      <c r="P389">
        <f t="shared" si="142"/>
        <v>0.08</v>
      </c>
      <c r="Q389">
        <f t="shared" si="138"/>
        <v>0.08</v>
      </c>
      <c r="R389">
        <f t="shared" si="131"/>
        <v>0.08</v>
      </c>
      <c r="S389">
        <f t="shared" si="132"/>
        <v>0.06</v>
      </c>
      <c r="T389">
        <f t="shared" si="133"/>
        <v>0.1</v>
      </c>
      <c r="U389">
        <f t="shared" si="139"/>
        <v>0.08</v>
      </c>
      <c r="V389">
        <f t="shared" si="144"/>
        <v>0.18777181380687397</v>
      </c>
      <c r="W389">
        <f t="shared" si="140"/>
        <v>0.16256989764272894</v>
      </c>
      <c r="X389">
        <f t="shared" si="141"/>
        <v>0.21492670879227987</v>
      </c>
      <c r="Y389" t="b">
        <f t="shared" si="143"/>
        <v>0</v>
      </c>
    </row>
    <row xmlns:x14ac="http://schemas.microsoft.com/office/spreadsheetml/2009/9/ac" r="390" x14ac:dyDescent="0.45">
      <c r="A390">
        <v>1.91499999999999</v>
      </c>
      <c r="B390">
        <f t="shared" si="121"/>
        <v>0.16299040019542474</v>
      </c>
      <c r="C390" t="b">
        <f t="shared" si="134"/>
        <v>1</v>
      </c>
      <c r="D390" t="b">
        <f t="shared" si="122"/>
        <v>1</v>
      </c>
      <c r="E390">
        <f t="shared" si="130"/>
        <v>1.91499999999999</v>
      </c>
      <c r="F390">
        <f t="shared" si="135"/>
        <v>0.16299040019542474</v>
      </c>
      <c r="G390">
        <f t="shared" si="123"/>
        <v>0.21480506791878767</v>
      </c>
      <c r="H390">
        <f t="shared" si="124"/>
        <v>3.4996307767471049E-2</v>
      </c>
      <c r="I390" t="b">
        <f t="shared" si="136"/>
        <v>1</v>
      </c>
      <c r="J390">
        <f t="shared" si="125"/>
        <v>1.91499999999999</v>
      </c>
      <c r="K390">
        <f t="shared" si="137"/>
        <v>3.4996307767471049E-2</v>
      </c>
      <c r="L390">
        <f t="shared" si="126"/>
        <v>0.16275334752356846</v>
      </c>
      <c r="M390">
        <f t="shared" si="127"/>
        <v>0.18999261553494212</v>
      </c>
      <c r="N390">
        <f t="shared" si="128"/>
        <v>0.18776989938786859</v>
      </c>
      <c r="O390">
        <f t="shared" si="129"/>
        <v>0.15777770106118857</v>
      </c>
      <c r="P390">
        <f t="shared" si="142"/>
        <v>0.08</v>
      </c>
      <c r="Q390">
        <f t="shared" si="138"/>
        <v>0.08</v>
      </c>
      <c r="R390">
        <f t="shared" si="131"/>
        <v>0.08</v>
      </c>
      <c r="S390">
        <f t="shared" si="132"/>
        <v>0.06</v>
      </c>
      <c r="T390">
        <f t="shared" si="133"/>
        <v>0.1</v>
      </c>
      <c r="U390">
        <f t="shared" si="139"/>
        <v>0.08</v>
      </c>
      <c r="V390">
        <f t="shared" si="144"/>
        <v>0.18776989938786859</v>
      </c>
      <c r="W390">
        <f t="shared" si="140"/>
        <v>0.16260695543283635</v>
      </c>
      <c r="X390">
        <f t="shared" si="141"/>
        <v>0.21490213672966679</v>
      </c>
      <c r="Y390" t="b">
        <f t="shared" si="143"/>
        <v>0</v>
      </c>
    </row>
    <row xmlns:x14ac="http://schemas.microsoft.com/office/spreadsheetml/2009/9/ac" r="391" x14ac:dyDescent="0.45">
      <c r="A391">
        <v>1.9199999999999899</v>
      </c>
      <c r="B391">
        <f t="shared" ref="B391:B454" si="145">-(1+Marge_haute)*(A+B/Tpll*EXP(-$A391/Tpll)+C_*EXP(-epsilon*Wn*$A391)*COS(Wd*$A391)+C_*(D/C_-epsilon*Wn)/Wd*EXP(-epsilon*Wn*$A391)*SIN(Wd*$A391))+SIGN(DeltaPexpected)*Tunnel</f>
        <v>0.16299036120937016</v>
      </c>
      <c r="C391" t="b">
        <f t="shared" si="134"/>
        <v>1</v>
      </c>
      <c r="D391" t="b">
        <f t="shared" ref="D391:D454" si="146">IF(D390,D390,IF(C391,B391&gt;B390,C391))</f>
        <v>1</v>
      </c>
      <c r="E391">
        <f t="shared" si="130"/>
        <v>1.9199999999999899</v>
      </c>
      <c r="F391">
        <f t="shared" si="135"/>
        <v>0.16299036120937016</v>
      </c>
      <c r="G391">
        <f t="shared" ref="G391:G454" si="147">P0-SIGN(Rocof)*IF(D391,DeltaPexpected+SIGN(DeltaPexpected)*Tunnel+(MIN(F$7:F$1495)-DeltaPexpected-+SIGN(DeltaPexpected)*Tunnel)*EXP(-(A391-MIN(E$7:E$1495))/Texpodecrease),B391)</f>
        <v>0.21478110254256216</v>
      </c>
      <c r="H391">
        <f t="shared" ref="H391:H454" si="148">-(1-marge_basse)*(A+B/Tpll*EXP(-$A391/Tpll)+C_*EXP(-epsilon*Wn*$A391)*COS(Wd*$A391)+C_*(D/C_-epsilon*Wn)/Wd*EXP(-epsilon*Wn*$A391)*SIN(Wd*$A391))-Tunnel</f>
        <v>3.4996292772834683E-2</v>
      </c>
      <c r="I391" t="b">
        <f t="shared" si="136"/>
        <v>1</v>
      </c>
      <c r="J391">
        <f t="shared" ref="J391:J454" si="149">IF(I391,A391,I391)</f>
        <v>1.9199999999999899</v>
      </c>
      <c r="K391">
        <f t="shared" si="137"/>
        <v>3.4996292772834683E-2</v>
      </c>
      <c r="L391">
        <f t="shared" ref="L391:L454" si="150">P0-SIGN(Rocof)*IF(I391,AF$23-AF$13+(MAX(K$7:K$1495)-AF$23+AF$13)*EXP(-(A391-MIN(J$7:J$1495))/AB$21),H391)</f>
        <v>0.16278949035357809</v>
      </c>
      <c r="M391">
        <f t="shared" ref="M391:M454" si="151">P0-(1)*(A+B/Tpll*EXP(-$A391/Tpll)+C_*EXP(-epsilon*Wn*$A391)*COS(Wd*$A391)+C_*(D/C_-epsilon*Wn)/Wd*EXP(-epsilon*Wn*$A391)*SIN(Wd*$A391))</f>
        <v>0.18999258554566936</v>
      </c>
      <c r="N391">
        <f t="shared" ref="N391:N454" si="152">AB$6-(AG$17+AG$16/AC$18*EXP(-$A391/AC$18)+AG$18*EXP(-AG$6*AG$12*$A391)*COS(AG$5*$A391)+AG$18*(AG$19/AG$18-AG$6*AG$12)/AG$5*EXP(-AG$6*AG$12*$A391)*SIN(AG$5*$A391))</f>
        <v>0.18776907236840784</v>
      </c>
      <c r="O391">
        <f t="shared" ref="O391:O454" si="153">AB$6-(AH$17+AH$16/AD$18*EXP(-$A391/AD$18)+AH$18*EXP(-AH$6*AH$12*$A391)*COS(AH$5*$A391)+AH$18*(AH$19/AH$18-AH$6*AH$12)/AH$5*EXP(-AH$6*AH$12*$A391)*SIN(AH$5*$A391))</f>
        <v>0.15777770085559253</v>
      </c>
      <c r="P391">
        <f t="shared" si="142"/>
        <v>0.08</v>
      </c>
      <c r="Q391">
        <f t="shared" si="138"/>
        <v>0.08</v>
      </c>
      <c r="R391">
        <f t="shared" si="131"/>
        <v>0.08</v>
      </c>
      <c r="S391">
        <f t="shared" si="132"/>
        <v>0.06</v>
      </c>
      <c r="T391">
        <f t="shared" si="133"/>
        <v>0.1</v>
      </c>
      <c r="U391">
        <f t="shared" si="139"/>
        <v>0.08</v>
      </c>
      <c r="V391">
        <f t="shared" si="144"/>
        <v>0.18776907236840784</v>
      </c>
      <c r="W391">
        <f t="shared" si="140"/>
        <v>0.16264382839644451</v>
      </c>
      <c r="X391">
        <f t="shared" si="141"/>
        <v>0.21487768722072725</v>
      </c>
      <c r="Y391" t="b">
        <f t="shared" si="143"/>
        <v>0</v>
      </c>
    </row>
    <row xmlns:x14ac="http://schemas.microsoft.com/office/spreadsheetml/2009/9/ac" r="392" x14ac:dyDescent="0.45">
      <c r="A392">
        <v>1.9249999999999901</v>
      </c>
      <c r="B392">
        <f t="shared" si="145"/>
        <v>0.16299037023335142</v>
      </c>
      <c r="C392" t="b">
        <f t="shared" si="134"/>
        <v>1</v>
      </c>
      <c r="D392" t="b">
        <f t="shared" si="146"/>
        <v>1</v>
      </c>
      <c r="E392">
        <f t="shared" ref="E392:E455" si="154">IF(D392,A392,D392)</f>
        <v>1.9249999999999901</v>
      </c>
      <c r="F392">
        <f t="shared" si="135"/>
        <v>0.16299037023335142</v>
      </c>
      <c r="G392">
        <f t="shared" si="147"/>
        <v>0.21475725669414925</v>
      </c>
      <c r="H392">
        <f t="shared" si="148"/>
        <v>3.4996296243596695E-2</v>
      </c>
      <c r="I392" t="b">
        <f t="shared" si="136"/>
        <v>1</v>
      </c>
      <c r="J392">
        <f t="shared" si="149"/>
        <v>1.9249999999999901</v>
      </c>
      <c r="K392">
        <f t="shared" si="137"/>
        <v>3.4996296243596695E-2</v>
      </c>
      <c r="L392">
        <f t="shared" si="150"/>
        <v>0.16282545292047096</v>
      </c>
      <c r="M392">
        <f t="shared" si="151"/>
        <v>0.18999259248719341</v>
      </c>
      <c r="N392">
        <f t="shared" si="152"/>
        <v>0.18776930219415833</v>
      </c>
      <c r="O392">
        <f t="shared" si="153"/>
        <v>0.15777770107802058</v>
      </c>
      <c r="P392">
        <f t="shared" si="142"/>
        <v>0.08</v>
      </c>
      <c r="Q392">
        <f t="shared" si="138"/>
        <v>0.08</v>
      </c>
      <c r="R392">
        <f t="shared" ref="R392:R455" si="155">$AB$6-(1+AB$17)*EXP(-AF$6*AF$12*A392)*(COS(AF$5*A392)-(AF$6*AF$12-1)/(AF$5)*SIN(AF$5*A392))*AF$15</f>
        <v>0.08</v>
      </c>
      <c r="S392">
        <f t="shared" ref="S392:S455" si="156">R392-AF$13</f>
        <v>0.06</v>
      </c>
      <c r="T392">
        <f t="shared" ref="T392:T455" si="157">R392+AF$13</f>
        <v>0.1</v>
      </c>
      <c r="U392">
        <f t="shared" si="139"/>
        <v>0.08</v>
      </c>
      <c r="V392">
        <f t="shared" si="144"/>
        <v>0.18776930219415833</v>
      </c>
      <c r="W392">
        <f t="shared" si="140"/>
        <v>0.16268051745537943</v>
      </c>
      <c r="X392">
        <f t="shared" si="141"/>
        <v>0.21485335965422231</v>
      </c>
      <c r="Y392" t="b">
        <f t="shared" si="143"/>
        <v>0</v>
      </c>
    </row>
    <row xmlns:x14ac="http://schemas.microsoft.com/office/spreadsheetml/2009/9/ac" r="393" x14ac:dyDescent="0.45">
      <c r="A393">
        <v>1.9299999999999899</v>
      </c>
      <c r="B393">
        <f t="shared" si="145"/>
        <v>0.16299042488272375</v>
      </c>
      <c r="C393" t="b">
        <f t="shared" ref="C393:C456" si="158">IF(C392,C392,(B393&lt;B392))</f>
        <v>1</v>
      </c>
      <c r="D393" t="b">
        <f t="shared" si="146"/>
        <v>1</v>
      </c>
      <c r="E393">
        <f t="shared" si="154"/>
        <v>1.9299999999999899</v>
      </c>
      <c r="F393">
        <f t="shared" ref="F393:F456" si="159">IF(D393,B393,D393)</f>
        <v>0.16299042488272375</v>
      </c>
      <c r="G393">
        <f t="shared" si="147"/>
        <v>0.2147335297774014</v>
      </c>
      <c r="H393">
        <f t="shared" si="148"/>
        <v>3.4996317262586063E-2</v>
      </c>
      <c r="I393" t="b">
        <f t="shared" ref="I393:I456" si="160">IF(I392,I392,H392&gt;H393)</f>
        <v>1</v>
      </c>
      <c r="J393">
        <f t="shared" si="149"/>
        <v>1.9299999999999899</v>
      </c>
      <c r="K393">
        <f t="shared" ref="K393:K456" si="161">IF(I393,H393,I393)</f>
        <v>3.4996317262586063E-2</v>
      </c>
      <c r="L393">
        <f t="shared" si="150"/>
        <v>0.16286123612331321</v>
      </c>
      <c r="M393">
        <f t="shared" si="151"/>
        <v>0.18999263452517212</v>
      </c>
      <c r="N393">
        <f t="shared" si="152"/>
        <v>0.18777055455557118</v>
      </c>
      <c r="O393">
        <f t="shared" si="153"/>
        <v>0.15777770169754188</v>
      </c>
      <c r="P393">
        <f t="shared" si="142"/>
        <v>0.08</v>
      </c>
      <c r="Q393">
        <f t="shared" ref="Q393:Q456" si="162">$AB$6-(1+AB$17)*EXP(-AF$6*AF$12*A391)*(COS(AF$5*A391)-(AF$6*AF$12-1)/(AF$5)*SIN(AF$5*A391))*AF$15</f>
        <v>0.08</v>
      </c>
      <c r="R393">
        <f t="shared" si="155"/>
        <v>0.08</v>
      </c>
      <c r="S393">
        <f t="shared" si="156"/>
        <v>0.06</v>
      </c>
      <c r="T393">
        <f t="shared" si="157"/>
        <v>0.1</v>
      </c>
      <c r="U393">
        <f t="shared" ref="U393:U456" si="163">$AB$6-AB$18*EXP(-AF$6*AF$12*A391)*(COS(AF$5*A391)-(AF$6*AF$12-1)/(AF$5)*SIN(AF$5*A391))*AF$15</f>
        <v>0.08</v>
      </c>
      <c r="V393">
        <f t="shared" si="144"/>
        <v>0.18777055455557118</v>
      </c>
      <c r="W393">
        <f t="shared" si="140"/>
        <v>0.16271702352686954</v>
      </c>
      <c r="X393">
        <f t="shared" si="141"/>
        <v>0.21482915342196146</v>
      </c>
      <c r="Y393" t="b">
        <f t="shared" si="143"/>
        <v>0</v>
      </c>
    </row>
    <row xmlns:x14ac="http://schemas.microsoft.com/office/spreadsheetml/2009/9/ac" r="394" x14ac:dyDescent="0.45">
      <c r="A394">
        <v>1.9349999999999901</v>
      </c>
      <c r="B394">
        <f t="shared" si="145"/>
        <v>0.16299052267088679</v>
      </c>
      <c r="C394" t="b">
        <f t="shared" si="158"/>
        <v>1</v>
      </c>
      <c r="D394" t="b">
        <f t="shared" si="146"/>
        <v>1</v>
      </c>
      <c r="E394">
        <f t="shared" si="154"/>
        <v>1.9349999999999901</v>
      </c>
      <c r="F394">
        <f t="shared" si="159"/>
        <v>0.16299052267088679</v>
      </c>
      <c r="G394">
        <f t="shared" si="147"/>
        <v>0.21470992119914456</v>
      </c>
      <c r="H394">
        <f t="shared" si="148"/>
        <v>3.4996354873417998E-2</v>
      </c>
      <c r="I394" t="b">
        <f t="shared" si="160"/>
        <v>1</v>
      </c>
      <c r="J394">
        <f t="shared" si="149"/>
        <v>1.9349999999999901</v>
      </c>
      <c r="K394">
        <f t="shared" si="161"/>
        <v>3.4996354873417998E-2</v>
      </c>
      <c r="L394">
        <f t="shared" si="150"/>
        <v>0.16289684085668671</v>
      </c>
      <c r="M394">
        <f t="shared" si="151"/>
        <v>0.18999270974683602</v>
      </c>
      <c r="N394">
        <f t="shared" si="152"/>
        <v>0.18777279165929503</v>
      </c>
      <c r="O394">
        <f t="shared" si="153"/>
        <v>0.15777770268323849</v>
      </c>
      <c r="P394">
        <f t="shared" si="142"/>
        <v>0.08</v>
      </c>
      <c r="Q394">
        <f t="shared" si="162"/>
        <v>0.08</v>
      </c>
      <c r="R394">
        <f t="shared" si="155"/>
        <v>0.08</v>
      </c>
      <c r="S394">
        <f t="shared" si="156"/>
        <v>0.06</v>
      </c>
      <c r="T394">
        <f t="shared" si="157"/>
        <v>0.1</v>
      </c>
      <c r="U394">
        <f t="shared" si="163"/>
        <v>0.08</v>
      </c>
      <c r="V394">
        <f t="shared" si="144"/>
        <v>0.18777279165929503</v>
      </c>
      <c r="W394">
        <f t="shared" si="140"/>
        <v>0.16275334752356846</v>
      </c>
      <c r="X394">
        <f t="shared" si="141"/>
        <v>0.21480506791878767</v>
      </c>
      <c r="Y394" t="b">
        <f t="shared" si="143"/>
        <v>0</v>
      </c>
    </row>
    <row xmlns:x14ac="http://schemas.microsoft.com/office/spreadsheetml/2009/9/ac" r="395" x14ac:dyDescent="0.45">
      <c r="A395">
        <v>1.93999999999999</v>
      </c>
      <c r="B395">
        <f t="shared" si="145"/>
        <v>0.16299066102615192</v>
      </c>
      <c r="C395" t="b">
        <f t="shared" si="158"/>
        <v>1</v>
      </c>
      <c r="D395" t="b">
        <f t="shared" si="146"/>
        <v>1</v>
      </c>
      <c r="E395">
        <f t="shared" si="154"/>
        <v>1.93999999999999</v>
      </c>
      <c r="F395">
        <f t="shared" si="159"/>
        <v>0.16299066102615192</v>
      </c>
      <c r="G395">
        <f t="shared" si="147"/>
        <v>0.21468643036916302</v>
      </c>
      <c r="H395">
        <f t="shared" si="148"/>
        <v>3.4996408086981512E-2</v>
      </c>
      <c r="I395" t="b">
        <f t="shared" si="160"/>
        <v>1</v>
      </c>
      <c r="J395">
        <f t="shared" si="149"/>
        <v>1.93999999999999</v>
      </c>
      <c r="K395">
        <f t="shared" si="161"/>
        <v>3.4996408086981512E-2</v>
      </c>
      <c r="L395">
        <f t="shared" si="150"/>
        <v>0.16293226801071167</v>
      </c>
      <c r="M395">
        <f t="shared" si="151"/>
        <v>0.18999281617396302</v>
      </c>
      <c r="N395">
        <f t="shared" si="152"/>
        <v>0.18777597250659261</v>
      </c>
      <c r="O395">
        <f t="shared" si="153"/>
        <v>0.1577777040043708</v>
      </c>
      <c r="P395">
        <f t="shared" si="142"/>
        <v>0.08</v>
      </c>
      <c r="Q395">
        <f t="shared" si="162"/>
        <v>0.08</v>
      </c>
      <c r="R395">
        <f t="shared" si="155"/>
        <v>0.08</v>
      </c>
      <c r="S395">
        <f t="shared" si="156"/>
        <v>0.06</v>
      </c>
      <c r="T395">
        <f t="shared" si="157"/>
        <v>0.1</v>
      </c>
      <c r="U395">
        <f t="shared" si="163"/>
        <v>0.08</v>
      </c>
      <c r="V395">
        <f t="shared" si="144"/>
        <v>0.18777597250659261</v>
      </c>
      <c r="W395">
        <f t="shared" ref="W395:W458" si="164">IF(EMT_Simulation,L391,L395)</f>
        <v>0.16278949035357809</v>
      </c>
      <c r="X395">
        <f t="shared" ref="X395:X458" si="165">IF(EMT_Simulation,G391,G395)</f>
        <v>0.21478110254256216</v>
      </c>
      <c r="Y395" t="b">
        <f t="shared" si="143"/>
        <v>0</v>
      </c>
    </row>
    <row xmlns:x14ac="http://schemas.microsoft.com/office/spreadsheetml/2009/9/ac" r="396" x14ac:dyDescent="0.45">
      <c r="A396">
        <v>1.9449999999999901</v>
      </c>
      <c r="B396">
        <f t="shared" si="145"/>
        <v>0.16299083730819414</v>
      </c>
      <c r="C396" t="b">
        <f t="shared" si="158"/>
        <v>1</v>
      </c>
      <c r="D396" t="b">
        <f t="shared" si="146"/>
        <v>1</v>
      </c>
      <c r="E396">
        <f t="shared" si="154"/>
        <v>1.9449999999999901</v>
      </c>
      <c r="F396">
        <f t="shared" si="159"/>
        <v>0.16299083730819414</v>
      </c>
      <c r="G396">
        <f t="shared" si="147"/>
        <v>0.21466305670018476</v>
      </c>
      <c r="H396">
        <f t="shared" si="148"/>
        <v>3.499647588776697E-2</v>
      </c>
      <c r="I396" t="b">
        <f t="shared" si="160"/>
        <v>1</v>
      </c>
      <c r="J396">
        <f t="shared" si="149"/>
        <v>1.9449999999999901</v>
      </c>
      <c r="K396">
        <f t="shared" si="161"/>
        <v>3.499647588776697E-2</v>
      </c>
      <c r="L396">
        <f t="shared" si="150"/>
        <v>0.16296751847106877</v>
      </c>
      <c r="M396">
        <f t="shared" si="151"/>
        <v>0.18999295177553394</v>
      </c>
      <c r="N396">
        <f t="shared" si="152"/>
        <v>0.18778005317729665</v>
      </c>
      <c r="O396">
        <f t="shared" si="153"/>
        <v>0.15777770563053037</v>
      </c>
      <c r="P396">
        <f t="shared" si="142"/>
        <v>0.08</v>
      </c>
      <c r="Q396">
        <f t="shared" si="162"/>
        <v>0.08</v>
      </c>
      <c r="R396">
        <f t="shared" si="155"/>
        <v>0.08</v>
      </c>
      <c r="S396">
        <f t="shared" si="156"/>
        <v>0.06</v>
      </c>
      <c r="T396">
        <f t="shared" si="157"/>
        <v>0.1</v>
      </c>
      <c r="U396">
        <f t="shared" si="163"/>
        <v>0.08</v>
      </c>
      <c r="V396">
        <f t="shared" si="144"/>
        <v>0.18778005317729665</v>
      </c>
      <c r="W396">
        <f t="shared" si="164"/>
        <v>0.16282545292047096</v>
      </c>
      <c r="X396">
        <f t="shared" si="165"/>
        <v>0.21475725669414925</v>
      </c>
      <c r="Y396" t="b">
        <f t="shared" si="143"/>
        <v>0</v>
      </c>
    </row>
    <row xmlns:x14ac="http://schemas.microsoft.com/office/spreadsheetml/2009/9/ac" r="397" x14ac:dyDescent="0.45">
      <c r="A397">
        <v>1.94999999999999</v>
      </c>
      <c r="B397">
        <f t="shared" si="145"/>
        <v>0.16299104882402995</v>
      </c>
      <c r="C397" t="b">
        <f t="shared" si="158"/>
        <v>1</v>
      </c>
      <c r="D397" t="b">
        <f t="shared" si="146"/>
        <v>1</v>
      </c>
      <c r="E397">
        <f t="shared" si="154"/>
        <v>1.94999999999999</v>
      </c>
      <c r="F397">
        <f t="shared" si="159"/>
        <v>0.16299104882402995</v>
      </c>
      <c r="G397">
        <f t="shared" si="147"/>
        <v>0.21463979960786689</v>
      </c>
      <c r="H397">
        <f t="shared" si="148"/>
        <v>3.4996557240011522E-2</v>
      </c>
      <c r="I397" t="b">
        <f t="shared" si="160"/>
        <v>1</v>
      </c>
      <c r="J397">
        <f t="shared" si="149"/>
        <v>1.94999999999999</v>
      </c>
      <c r="K397">
        <f t="shared" si="161"/>
        <v>3.4996557240011522E-2</v>
      </c>
      <c r="L397">
        <f t="shared" si="150"/>
        <v>0.16300259311902143</v>
      </c>
      <c r="M397">
        <f t="shared" si="151"/>
        <v>0.18999311448002304</v>
      </c>
      <c r="N397">
        <f t="shared" si="152"/>
        <v>0.18778498711786357</v>
      </c>
      <c r="O397">
        <f t="shared" si="153"/>
        <v>0.15777770753178064</v>
      </c>
      <c r="P397">
        <f t="shared" si="142"/>
        <v>0.08</v>
      </c>
      <c r="Q397">
        <f t="shared" si="162"/>
        <v>0.08</v>
      </c>
      <c r="R397">
        <f t="shared" si="155"/>
        <v>0.08</v>
      </c>
      <c r="S397">
        <f t="shared" si="156"/>
        <v>0.06</v>
      </c>
      <c r="T397">
        <f t="shared" si="157"/>
        <v>0.1</v>
      </c>
      <c r="U397">
        <f t="shared" si="163"/>
        <v>0.08</v>
      </c>
      <c r="V397">
        <f t="shared" si="144"/>
        <v>0.18778498711786357</v>
      </c>
      <c r="W397">
        <f t="shared" si="164"/>
        <v>0.16286123612331321</v>
      </c>
      <c r="X397">
        <f t="shared" si="165"/>
        <v>0.2147335297774014</v>
      </c>
      <c r="Y397" t="b">
        <f t="shared" si="143"/>
        <v>0</v>
      </c>
    </row>
    <row xmlns:x14ac="http://schemas.microsoft.com/office/spreadsheetml/2009/9/ac" r="398" x14ac:dyDescent="0.45">
      <c r="A398">
        <v>1.9549999999999901</v>
      </c>
      <c r="B398">
        <f t="shared" si="145"/>
        <v>0.16299129284346789</v>
      </c>
      <c r="C398" t="b">
        <f t="shared" si="158"/>
        <v>1</v>
      </c>
      <c r="D398" t="b">
        <f t="shared" si="146"/>
        <v>1</v>
      </c>
      <c r="E398">
        <f t="shared" si="154"/>
        <v>1.9549999999999901</v>
      </c>
      <c r="F398">
        <f t="shared" si="159"/>
        <v>0.16299129284346789</v>
      </c>
      <c r="G398">
        <f t="shared" si="147"/>
        <v>0.21461665851078088</v>
      </c>
      <c r="H398">
        <f t="shared" si="148"/>
        <v>3.4996651093641501E-2</v>
      </c>
      <c r="I398" t="b">
        <f t="shared" si="160"/>
        <v>1</v>
      </c>
      <c r="J398">
        <f t="shared" si="149"/>
        <v>1.9549999999999901</v>
      </c>
      <c r="K398">
        <f t="shared" si="161"/>
        <v>3.4996651093641501E-2</v>
      </c>
      <c r="L398">
        <f t="shared" si="150"/>
        <v>0.16303749283143756</v>
      </c>
      <c r="M398">
        <f t="shared" si="151"/>
        <v>0.189993302187283</v>
      </c>
      <c r="N398">
        <f t="shared" si="152"/>
        <v>0.18779072543211028</v>
      </c>
      <c r="O398">
        <f t="shared" si="153"/>
        <v>0.15777770967878502</v>
      </c>
      <c r="P398">
        <f t="shared" ref="P398:P461" si="166">$AB$6-EXP(-AF$6*AF$12*A398)*(COS(AF$5*A398)-(AF$6*AF$12-1)/(AF$5)*SIN(AF$5*A398))*AF$15</f>
        <v>0.08</v>
      </c>
      <c r="Q398">
        <f t="shared" si="162"/>
        <v>0.08</v>
      </c>
      <c r="R398">
        <f t="shared" si="155"/>
        <v>0.08</v>
      </c>
      <c r="S398">
        <f t="shared" si="156"/>
        <v>0.06</v>
      </c>
      <c r="T398">
        <f t="shared" si="157"/>
        <v>0.1</v>
      </c>
      <c r="U398">
        <f t="shared" si="163"/>
        <v>0.08</v>
      </c>
      <c r="V398">
        <f t="shared" si="144"/>
        <v>0.18779072543211028</v>
      </c>
      <c r="W398">
        <f t="shared" si="164"/>
        <v>0.16289684085668671</v>
      </c>
      <c r="X398">
        <f t="shared" si="165"/>
        <v>0.21470992119914456</v>
      </c>
      <c r="Y398" t="b">
        <f t="shared" si="143"/>
        <v>0</v>
      </c>
    </row>
    <row xmlns:x14ac="http://schemas.microsoft.com/office/spreadsheetml/2009/9/ac" r="399" x14ac:dyDescent="0.45">
      <c r="A399">
        <v>1.95999999999999</v>
      </c>
      <c r="B399">
        <f t="shared" si="145"/>
        <v>0.16299156661398337</v>
      </c>
      <c r="C399" t="b">
        <f t="shared" si="158"/>
        <v>1</v>
      </c>
      <c r="D399" t="b">
        <f t="shared" si="146"/>
        <v>1</v>
      </c>
      <c r="E399">
        <f t="shared" si="154"/>
        <v>1.95999999999999</v>
      </c>
      <c r="F399">
        <f t="shared" si="159"/>
        <v>0.16299156661398337</v>
      </c>
      <c r="G399">
        <f t="shared" si="147"/>
        <v>0.21459363283039806</v>
      </c>
      <c r="H399">
        <f t="shared" si="148"/>
        <v>3.4996756389993611E-2</v>
      </c>
      <c r="I399" t="b">
        <f t="shared" si="160"/>
        <v>1</v>
      </c>
      <c r="J399">
        <f t="shared" si="149"/>
        <v>1.95999999999999</v>
      </c>
      <c r="K399">
        <f t="shared" si="161"/>
        <v>3.4996756389993611E-2</v>
      </c>
      <c r="L399">
        <f t="shared" si="150"/>
        <v>0.16307221848081188</v>
      </c>
      <c r="M399">
        <f t="shared" si="151"/>
        <v>0.18999351277998722</v>
      </c>
      <c r="N399">
        <f t="shared" si="152"/>
        <v>0.1877972171732514</v>
      </c>
      <c r="O399">
        <f t="shared" si="153"/>
        <v>0.15777771204292312</v>
      </c>
      <c r="P399">
        <f t="shared" si="166"/>
        <v>0.08</v>
      </c>
      <c r="Q399">
        <f t="shared" si="162"/>
        <v>0.08</v>
      </c>
      <c r="R399">
        <f t="shared" si="155"/>
        <v>0.08</v>
      </c>
      <c r="S399">
        <f t="shared" si="156"/>
        <v>0.06</v>
      </c>
      <c r="T399">
        <f t="shared" si="157"/>
        <v>0.1</v>
      </c>
      <c r="U399">
        <f t="shared" si="163"/>
        <v>0.08</v>
      </c>
      <c r="V399">
        <f t="shared" si="144"/>
        <v>0.1877972171732514</v>
      </c>
      <c r="W399">
        <f t="shared" si="164"/>
        <v>0.16293226801071167</v>
      </c>
      <c r="X399">
        <f t="shared" si="165"/>
        <v>0.21468643036916302</v>
      </c>
      <c r="Y399" t="b">
        <f t="shared" ref="Y399:Y462" si="167">IF(Y398,TRUE,IF(P399&lt;P398,TRUE))</f>
        <v>0</v>
      </c>
    </row>
    <row xmlns:x14ac="http://schemas.microsoft.com/office/spreadsheetml/2009/9/ac" r="400" x14ac:dyDescent="0.45">
      <c r="A400">
        <v>1.9649999999999901</v>
      </c>
      <c r="B400">
        <f t="shared" si="145"/>
        <v>0.16299186737497517</v>
      </c>
      <c r="C400" t="b">
        <f t="shared" si="158"/>
        <v>1</v>
      </c>
      <c r="D400" t="b">
        <f t="shared" si="146"/>
        <v>1</v>
      </c>
      <c r="E400">
        <f t="shared" si="154"/>
        <v>1.9649999999999901</v>
      </c>
      <c r="F400">
        <f t="shared" si="159"/>
        <v>0.16299186737497517</v>
      </c>
      <c r="G400">
        <f t="shared" si="147"/>
        <v>0.21457072199107524</v>
      </c>
      <c r="H400">
        <f t="shared" si="148"/>
        <v>3.4996872067298138E-2</v>
      </c>
      <c r="I400" t="b">
        <f t="shared" si="160"/>
        <v>1</v>
      </c>
      <c r="J400">
        <f t="shared" si="149"/>
        <v>1.9649999999999901</v>
      </c>
      <c r="K400">
        <f t="shared" si="161"/>
        <v>3.4996872067298138E-2</v>
      </c>
      <c r="L400">
        <f t="shared" si="150"/>
        <v>0.16310677093528736</v>
      </c>
      <c r="M400">
        <f t="shared" si="151"/>
        <v>0.1899937441345963</v>
      </c>
      <c r="N400">
        <f t="shared" si="152"/>
        <v>0.18780440963589262</v>
      </c>
      <c r="O400">
        <f t="shared" si="153"/>
        <v>0.15777771459639486</v>
      </c>
      <c r="P400">
        <f t="shared" si="166"/>
        <v>0.08</v>
      </c>
      <c r="Q400">
        <f t="shared" si="162"/>
        <v>0.08</v>
      </c>
      <c r="R400">
        <f t="shared" si="155"/>
        <v>0.08</v>
      </c>
      <c r="S400">
        <f t="shared" si="156"/>
        <v>0.06</v>
      </c>
      <c r="T400">
        <f t="shared" si="157"/>
        <v>0.1</v>
      </c>
      <c r="U400">
        <f t="shared" si="163"/>
        <v>0.08</v>
      </c>
      <c r="V400">
        <f t="shared" si="144"/>
        <v>0.18780440963589262</v>
      </c>
      <c r="W400">
        <f t="shared" si="164"/>
        <v>0.16296751847106877</v>
      </c>
      <c r="X400">
        <f t="shared" si="165"/>
        <v>0.21466305670018476</v>
      </c>
      <c r="Y400" t="b">
        <f t="shared" si="167"/>
        <v>0</v>
      </c>
    </row>
    <row xmlns:x14ac="http://schemas.microsoft.com/office/spreadsheetml/2009/9/ac" r="401" x14ac:dyDescent="0.45">
      <c r="A401">
        <v>1.96999999999999</v>
      </c>
      <c r="B401">
        <f t="shared" si="145"/>
        <v>0.16299219237136486</v>
      </c>
      <c r="C401" t="b">
        <f t="shared" si="158"/>
        <v>1</v>
      </c>
      <c r="D401" t="b">
        <f t="shared" si="146"/>
        <v>1</v>
      </c>
      <c r="E401">
        <f t="shared" si="154"/>
        <v>1.96999999999999</v>
      </c>
      <c r="F401">
        <f t="shared" si="159"/>
        <v>0.16299219237136486</v>
      </c>
      <c r="G401">
        <f t="shared" si="147"/>
        <v>0.21454792542004031</v>
      </c>
      <c r="H401">
        <f t="shared" si="148"/>
        <v>3.4996997065909571E-2</v>
      </c>
      <c r="I401" t="b">
        <f t="shared" si="160"/>
        <v>1</v>
      </c>
      <c r="J401">
        <f t="shared" si="149"/>
        <v>1.96999999999999</v>
      </c>
      <c r="K401">
        <f t="shared" si="161"/>
        <v>3.4996997065909571E-2</v>
      </c>
      <c r="L401">
        <f t="shared" si="150"/>
        <v>0.16314115105867721</v>
      </c>
      <c r="M401">
        <f t="shared" si="151"/>
        <v>0.18999399413181914</v>
      </c>
      <c r="N401">
        <f t="shared" si="152"/>
        <v>0.18781224864667817</v>
      </c>
      <c r="O401">
        <f t="shared" si="153"/>
        <v>0.15777771731231305</v>
      </c>
      <c r="P401">
        <f t="shared" si="166"/>
        <v>0.08</v>
      </c>
      <c r="Q401">
        <f t="shared" si="162"/>
        <v>0.08</v>
      </c>
      <c r="R401">
        <f t="shared" si="155"/>
        <v>0.08</v>
      </c>
      <c r="S401">
        <f t="shared" si="156"/>
        <v>0.06</v>
      </c>
      <c r="T401">
        <f t="shared" si="157"/>
        <v>0.1</v>
      </c>
      <c r="U401">
        <f t="shared" si="163"/>
        <v>0.08</v>
      </c>
      <c r="V401">
        <f t="shared" si="144"/>
        <v>0.18781224864667817</v>
      </c>
      <c r="W401">
        <f t="shared" si="164"/>
        <v>0.16300259311902143</v>
      </c>
      <c r="X401">
        <f t="shared" si="165"/>
        <v>0.21463979960786689</v>
      </c>
      <c r="Y401" t="b">
        <f t="shared" si="167"/>
        <v>0</v>
      </c>
    </row>
    <row xmlns:x14ac="http://schemas.microsoft.com/office/spreadsheetml/2009/9/ac" r="402" x14ac:dyDescent="0.45">
      <c r="A402">
        <v>1.9749999999999901</v>
      </c>
      <c r="B402">
        <f t="shared" si="145"/>
        <v>0.16299253886650714</v>
      </c>
      <c r="C402" t="b">
        <f t="shared" si="158"/>
        <v>1</v>
      </c>
      <c r="D402" t="b">
        <f t="shared" si="146"/>
        <v>1</v>
      </c>
      <c r="E402">
        <f t="shared" si="154"/>
        <v>1.9749999999999901</v>
      </c>
      <c r="F402">
        <f t="shared" si="159"/>
        <v>0.16299253886650714</v>
      </c>
      <c r="G402">
        <f t="shared" si="147"/>
        <v>0.2145252425473777</v>
      </c>
      <c r="H402">
        <f t="shared" si="148"/>
        <v>3.4997130333271981E-2</v>
      </c>
      <c r="I402" t="b">
        <f t="shared" si="160"/>
        <v>1</v>
      </c>
      <c r="J402">
        <f t="shared" si="149"/>
        <v>1.9749999999999901</v>
      </c>
      <c r="K402">
        <f t="shared" si="161"/>
        <v>3.4997130333271981E-2</v>
      </c>
      <c r="L402">
        <f t="shared" si="150"/>
        <v>0.16317535971048633</v>
      </c>
      <c r="M402">
        <f t="shared" si="151"/>
        <v>0.18999426066654396</v>
      </c>
      <c r="N402">
        <f t="shared" si="152"/>
        <v>0.1878206788523375</v>
      </c>
      <c r="O402">
        <f t="shared" si="153"/>
        <v>0.1577777201647845</v>
      </c>
      <c r="P402">
        <f t="shared" si="166"/>
        <v>0.08</v>
      </c>
      <c r="Q402">
        <f t="shared" si="162"/>
        <v>0.08</v>
      </c>
      <c r="R402">
        <f t="shared" si="155"/>
        <v>0.08</v>
      </c>
      <c r="S402">
        <f t="shared" si="156"/>
        <v>0.06</v>
      </c>
      <c r="T402">
        <f t="shared" si="157"/>
        <v>0.1</v>
      </c>
      <c r="U402">
        <f t="shared" si="163"/>
        <v>0.08</v>
      </c>
      <c r="V402">
        <f t="shared" si="144"/>
        <v>0.1878206788523375</v>
      </c>
      <c r="W402">
        <f t="shared" si="164"/>
        <v>0.16303749283143756</v>
      </c>
      <c r="X402">
        <f t="shared" si="165"/>
        <v>0.21461665851078088</v>
      </c>
      <c r="Y402" t="b">
        <f t="shared" si="167"/>
        <v>0</v>
      </c>
    </row>
    <row xmlns:x14ac="http://schemas.microsoft.com/office/spreadsheetml/2009/9/ac" r="403" x14ac:dyDescent="0.45">
      <c r="A403">
        <v>1.97999999999999</v>
      </c>
      <c r="B403">
        <f t="shared" si="145"/>
        <v>0.16299290415438167</v>
      </c>
      <c r="C403" t="b">
        <f t="shared" si="158"/>
        <v>1</v>
      </c>
      <c r="D403" t="b">
        <f t="shared" si="146"/>
        <v>1</v>
      </c>
      <c r="E403">
        <f t="shared" si="154"/>
        <v>1.97999999999999</v>
      </c>
      <c r="F403">
        <f t="shared" si="159"/>
        <v>0.16299290415438167</v>
      </c>
      <c r="G403">
        <f t="shared" si="147"/>
        <v>0.21450267280601454</v>
      </c>
      <c r="H403">
        <f t="shared" si="148"/>
        <v>3.4997270828608332E-2</v>
      </c>
      <c r="I403" t="b">
        <f t="shared" si="160"/>
        <v>1</v>
      </c>
      <c r="J403">
        <f t="shared" si="149"/>
        <v>1.97999999999999</v>
      </c>
      <c r="K403">
        <f t="shared" si="161"/>
        <v>3.4997270828608332E-2</v>
      </c>
      <c r="L403">
        <f t="shared" si="150"/>
        <v>0.16320939774593274</v>
      </c>
      <c r="M403">
        <f t="shared" si="151"/>
        <v>0.18999454165721669</v>
      </c>
      <c r="N403">
        <f t="shared" si="152"/>
        <v>0.18782964400392699</v>
      </c>
      <c r="O403">
        <f t="shared" si="153"/>
        <v>0.15777772312898045</v>
      </c>
      <c r="P403">
        <f t="shared" si="166"/>
        <v>0.08</v>
      </c>
      <c r="Q403">
        <f t="shared" si="162"/>
        <v>0.08</v>
      </c>
      <c r="R403">
        <f t="shared" si="155"/>
        <v>0.08</v>
      </c>
      <c r="S403">
        <f t="shared" si="156"/>
        <v>0.06</v>
      </c>
      <c r="T403">
        <f t="shared" si="157"/>
        <v>0.1</v>
      </c>
      <c r="U403">
        <f t="shared" si="163"/>
        <v>0.08</v>
      </c>
      <c r="V403">
        <f t="shared" si="144"/>
        <v>0.18782964400392699</v>
      </c>
      <c r="W403">
        <f t="shared" si="164"/>
        <v>0.16307221848081188</v>
      </c>
      <c r="X403">
        <f t="shared" si="165"/>
        <v>0.21459363283039806</v>
      </c>
      <c r="Y403" t="b">
        <f t="shared" si="167"/>
        <v>0</v>
      </c>
    </row>
    <row xmlns:x14ac="http://schemas.microsoft.com/office/spreadsheetml/2009/9/ac" r="404" x14ac:dyDescent="0.45">
      <c r="A404">
        <v>1.9849999999999901</v>
      </c>
      <c r="B404">
        <f t="shared" si="145"/>
        <v>0.16299328557104437</v>
      </c>
      <c r="C404" t="b">
        <f t="shared" si="158"/>
        <v>1</v>
      </c>
      <c r="D404" t="b">
        <f t="shared" si="146"/>
        <v>1</v>
      </c>
      <c r="E404">
        <f t="shared" si="154"/>
        <v>1.9849999999999901</v>
      </c>
      <c r="F404">
        <f t="shared" si="159"/>
        <v>0.16299328557104437</v>
      </c>
      <c r="G404">
        <f t="shared" si="147"/>
        <v>0.21448021563170599</v>
      </c>
      <c r="H404">
        <f t="shared" si="148"/>
        <v>3.4997417527324756E-2</v>
      </c>
      <c r="I404" t="b">
        <f t="shared" si="160"/>
        <v>1</v>
      </c>
      <c r="J404">
        <f t="shared" si="149"/>
        <v>1.9849999999999901</v>
      </c>
      <c r="K404">
        <f t="shared" si="161"/>
        <v>3.4997417527324756E-2</v>
      </c>
      <c r="L404">
        <f t="shared" si="150"/>
        <v>0.16324326601596911</v>
      </c>
      <c r="M404">
        <f t="shared" si="151"/>
        <v>0.18999483505464954</v>
      </c>
      <c r="N404">
        <f t="shared" si="152"/>
        <v>0.18783908723611803</v>
      </c>
      <c r="O404">
        <f t="shared" si="153"/>
        <v>0.15777772618119595</v>
      </c>
      <c r="P404">
        <f t="shared" si="166"/>
        <v>0.08</v>
      </c>
      <c r="Q404">
        <f t="shared" si="162"/>
        <v>0.08</v>
      </c>
      <c r="R404">
        <f t="shared" si="155"/>
        <v>0.08</v>
      </c>
      <c r="S404">
        <f t="shared" si="156"/>
        <v>0.06</v>
      </c>
      <c r="T404">
        <f t="shared" si="157"/>
        <v>0.1</v>
      </c>
      <c r="U404">
        <f t="shared" si="163"/>
        <v>0.08</v>
      </c>
      <c r="V404">
        <f t="shared" si="144"/>
        <v>0.18783908723611803</v>
      </c>
      <c r="W404">
        <f t="shared" si="164"/>
        <v>0.16310677093528736</v>
      </c>
      <c r="X404">
        <f t="shared" si="165"/>
        <v>0.21457072199107524</v>
      </c>
      <c r="Y404" t="b">
        <f t="shared" si="167"/>
        <v>0</v>
      </c>
    </row>
    <row xmlns:x14ac="http://schemas.microsoft.com/office/spreadsheetml/2009/9/ac" r="405" x14ac:dyDescent="0.45">
      <c r="A405">
        <v>1.98999999999999</v>
      </c>
      <c r="B405">
        <f t="shared" si="145"/>
        <v>0.16299368050531868</v>
      </c>
      <c r="C405" t="b">
        <f t="shared" si="158"/>
        <v>1</v>
      </c>
      <c r="D405" t="b">
        <f t="shared" si="146"/>
        <v>1</v>
      </c>
      <c r="E405">
        <f t="shared" si="154"/>
        <v>1.98999999999999</v>
      </c>
      <c r="F405">
        <f t="shared" si="159"/>
        <v>0.16299368050531868</v>
      </c>
      <c r="G405">
        <f t="shared" si="147"/>
        <v>0.21445787046302156</v>
      </c>
      <c r="H405">
        <f t="shared" si="148"/>
        <v>3.4997569425122568E-2</v>
      </c>
      <c r="I405" t="b">
        <f t="shared" si="160"/>
        <v>1</v>
      </c>
      <c r="J405">
        <f t="shared" si="149"/>
        <v>1.98999999999999</v>
      </c>
      <c r="K405">
        <f t="shared" si="161"/>
        <v>3.4997569425122568E-2</v>
      </c>
      <c r="L405">
        <f t="shared" si="150"/>
        <v>0.16327696536730396</v>
      </c>
      <c r="M405">
        <f t="shared" si="151"/>
        <v>0.18999513885024516</v>
      </c>
      <c r="N405">
        <f t="shared" si="152"/>
        <v>0.18784895134044105</v>
      </c>
      <c r="O405">
        <f t="shared" si="153"/>
        <v>0.15777772929889944</v>
      </c>
      <c r="P405">
        <f t="shared" si="166"/>
        <v>0.08</v>
      </c>
      <c r="Q405">
        <f t="shared" si="162"/>
        <v>0.08</v>
      </c>
      <c r="R405">
        <f t="shared" si="155"/>
        <v>0.08</v>
      </c>
      <c r="S405">
        <f t="shared" si="156"/>
        <v>0.06</v>
      </c>
      <c r="T405">
        <f t="shared" si="157"/>
        <v>0.1</v>
      </c>
      <c r="U405">
        <f t="shared" si="163"/>
        <v>0.08</v>
      </c>
      <c r="V405">
        <f t="shared" ref="V405:V468" si="168">MAX(IF(Y405,MAX(H405,$AB$6+$AF$13),MAX(T405,$AB$6+$AF$13)),O405,N405)</f>
        <v>0.18784895134044105</v>
      </c>
      <c r="W405">
        <f t="shared" si="164"/>
        <v>0.16314115105867721</v>
      </c>
      <c r="X405">
        <f t="shared" si="165"/>
        <v>0.21454792542004031</v>
      </c>
      <c r="Y405" t="b">
        <f t="shared" si="167"/>
        <v>0</v>
      </c>
    </row>
    <row xmlns:x14ac="http://schemas.microsoft.com/office/spreadsheetml/2009/9/ac" r="406" x14ac:dyDescent="0.45">
      <c r="A406">
        <v>1.9949999999999899</v>
      </c>
      <c r="B406">
        <f t="shared" si="145"/>
        <v>0.16299408640871302</v>
      </c>
      <c r="C406" t="b">
        <f t="shared" si="158"/>
        <v>1</v>
      </c>
      <c r="D406" t="b">
        <f t="shared" si="146"/>
        <v>1</v>
      </c>
      <c r="E406">
        <f t="shared" si="154"/>
        <v>1.9949999999999899</v>
      </c>
      <c r="F406">
        <f t="shared" si="159"/>
        <v>0.16299408640871302</v>
      </c>
      <c r="G406">
        <f t="shared" si="147"/>
        <v>0.21443563674133093</v>
      </c>
      <c r="H406">
        <f t="shared" si="148"/>
        <v>3.4997725541812699E-2</v>
      </c>
      <c r="I406" t="b">
        <f t="shared" si="160"/>
        <v>1</v>
      </c>
      <c r="J406">
        <f t="shared" si="149"/>
        <v>1.9949999999999899</v>
      </c>
      <c r="K406">
        <f t="shared" si="161"/>
        <v>3.4997725541812699E-2</v>
      </c>
      <c r="L406">
        <f t="shared" si="150"/>
        <v>0.16331049664242286</v>
      </c>
      <c r="M406">
        <f t="shared" si="151"/>
        <v>0.18999545108362539</v>
      </c>
      <c r="N406">
        <f t="shared" si="152"/>
        <v>0.18785917903145533</v>
      </c>
      <c r="O406">
        <f t="shared" si="153"/>
        <v>0.15777773246077226</v>
      </c>
      <c r="P406">
        <f t="shared" si="166"/>
        <v>0.08</v>
      </c>
      <c r="Q406">
        <f t="shared" si="162"/>
        <v>0.08</v>
      </c>
      <c r="R406">
        <f t="shared" si="155"/>
        <v>0.08</v>
      </c>
      <c r="S406">
        <f t="shared" si="156"/>
        <v>0.06</v>
      </c>
      <c r="T406">
        <f t="shared" si="157"/>
        <v>0.1</v>
      </c>
      <c r="U406">
        <f t="shared" si="163"/>
        <v>0.08</v>
      </c>
      <c r="V406">
        <f t="shared" si="168"/>
        <v>0.18785917903145533</v>
      </c>
      <c r="W406">
        <f t="shared" si="164"/>
        <v>0.16317535971048633</v>
      </c>
      <c r="X406">
        <f t="shared" si="165"/>
        <v>0.2145252425473777</v>
      </c>
      <c r="Y406" t="b">
        <f t="shared" si="167"/>
        <v>0</v>
      </c>
    </row>
    <row xmlns:x14ac="http://schemas.microsoft.com/office/spreadsheetml/2009/9/ac" r="407" x14ac:dyDescent="0.45">
      <c r="A407">
        <v>1.99999999999998</v>
      </c>
      <c r="B407">
        <f t="shared" si="145"/>
        <v>0.1629945008045546</v>
      </c>
      <c r="C407" t="b">
        <f t="shared" si="158"/>
        <v>1</v>
      </c>
      <c r="D407" t="b">
        <f t="shared" si="146"/>
        <v>1</v>
      </c>
      <c r="E407">
        <f t="shared" si="154"/>
        <v>1.99999999999998</v>
      </c>
      <c r="F407">
        <f t="shared" si="159"/>
        <v>0.1629945008045546</v>
      </c>
      <c r="G407">
        <f t="shared" si="147"/>
        <v>0.21441351391078989</v>
      </c>
      <c r="H407">
        <f t="shared" si="148"/>
        <v>3.4997884924828693E-2</v>
      </c>
      <c r="I407" t="b">
        <f t="shared" si="160"/>
        <v>1</v>
      </c>
      <c r="J407">
        <f t="shared" si="149"/>
        <v>1.99999999999998</v>
      </c>
      <c r="K407">
        <f t="shared" si="161"/>
        <v>3.4997884924828693E-2</v>
      </c>
      <c r="L407">
        <f t="shared" si="150"/>
        <v>0.16334386067960932</v>
      </c>
      <c r="M407">
        <f t="shared" si="151"/>
        <v>0.18999576984965738</v>
      </c>
      <c r="N407">
        <f t="shared" si="152"/>
        <v>0.18786971320488016</v>
      </c>
      <c r="O407">
        <f t="shared" si="153"/>
        <v>0.15777773564673925</v>
      </c>
      <c r="P407">
        <f t="shared" si="166"/>
        <v>0.08</v>
      </c>
      <c r="Q407">
        <f t="shared" si="162"/>
        <v>0.08</v>
      </c>
      <c r="R407">
        <f t="shared" si="155"/>
        <v>0.08</v>
      </c>
      <c r="S407">
        <f t="shared" si="156"/>
        <v>0.06</v>
      </c>
      <c r="T407">
        <f t="shared" si="157"/>
        <v>0.1</v>
      </c>
      <c r="U407">
        <f t="shared" si="163"/>
        <v>0.08</v>
      </c>
      <c r="V407">
        <f t="shared" si="168"/>
        <v>0.18786971320488016</v>
      </c>
      <c r="W407">
        <f t="shared" si="164"/>
        <v>0.16320939774593274</v>
      </c>
      <c r="X407">
        <f t="shared" si="165"/>
        <v>0.21450267280601454</v>
      </c>
      <c r="Y407" t="b">
        <f t="shared" si="167"/>
        <v>0</v>
      </c>
    </row>
    <row xmlns:x14ac="http://schemas.microsoft.com/office/spreadsheetml/2009/9/ac" r="408" x14ac:dyDescent="0.45">
      <c r="A408">
        <v>2.0049999999999799</v>
      </c>
      <c r="B408">
        <f t="shared" si="145"/>
        <v>0.16299492129633458</v>
      </c>
      <c r="C408" t="b">
        <f t="shared" si="158"/>
        <v>1</v>
      </c>
      <c r="D408" t="b">
        <f t="shared" si="146"/>
        <v>1</v>
      </c>
      <c r="E408">
        <f t="shared" si="154"/>
        <v>2.0049999999999799</v>
      </c>
      <c r="F408">
        <f t="shared" si="159"/>
        <v>0.16299492129633458</v>
      </c>
      <c r="G408">
        <f t="shared" si="147"/>
        <v>0.21439150141832641</v>
      </c>
      <c r="H408">
        <f t="shared" si="148"/>
        <v>3.4998046652436374E-2</v>
      </c>
      <c r="I408" t="b">
        <f t="shared" si="160"/>
        <v>1</v>
      </c>
      <c r="J408">
        <f t="shared" si="149"/>
        <v>2.0049999999999799</v>
      </c>
      <c r="K408">
        <f t="shared" si="161"/>
        <v>3.4998046652436374E-2</v>
      </c>
      <c r="L408">
        <f t="shared" si="150"/>
        <v>0.16337705831296617</v>
      </c>
      <c r="M408">
        <f t="shared" si="151"/>
        <v>0.18999609330487277</v>
      </c>
      <c r="N408">
        <f t="shared" si="152"/>
        <v>0.1878804971867879</v>
      </c>
      <c r="O408">
        <f t="shared" si="153"/>
        <v>0.15777773883799029</v>
      </c>
      <c r="P408">
        <f t="shared" si="166"/>
        <v>0.08</v>
      </c>
      <c r="Q408">
        <f t="shared" si="162"/>
        <v>0.08</v>
      </c>
      <c r="R408">
        <f t="shared" si="155"/>
        <v>0.08</v>
      </c>
      <c r="S408">
        <f t="shared" si="156"/>
        <v>0.06</v>
      </c>
      <c r="T408">
        <f t="shared" si="157"/>
        <v>0.1</v>
      </c>
      <c r="U408">
        <f t="shared" si="163"/>
        <v>0.08</v>
      </c>
      <c r="V408">
        <f t="shared" si="168"/>
        <v>0.1878804971867879</v>
      </c>
      <c r="W408">
        <f t="shared" si="164"/>
        <v>0.16324326601596911</v>
      </c>
      <c r="X408">
        <f t="shared" si="165"/>
        <v>0.21448021563170599</v>
      </c>
      <c r="Y408" t="b">
        <f t="shared" si="167"/>
        <v>0</v>
      </c>
    </row>
    <row xmlns:x14ac="http://schemas.microsoft.com/office/spreadsheetml/2009/9/ac" r="409" x14ac:dyDescent="0.45">
      <c r="A409">
        <v>2.00999999999999</v>
      </c>
      <c r="B409">
        <f t="shared" si="145"/>
        <v>0.1629953455752623</v>
      </c>
      <c r="C409" t="b">
        <f t="shared" si="158"/>
        <v>1</v>
      </c>
      <c r="D409" t="b">
        <f t="shared" si="146"/>
        <v>1</v>
      </c>
      <c r="E409">
        <f t="shared" si="154"/>
        <v>2.00999999999999</v>
      </c>
      <c r="F409">
        <f t="shared" si="159"/>
        <v>0.1629953455752623</v>
      </c>
      <c r="G409">
        <f t="shared" si="147"/>
        <v>0.2143695987136271</v>
      </c>
      <c r="H409">
        <f t="shared" si="148"/>
        <v>3.4998209836639343E-2</v>
      </c>
      <c r="I409" t="b">
        <f t="shared" si="160"/>
        <v>1</v>
      </c>
      <c r="J409">
        <f t="shared" si="149"/>
        <v>2.00999999999999</v>
      </c>
      <c r="K409">
        <f t="shared" si="161"/>
        <v>3.4998209836639343E-2</v>
      </c>
      <c r="L409">
        <f t="shared" si="150"/>
        <v>0.16341009037243598</v>
      </c>
      <c r="M409">
        <f t="shared" si="151"/>
        <v>0.18999641967327868</v>
      </c>
      <c r="N409">
        <f t="shared" si="152"/>
        <v>0.18789147497302797</v>
      </c>
      <c r="O409">
        <f t="shared" si="153"/>
        <v>0.15777774201699352</v>
      </c>
      <c r="P409">
        <f t="shared" si="166"/>
        <v>0.08</v>
      </c>
      <c r="Q409">
        <f t="shared" si="162"/>
        <v>0.08</v>
      </c>
      <c r="R409">
        <f t="shared" si="155"/>
        <v>0.08</v>
      </c>
      <c r="S409">
        <f t="shared" si="156"/>
        <v>0.06</v>
      </c>
      <c r="T409">
        <f t="shared" si="157"/>
        <v>0.1</v>
      </c>
      <c r="U409">
        <f t="shared" si="163"/>
        <v>0.08</v>
      </c>
      <c r="V409">
        <f t="shared" si="168"/>
        <v>0.18789147497302797</v>
      </c>
      <c r="W409">
        <f t="shared" si="164"/>
        <v>0.16327696536730396</v>
      </c>
      <c r="X409">
        <f t="shared" si="165"/>
        <v>0.21445787046302156</v>
      </c>
      <c r="Y409" t="b">
        <f t="shared" si="167"/>
        <v>0</v>
      </c>
    </row>
    <row xmlns:x14ac="http://schemas.microsoft.com/office/spreadsheetml/2009/9/ac" r="410" x14ac:dyDescent="0.45">
      <c r="A410">
        <v>2.0149999999999899</v>
      </c>
      <c r="B410">
        <f t="shared" si="145"/>
        <v>0.1629957714270317</v>
      </c>
      <c r="C410" t="b">
        <f t="shared" si="158"/>
        <v>1</v>
      </c>
      <c r="D410" t="b">
        <f t="shared" si="146"/>
        <v>1</v>
      </c>
      <c r="E410">
        <f t="shared" si="154"/>
        <v>2.0149999999999899</v>
      </c>
      <c r="F410">
        <f t="shared" si="159"/>
        <v>0.1629957714270317</v>
      </c>
      <c r="G410">
        <f t="shared" si="147"/>
        <v>0.21434780524912328</v>
      </c>
      <c r="H410">
        <f t="shared" si="148"/>
        <v>3.4998373625781426E-2</v>
      </c>
      <c r="I410" t="b">
        <f t="shared" si="160"/>
        <v>1</v>
      </c>
      <c r="J410">
        <f t="shared" si="149"/>
        <v>2.0149999999999899</v>
      </c>
      <c r="K410">
        <f t="shared" si="161"/>
        <v>3.4998373625781426E-2</v>
      </c>
      <c r="L410">
        <f t="shared" si="150"/>
        <v>0.1634429576838218</v>
      </c>
      <c r="M410">
        <f t="shared" si="151"/>
        <v>0.18999674725156285</v>
      </c>
      <c r="N410">
        <f t="shared" si="152"/>
        <v>0.18790259145812077</v>
      </c>
      <c r="O410">
        <f t="shared" si="153"/>
        <v>0.15777774516750079</v>
      </c>
      <c r="P410">
        <f t="shared" si="166"/>
        <v>0.08</v>
      </c>
      <c r="Q410">
        <f t="shared" si="162"/>
        <v>0.08</v>
      </c>
      <c r="R410">
        <f t="shared" si="155"/>
        <v>0.08</v>
      </c>
      <c r="S410">
        <f t="shared" si="156"/>
        <v>0.06</v>
      </c>
      <c r="T410">
        <f t="shared" si="157"/>
        <v>0.1</v>
      </c>
      <c r="U410">
        <f t="shared" si="163"/>
        <v>0.08</v>
      </c>
      <c r="V410">
        <f t="shared" si="168"/>
        <v>0.18790259145812077</v>
      </c>
      <c r="W410">
        <f t="shared" si="164"/>
        <v>0.16331049664242286</v>
      </c>
      <c r="X410">
        <f t="shared" si="165"/>
        <v>0.21443563674133093</v>
      </c>
      <c r="Y410" t="b">
        <f t="shared" si="167"/>
        <v>0</v>
      </c>
    </row>
    <row xmlns:x14ac="http://schemas.microsoft.com/office/spreadsheetml/2009/9/ac" r="411" x14ac:dyDescent="0.45">
      <c r="A411">
        <v>2.01999999999998</v>
      </c>
      <c r="B411">
        <f t="shared" si="145"/>
        <v>0.16299619673780583</v>
      </c>
      <c r="C411" t="b">
        <f t="shared" si="158"/>
        <v>1</v>
      </c>
      <c r="D411" t="b">
        <f t="shared" si="146"/>
        <v>1</v>
      </c>
      <c r="E411">
        <f t="shared" si="154"/>
        <v>2.01999999999998</v>
      </c>
      <c r="F411">
        <f t="shared" si="159"/>
        <v>0.16299619673780583</v>
      </c>
      <c r="G411">
        <f t="shared" si="147"/>
        <v>0.21432612047997718</v>
      </c>
      <c r="H411">
        <f t="shared" si="148"/>
        <v>3.4998537206848396E-2</v>
      </c>
      <c r="I411" t="b">
        <f t="shared" si="160"/>
        <v>1</v>
      </c>
      <c r="J411">
        <f t="shared" si="149"/>
        <v>2.01999999999998</v>
      </c>
      <c r="K411">
        <f t="shared" si="161"/>
        <v>3.4998537206848396E-2</v>
      </c>
      <c r="L411">
        <f t="shared" si="150"/>
        <v>0.16347566106880815</v>
      </c>
      <c r="M411">
        <f t="shared" si="151"/>
        <v>0.18999707441369679</v>
      </c>
      <c r="N411">
        <f t="shared" si="152"/>
        <v>0.18791379265293184</v>
      </c>
      <c r="O411">
        <f t="shared" si="153"/>
        <v>0.1577777482745461</v>
      </c>
      <c r="P411">
        <f t="shared" si="166"/>
        <v>0.08</v>
      </c>
      <c r="Q411">
        <f t="shared" si="162"/>
        <v>0.08</v>
      </c>
      <c r="R411">
        <f t="shared" si="155"/>
        <v>0.08</v>
      </c>
      <c r="S411">
        <f t="shared" si="156"/>
        <v>0.06</v>
      </c>
      <c r="T411">
        <f t="shared" si="157"/>
        <v>0.1</v>
      </c>
      <c r="U411">
        <f t="shared" si="163"/>
        <v>0.08</v>
      </c>
      <c r="V411">
        <f t="shared" si="168"/>
        <v>0.18791379265293184</v>
      </c>
      <c r="W411">
        <f t="shared" si="164"/>
        <v>0.16334386067960932</v>
      </c>
      <c r="X411">
        <f t="shared" si="165"/>
        <v>0.21441351391078989</v>
      </c>
      <c r="Y411" t="b">
        <f t="shared" si="167"/>
        <v>0</v>
      </c>
    </row>
    <row xmlns:x14ac="http://schemas.microsoft.com/office/spreadsheetml/2009/9/ac" r="412" x14ac:dyDescent="0.45">
      <c r="A412">
        <v>2.0249999999999901</v>
      </c>
      <c r="B412">
        <f t="shared" si="145"/>
        <v>0.16299661949942862</v>
      </c>
      <c r="C412" t="b">
        <f t="shared" si="158"/>
        <v>1</v>
      </c>
      <c r="D412" t="b">
        <f t="shared" si="146"/>
        <v>1</v>
      </c>
      <c r="E412">
        <f t="shared" si="154"/>
        <v>2.0249999999999901</v>
      </c>
      <c r="F412">
        <f t="shared" si="159"/>
        <v>0.16299661949942862</v>
      </c>
      <c r="G412">
        <f t="shared" si="147"/>
        <v>0.21430454386406828</v>
      </c>
      <c r="H412">
        <f t="shared" si="148"/>
        <v>3.4998699807472555E-2</v>
      </c>
      <c r="I412" t="b">
        <f t="shared" si="160"/>
        <v>1</v>
      </c>
      <c r="J412">
        <f t="shared" si="149"/>
        <v>2.0249999999999901</v>
      </c>
      <c r="K412">
        <f t="shared" si="161"/>
        <v>3.4998699807472555E-2</v>
      </c>
      <c r="L412">
        <f t="shared" si="150"/>
        <v>0.16350820134498151</v>
      </c>
      <c r="M412">
        <f t="shared" si="151"/>
        <v>0.18999739961494511</v>
      </c>
      <c r="N412">
        <f t="shared" si="152"/>
        <v>0.18792502589050764</v>
      </c>
      <c r="O412">
        <f t="shared" si="153"/>
        <v>0.15777775132443689</v>
      </c>
      <c r="P412">
        <f t="shared" si="166"/>
        <v>0.08</v>
      </c>
      <c r="Q412">
        <f t="shared" si="162"/>
        <v>0.08</v>
      </c>
      <c r="R412">
        <f t="shared" si="155"/>
        <v>0.08</v>
      </c>
      <c r="S412">
        <f t="shared" si="156"/>
        <v>0.06</v>
      </c>
      <c r="T412">
        <f t="shared" si="157"/>
        <v>0.1</v>
      </c>
      <c r="U412">
        <f t="shared" si="163"/>
        <v>0.08</v>
      </c>
      <c r="V412">
        <f t="shared" si="168"/>
        <v>0.18792502589050764</v>
      </c>
      <c r="W412">
        <f t="shared" si="164"/>
        <v>0.16337705831296617</v>
      </c>
      <c r="X412">
        <f t="shared" si="165"/>
        <v>0.21439150141832641</v>
      </c>
      <c r="Y412" t="b">
        <f t="shared" si="167"/>
        <v>0</v>
      </c>
    </row>
    <row xmlns:x14ac="http://schemas.microsoft.com/office/spreadsheetml/2009/9/ac" r="413" x14ac:dyDescent="0.45">
      <c r="A413">
        <v>2.02999999999999</v>
      </c>
      <c r="B413">
        <f t="shared" si="145"/>
        <v>0.16299703781387737</v>
      </c>
      <c r="C413" t="b">
        <f t="shared" si="158"/>
        <v>1</v>
      </c>
      <c r="D413" t="b">
        <f t="shared" si="146"/>
        <v>1</v>
      </c>
      <c r="E413">
        <f t="shared" si="154"/>
        <v>2.02999999999999</v>
      </c>
      <c r="F413">
        <f t="shared" si="159"/>
        <v>0.16299703781387737</v>
      </c>
      <c r="G413">
        <f t="shared" si="147"/>
        <v>0.21428307486198023</v>
      </c>
      <c r="H413">
        <f t="shared" si="148"/>
        <v>3.4998860697645143E-2</v>
      </c>
      <c r="I413" t="b">
        <f t="shared" si="160"/>
        <v>1</v>
      </c>
      <c r="J413">
        <f t="shared" si="149"/>
        <v>2.02999999999999</v>
      </c>
      <c r="K413">
        <f t="shared" si="161"/>
        <v>3.4998860697645143E-2</v>
      </c>
      <c r="L413">
        <f t="shared" si="150"/>
        <v>0.16354057932585034</v>
      </c>
      <c r="M413">
        <f t="shared" si="151"/>
        <v>0.18999772139529031</v>
      </c>
      <c r="N413">
        <f t="shared" si="152"/>
        <v>0.1879362400195263</v>
      </c>
      <c r="O413">
        <f t="shared" si="153"/>
        <v>0.15777775430473912</v>
      </c>
      <c r="P413">
        <f t="shared" si="166"/>
        <v>0.08</v>
      </c>
      <c r="Q413">
        <f t="shared" si="162"/>
        <v>0.08</v>
      </c>
      <c r="R413">
        <f t="shared" si="155"/>
        <v>0.08</v>
      </c>
      <c r="S413">
        <f t="shared" si="156"/>
        <v>0.06</v>
      </c>
      <c r="T413">
        <f t="shared" si="157"/>
        <v>0.1</v>
      </c>
      <c r="U413">
        <f t="shared" si="163"/>
        <v>0.08</v>
      </c>
      <c r="V413">
        <f t="shared" si="168"/>
        <v>0.1879362400195263</v>
      </c>
      <c r="W413">
        <f t="shared" si="164"/>
        <v>0.16341009037243598</v>
      </c>
      <c r="X413">
        <f t="shared" si="165"/>
        <v>0.2143695987136271</v>
      </c>
      <c r="Y413" t="b">
        <f t="shared" si="167"/>
        <v>0</v>
      </c>
    </row>
    <row xmlns:x14ac="http://schemas.microsoft.com/office/spreadsheetml/2009/9/ac" r="414" x14ac:dyDescent="0.45">
      <c r="A414">
        <v>2.0349999999999899</v>
      </c>
      <c r="B414">
        <f t="shared" si="145"/>
        <v>0.16299744989697063</v>
      </c>
      <c r="C414" t="b">
        <f t="shared" si="158"/>
        <v>1</v>
      </c>
      <c r="D414" t="b">
        <f t="shared" si="146"/>
        <v>1</v>
      </c>
      <c r="E414">
        <f t="shared" si="154"/>
        <v>2.0349999999999899</v>
      </c>
      <c r="F414">
        <f t="shared" si="159"/>
        <v>0.16299744989697063</v>
      </c>
      <c r="G414">
        <f t="shared" si="147"/>
        <v>0.21426171293698676</v>
      </c>
      <c r="H414">
        <f t="shared" si="148"/>
        <v>3.4999019191142552E-2</v>
      </c>
      <c r="I414" t="b">
        <f t="shared" si="160"/>
        <v>1</v>
      </c>
      <c r="J414">
        <f t="shared" si="149"/>
        <v>2.0349999999999899</v>
      </c>
      <c r="K414">
        <f t="shared" si="161"/>
        <v>3.4999019191142552E-2</v>
      </c>
      <c r="L414">
        <f t="shared" si="150"/>
        <v>0.16357279582086587</v>
      </c>
      <c r="M414">
        <f t="shared" si="151"/>
        <v>0.1899980383822851</v>
      </c>
      <c r="N414">
        <f t="shared" si="152"/>
        <v>0.18794738558489171</v>
      </c>
      <c r="O414">
        <f t="shared" si="153"/>
        <v>0.15777775720425688</v>
      </c>
      <c r="P414">
        <f t="shared" si="166"/>
        <v>0.08</v>
      </c>
      <c r="Q414">
        <f t="shared" si="162"/>
        <v>0.08</v>
      </c>
      <c r="R414">
        <f t="shared" si="155"/>
        <v>0.08</v>
      </c>
      <c r="S414">
        <f t="shared" si="156"/>
        <v>0.06</v>
      </c>
      <c r="T414">
        <f t="shared" si="157"/>
        <v>0.1</v>
      </c>
      <c r="U414">
        <f t="shared" si="163"/>
        <v>0.08</v>
      </c>
      <c r="V414">
        <f t="shared" si="168"/>
        <v>0.18794738558489171</v>
      </c>
      <c r="W414">
        <f t="shared" si="164"/>
        <v>0.1634429576838218</v>
      </c>
      <c r="X414">
        <f t="shared" si="165"/>
        <v>0.21434780524912328</v>
      </c>
      <c r="Y414" t="b">
        <f t="shared" si="167"/>
        <v>0</v>
      </c>
    </row>
    <row xmlns:x14ac="http://schemas.microsoft.com/office/spreadsheetml/2009/9/ac" r="415" x14ac:dyDescent="0.45">
      <c r="A415">
        <v>2.0399999999999801</v>
      </c>
      <c r="B415">
        <f t="shared" si="145"/>
        <v>0.1629978540813512</v>
      </c>
      <c r="C415" t="b">
        <f t="shared" si="158"/>
        <v>1</v>
      </c>
      <c r="D415" t="b">
        <f t="shared" si="146"/>
        <v>1</v>
      </c>
      <c r="E415">
        <f t="shared" si="154"/>
        <v>2.0399999999999801</v>
      </c>
      <c r="F415">
        <f t="shared" si="159"/>
        <v>0.1629978540813512</v>
      </c>
      <c r="G415">
        <f t="shared" si="147"/>
        <v>0.21424045755503879</v>
      </c>
      <c r="H415">
        <f t="shared" si="148"/>
        <v>3.4999174646673542E-2</v>
      </c>
      <c r="I415" t="b">
        <f t="shared" si="160"/>
        <v>1</v>
      </c>
      <c r="J415">
        <f t="shared" si="149"/>
        <v>2.0399999999999801</v>
      </c>
      <c r="K415">
        <f t="shared" si="161"/>
        <v>3.4999174646673542E-2</v>
      </c>
      <c r="L415">
        <f t="shared" si="150"/>
        <v>0.16360485163544214</v>
      </c>
      <c r="M415">
        <f t="shared" si="151"/>
        <v>0.18999834929334708</v>
      </c>
      <c r="N415">
        <f t="shared" si="152"/>
        <v>0.18795841499506746</v>
      </c>
      <c r="O415">
        <f t="shared" si="153"/>
        <v>0.15777776001300658</v>
      </c>
      <c r="P415">
        <f t="shared" si="166"/>
        <v>0.08</v>
      </c>
      <c r="Q415">
        <f t="shared" si="162"/>
        <v>0.08</v>
      </c>
      <c r="R415">
        <f t="shared" si="155"/>
        <v>0.08</v>
      </c>
      <c r="S415">
        <f t="shared" si="156"/>
        <v>0.06</v>
      </c>
      <c r="T415">
        <f t="shared" si="157"/>
        <v>0.1</v>
      </c>
      <c r="U415">
        <f t="shared" si="163"/>
        <v>0.08</v>
      </c>
      <c r="V415">
        <f t="shared" si="168"/>
        <v>0.18795841499506746</v>
      </c>
      <c r="W415">
        <f t="shared" si="164"/>
        <v>0.16347566106880815</v>
      </c>
      <c r="X415">
        <f t="shared" si="165"/>
        <v>0.21432612047997718</v>
      </c>
      <c r="Y415" t="b">
        <f t="shared" si="167"/>
        <v>0</v>
      </c>
    </row>
    <row xmlns:x14ac="http://schemas.microsoft.com/office/spreadsheetml/2009/9/ac" r="416" x14ac:dyDescent="0.45">
      <c r="A416">
        <v>2.0449999999999799</v>
      </c>
      <c r="B416">
        <f t="shared" si="145"/>
        <v>0.16299824881876462</v>
      </c>
      <c r="C416" t="b">
        <f t="shared" si="158"/>
        <v>1</v>
      </c>
      <c r="D416" t="b">
        <f t="shared" si="146"/>
        <v>1</v>
      </c>
      <c r="E416">
        <f t="shared" si="154"/>
        <v>2.0449999999999799</v>
      </c>
      <c r="F416">
        <f t="shared" si="159"/>
        <v>0.16299824881876462</v>
      </c>
      <c r="G416">
        <f t="shared" si="147"/>
        <v>0.21421930818475049</v>
      </c>
      <c r="H416">
        <f t="shared" si="148"/>
        <v>3.4999326468755629E-2</v>
      </c>
      <c r="I416" t="b">
        <f t="shared" si="160"/>
        <v>1</v>
      </c>
      <c r="J416">
        <f t="shared" si="149"/>
        <v>2.0449999999999799</v>
      </c>
      <c r="K416">
        <f t="shared" si="161"/>
        <v>3.4999326468755629E-2</v>
      </c>
      <c r="L416">
        <f t="shared" si="150"/>
        <v>0.16363674757097624</v>
      </c>
      <c r="M416">
        <f t="shared" si="151"/>
        <v>0.18999865293751125</v>
      </c>
      <c r="N416">
        <f t="shared" si="152"/>
        <v>0.18796928267582336</v>
      </c>
      <c r="O416">
        <f t="shared" si="153"/>
        <v>0.15777776272218635</v>
      </c>
      <c r="P416">
        <f t="shared" si="166"/>
        <v>0.08</v>
      </c>
      <c r="Q416">
        <f t="shared" si="162"/>
        <v>0.08</v>
      </c>
      <c r="R416">
        <f t="shared" si="155"/>
        <v>0.08</v>
      </c>
      <c r="S416">
        <f t="shared" si="156"/>
        <v>0.06</v>
      </c>
      <c r="T416">
        <f t="shared" si="157"/>
        <v>0.1</v>
      </c>
      <c r="U416">
        <f t="shared" si="163"/>
        <v>0.08</v>
      </c>
      <c r="V416">
        <f t="shared" si="168"/>
        <v>0.18796928267582336</v>
      </c>
      <c r="W416">
        <f t="shared" si="164"/>
        <v>0.16350820134498151</v>
      </c>
      <c r="X416">
        <f t="shared" si="165"/>
        <v>0.21430454386406828</v>
      </c>
      <c r="Y416" t="b">
        <f t="shared" si="167"/>
        <v>0</v>
      </c>
    </row>
    <row xmlns:x14ac="http://schemas.microsoft.com/office/spreadsheetml/2009/9/ac" r="417" x14ac:dyDescent="0.45">
      <c r="A417">
        <v>2.0499999999999798</v>
      </c>
      <c r="B417">
        <f t="shared" si="145"/>
        <v>0.16299863268165674</v>
      </c>
      <c r="C417" t="b">
        <f t="shared" si="158"/>
        <v>1</v>
      </c>
      <c r="D417" t="b">
        <f t="shared" si="146"/>
        <v>1</v>
      </c>
      <c r="E417">
        <f t="shared" si="154"/>
        <v>2.0499999999999798</v>
      </c>
      <c r="F417">
        <f t="shared" si="159"/>
        <v>0.16299863268165674</v>
      </c>
      <c r="G417">
        <f t="shared" si="147"/>
        <v>0.21419826429738659</v>
      </c>
      <c r="H417">
        <f t="shared" si="148"/>
        <v>3.4999474108329515E-2</v>
      </c>
      <c r="I417" t="b">
        <f t="shared" si="160"/>
        <v>1</v>
      </c>
      <c r="J417">
        <f t="shared" si="149"/>
        <v>2.0499999999999798</v>
      </c>
      <c r="K417">
        <f t="shared" si="161"/>
        <v>3.4999474108329515E-2</v>
      </c>
      <c r="L417">
        <f t="shared" si="150"/>
        <v>0.1636684844248682</v>
      </c>
      <c r="M417">
        <f t="shared" si="151"/>
        <v>0.18999894821665902</v>
      </c>
      <c r="N417">
        <f t="shared" si="152"/>
        <v>0.1879799452101345</v>
      </c>
      <c r="O417">
        <f t="shared" si="153"/>
        <v>0.15777776532414139</v>
      </c>
      <c r="P417">
        <f t="shared" si="166"/>
        <v>0.08</v>
      </c>
      <c r="Q417">
        <f t="shared" si="162"/>
        <v>0.08</v>
      </c>
      <c r="R417">
        <f t="shared" si="155"/>
        <v>0.08</v>
      </c>
      <c r="S417">
        <f t="shared" si="156"/>
        <v>0.06</v>
      </c>
      <c r="T417">
        <f t="shared" si="157"/>
        <v>0.1</v>
      </c>
      <c r="U417">
        <f t="shared" si="163"/>
        <v>0.08</v>
      </c>
      <c r="V417">
        <f t="shared" si="168"/>
        <v>0.1879799452101345</v>
      </c>
      <c r="W417">
        <f t="shared" si="164"/>
        <v>0.16354057932585034</v>
      </c>
      <c r="X417">
        <f t="shared" si="165"/>
        <v>0.21428307486198023</v>
      </c>
      <c r="Y417" t="b">
        <f t="shared" si="167"/>
        <v>0</v>
      </c>
    </row>
    <row xmlns:x14ac="http://schemas.microsoft.com/office/spreadsheetml/2009/9/ac" r="418" x14ac:dyDescent="0.45">
      <c r="A418">
        <v>2.0549999999999802</v>
      </c>
      <c r="B418">
        <f t="shared" si="145"/>
        <v>0.16299900436411596</v>
      </c>
      <c r="C418" t="b">
        <f t="shared" si="158"/>
        <v>1</v>
      </c>
      <c r="D418" t="b">
        <f t="shared" si="146"/>
        <v>1</v>
      </c>
      <c r="E418">
        <f t="shared" si="154"/>
        <v>2.0549999999999802</v>
      </c>
      <c r="F418">
        <f t="shared" si="159"/>
        <v>0.16299900436411596</v>
      </c>
      <c r="G418">
        <f t="shared" si="147"/>
        <v>0.21417732536684875</v>
      </c>
      <c r="H418">
        <f t="shared" si="148"/>
        <v>3.4999617063121519E-2</v>
      </c>
      <c r="I418" t="b">
        <f t="shared" si="160"/>
        <v>1</v>
      </c>
      <c r="J418">
        <f t="shared" si="149"/>
        <v>2.0549999999999802</v>
      </c>
      <c r="K418">
        <f t="shared" si="161"/>
        <v>3.4999617063121519E-2</v>
      </c>
      <c r="L418">
        <f t="shared" si="150"/>
        <v>0.16370006299054105</v>
      </c>
      <c r="M418">
        <f t="shared" si="151"/>
        <v>0.18999923412624303</v>
      </c>
      <c r="N418">
        <f t="shared" si="152"/>
        <v>0.18799036146404571</v>
      </c>
      <c r="O418">
        <f t="shared" si="153"/>
        <v>0.15777776781232533</v>
      </c>
      <c r="P418">
        <f t="shared" si="166"/>
        <v>0.08</v>
      </c>
      <c r="Q418">
        <f t="shared" si="162"/>
        <v>0.08</v>
      </c>
      <c r="R418">
        <f t="shared" si="155"/>
        <v>0.08</v>
      </c>
      <c r="S418">
        <f t="shared" si="156"/>
        <v>0.06</v>
      </c>
      <c r="T418">
        <f t="shared" si="157"/>
        <v>0.1</v>
      </c>
      <c r="U418">
        <f t="shared" si="163"/>
        <v>0.08</v>
      </c>
      <c r="V418">
        <f t="shared" si="168"/>
        <v>0.18799036146404571</v>
      </c>
      <c r="W418">
        <f t="shared" si="164"/>
        <v>0.16357279582086587</v>
      </c>
      <c r="X418">
        <f t="shared" si="165"/>
        <v>0.21426171293698676</v>
      </c>
      <c r="Y418" t="b">
        <f t="shared" si="167"/>
        <v>0</v>
      </c>
    </row>
    <row xmlns:x14ac="http://schemas.microsoft.com/office/spreadsheetml/2009/9/ac" r="419" x14ac:dyDescent="0.45">
      <c r="A419">
        <v>2.0599999999999801</v>
      </c>
      <c r="B419">
        <f t="shared" si="145"/>
        <v>0.16299936268218784</v>
      </c>
      <c r="C419" t="b">
        <f t="shared" si="158"/>
        <v>1</v>
      </c>
      <c r="D419" t="b">
        <f t="shared" si="146"/>
        <v>1</v>
      </c>
      <c r="E419">
        <f t="shared" si="154"/>
        <v>2.0599999999999801</v>
      </c>
      <c r="F419">
        <f t="shared" si="159"/>
        <v>0.16299936268218784</v>
      </c>
      <c r="G419">
        <f t="shared" si="147"/>
        <v>0.21415649086966265</v>
      </c>
      <c r="H419">
        <f t="shared" si="148"/>
        <v>3.499975487776455E-2</v>
      </c>
      <c r="I419" t="b">
        <f t="shared" si="160"/>
        <v>1</v>
      </c>
      <c r="J419">
        <f t="shared" si="149"/>
        <v>2.0599999999999801</v>
      </c>
      <c r="K419">
        <f t="shared" si="161"/>
        <v>3.499975487776455E-2</v>
      </c>
      <c r="L419">
        <f t="shared" si="150"/>
        <v>0.16373148405746052</v>
      </c>
      <c r="M419">
        <f t="shared" si="151"/>
        <v>0.18999950975552909</v>
      </c>
      <c r="N419">
        <f t="shared" si="152"/>
        <v>0.18800049269838087</v>
      </c>
      <c r="O419">
        <f t="shared" si="153"/>
        <v>0.15777777018125858</v>
      </c>
      <c r="P419">
        <f t="shared" si="166"/>
        <v>0.08</v>
      </c>
      <c r="Q419">
        <f t="shared" si="162"/>
        <v>0.08</v>
      </c>
      <c r="R419">
        <f t="shared" si="155"/>
        <v>0.08</v>
      </c>
      <c r="S419">
        <f t="shared" si="156"/>
        <v>0.06</v>
      </c>
      <c r="T419">
        <f t="shared" si="157"/>
        <v>0.1</v>
      </c>
      <c r="U419">
        <f t="shared" si="163"/>
        <v>0.08</v>
      </c>
      <c r="V419">
        <f t="shared" si="168"/>
        <v>0.18800049269838087</v>
      </c>
      <c r="W419">
        <f t="shared" si="164"/>
        <v>0.16360485163544214</v>
      </c>
      <c r="X419">
        <f t="shared" si="165"/>
        <v>0.21424045755503879</v>
      </c>
      <c r="Y419" t="b">
        <f t="shared" si="167"/>
        <v>0</v>
      </c>
    </row>
    <row xmlns:x14ac="http://schemas.microsoft.com/office/spreadsheetml/2009/9/ac" r="420" x14ac:dyDescent="0.45">
      <c r="A420">
        <v>2.06499999999998</v>
      </c>
      <c r="B420">
        <f t="shared" si="145"/>
        <v>0.16299970657359061</v>
      </c>
      <c r="C420" t="b">
        <f t="shared" si="158"/>
        <v>1</v>
      </c>
      <c r="D420" t="b">
        <f t="shared" si="146"/>
        <v>1</v>
      </c>
      <c r="E420">
        <f t="shared" si="154"/>
        <v>2.06499999999998</v>
      </c>
      <c r="F420">
        <f t="shared" si="159"/>
        <v>0.16299970657359061</v>
      </c>
      <c r="G420">
        <f t="shared" si="147"/>
        <v>0.21413576028496478</v>
      </c>
      <c r="H420">
        <f t="shared" si="148"/>
        <v>3.4999887143688707E-2</v>
      </c>
      <c r="I420" t="b">
        <f t="shared" si="160"/>
        <v>1</v>
      </c>
      <c r="J420">
        <f t="shared" si="149"/>
        <v>2.06499999999998</v>
      </c>
      <c r="K420">
        <f t="shared" si="161"/>
        <v>3.4999887143688707E-2</v>
      </c>
      <c r="L420">
        <f t="shared" si="150"/>
        <v>0.16376274841115493</v>
      </c>
      <c r="M420">
        <f t="shared" si="151"/>
        <v>0.18999977428737741</v>
      </c>
      <c r="N420">
        <f t="shared" si="152"/>
        <v>0.18801030266624447</v>
      </c>
      <c r="O420">
        <f t="shared" si="153"/>
        <v>0.15777777242648355</v>
      </c>
      <c r="P420">
        <f t="shared" si="166"/>
        <v>0.08</v>
      </c>
      <c r="Q420">
        <f t="shared" si="162"/>
        <v>0.08</v>
      </c>
      <c r="R420">
        <f t="shared" si="155"/>
        <v>0.08</v>
      </c>
      <c r="S420">
        <f t="shared" si="156"/>
        <v>0.06</v>
      </c>
      <c r="T420">
        <f t="shared" si="157"/>
        <v>0.1</v>
      </c>
      <c r="U420">
        <f t="shared" si="163"/>
        <v>0.08</v>
      </c>
      <c r="V420">
        <f t="shared" si="168"/>
        <v>0.18801030266624447</v>
      </c>
      <c r="W420">
        <f t="shared" si="164"/>
        <v>0.16363674757097624</v>
      </c>
      <c r="X420">
        <f t="shared" si="165"/>
        <v>0.21421930818475049</v>
      </c>
      <c r="Y420" t="b">
        <f t="shared" si="167"/>
        <v>0</v>
      </c>
    </row>
    <row xmlns:x14ac="http://schemas.microsoft.com/office/spreadsheetml/2009/9/ac" r="421" x14ac:dyDescent="0.45">
      <c r="A421">
        <v>2.0699999999999799</v>
      </c>
      <c r="B421">
        <f t="shared" si="145"/>
        <v>0.16300003509686295</v>
      </c>
      <c r="C421" t="b">
        <f t="shared" si="158"/>
        <v>1</v>
      </c>
      <c r="D421" t="b">
        <f t="shared" si="146"/>
        <v>1</v>
      </c>
      <c r="E421">
        <f t="shared" si="154"/>
        <v>2.0699999999999799</v>
      </c>
      <c r="F421">
        <f t="shared" si="159"/>
        <v>0.16300003509686295</v>
      </c>
      <c r="G421">
        <f t="shared" si="147"/>
        <v>0.21411513309448943</v>
      </c>
      <c r="H421">
        <f t="shared" si="148"/>
        <v>3.5000013498793447E-2</v>
      </c>
      <c r="I421" t="b">
        <f t="shared" si="160"/>
        <v>1</v>
      </c>
      <c r="J421">
        <f t="shared" si="149"/>
        <v>2.0699999999999799</v>
      </c>
      <c r="K421">
        <f t="shared" si="161"/>
        <v>3.5000013498793447E-2</v>
      </c>
      <c r="L421">
        <f t="shared" si="150"/>
        <v>0.16379385683323477</v>
      </c>
      <c r="M421">
        <f t="shared" si="151"/>
        <v>0.19000002699758689</v>
      </c>
      <c r="N421">
        <f t="shared" si="152"/>
        <v>0.18801975769632781</v>
      </c>
      <c r="O421">
        <f t="shared" si="153"/>
        <v>0.15777777454451777</v>
      </c>
      <c r="P421">
        <f t="shared" si="166"/>
        <v>0.08</v>
      </c>
      <c r="Q421">
        <f t="shared" si="162"/>
        <v>0.08</v>
      </c>
      <c r="R421">
        <f t="shared" si="155"/>
        <v>0.08</v>
      </c>
      <c r="S421">
        <f t="shared" si="156"/>
        <v>0.06</v>
      </c>
      <c r="T421">
        <f t="shared" si="157"/>
        <v>0.1</v>
      </c>
      <c r="U421">
        <f t="shared" si="163"/>
        <v>0.08</v>
      </c>
      <c r="V421">
        <f t="shared" si="168"/>
        <v>0.18801975769632781</v>
      </c>
      <c r="W421">
        <f t="shared" si="164"/>
        <v>0.1636684844248682</v>
      </c>
      <c r="X421">
        <f t="shared" si="165"/>
        <v>0.21419826429738659</v>
      </c>
      <c r="Y421" t="b">
        <f t="shared" si="167"/>
        <v>0</v>
      </c>
    </row>
    <row xmlns:x14ac="http://schemas.microsoft.com/office/spreadsheetml/2009/9/ac" r="422" x14ac:dyDescent="0.45">
      <c r="A422">
        <v>2.0749999999999802</v>
      </c>
      <c r="B422">
        <f t="shared" si="145"/>
        <v>0.16300034742997488</v>
      </c>
      <c r="C422" t="b">
        <f t="shared" si="158"/>
        <v>1</v>
      </c>
      <c r="D422" t="b">
        <f t="shared" si="146"/>
        <v>1</v>
      </c>
      <c r="E422">
        <f t="shared" si="154"/>
        <v>2.0749999999999802</v>
      </c>
      <c r="F422">
        <f t="shared" si="159"/>
        <v>0.16300034742997488</v>
      </c>
      <c r="G422">
        <f t="shared" si="147"/>
        <v>0.21409460878255576</v>
      </c>
      <c r="H422">
        <f t="shared" si="148"/>
        <v>3.5000133626913413E-2</v>
      </c>
      <c r="I422" t="b">
        <f t="shared" si="160"/>
        <v>1</v>
      </c>
      <c r="J422">
        <f t="shared" si="149"/>
        <v>2.0749999999999802</v>
      </c>
      <c r="K422">
        <f t="shared" si="161"/>
        <v>3.5000133626913413E-2</v>
      </c>
      <c r="L422">
        <f t="shared" si="150"/>
        <v>0.1638248101014122</v>
      </c>
      <c r="M422">
        <f t="shared" si="151"/>
        <v>0.19000026725382685</v>
      </c>
      <c r="N422">
        <f t="shared" si="152"/>
        <v>0.18802882676209462</v>
      </c>
      <c r="O422">
        <f t="shared" si="153"/>
        <v>0.15777777653280481</v>
      </c>
      <c r="P422">
        <f t="shared" si="166"/>
        <v>0.08</v>
      </c>
      <c r="Q422">
        <f t="shared" si="162"/>
        <v>0.08</v>
      </c>
      <c r="R422">
        <f t="shared" si="155"/>
        <v>0.08</v>
      </c>
      <c r="S422">
        <f t="shared" si="156"/>
        <v>0.06</v>
      </c>
      <c r="T422">
        <f t="shared" si="157"/>
        <v>0.1</v>
      </c>
      <c r="U422">
        <f t="shared" si="163"/>
        <v>0.08</v>
      </c>
      <c r="V422">
        <f t="shared" si="168"/>
        <v>0.18802882676209462</v>
      </c>
      <c r="W422">
        <f t="shared" si="164"/>
        <v>0.16370006299054105</v>
      </c>
      <c r="X422">
        <f t="shared" si="165"/>
        <v>0.21417732536684875</v>
      </c>
      <c r="Y422" t="b">
        <f t="shared" si="167"/>
        <v>0</v>
      </c>
    </row>
    <row xmlns:x14ac="http://schemas.microsoft.com/office/spreadsheetml/2009/9/ac" r="423" x14ac:dyDescent="0.45">
      <c r="A423">
        <v>2.0799999999999801</v>
      </c>
      <c r="B423">
        <f t="shared" si="145"/>
        <v>0.16300064286843552</v>
      </c>
      <c r="C423" t="b">
        <f t="shared" si="158"/>
        <v>1</v>
      </c>
      <c r="D423" t="b">
        <f t="shared" si="146"/>
        <v>1</v>
      </c>
      <c r="E423">
        <f t="shared" si="154"/>
        <v>2.0799999999999801</v>
      </c>
      <c r="F423">
        <f t="shared" si="159"/>
        <v>0.16300064286843552</v>
      </c>
      <c r="G423">
        <f t="shared" si="147"/>
        <v>0.21407418683605495</v>
      </c>
      <c r="H423">
        <f t="shared" si="148"/>
        <v>3.5000247257090583E-2</v>
      </c>
      <c r="I423" t="b">
        <f t="shared" si="160"/>
        <v>1</v>
      </c>
      <c r="J423">
        <f t="shared" si="149"/>
        <v>2.0799999999999801</v>
      </c>
      <c r="K423">
        <f t="shared" si="161"/>
        <v>3.5000247257090583E-2</v>
      </c>
      <c r="L423">
        <f t="shared" si="150"/>
        <v>0.16385560898952056</v>
      </c>
      <c r="M423">
        <f t="shared" si="151"/>
        <v>0.19000049451418116</v>
      </c>
      <c r="N423">
        <f t="shared" si="152"/>
        <v>0.18803748153698238</v>
      </c>
      <c r="O423">
        <f t="shared" si="153"/>
        <v>0.15777777838966367</v>
      </c>
      <c r="P423">
        <f t="shared" si="166"/>
        <v>0.08</v>
      </c>
      <c r="Q423">
        <f t="shared" si="162"/>
        <v>0.08</v>
      </c>
      <c r="R423">
        <f t="shared" si="155"/>
        <v>0.08</v>
      </c>
      <c r="S423">
        <f t="shared" si="156"/>
        <v>0.06</v>
      </c>
      <c r="T423">
        <f t="shared" si="157"/>
        <v>0.1</v>
      </c>
      <c r="U423">
        <f t="shared" si="163"/>
        <v>0.08</v>
      </c>
      <c r="V423">
        <f t="shared" si="168"/>
        <v>0.18803748153698238</v>
      </c>
      <c r="W423">
        <f t="shared" si="164"/>
        <v>0.16373148405746052</v>
      </c>
      <c r="X423">
        <f t="shared" si="165"/>
        <v>0.21415649086966265</v>
      </c>
      <c r="Y423" t="b">
        <f t="shared" si="167"/>
        <v>0</v>
      </c>
    </row>
    <row xmlns:x14ac="http://schemas.microsoft.com/office/spreadsheetml/2009/9/ac" r="424" x14ac:dyDescent="0.45">
      <c r="A424">
        <v>2.08499999999998</v>
      </c>
      <c r="B424">
        <f t="shared" si="145"/>
        <v>0.16300092082293066</v>
      </c>
      <c r="C424" t="b">
        <f t="shared" si="158"/>
        <v>1</v>
      </c>
      <c r="D424" t="b">
        <f t="shared" si="146"/>
        <v>1</v>
      </c>
      <c r="E424">
        <f t="shared" si="154"/>
        <v>2.08499999999998</v>
      </c>
      <c r="F424">
        <f t="shared" si="159"/>
        <v>0.16300092082293066</v>
      </c>
      <c r="G424">
        <f t="shared" si="147"/>
        <v>0.21405386674443722</v>
      </c>
      <c r="H424">
        <f t="shared" si="148"/>
        <v>3.5000354162665642E-2</v>
      </c>
      <c r="I424" t="b">
        <f t="shared" si="160"/>
        <v>1</v>
      </c>
      <c r="J424">
        <f t="shared" si="149"/>
        <v>2.08499999999998</v>
      </c>
      <c r="K424">
        <f t="shared" si="161"/>
        <v>3.5000354162665642E-2</v>
      </c>
      <c r="L424">
        <f t="shared" si="150"/>
        <v>0.16388625426753362</v>
      </c>
      <c r="M424">
        <f t="shared" si="151"/>
        <v>0.19000070832533128</v>
      </c>
      <c r="N424">
        <f t="shared" si="152"/>
        <v>0.18804569643581318</v>
      </c>
      <c r="O424">
        <f t="shared" si="153"/>
        <v>0.15777778011423702</v>
      </c>
      <c r="P424">
        <f t="shared" si="166"/>
        <v>0.08</v>
      </c>
      <c r="Q424">
        <f t="shared" si="162"/>
        <v>0.08</v>
      </c>
      <c r="R424">
        <f t="shared" si="155"/>
        <v>0.08</v>
      </c>
      <c r="S424">
        <f t="shared" si="156"/>
        <v>0.06</v>
      </c>
      <c r="T424">
        <f t="shared" si="157"/>
        <v>0.1</v>
      </c>
      <c r="U424">
        <f t="shared" si="163"/>
        <v>0.08</v>
      </c>
      <c r="V424">
        <f t="shared" si="168"/>
        <v>0.18804569643581318</v>
      </c>
      <c r="W424">
        <f t="shared" si="164"/>
        <v>0.16376274841115493</v>
      </c>
      <c r="X424">
        <f t="shared" si="165"/>
        <v>0.21413576028496478</v>
      </c>
      <c r="Y424" t="b">
        <f t="shared" si="167"/>
        <v>0</v>
      </c>
    </row>
    <row xmlns:x14ac="http://schemas.microsoft.com/office/spreadsheetml/2009/9/ac" r="425" x14ac:dyDescent="0.45">
      <c r="A425">
        <v>2.0899999999999799</v>
      </c>
      <c r="B425">
        <f t="shared" si="145"/>
        <v>0.16300118081652448</v>
      </c>
      <c r="C425" t="b">
        <f t="shared" si="158"/>
        <v>1</v>
      </c>
      <c r="D425" t="b">
        <f t="shared" si="146"/>
        <v>1</v>
      </c>
      <c r="E425">
        <f t="shared" si="154"/>
        <v>2.0899999999999799</v>
      </c>
      <c r="F425">
        <f t="shared" si="159"/>
        <v>0.16300118081652448</v>
      </c>
      <c r="G425">
        <f t="shared" si="147"/>
        <v>0.21403364799969926</v>
      </c>
      <c r="H425">
        <f t="shared" si="148"/>
        <v>3.5000454160201727E-2</v>
      </c>
      <c r="I425" t="b">
        <f t="shared" si="160"/>
        <v>1</v>
      </c>
      <c r="J425">
        <f t="shared" si="149"/>
        <v>2.0899999999999799</v>
      </c>
      <c r="K425">
        <f t="shared" si="161"/>
        <v>3.5000454160201727E-2</v>
      </c>
      <c r="L425">
        <f t="shared" si="150"/>
        <v>0.16391674670158493</v>
      </c>
      <c r="M425">
        <f t="shared" si="151"/>
        <v>0.19000090832040345</v>
      </c>
      <c r="N425">
        <f t="shared" si="152"/>
        <v>0.18805344864266355</v>
      </c>
      <c r="O425">
        <f t="shared" si="153"/>
        <v>0.15777778170643872</v>
      </c>
      <c r="P425">
        <f t="shared" si="166"/>
        <v>0.08</v>
      </c>
      <c r="Q425">
        <f t="shared" si="162"/>
        <v>0.08</v>
      </c>
      <c r="R425">
        <f t="shared" si="155"/>
        <v>0.08</v>
      </c>
      <c r="S425">
        <f t="shared" si="156"/>
        <v>0.06</v>
      </c>
      <c r="T425">
        <f t="shared" si="157"/>
        <v>0.1</v>
      </c>
      <c r="U425">
        <f t="shared" si="163"/>
        <v>0.08</v>
      </c>
      <c r="V425">
        <f t="shared" si="168"/>
        <v>0.18805344864266355</v>
      </c>
      <c r="W425">
        <f t="shared" si="164"/>
        <v>0.16379385683323477</v>
      </c>
      <c r="X425">
        <f t="shared" si="165"/>
        <v>0.21411513309448943</v>
      </c>
      <c r="Y425" t="b">
        <f t="shared" si="167"/>
        <v>0</v>
      </c>
    </row>
    <row xmlns:x14ac="http://schemas.microsoft.com/office/spreadsheetml/2009/9/ac" r="426" x14ac:dyDescent="0.45">
      <c r="A426">
        <v>2.0949999999999802</v>
      </c>
      <c r="B426">
        <f t="shared" si="145"/>
        <v>0.16300142248146049</v>
      </c>
      <c r="C426" t="b">
        <f t="shared" si="158"/>
        <v>1</v>
      </c>
      <c r="D426" t="b">
        <f t="shared" si="146"/>
        <v>1</v>
      </c>
      <c r="E426">
        <f t="shared" si="154"/>
        <v>2.0949999999999802</v>
      </c>
      <c r="F426">
        <f t="shared" si="159"/>
        <v>0.16300142248146049</v>
      </c>
      <c r="G426">
        <f t="shared" si="147"/>
        <v>0.21401353009637136</v>
      </c>
      <c r="H426">
        <f t="shared" si="148"/>
        <v>3.5000547108254038E-2</v>
      </c>
      <c r="I426" t="b">
        <f t="shared" si="160"/>
        <v>1</v>
      </c>
      <c r="J426">
        <f t="shared" si="149"/>
        <v>2.0949999999999802</v>
      </c>
      <c r="K426">
        <f t="shared" si="161"/>
        <v>3.5000547108254038E-2</v>
      </c>
      <c r="L426">
        <f t="shared" si="150"/>
        <v>0.16394708705398697</v>
      </c>
      <c r="M426">
        <f t="shared" si="151"/>
        <v>0.19000109421650807</v>
      </c>
      <c r="N426">
        <f t="shared" si="152"/>
        <v>0.18806071812549532</v>
      </c>
      <c r="O426">
        <f t="shared" si="153"/>
        <v>0.1577777831669005</v>
      </c>
      <c r="P426">
        <f t="shared" si="166"/>
        <v>0.08</v>
      </c>
      <c r="Q426">
        <f t="shared" si="162"/>
        <v>0.08</v>
      </c>
      <c r="R426">
        <f t="shared" si="155"/>
        <v>0.08</v>
      </c>
      <c r="S426">
        <f t="shared" si="156"/>
        <v>0.06</v>
      </c>
      <c r="T426">
        <f t="shared" si="157"/>
        <v>0.1</v>
      </c>
      <c r="U426">
        <f t="shared" si="163"/>
        <v>0.08</v>
      </c>
      <c r="V426">
        <f t="shared" si="168"/>
        <v>0.18806071812549532</v>
      </c>
      <c r="W426">
        <f t="shared" si="164"/>
        <v>0.1638248101014122</v>
      </c>
      <c r="X426">
        <f t="shared" si="165"/>
        <v>0.21409460878255576</v>
      </c>
      <c r="Y426" t="b">
        <f t="shared" si="167"/>
        <v>0</v>
      </c>
    </row>
    <row xmlns:x14ac="http://schemas.microsoft.com/office/spreadsheetml/2009/9/ac" r="427" x14ac:dyDescent="0.45">
      <c r="A427">
        <v>2.0999999999999801</v>
      </c>
      <c r="B427">
        <f t="shared" si="145"/>
        <v>0.16300164555559576</v>
      </c>
      <c r="C427" t="b">
        <f t="shared" si="158"/>
        <v>1</v>
      </c>
      <c r="D427" t="b">
        <f t="shared" si="146"/>
        <v>1</v>
      </c>
      <c r="E427">
        <f t="shared" si="154"/>
        <v>2.0999999999999801</v>
      </c>
      <c r="F427">
        <f t="shared" si="159"/>
        <v>0.16300164555559576</v>
      </c>
      <c r="G427">
        <f t="shared" si="147"/>
        <v>0.21399351253150489</v>
      </c>
      <c r="H427">
        <f t="shared" si="148"/>
        <v>3.5000632905998377E-2</v>
      </c>
      <c r="I427" t="b">
        <f t="shared" si="160"/>
        <v>1</v>
      </c>
      <c r="J427">
        <f t="shared" si="149"/>
        <v>2.0999999999999801</v>
      </c>
      <c r="K427">
        <f t="shared" si="161"/>
        <v>3.5000632905998377E-2</v>
      </c>
      <c r="L427">
        <f t="shared" si="150"/>
        <v>0.16397727608325008</v>
      </c>
      <c r="M427">
        <f t="shared" si="151"/>
        <v>0.19000126581199675</v>
      </c>
      <c r="N427">
        <f t="shared" si="152"/>
        <v>0.18806748763789952</v>
      </c>
      <c r="O427">
        <f t="shared" si="153"/>
        <v>0.15777778449691879</v>
      </c>
      <c r="P427">
        <f t="shared" si="166"/>
        <v>0.08</v>
      </c>
      <c r="Q427">
        <f t="shared" si="162"/>
        <v>0.08</v>
      </c>
      <c r="R427">
        <f t="shared" si="155"/>
        <v>0.08</v>
      </c>
      <c r="S427">
        <f t="shared" si="156"/>
        <v>0.06</v>
      </c>
      <c r="T427">
        <f t="shared" si="157"/>
        <v>0.1</v>
      </c>
      <c r="U427">
        <f t="shared" si="163"/>
        <v>0.08</v>
      </c>
      <c r="V427">
        <f t="shared" si="168"/>
        <v>0.18806748763789952</v>
      </c>
      <c r="W427">
        <f t="shared" si="164"/>
        <v>0.16385560898952056</v>
      </c>
      <c r="X427">
        <f t="shared" si="165"/>
        <v>0.21407418683605495</v>
      </c>
      <c r="Y427" t="b">
        <f t="shared" si="167"/>
        <v>0</v>
      </c>
    </row>
    <row xmlns:x14ac="http://schemas.microsoft.com/office/spreadsheetml/2009/9/ac" r="428" x14ac:dyDescent="0.45">
      <c r="A428">
        <v>2.10499999999998</v>
      </c>
      <c r="B428">
        <f t="shared" si="145"/>
        <v>0.16300184987850438</v>
      </c>
      <c r="C428" t="b">
        <f t="shared" si="158"/>
        <v>1</v>
      </c>
      <c r="D428" t="b">
        <f t="shared" si="146"/>
        <v>1</v>
      </c>
      <c r="E428">
        <f t="shared" si="154"/>
        <v>2.10499999999998</v>
      </c>
      <c r="F428">
        <f t="shared" si="159"/>
        <v>0.16300184987850438</v>
      </c>
      <c r="G428">
        <f t="shared" si="147"/>
        <v>0.21397359480465977</v>
      </c>
      <c r="H428">
        <f t="shared" si="148"/>
        <v>3.500071149173245E-2</v>
      </c>
      <c r="I428" t="b">
        <f t="shared" si="160"/>
        <v>1</v>
      </c>
      <c r="J428">
        <f t="shared" si="149"/>
        <v>2.10499999999998</v>
      </c>
      <c r="K428">
        <f t="shared" si="161"/>
        <v>3.500071149173245E-2</v>
      </c>
      <c r="L428">
        <f t="shared" si="150"/>
        <v>0.16400731454410161</v>
      </c>
      <c r="M428">
        <f t="shared" si="151"/>
        <v>0.1900014229834649</v>
      </c>
      <c r="N428">
        <f t="shared" si="152"/>
        <v>0.18807374270835039</v>
      </c>
      <c r="O428">
        <f t="shared" si="153"/>
        <v>0.15777778569840167</v>
      </c>
      <c r="P428">
        <f t="shared" si="166"/>
        <v>0.08</v>
      </c>
      <c r="Q428">
        <f t="shared" si="162"/>
        <v>0.08</v>
      </c>
      <c r="R428">
        <f t="shared" si="155"/>
        <v>0.08</v>
      </c>
      <c r="S428">
        <f t="shared" si="156"/>
        <v>0.06</v>
      </c>
      <c r="T428">
        <f t="shared" si="157"/>
        <v>0.1</v>
      </c>
      <c r="U428">
        <f t="shared" si="163"/>
        <v>0.08</v>
      </c>
      <c r="V428">
        <f t="shared" si="168"/>
        <v>0.18807374270835039</v>
      </c>
      <c r="W428">
        <f t="shared" si="164"/>
        <v>0.16388625426753362</v>
      </c>
      <c r="X428">
        <f t="shared" si="165"/>
        <v>0.21405386674443722</v>
      </c>
      <c r="Y428" t="b">
        <f t="shared" si="167"/>
        <v>0</v>
      </c>
    </row>
    <row xmlns:x14ac="http://schemas.microsoft.com/office/spreadsheetml/2009/9/ac" r="429" x14ac:dyDescent="0.45">
      <c r="A429">
        <v>2.1099999999999799</v>
      </c>
      <c r="B429">
        <f t="shared" si="145"/>
        <v>0.16300203538728381</v>
      </c>
      <c r="C429" t="b">
        <f t="shared" si="158"/>
        <v>1</v>
      </c>
      <c r="D429" t="b">
        <f t="shared" si="146"/>
        <v>1</v>
      </c>
      <c r="E429">
        <f t="shared" si="154"/>
        <v>2.1099999999999799</v>
      </c>
      <c r="F429">
        <f t="shared" si="159"/>
        <v>0.16300203538728381</v>
      </c>
      <c r="G429">
        <f t="shared" si="147"/>
        <v>0.21395377641789165</v>
      </c>
      <c r="H429">
        <f t="shared" si="148"/>
        <v>3.5000782841262998E-2</v>
      </c>
      <c r="I429" t="b">
        <f t="shared" si="160"/>
        <v>1</v>
      </c>
      <c r="J429">
        <f t="shared" si="149"/>
        <v>2.1099999999999799</v>
      </c>
      <c r="K429">
        <f t="shared" si="161"/>
        <v>3.5000782841262998E-2</v>
      </c>
      <c r="L429">
        <f t="shared" si="150"/>
        <v>0.16403720318750459</v>
      </c>
      <c r="M429">
        <f t="shared" si="151"/>
        <v>0.19000156568252602</v>
      </c>
      <c r="N429">
        <f t="shared" si="152"/>
        <v>0.1880794716174122</v>
      </c>
      <c r="O429">
        <f t="shared" si="153"/>
        <v>0.15777778677381593</v>
      </c>
      <c r="P429">
        <f t="shared" si="166"/>
        <v>0.08</v>
      </c>
      <c r="Q429">
        <f t="shared" si="162"/>
        <v>0.08</v>
      </c>
      <c r="R429">
        <f t="shared" si="155"/>
        <v>0.08</v>
      </c>
      <c r="S429">
        <f t="shared" si="156"/>
        <v>0.06</v>
      </c>
      <c r="T429">
        <f t="shared" si="157"/>
        <v>0.1</v>
      </c>
      <c r="U429">
        <f t="shared" si="163"/>
        <v>0.08</v>
      </c>
      <c r="V429">
        <f t="shared" si="168"/>
        <v>0.1880794716174122</v>
      </c>
      <c r="W429">
        <f t="shared" si="164"/>
        <v>0.16391674670158493</v>
      </c>
      <c r="X429">
        <f t="shared" si="165"/>
        <v>0.21403364799969926</v>
      </c>
      <c r="Y429" t="b">
        <f t="shared" si="167"/>
        <v>0</v>
      </c>
    </row>
    <row xmlns:x14ac="http://schemas.microsoft.com/office/spreadsheetml/2009/9/ac" r="430" x14ac:dyDescent="0.45">
      <c r="A430">
        <v>2.1149999999999798</v>
      </c>
      <c r="B430">
        <f t="shared" si="145"/>
        <v>0.16300220211209968</v>
      </c>
      <c r="C430" t="b">
        <f t="shared" si="158"/>
        <v>1</v>
      </c>
      <c r="D430" t="b">
        <f t="shared" si="146"/>
        <v>1</v>
      </c>
      <c r="E430">
        <f t="shared" si="154"/>
        <v>2.1149999999999798</v>
      </c>
      <c r="F430">
        <f t="shared" si="159"/>
        <v>0.16300220211209968</v>
      </c>
      <c r="G430">
        <f t="shared" si="147"/>
        <v>0.21393405687573996</v>
      </c>
      <c r="H430">
        <f t="shared" si="148"/>
        <v>3.5000846966192184E-2</v>
      </c>
      <c r="I430" t="b">
        <f t="shared" si="160"/>
        <v>1</v>
      </c>
      <c r="J430">
        <f t="shared" si="149"/>
        <v>2.1149999999999798</v>
      </c>
      <c r="K430">
        <f t="shared" si="161"/>
        <v>3.5000846966192184E-2</v>
      </c>
      <c r="L430">
        <f t="shared" si="150"/>
        <v>0.16406694276067674</v>
      </c>
      <c r="M430">
        <f t="shared" si="151"/>
        <v>0.19000169393238436</v>
      </c>
      <c r="N430">
        <f t="shared" si="152"/>
        <v>0.18808466536337876</v>
      </c>
      <c r="O430">
        <f t="shared" si="153"/>
        <v>0.15777778772613513</v>
      </c>
      <c r="P430">
        <f t="shared" si="166"/>
        <v>0.08</v>
      </c>
      <c r="Q430">
        <f t="shared" si="162"/>
        <v>0.08</v>
      </c>
      <c r="R430">
        <f t="shared" si="155"/>
        <v>0.08</v>
      </c>
      <c r="S430">
        <f t="shared" si="156"/>
        <v>0.06</v>
      </c>
      <c r="T430">
        <f t="shared" si="157"/>
        <v>0.1</v>
      </c>
      <c r="U430">
        <f t="shared" si="163"/>
        <v>0.08</v>
      </c>
      <c r="V430">
        <f t="shared" si="168"/>
        <v>0.18808466536337876</v>
      </c>
      <c r="W430">
        <f t="shared" si="164"/>
        <v>0.16394708705398697</v>
      </c>
      <c r="X430">
        <f t="shared" si="165"/>
        <v>0.21401353009637136</v>
      </c>
      <c r="Y430" t="b">
        <f t="shared" si="167"/>
        <v>0</v>
      </c>
    </row>
    <row xmlns:x14ac="http://schemas.microsoft.com/office/spreadsheetml/2009/9/ac" r="431" x14ac:dyDescent="0.45">
      <c r="A431">
        <v>2.1199999999999801</v>
      </c>
      <c r="B431">
        <f t="shared" si="145"/>
        <v>0.16300235017150244</v>
      </c>
      <c r="C431" t="b">
        <f t="shared" si="158"/>
        <v>1</v>
      </c>
      <c r="D431" t="b">
        <f t="shared" si="146"/>
        <v>1</v>
      </c>
      <c r="E431">
        <f t="shared" si="154"/>
        <v>2.1199999999999801</v>
      </c>
      <c r="F431">
        <f t="shared" si="159"/>
        <v>0.16300235017150244</v>
      </c>
      <c r="G431">
        <f t="shared" si="147"/>
        <v>0.21391443568521501</v>
      </c>
      <c r="H431">
        <f t="shared" si="148"/>
        <v>3.5000903912116327E-2</v>
      </c>
      <c r="I431" t="b">
        <f t="shared" si="160"/>
        <v>1</v>
      </c>
      <c r="J431">
        <f t="shared" si="149"/>
        <v>2.1199999999999801</v>
      </c>
      <c r="K431">
        <f t="shared" si="161"/>
        <v>3.5000903912116327E-2</v>
      </c>
      <c r="L431">
        <f t="shared" si="150"/>
        <v>0.16409653400710889</v>
      </c>
      <c r="M431">
        <f t="shared" si="151"/>
        <v>0.19000180782423265</v>
      </c>
      <c r="N431">
        <f t="shared" si="152"/>
        <v>0.18808931761686415</v>
      </c>
      <c r="O431">
        <f t="shared" si="153"/>
        <v>0.1577777885587883</v>
      </c>
      <c r="P431">
        <f t="shared" si="166"/>
        <v>0.08</v>
      </c>
      <c r="Q431">
        <f t="shared" si="162"/>
        <v>0.08</v>
      </c>
      <c r="R431">
        <f t="shared" si="155"/>
        <v>0.08</v>
      </c>
      <c r="S431">
        <f t="shared" si="156"/>
        <v>0.06</v>
      </c>
      <c r="T431">
        <f t="shared" si="157"/>
        <v>0.1</v>
      </c>
      <c r="U431">
        <f t="shared" si="163"/>
        <v>0.08</v>
      </c>
      <c r="V431">
        <f t="shared" si="168"/>
        <v>0.18808931761686415</v>
      </c>
      <c r="W431">
        <f t="shared" si="164"/>
        <v>0.16397727608325008</v>
      </c>
      <c r="X431">
        <f t="shared" si="165"/>
        <v>0.21399351253150489</v>
      </c>
      <c r="Y431" t="b">
        <f t="shared" si="167"/>
        <v>0</v>
      </c>
    </row>
    <row xmlns:x14ac="http://schemas.microsoft.com/office/spreadsheetml/2009/9/ac" r="432" x14ac:dyDescent="0.45">
      <c r="A432">
        <v>2.12499999999998</v>
      </c>
      <c r="B432">
        <f t="shared" si="145"/>
        <v>0.16300247976754975</v>
      </c>
      <c r="C432" t="b">
        <f t="shared" si="158"/>
        <v>1</v>
      </c>
      <c r="D432" t="b">
        <f t="shared" si="146"/>
        <v>1</v>
      </c>
      <c r="E432">
        <f t="shared" si="154"/>
        <v>2.12499999999998</v>
      </c>
      <c r="F432">
        <f t="shared" si="159"/>
        <v>0.16300247976754975</v>
      </c>
      <c r="G432">
        <f t="shared" si="147"/>
        <v>0.21389491235578612</v>
      </c>
      <c r="H432">
        <f t="shared" si="148"/>
        <v>3.5000953756749914E-2</v>
      </c>
      <c r="I432" t="b">
        <f t="shared" si="160"/>
        <v>1</v>
      </c>
      <c r="J432">
        <f t="shared" si="149"/>
        <v>2.12499999999998</v>
      </c>
      <c r="K432">
        <f t="shared" si="161"/>
        <v>3.5000953756749914E-2</v>
      </c>
      <c r="L432">
        <f t="shared" si="150"/>
        <v>0.16412597766658371</v>
      </c>
      <c r="M432">
        <f t="shared" si="151"/>
        <v>0.19000190751349982</v>
      </c>
      <c r="N432">
        <f t="shared" si="152"/>
        <v>0.18809342466489487</v>
      </c>
      <c r="O432">
        <f t="shared" si="153"/>
        <v>0.15777778927560995</v>
      </c>
      <c r="P432">
        <f t="shared" si="166"/>
        <v>0.08</v>
      </c>
      <c r="Q432">
        <f t="shared" si="162"/>
        <v>0.08</v>
      </c>
      <c r="R432">
        <f t="shared" si="155"/>
        <v>0.08</v>
      </c>
      <c r="S432">
        <f t="shared" si="156"/>
        <v>0.06</v>
      </c>
      <c r="T432">
        <f t="shared" si="157"/>
        <v>0.1</v>
      </c>
      <c r="U432">
        <f t="shared" si="163"/>
        <v>0.08</v>
      </c>
      <c r="V432">
        <f t="shared" si="168"/>
        <v>0.18809342466489487</v>
      </c>
      <c r="W432">
        <f t="shared" si="164"/>
        <v>0.16400731454410161</v>
      </c>
      <c r="X432">
        <f t="shared" si="165"/>
        <v>0.21397359480465977</v>
      </c>
      <c r="Y432" t="b">
        <f t="shared" si="167"/>
        <v>0</v>
      </c>
    </row>
    <row xmlns:x14ac="http://schemas.microsoft.com/office/spreadsheetml/2009/9/ac" r="433" x14ac:dyDescent="0.45">
      <c r="A433">
        <v>2.1299999999999799</v>
      </c>
      <c r="B433">
        <f t="shared" si="145"/>
        <v>0.1630025911807671</v>
      </c>
      <c r="C433" t="b">
        <f t="shared" si="158"/>
        <v>1</v>
      </c>
      <c r="D433" t="b">
        <f t="shared" si="146"/>
        <v>1</v>
      </c>
      <c r="E433">
        <f t="shared" si="154"/>
        <v>2.1299999999999799</v>
      </c>
      <c r="F433">
        <f t="shared" si="159"/>
        <v>0.1630025911807671</v>
      </c>
      <c r="G433">
        <f t="shared" si="147"/>
        <v>0.21387548639936893</v>
      </c>
      <c r="H433">
        <f t="shared" si="148"/>
        <v>3.5000996607987347E-2</v>
      </c>
      <c r="I433" t="b">
        <f t="shared" si="160"/>
        <v>1</v>
      </c>
      <c r="J433">
        <f t="shared" si="149"/>
        <v>2.1299999999999799</v>
      </c>
      <c r="K433">
        <f t="shared" si="161"/>
        <v>3.5000996607987347E-2</v>
      </c>
      <c r="L433">
        <f t="shared" si="150"/>
        <v>0.16415527447519426</v>
      </c>
      <c r="M433">
        <f t="shared" si="151"/>
        <v>0.19000199321597469</v>
      </c>
      <c r="N433">
        <f t="shared" si="152"/>
        <v>0.1880969853450839</v>
      </c>
      <c r="O433">
        <f t="shared" si="153"/>
        <v>0.15777778988079127</v>
      </c>
      <c r="P433">
        <f t="shared" si="166"/>
        <v>0.08</v>
      </c>
      <c r="Q433">
        <f t="shared" si="162"/>
        <v>0.08</v>
      </c>
      <c r="R433">
        <f t="shared" si="155"/>
        <v>0.08</v>
      </c>
      <c r="S433">
        <f t="shared" si="156"/>
        <v>0.06</v>
      </c>
      <c r="T433">
        <f t="shared" si="157"/>
        <v>0.1</v>
      </c>
      <c r="U433">
        <f t="shared" si="163"/>
        <v>0.08</v>
      </c>
      <c r="V433">
        <f t="shared" si="168"/>
        <v>0.1880969853450839</v>
      </c>
      <c r="W433">
        <f t="shared" si="164"/>
        <v>0.16403720318750459</v>
      </c>
      <c r="X433">
        <f t="shared" si="165"/>
        <v>0.21395377641789165</v>
      </c>
      <c r="Y433" t="b">
        <f t="shared" si="167"/>
        <v>0</v>
      </c>
    </row>
    <row xmlns:x14ac="http://schemas.microsoft.com/office/spreadsheetml/2009/9/ac" r="434" x14ac:dyDescent="0.45">
      <c r="A434">
        <v>2.1349999999999798</v>
      </c>
      <c r="B434">
        <f t="shared" si="145"/>
        <v>0.16300268476497898</v>
      </c>
      <c r="C434" t="b">
        <f t="shared" si="158"/>
        <v>1</v>
      </c>
      <c r="D434" t="b">
        <f t="shared" si="146"/>
        <v>1</v>
      </c>
      <c r="E434">
        <f t="shared" si="154"/>
        <v>2.1349999999999798</v>
      </c>
      <c r="F434">
        <f t="shared" si="159"/>
        <v>0.16300268476497898</v>
      </c>
      <c r="G434">
        <f t="shared" si="147"/>
        <v>0.2138561573303136</v>
      </c>
      <c r="H434">
        <f t="shared" si="148"/>
        <v>3.5001032601914991E-2</v>
      </c>
      <c r="I434" t="b">
        <f t="shared" si="160"/>
        <v>1</v>
      </c>
      <c r="J434">
        <f t="shared" si="149"/>
        <v>2.1349999999999798</v>
      </c>
      <c r="K434">
        <f t="shared" si="161"/>
        <v>3.5001032601914991E-2</v>
      </c>
      <c r="L434">
        <f t="shared" si="150"/>
        <v>0.1641844251653623</v>
      </c>
      <c r="M434">
        <f t="shared" si="151"/>
        <v>0.19000206520382998</v>
      </c>
      <c r="N434">
        <f t="shared" si="152"/>
        <v>0.18810000097049245</v>
      </c>
      <c r="O434">
        <f t="shared" si="153"/>
        <v>0.15777779037883266</v>
      </c>
      <c r="P434">
        <f t="shared" si="166"/>
        <v>0.08</v>
      </c>
      <c r="Q434">
        <f t="shared" si="162"/>
        <v>0.08</v>
      </c>
      <c r="R434">
        <f t="shared" si="155"/>
        <v>0.08</v>
      </c>
      <c r="S434">
        <f t="shared" si="156"/>
        <v>0.06</v>
      </c>
      <c r="T434">
        <f t="shared" si="157"/>
        <v>0.1</v>
      </c>
      <c r="U434">
        <f t="shared" si="163"/>
        <v>0.08</v>
      </c>
      <c r="V434">
        <f t="shared" si="168"/>
        <v>0.18810000097049245</v>
      </c>
      <c r="W434">
        <f t="shared" si="164"/>
        <v>0.16406694276067674</v>
      </c>
      <c r="X434">
        <f t="shared" si="165"/>
        <v>0.21393405687573996</v>
      </c>
      <c r="Y434" t="b">
        <f t="shared" si="167"/>
        <v>0</v>
      </c>
    </row>
    <row xmlns:x14ac="http://schemas.microsoft.com/office/spreadsheetml/2009/9/ac" r="435" x14ac:dyDescent="0.45">
      <c r="A435">
        <v>2.1399999999999801</v>
      </c>
      <c r="B435">
        <f t="shared" si="145"/>
        <v>0.1630027609420415</v>
      </c>
      <c r="C435" t="b">
        <f t="shared" si="158"/>
        <v>1</v>
      </c>
      <c r="D435" t="b">
        <f t="shared" si="146"/>
        <v>1</v>
      </c>
      <c r="E435">
        <f t="shared" si="154"/>
        <v>2.1399999999999801</v>
      </c>
      <c r="F435">
        <f t="shared" si="159"/>
        <v>0.1630027609420415</v>
      </c>
      <c r="G435">
        <f t="shared" si="147"/>
        <v>0.21383692466539239</v>
      </c>
      <c r="H435">
        <f t="shared" si="148"/>
        <v>3.5001061900785196E-2</v>
      </c>
      <c r="I435" t="b">
        <f t="shared" si="160"/>
        <v>1</v>
      </c>
      <c r="J435">
        <f t="shared" si="149"/>
        <v>2.1399999999999801</v>
      </c>
      <c r="K435">
        <f t="shared" si="161"/>
        <v>3.5001061900785196E-2</v>
      </c>
      <c r="L435">
        <f t="shared" si="150"/>
        <v>0.16421343046585657</v>
      </c>
      <c r="M435">
        <f t="shared" si="151"/>
        <v>0.19000212380157039</v>
      </c>
      <c r="N435">
        <f t="shared" si="152"/>
        <v>0.18810247524580859</v>
      </c>
      <c r="O435">
        <f t="shared" si="153"/>
        <v>0.15777779077449824</v>
      </c>
      <c r="P435">
        <f t="shared" si="166"/>
        <v>0.08</v>
      </c>
      <c r="Q435">
        <f t="shared" si="162"/>
        <v>0.08</v>
      </c>
      <c r="R435">
        <f t="shared" si="155"/>
        <v>0.08</v>
      </c>
      <c r="S435">
        <f t="shared" si="156"/>
        <v>0.06</v>
      </c>
      <c r="T435">
        <f t="shared" si="157"/>
        <v>0.1</v>
      </c>
      <c r="U435">
        <f t="shared" si="163"/>
        <v>0.08</v>
      </c>
      <c r="V435">
        <f t="shared" si="168"/>
        <v>0.18810247524580859</v>
      </c>
      <c r="W435">
        <f t="shared" si="164"/>
        <v>0.16409653400710889</v>
      </c>
      <c r="X435">
        <f t="shared" si="165"/>
        <v>0.21391443568521501</v>
      </c>
      <c r="Y435" t="b">
        <f t="shared" si="167"/>
        <v>0</v>
      </c>
    </row>
    <row xmlns:x14ac="http://schemas.microsoft.com/office/spreadsheetml/2009/9/ac" r="436" x14ac:dyDescent="0.45">
      <c r="A436">
        <v>2.14499999999998</v>
      </c>
      <c r="B436">
        <f t="shared" si="145"/>
        <v>0.1630028201965065</v>
      </c>
      <c r="C436" t="b">
        <f t="shared" si="158"/>
        <v>1</v>
      </c>
      <c r="D436" t="b">
        <f t="shared" si="146"/>
        <v>1</v>
      </c>
      <c r="E436">
        <f t="shared" si="154"/>
        <v>2.14499999999998</v>
      </c>
      <c r="F436">
        <f t="shared" si="159"/>
        <v>0.1630028201965065</v>
      </c>
      <c r="G436">
        <f t="shared" si="147"/>
        <v>0.21381778792378764</v>
      </c>
      <c r="H436">
        <f t="shared" si="148"/>
        <v>3.5001084690964038E-2</v>
      </c>
      <c r="I436" t="b">
        <f t="shared" si="160"/>
        <v>1</v>
      </c>
      <c r="J436">
        <f t="shared" si="149"/>
        <v>2.14499999999998</v>
      </c>
      <c r="K436">
        <f t="shared" si="161"/>
        <v>3.5001084690964038E-2</v>
      </c>
      <c r="L436">
        <f t="shared" si="150"/>
        <v>0.1642422911018111</v>
      </c>
      <c r="M436">
        <f t="shared" si="151"/>
        <v>0.1900021693819281</v>
      </c>
      <c r="N436">
        <f t="shared" si="152"/>
        <v>0.18810441417548987</v>
      </c>
      <c r="O436">
        <f t="shared" si="153"/>
        <v>0.15777779107277179</v>
      </c>
      <c r="P436">
        <f t="shared" si="166"/>
        <v>0.08</v>
      </c>
      <c r="Q436">
        <f t="shared" si="162"/>
        <v>0.08</v>
      </c>
      <c r="R436">
        <f t="shared" si="155"/>
        <v>0.08</v>
      </c>
      <c r="S436">
        <f t="shared" si="156"/>
        <v>0.06</v>
      </c>
      <c r="T436">
        <f t="shared" si="157"/>
        <v>0.1</v>
      </c>
      <c r="U436">
        <f t="shared" si="163"/>
        <v>0.08</v>
      </c>
      <c r="V436">
        <f t="shared" si="168"/>
        <v>0.18810441417548987</v>
      </c>
      <c r="W436">
        <f t="shared" si="164"/>
        <v>0.16412597766658371</v>
      </c>
      <c r="X436">
        <f t="shared" si="165"/>
        <v>0.21389491235578612</v>
      </c>
      <c r="Y436" t="b">
        <f t="shared" si="167"/>
        <v>0</v>
      </c>
    </row>
    <row xmlns:x14ac="http://schemas.microsoft.com/office/spreadsheetml/2009/9/ac" r="437" x14ac:dyDescent="0.45">
      <c r="A437">
        <v>2.1499999999999799</v>
      </c>
      <c r="B437">
        <f t="shared" si="145"/>
        <v>0.16300286307024581</v>
      </c>
      <c r="C437" t="b">
        <f t="shared" si="158"/>
        <v>1</v>
      </c>
      <c r="D437" t="b">
        <f t="shared" si="146"/>
        <v>1</v>
      </c>
      <c r="E437">
        <f t="shared" si="154"/>
        <v>2.1499999999999799</v>
      </c>
      <c r="F437">
        <f t="shared" si="159"/>
        <v>0.16300286307024581</v>
      </c>
      <c r="G437">
        <f t="shared" si="147"/>
        <v>0.21379874662707982</v>
      </c>
      <c r="H437">
        <f t="shared" si="148"/>
        <v>3.5001101180863775E-2</v>
      </c>
      <c r="I437" t="b">
        <f t="shared" si="160"/>
        <v>1</v>
      </c>
      <c r="J437">
        <f t="shared" si="149"/>
        <v>2.1499999999999799</v>
      </c>
      <c r="K437">
        <f t="shared" si="161"/>
        <v>3.5001101180863775E-2</v>
      </c>
      <c r="L437">
        <f t="shared" si="150"/>
        <v>0.1642710077947433</v>
      </c>
      <c r="M437">
        <f t="shared" si="151"/>
        <v>0.19000220236172755</v>
      </c>
      <c r="N437">
        <f t="shared" si="152"/>
        <v>0.18810582596453362</v>
      </c>
      <c r="O437">
        <f t="shared" si="153"/>
        <v>0.15777779127881475</v>
      </c>
      <c r="P437">
        <f t="shared" si="166"/>
        <v>0.08</v>
      </c>
      <c r="Q437">
        <f t="shared" si="162"/>
        <v>0.08</v>
      </c>
      <c r="R437">
        <f t="shared" si="155"/>
        <v>0.08</v>
      </c>
      <c r="S437">
        <f t="shared" si="156"/>
        <v>0.06</v>
      </c>
      <c r="T437">
        <f t="shared" si="157"/>
        <v>0.1</v>
      </c>
      <c r="U437">
        <f t="shared" si="163"/>
        <v>0.08</v>
      </c>
      <c r="V437">
        <f t="shared" si="168"/>
        <v>0.18810582596453362</v>
      </c>
      <c r="W437">
        <f t="shared" si="164"/>
        <v>0.16415527447519426</v>
      </c>
      <c r="X437">
        <f t="shared" si="165"/>
        <v>0.21387548639936893</v>
      </c>
      <c r="Y437" t="b">
        <f t="shared" si="167"/>
        <v>0</v>
      </c>
    </row>
    <row xmlns:x14ac="http://schemas.microsoft.com/office/spreadsheetml/2009/9/ac" r="438" x14ac:dyDescent="0.45">
      <c r="A438">
        <v>2.1549999999999798</v>
      </c>
      <c r="B438">
        <f t="shared" si="145"/>
        <v>0.16300289015706354</v>
      </c>
      <c r="C438" t="b">
        <f t="shared" si="158"/>
        <v>1</v>
      </c>
      <c r="D438" t="b">
        <f t="shared" si="146"/>
        <v>1</v>
      </c>
      <c r="E438">
        <f t="shared" si="154"/>
        <v>2.1549999999999798</v>
      </c>
      <c r="F438">
        <f t="shared" si="159"/>
        <v>0.16300289015706354</v>
      </c>
      <c r="G438">
        <f t="shared" si="147"/>
        <v>0.21377980029923555</v>
      </c>
      <c r="H438">
        <f t="shared" si="148"/>
        <v>3.5001111598870593E-2</v>
      </c>
      <c r="I438" t="b">
        <f t="shared" si="160"/>
        <v>1</v>
      </c>
      <c r="J438">
        <f t="shared" si="149"/>
        <v>2.1549999999999798</v>
      </c>
      <c r="K438">
        <f t="shared" si="161"/>
        <v>3.5001111598870593E-2</v>
      </c>
      <c r="L438">
        <f t="shared" si="150"/>
        <v>0.16429958126257196</v>
      </c>
      <c r="M438">
        <f t="shared" si="151"/>
        <v>0.19000222319774118</v>
      </c>
      <c r="N438">
        <f t="shared" si="152"/>
        <v>0.18810672091254943</v>
      </c>
      <c r="O438">
        <f t="shared" si="153"/>
        <v>0.15777779139792603</v>
      </c>
      <c r="P438">
        <f t="shared" si="166"/>
        <v>0.08</v>
      </c>
      <c r="Q438">
        <f t="shared" si="162"/>
        <v>0.08</v>
      </c>
      <c r="R438">
        <f t="shared" si="155"/>
        <v>0.08</v>
      </c>
      <c r="S438">
        <f t="shared" si="156"/>
        <v>0.06</v>
      </c>
      <c r="T438">
        <f t="shared" si="157"/>
        <v>0.1</v>
      </c>
      <c r="U438">
        <f t="shared" si="163"/>
        <v>0.08</v>
      </c>
      <c r="V438">
        <f t="shared" si="168"/>
        <v>0.18810672091254943</v>
      </c>
      <c r="W438">
        <f t="shared" si="164"/>
        <v>0.1641844251653623</v>
      </c>
      <c r="X438">
        <f t="shared" si="165"/>
        <v>0.2138561573303136</v>
      </c>
      <c r="Y438" t="b">
        <f t="shared" si="167"/>
        <v>0</v>
      </c>
    </row>
    <row xmlns:x14ac="http://schemas.microsoft.com/office/spreadsheetml/2009/9/ac" r="439" x14ac:dyDescent="0.45">
      <c r="A439">
        <v>2.1599999999999802</v>
      </c>
      <c r="B439">
        <f t="shared" si="145"/>
        <v>0.16300290209732296</v>
      </c>
      <c r="C439" t="b">
        <f t="shared" si="158"/>
        <v>1</v>
      </c>
      <c r="D439" t="b">
        <f t="shared" si="146"/>
        <v>1</v>
      </c>
      <c r="E439">
        <f t="shared" si="154"/>
        <v>2.1599999999999802</v>
      </c>
      <c r="F439">
        <f t="shared" si="159"/>
        <v>0.16300290209732296</v>
      </c>
      <c r="G439">
        <f t="shared" si="147"/>
        <v>0.2137609484665956</v>
      </c>
      <c r="H439">
        <f t="shared" si="148"/>
        <v>3.5001116191278062E-2</v>
      </c>
      <c r="I439" t="b">
        <f t="shared" si="160"/>
        <v>1</v>
      </c>
      <c r="J439">
        <f t="shared" si="149"/>
        <v>2.1599999999999802</v>
      </c>
      <c r="K439">
        <f t="shared" si="161"/>
        <v>3.5001116191278062E-2</v>
      </c>
      <c r="L439">
        <f t="shared" si="150"/>
        <v>0.16432801221963533</v>
      </c>
      <c r="M439">
        <f t="shared" si="151"/>
        <v>0.19000223238255615</v>
      </c>
      <c r="N439">
        <f t="shared" si="152"/>
        <v>0.1881071113018177</v>
      </c>
      <c r="O439">
        <f t="shared" si="153"/>
        <v>0.15777779143550408</v>
      </c>
      <c r="P439">
        <f t="shared" si="166"/>
        <v>0.08</v>
      </c>
      <c r="Q439">
        <f t="shared" si="162"/>
        <v>0.08</v>
      </c>
      <c r="R439">
        <f t="shared" si="155"/>
        <v>0.08</v>
      </c>
      <c r="S439">
        <f t="shared" si="156"/>
        <v>0.06</v>
      </c>
      <c r="T439">
        <f t="shared" si="157"/>
        <v>0.1</v>
      </c>
      <c r="U439">
        <f t="shared" si="163"/>
        <v>0.08</v>
      </c>
      <c r="V439">
        <f t="shared" si="168"/>
        <v>0.1881071113018177</v>
      </c>
      <c r="W439">
        <f t="shared" si="164"/>
        <v>0.16421343046585657</v>
      </c>
      <c r="X439">
        <f t="shared" si="165"/>
        <v>0.21383692466539239</v>
      </c>
      <c r="Y439" t="b">
        <f t="shared" si="167"/>
        <v>0</v>
      </c>
    </row>
    <row xmlns:x14ac="http://schemas.microsoft.com/office/spreadsheetml/2009/9/ac" r="440" x14ac:dyDescent="0.45">
      <c r="A440">
        <v>2.1649999999999801</v>
      </c>
      <c r="B440">
        <f t="shared" si="145"/>
        <v>0.16300289957261233</v>
      </c>
      <c r="C440" t="b">
        <f t="shared" si="158"/>
        <v>1</v>
      </c>
      <c r="D440" t="b">
        <f t="shared" si="146"/>
        <v>1</v>
      </c>
      <c r="E440">
        <f t="shared" si="154"/>
        <v>2.1649999999999801</v>
      </c>
      <c r="F440">
        <f t="shared" si="159"/>
        <v>0.16300289957261233</v>
      </c>
      <c r="G440">
        <f t="shared" si="147"/>
        <v>0.21374219065786321</v>
      </c>
      <c r="H440">
        <f t="shared" si="148"/>
        <v>3.500111522023551E-2</v>
      </c>
      <c r="I440" t="b">
        <f t="shared" si="160"/>
        <v>1</v>
      </c>
      <c r="J440">
        <f t="shared" si="149"/>
        <v>2.1649999999999801</v>
      </c>
      <c r="K440">
        <f t="shared" si="161"/>
        <v>3.500111522023551E-2</v>
      </c>
      <c r="L440">
        <f t="shared" si="150"/>
        <v>0.16435630137670876</v>
      </c>
      <c r="M440">
        <f t="shared" si="151"/>
        <v>0.19000223044047101</v>
      </c>
      <c r="N440">
        <f t="shared" si="152"/>
        <v>0.18810701128002411</v>
      </c>
      <c r="O440">
        <f t="shared" si="153"/>
        <v>0.15777779139701073</v>
      </c>
      <c r="P440">
        <f t="shared" si="166"/>
        <v>0.08</v>
      </c>
      <c r="Q440">
        <f t="shared" si="162"/>
        <v>0.08</v>
      </c>
      <c r="R440">
        <f t="shared" si="155"/>
        <v>0.08</v>
      </c>
      <c r="S440">
        <f t="shared" si="156"/>
        <v>0.06</v>
      </c>
      <c r="T440">
        <f t="shared" si="157"/>
        <v>0.1</v>
      </c>
      <c r="U440">
        <f t="shared" si="163"/>
        <v>0.08</v>
      </c>
      <c r="V440">
        <f t="shared" si="168"/>
        <v>0.18810701128002411</v>
      </c>
      <c r="W440">
        <f t="shared" si="164"/>
        <v>0.1642422911018111</v>
      </c>
      <c r="X440">
        <f t="shared" si="165"/>
        <v>0.21381778792378764</v>
      </c>
      <c r="Y440" t="b">
        <f t="shared" si="167"/>
        <v>0</v>
      </c>
    </row>
    <row xmlns:x14ac="http://schemas.microsoft.com/office/spreadsheetml/2009/9/ac" r="441" x14ac:dyDescent="0.45">
      <c r="A441">
        <v>2.1699999999999799</v>
      </c>
      <c r="B441">
        <f t="shared" si="145"/>
        <v>0.16300288330047388</v>
      </c>
      <c r="C441" t="b">
        <f t="shared" si="158"/>
        <v>1</v>
      </c>
      <c r="D441" t="b">
        <f t="shared" si="146"/>
        <v>1</v>
      </c>
      <c r="E441">
        <f t="shared" si="154"/>
        <v>2.1699999999999799</v>
      </c>
      <c r="F441">
        <f t="shared" si="159"/>
        <v>0.16300288330047388</v>
      </c>
      <c r="G441">
        <f t="shared" si="147"/>
        <v>0.21372352640409215</v>
      </c>
      <c r="H441">
        <f t="shared" si="148"/>
        <v>3.500110896172072E-2</v>
      </c>
      <c r="I441" t="b">
        <f t="shared" si="160"/>
        <v>1</v>
      </c>
      <c r="J441">
        <f t="shared" si="149"/>
        <v>2.1699999999999799</v>
      </c>
      <c r="K441">
        <f t="shared" si="161"/>
        <v>3.500110896172072E-2</v>
      </c>
      <c r="L441">
        <f t="shared" si="150"/>
        <v>0.16438444944102265</v>
      </c>
      <c r="M441">
        <f t="shared" si="151"/>
        <v>0.19000221792344146</v>
      </c>
      <c r="N441">
        <f t="shared" si="152"/>
        <v>0.18810643673835989</v>
      </c>
      <c r="O441">
        <f t="shared" si="153"/>
        <v>0.1577777912879377</v>
      </c>
      <c r="P441">
        <f t="shared" si="166"/>
        <v>0.08</v>
      </c>
      <c r="Q441">
        <f t="shared" si="162"/>
        <v>0.08</v>
      </c>
      <c r="R441">
        <f t="shared" si="155"/>
        <v>0.08</v>
      </c>
      <c r="S441">
        <f t="shared" si="156"/>
        <v>0.06</v>
      </c>
      <c r="T441">
        <f t="shared" si="157"/>
        <v>0.1</v>
      </c>
      <c r="U441">
        <f t="shared" si="163"/>
        <v>0.08</v>
      </c>
      <c r="V441">
        <f t="shared" si="168"/>
        <v>0.18810643673835989</v>
      </c>
      <c r="W441">
        <f t="shared" si="164"/>
        <v>0.1642710077947433</v>
      </c>
      <c r="X441">
        <f t="shared" si="165"/>
        <v>0.21379874662707982</v>
      </c>
      <c r="Y441" t="b">
        <f t="shared" si="167"/>
        <v>0</v>
      </c>
    </row>
    <row xmlns:x14ac="http://schemas.microsoft.com/office/spreadsheetml/2009/9/ac" r="442" x14ac:dyDescent="0.45">
      <c r="A442">
        <v>2.1749999999999798</v>
      </c>
      <c r="B442">
        <f t="shared" si="145"/>
        <v>0.16300285402921794</v>
      </c>
      <c r="C442" t="b">
        <f t="shared" si="158"/>
        <v>1</v>
      </c>
      <c r="D442" t="b">
        <f t="shared" si="146"/>
        <v>1</v>
      </c>
      <c r="E442">
        <f t="shared" si="154"/>
        <v>2.1749999999999798</v>
      </c>
      <c r="F442">
        <f t="shared" si="159"/>
        <v>0.16300285402921794</v>
      </c>
      <c r="G442">
        <f t="shared" si="147"/>
        <v>0.21370495523867511</v>
      </c>
      <c r="H442">
        <f t="shared" si="148"/>
        <v>3.5001097703545356E-2</v>
      </c>
      <c r="I442" t="b">
        <f t="shared" si="160"/>
        <v>1</v>
      </c>
      <c r="J442">
        <f t="shared" si="149"/>
        <v>2.1749999999999798</v>
      </c>
      <c r="K442">
        <f t="shared" si="161"/>
        <v>3.5001097703545356E-2</v>
      </c>
      <c r="L442">
        <f t="shared" si="150"/>
        <v>0.16441245711628008</v>
      </c>
      <c r="M442">
        <f t="shared" si="151"/>
        <v>0.19000219540709073</v>
      </c>
      <c r="N442">
        <f t="shared" si="152"/>
        <v>0.18810540518567881</v>
      </c>
      <c r="O442">
        <f t="shared" si="153"/>
        <v>0.15777779111377477</v>
      </c>
      <c r="P442">
        <f t="shared" si="166"/>
        <v>0.08</v>
      </c>
      <c r="Q442">
        <f t="shared" si="162"/>
        <v>0.08</v>
      </c>
      <c r="R442">
        <f t="shared" si="155"/>
        <v>0.08</v>
      </c>
      <c r="S442">
        <f t="shared" si="156"/>
        <v>0.06</v>
      </c>
      <c r="T442">
        <f t="shared" si="157"/>
        <v>0.1</v>
      </c>
      <c r="U442">
        <f t="shared" si="163"/>
        <v>0.08</v>
      </c>
      <c r="V442">
        <f t="shared" si="168"/>
        <v>0.18810540518567881</v>
      </c>
      <c r="W442">
        <f t="shared" si="164"/>
        <v>0.16429958126257196</v>
      </c>
      <c r="X442">
        <f t="shared" si="165"/>
        <v>0.21377980029923555</v>
      </c>
      <c r="Y442" t="b">
        <f t="shared" si="167"/>
        <v>0</v>
      </c>
    </row>
    <row xmlns:x14ac="http://schemas.microsoft.com/office/spreadsheetml/2009/9/ac" r="443" x14ac:dyDescent="0.45">
      <c r="A443">
        <v>2.1799999999999802</v>
      </c>
      <c r="B443">
        <f t="shared" si="145"/>
        <v>0.16300281253284252</v>
      </c>
      <c r="C443" t="b">
        <f t="shared" si="158"/>
        <v>1</v>
      </c>
      <c r="D443" t="b">
        <f t="shared" si="146"/>
        <v>1</v>
      </c>
      <c r="E443">
        <f t="shared" si="154"/>
        <v>2.1799999999999802</v>
      </c>
      <c r="F443">
        <f t="shared" si="159"/>
        <v>0.16300281253284252</v>
      </c>
      <c r="G443">
        <f t="shared" si="147"/>
        <v>0.21368647669733204</v>
      </c>
      <c r="H443">
        <f t="shared" si="148"/>
        <v>3.5001081743400969E-2</v>
      </c>
      <c r="I443" t="b">
        <f t="shared" si="160"/>
        <v>1</v>
      </c>
      <c r="J443">
        <f t="shared" si="149"/>
        <v>2.1799999999999802</v>
      </c>
      <c r="K443">
        <f t="shared" si="161"/>
        <v>3.5001081743400969E-2</v>
      </c>
      <c r="L443">
        <f t="shared" si="150"/>
        <v>0.16444032510267442</v>
      </c>
      <c r="M443">
        <f t="shared" si="151"/>
        <v>0.19000216348680193</v>
      </c>
      <c r="N443">
        <f t="shared" si="152"/>
        <v>0.18810393561939673</v>
      </c>
      <c r="O443">
        <f t="shared" si="153"/>
        <v>0.1577777908799804</v>
      </c>
      <c r="P443">
        <f t="shared" si="166"/>
        <v>0.08</v>
      </c>
      <c r="Q443">
        <f t="shared" si="162"/>
        <v>0.08</v>
      </c>
      <c r="R443">
        <f t="shared" si="155"/>
        <v>0.08</v>
      </c>
      <c r="S443">
        <f t="shared" si="156"/>
        <v>0.06</v>
      </c>
      <c r="T443">
        <f t="shared" si="157"/>
        <v>0.1</v>
      </c>
      <c r="U443">
        <f t="shared" si="163"/>
        <v>0.08</v>
      </c>
      <c r="V443">
        <f t="shared" si="168"/>
        <v>0.18810393561939673</v>
      </c>
      <c r="W443">
        <f t="shared" si="164"/>
        <v>0.16432801221963533</v>
      </c>
      <c r="X443">
        <f t="shared" si="165"/>
        <v>0.2137609484665956</v>
      </c>
      <c r="Y443" t="b">
        <f t="shared" si="167"/>
        <v>0</v>
      </c>
    </row>
    <row xmlns:x14ac="http://schemas.microsoft.com/office/spreadsheetml/2009/9/ac" r="444" x14ac:dyDescent="0.45">
      <c r="A444">
        <v>2.1849999999999801</v>
      </c>
      <c r="B444">
        <f t="shared" si="145"/>
        <v>0.16300275960607824</v>
      </c>
      <c r="C444" t="b">
        <f t="shared" si="158"/>
        <v>1</v>
      </c>
      <c r="D444" t="b">
        <f t="shared" si="146"/>
        <v>1</v>
      </c>
      <c r="E444">
        <f t="shared" si="154"/>
        <v>2.1849999999999801</v>
      </c>
      <c r="F444">
        <f t="shared" si="159"/>
        <v>0.16300275960607824</v>
      </c>
      <c r="G444">
        <f t="shared" si="147"/>
        <v>0.21366809031809841</v>
      </c>
      <c r="H444">
        <f t="shared" si="148"/>
        <v>3.5001061386953178E-2</v>
      </c>
      <c r="I444" t="b">
        <f t="shared" si="160"/>
        <v>1</v>
      </c>
      <c r="J444">
        <f t="shared" si="149"/>
        <v>2.1849999999999801</v>
      </c>
      <c r="K444">
        <f t="shared" si="161"/>
        <v>3.5001061386953178E-2</v>
      </c>
      <c r="L444">
        <f t="shared" si="150"/>
        <v>0.16446805409690674</v>
      </c>
      <c r="M444">
        <f t="shared" si="151"/>
        <v>0.19000212277390635</v>
      </c>
      <c r="N444">
        <f t="shared" si="152"/>
        <v>0.18810204839381212</v>
      </c>
      <c r="O444">
        <f t="shared" si="153"/>
        <v>0.15777779059195468</v>
      </c>
      <c r="P444">
        <f t="shared" si="166"/>
        <v>0.08</v>
      </c>
      <c r="Q444">
        <f t="shared" si="162"/>
        <v>0.08</v>
      </c>
      <c r="R444">
        <f t="shared" si="155"/>
        <v>0.08</v>
      </c>
      <c r="S444">
        <f t="shared" si="156"/>
        <v>0.06</v>
      </c>
      <c r="T444">
        <f t="shared" si="157"/>
        <v>0.1</v>
      </c>
      <c r="U444">
        <f t="shared" si="163"/>
        <v>0.08</v>
      </c>
      <c r="V444">
        <f t="shared" si="168"/>
        <v>0.18810204839381212</v>
      </c>
      <c r="W444">
        <f t="shared" si="164"/>
        <v>0.16435630137670876</v>
      </c>
      <c r="X444">
        <f t="shared" si="165"/>
        <v>0.21374219065786321</v>
      </c>
      <c r="Y444" t="b">
        <f t="shared" si="167"/>
        <v>0</v>
      </c>
    </row>
    <row xmlns:x14ac="http://schemas.microsoft.com/office/spreadsheetml/2009/9/ac" r="445" x14ac:dyDescent="0.45">
      <c r="A445">
        <v>2.18999999999998</v>
      </c>
      <c r="B445">
        <f t="shared" si="145"/>
        <v>0.16300269605957513</v>
      </c>
      <c r="C445" t="b">
        <f t="shared" si="158"/>
        <v>1</v>
      </c>
      <c r="D445" t="b">
        <f t="shared" si="146"/>
        <v>1</v>
      </c>
      <c r="E445">
        <f t="shared" si="154"/>
        <v>2.18999999999998</v>
      </c>
      <c r="F445">
        <f t="shared" si="159"/>
        <v>0.16300269605957513</v>
      </c>
      <c r="G445">
        <f t="shared" si="147"/>
        <v>0.21364979564131381</v>
      </c>
      <c r="H445">
        <f t="shared" si="148"/>
        <v>3.5001036945990438E-2</v>
      </c>
      <c r="I445" t="b">
        <f t="shared" si="160"/>
        <v>1</v>
      </c>
      <c r="J445">
        <f t="shared" si="149"/>
        <v>2.18999999999998</v>
      </c>
      <c r="K445">
        <f t="shared" si="161"/>
        <v>3.5001036945990438E-2</v>
      </c>
      <c r="L445">
        <f t="shared" si="150"/>
        <v>0.16449564479220335</v>
      </c>
      <c r="M445">
        <f t="shared" si="151"/>
        <v>0.19000207389198087</v>
      </c>
      <c r="N445">
        <f t="shared" si="152"/>
        <v>0.1880997650865171</v>
      </c>
      <c r="O445">
        <f t="shared" si="153"/>
        <v>0.15777779025501421</v>
      </c>
      <c r="P445">
        <f t="shared" si="166"/>
        <v>0.08</v>
      </c>
      <c r="Q445">
        <f t="shared" si="162"/>
        <v>0.08</v>
      </c>
      <c r="R445">
        <f t="shared" si="155"/>
        <v>0.08</v>
      </c>
      <c r="S445">
        <f t="shared" si="156"/>
        <v>0.06</v>
      </c>
      <c r="T445">
        <f t="shared" si="157"/>
        <v>0.1</v>
      </c>
      <c r="U445">
        <f t="shared" si="163"/>
        <v>0.08</v>
      </c>
      <c r="V445">
        <f t="shared" si="168"/>
        <v>0.1880997650865171</v>
      </c>
      <c r="W445">
        <f t="shared" si="164"/>
        <v>0.16438444944102265</v>
      </c>
      <c r="X445">
        <f t="shared" si="165"/>
        <v>0.21372352640409215</v>
      </c>
      <c r="Y445" t="b">
        <f t="shared" si="167"/>
        <v>0</v>
      </c>
    </row>
    <row xmlns:x14ac="http://schemas.microsoft.com/office/spreadsheetml/2009/9/ac" r="446" x14ac:dyDescent="0.45">
      <c r="A446">
        <v>2.1949999999999799</v>
      </c>
      <c r="B446">
        <f t="shared" si="145"/>
        <v>0.16300262271524862</v>
      </c>
      <c r="C446" t="b">
        <f t="shared" si="158"/>
        <v>1</v>
      </c>
      <c r="D446" t="b">
        <f t="shared" si="146"/>
        <v>1</v>
      </c>
      <c r="E446">
        <f t="shared" si="154"/>
        <v>2.1949999999999799</v>
      </c>
      <c r="F446">
        <f t="shared" si="159"/>
        <v>0.16300262271524862</v>
      </c>
      <c r="G446">
        <f t="shared" si="147"/>
        <v>0.21363159220961025</v>
      </c>
      <c r="H446">
        <f t="shared" si="148"/>
        <v>3.5001008736634087E-2</v>
      </c>
      <c r="I446" t="b">
        <f t="shared" si="160"/>
        <v>1</v>
      </c>
      <c r="J446">
        <f t="shared" si="149"/>
        <v>2.1949999999999799</v>
      </c>
      <c r="K446">
        <f t="shared" si="161"/>
        <v>3.5001008736634087E-2</v>
      </c>
      <c r="L446">
        <f t="shared" si="150"/>
        <v>0.16452309787833314</v>
      </c>
      <c r="M446">
        <f t="shared" si="151"/>
        <v>0.19000201747326817</v>
      </c>
      <c r="N446">
        <f t="shared" si="152"/>
        <v>0.1880971083635552</v>
      </c>
      <c r="O446">
        <f t="shared" si="153"/>
        <v>0.15777778987436936</v>
      </c>
      <c r="P446">
        <f t="shared" si="166"/>
        <v>0.08</v>
      </c>
      <c r="Q446">
        <f t="shared" si="162"/>
        <v>0.08</v>
      </c>
      <c r="R446">
        <f t="shared" si="155"/>
        <v>0.08</v>
      </c>
      <c r="S446">
        <f t="shared" si="156"/>
        <v>0.06</v>
      </c>
      <c r="T446">
        <f t="shared" si="157"/>
        <v>0.1</v>
      </c>
      <c r="U446">
        <f t="shared" si="163"/>
        <v>0.08</v>
      </c>
      <c r="V446">
        <f t="shared" si="168"/>
        <v>0.1880971083635552</v>
      </c>
      <c r="W446">
        <f t="shared" si="164"/>
        <v>0.16441245711628008</v>
      </c>
      <c r="X446">
        <f t="shared" si="165"/>
        <v>0.21370495523867511</v>
      </c>
      <c r="Y446" t="b">
        <f t="shared" si="167"/>
        <v>0</v>
      </c>
    </row>
    <row xmlns:x14ac="http://schemas.microsoft.com/office/spreadsheetml/2009/9/ac" r="447" x14ac:dyDescent="0.45">
      <c r="A447">
        <v>2.1999999999999802</v>
      </c>
      <c r="B447">
        <f t="shared" si="145"/>
        <v>0.16300254040179826</v>
      </c>
      <c r="C447" t="b">
        <f t="shared" si="158"/>
        <v>1</v>
      </c>
      <c r="D447" t="b">
        <f t="shared" si="146"/>
        <v>1</v>
      </c>
      <c r="E447">
        <f t="shared" si="154"/>
        <v>2.1999999999999802</v>
      </c>
      <c r="F447">
        <f t="shared" si="159"/>
        <v>0.16300254040179826</v>
      </c>
      <c r="G447">
        <f t="shared" si="147"/>
        <v>0.21361347956790117</v>
      </c>
      <c r="H447">
        <f t="shared" si="148"/>
        <v>3.5000977077614723E-2</v>
      </c>
      <c r="I447" t="b">
        <f t="shared" si="160"/>
        <v>1</v>
      </c>
      <c r="J447">
        <f t="shared" si="149"/>
        <v>2.1999999999999802</v>
      </c>
      <c r="K447">
        <f t="shared" si="161"/>
        <v>3.5000977077614723E-2</v>
      </c>
      <c r="L447">
        <f t="shared" si="150"/>
        <v>0.16455041404162457</v>
      </c>
      <c r="M447">
        <f t="shared" si="151"/>
        <v>0.19000195415522944</v>
      </c>
      <c r="N447">
        <f t="shared" si="152"/>
        <v>0.18809410184396688</v>
      </c>
      <c r="O447">
        <f t="shared" si="153"/>
        <v>0.15777778945510362</v>
      </c>
      <c r="P447">
        <f t="shared" si="166"/>
        <v>0.08</v>
      </c>
      <c r="Q447">
        <f t="shared" si="162"/>
        <v>0.08</v>
      </c>
      <c r="R447">
        <f t="shared" si="155"/>
        <v>0.08</v>
      </c>
      <c r="S447">
        <f t="shared" si="156"/>
        <v>0.06</v>
      </c>
      <c r="T447">
        <f t="shared" si="157"/>
        <v>0.1</v>
      </c>
      <c r="U447">
        <f t="shared" si="163"/>
        <v>0.08</v>
      </c>
      <c r="V447">
        <f t="shared" si="168"/>
        <v>0.18809410184396688</v>
      </c>
      <c r="W447">
        <f t="shared" si="164"/>
        <v>0.16444032510267442</v>
      </c>
      <c r="X447">
        <f t="shared" si="165"/>
        <v>0.21368647669733204</v>
      </c>
      <c r="Y447" t="b">
        <f t="shared" si="167"/>
        <v>0</v>
      </c>
    </row>
    <row xmlns:x14ac="http://schemas.microsoft.com/office/spreadsheetml/2009/9/ac" r="448" x14ac:dyDescent="0.45">
      <c r="A448">
        <v>2.2049999999999801</v>
      </c>
      <c r="B448">
        <f t="shared" si="145"/>
        <v>0.16300244995041266</v>
      </c>
      <c r="C448" t="b">
        <f t="shared" si="158"/>
        <v>1</v>
      </c>
      <c r="D448" t="b">
        <f t="shared" si="146"/>
        <v>1</v>
      </c>
      <c r="E448">
        <f t="shared" si="154"/>
        <v>2.2049999999999801</v>
      </c>
      <c r="F448">
        <f t="shared" si="159"/>
        <v>0.16300244995041266</v>
      </c>
      <c r="G448">
        <f t="shared" si="147"/>
        <v>0.21359545726336943</v>
      </c>
      <c r="H448">
        <f t="shared" si="148"/>
        <v>3.500094228862026E-2</v>
      </c>
      <c r="I448" t="b">
        <f t="shared" si="160"/>
        <v>1</v>
      </c>
      <c r="J448">
        <f t="shared" si="149"/>
        <v>2.2049999999999801</v>
      </c>
      <c r="K448">
        <f t="shared" si="161"/>
        <v>3.500094228862026E-2</v>
      </c>
      <c r="L448">
        <f t="shared" si="150"/>
        <v>0.16457759396498325</v>
      </c>
      <c r="M448">
        <f t="shared" si="151"/>
        <v>0.19000188457724052</v>
      </c>
      <c r="N448">
        <f t="shared" si="152"/>
        <v>0.18809076996434748</v>
      </c>
      <c r="O448">
        <f t="shared" si="153"/>
        <v>0.15777778900215503</v>
      </c>
      <c r="P448">
        <f t="shared" si="166"/>
        <v>0.08</v>
      </c>
      <c r="Q448">
        <f t="shared" si="162"/>
        <v>0.08</v>
      </c>
      <c r="R448">
        <f t="shared" si="155"/>
        <v>0.08</v>
      </c>
      <c r="S448">
        <f t="shared" si="156"/>
        <v>0.06</v>
      </c>
      <c r="T448">
        <f t="shared" si="157"/>
        <v>0.1</v>
      </c>
      <c r="U448">
        <f t="shared" si="163"/>
        <v>0.08</v>
      </c>
      <c r="V448">
        <f t="shared" si="168"/>
        <v>0.18809076996434748</v>
      </c>
      <c r="W448">
        <f t="shared" si="164"/>
        <v>0.16446805409690674</v>
      </c>
      <c r="X448">
        <f t="shared" si="165"/>
        <v>0.21366809031809841</v>
      </c>
      <c r="Y448" t="b">
        <f t="shared" si="167"/>
        <v>0</v>
      </c>
    </row>
    <row xmlns:x14ac="http://schemas.microsoft.com/office/spreadsheetml/2009/9/ac" r="449" x14ac:dyDescent="0.45">
      <c r="A449">
        <v>2.20999999999998</v>
      </c>
      <c r="B449">
        <f t="shared" si="145"/>
        <v>0.16300235219067197</v>
      </c>
      <c r="C449" t="b">
        <f t="shared" si="158"/>
        <v>1</v>
      </c>
      <c r="D449" t="b">
        <f t="shared" si="146"/>
        <v>1</v>
      </c>
      <c r="E449">
        <f t="shared" si="154"/>
        <v>2.20999999999998</v>
      </c>
      <c r="F449">
        <f t="shared" si="159"/>
        <v>0.16300235219067197</v>
      </c>
      <c r="G449">
        <f t="shared" si="147"/>
        <v>0.21357752484545656</v>
      </c>
      <c r="H449">
        <f t="shared" si="148"/>
        <v>3.5000904688719983E-2</v>
      </c>
      <c r="I449" t="b">
        <f t="shared" si="160"/>
        <v>1</v>
      </c>
      <c r="J449">
        <f t="shared" si="149"/>
        <v>2.20999999999998</v>
      </c>
      <c r="K449">
        <f t="shared" si="161"/>
        <v>3.5000904688719983E-2</v>
      </c>
      <c r="L449">
        <f t="shared" si="150"/>
        <v>0.16460463832790861</v>
      </c>
      <c r="M449">
        <f t="shared" si="151"/>
        <v>0.19000180937743999</v>
      </c>
      <c r="N449">
        <f t="shared" si="152"/>
        <v>0.18808713784402104</v>
      </c>
      <c r="O449">
        <f t="shared" si="153"/>
        <v>0.15777778852029978</v>
      </c>
      <c r="P449">
        <f t="shared" si="166"/>
        <v>0.08</v>
      </c>
      <c r="Q449">
        <f t="shared" si="162"/>
        <v>0.08</v>
      </c>
      <c r="R449">
        <f t="shared" si="155"/>
        <v>0.08</v>
      </c>
      <c r="S449">
        <f t="shared" si="156"/>
        <v>0.06</v>
      </c>
      <c r="T449">
        <f t="shared" si="157"/>
        <v>0.1</v>
      </c>
      <c r="U449">
        <f t="shared" si="163"/>
        <v>0.08</v>
      </c>
      <c r="V449">
        <f t="shared" si="168"/>
        <v>0.18808713784402104</v>
      </c>
      <c r="W449">
        <f t="shared" si="164"/>
        <v>0.16449564479220335</v>
      </c>
      <c r="X449">
        <f t="shared" si="165"/>
        <v>0.21364979564131381</v>
      </c>
      <c r="Y449" t="b">
        <f t="shared" si="167"/>
        <v>0</v>
      </c>
    </row>
    <row xmlns:x14ac="http://schemas.microsoft.com/office/spreadsheetml/2009/9/ac" r="450" x14ac:dyDescent="0.45">
      <c r="A450">
        <v>2.2149999999999799</v>
      </c>
      <c r="B450">
        <f t="shared" si="145"/>
        <v>0.16300224794665788</v>
      </c>
      <c r="C450" t="b">
        <f t="shared" si="158"/>
        <v>1</v>
      </c>
      <c r="D450" t="b">
        <f t="shared" si="146"/>
        <v>1</v>
      </c>
      <c r="E450">
        <f t="shared" si="154"/>
        <v>2.2149999999999799</v>
      </c>
      <c r="F450">
        <f t="shared" si="159"/>
        <v>0.16300224794665788</v>
      </c>
      <c r="G450">
        <f t="shared" si="147"/>
        <v>0.21355968186585117</v>
      </c>
      <c r="H450">
        <f t="shared" si="148"/>
        <v>3.5000864594868411E-2</v>
      </c>
      <c r="I450" t="b">
        <f t="shared" si="160"/>
        <v>1</v>
      </c>
      <c r="J450">
        <f t="shared" si="149"/>
        <v>2.2149999999999799</v>
      </c>
      <c r="K450">
        <f t="shared" si="161"/>
        <v>3.5000864594868411E-2</v>
      </c>
      <c r="L450">
        <f t="shared" si="150"/>
        <v>0.16463154780651118</v>
      </c>
      <c r="M450">
        <f t="shared" si="151"/>
        <v>0.19000172918973685</v>
      </c>
      <c r="N450">
        <f t="shared" si="152"/>
        <v>0.18808323115141298</v>
      </c>
      <c r="O450">
        <f t="shared" si="153"/>
        <v>0.15777778801413778</v>
      </c>
      <c r="P450">
        <f t="shared" si="166"/>
        <v>0.08</v>
      </c>
      <c r="Q450">
        <f t="shared" si="162"/>
        <v>0.08</v>
      </c>
      <c r="R450">
        <f t="shared" si="155"/>
        <v>0.08</v>
      </c>
      <c r="S450">
        <f t="shared" si="156"/>
        <v>0.06</v>
      </c>
      <c r="T450">
        <f t="shared" si="157"/>
        <v>0.1</v>
      </c>
      <c r="U450">
        <f t="shared" si="163"/>
        <v>0.08</v>
      </c>
      <c r="V450">
        <f t="shared" si="168"/>
        <v>0.18808323115141298</v>
      </c>
      <c r="W450">
        <f t="shared" si="164"/>
        <v>0.16452309787833314</v>
      </c>
      <c r="X450">
        <f t="shared" si="165"/>
        <v>0.21363159220961025</v>
      </c>
      <c r="Y450" t="b">
        <f t="shared" si="167"/>
        <v>0</v>
      </c>
    </row>
    <row xmlns:x14ac="http://schemas.microsoft.com/office/spreadsheetml/2009/9/ac" r="451" x14ac:dyDescent="0.45">
      <c r="A451">
        <v>2.2199999999999802</v>
      </c>
      <c r="B451">
        <f t="shared" si="145"/>
        <v>0.1630021380332797</v>
      </c>
      <c r="C451" t="b">
        <f t="shared" si="158"/>
        <v>1</v>
      </c>
      <c r="D451" t="b">
        <f t="shared" si="146"/>
        <v>1</v>
      </c>
      <c r="E451">
        <f t="shared" si="154"/>
        <v>2.2199999999999802</v>
      </c>
      <c r="F451">
        <f t="shared" si="159"/>
        <v>0.1630021380332797</v>
      </c>
      <c r="G451">
        <f t="shared" si="147"/>
        <v>0.21354192787847776</v>
      </c>
      <c r="H451">
        <f t="shared" si="148"/>
        <v>3.5000822320492189E-2</v>
      </c>
      <c r="I451" t="b">
        <f t="shared" si="160"/>
        <v>1</v>
      </c>
      <c r="J451">
        <f t="shared" si="149"/>
        <v>2.2199999999999802</v>
      </c>
      <c r="K451">
        <f t="shared" si="161"/>
        <v>3.5000822320492189E-2</v>
      </c>
      <c r="L451">
        <f t="shared" si="150"/>
        <v>0.16465832307352929</v>
      </c>
      <c r="M451">
        <f t="shared" si="151"/>
        <v>0.1900016446409844</v>
      </c>
      <c r="N451">
        <f t="shared" si="152"/>
        <v>0.18807907597217993</v>
      </c>
      <c r="O451">
        <f t="shared" si="153"/>
        <v>0.15777778748808008</v>
      </c>
      <c r="P451">
        <f t="shared" si="166"/>
        <v>0.08</v>
      </c>
      <c r="Q451">
        <f t="shared" si="162"/>
        <v>0.08</v>
      </c>
      <c r="R451">
        <f t="shared" si="155"/>
        <v>0.08</v>
      </c>
      <c r="S451">
        <f t="shared" si="156"/>
        <v>0.06</v>
      </c>
      <c r="T451">
        <f t="shared" si="157"/>
        <v>0.1</v>
      </c>
      <c r="U451">
        <f t="shared" si="163"/>
        <v>0.08</v>
      </c>
      <c r="V451">
        <f t="shared" si="168"/>
        <v>0.18807907597217993</v>
      </c>
      <c r="W451">
        <f t="shared" si="164"/>
        <v>0.16455041404162457</v>
      </c>
      <c r="X451">
        <f t="shared" si="165"/>
        <v>0.21361347956790117</v>
      </c>
      <c r="Y451" t="b">
        <f t="shared" si="167"/>
        <v>0</v>
      </c>
    </row>
    <row xmlns:x14ac="http://schemas.microsoft.com/office/spreadsheetml/2009/9/ac" r="452" x14ac:dyDescent="0.45">
      <c r="A452">
        <v>2.2249999999999801</v>
      </c>
      <c r="B452">
        <f t="shared" si="145"/>
        <v>0.1630020232528234</v>
      </c>
      <c r="C452" t="b">
        <f t="shared" si="158"/>
        <v>1</v>
      </c>
      <c r="D452" t="b">
        <f t="shared" si="146"/>
        <v>1</v>
      </c>
      <c r="E452">
        <f t="shared" si="154"/>
        <v>2.2249999999999801</v>
      </c>
      <c r="F452">
        <f t="shared" si="159"/>
        <v>0.1630020232528234</v>
      </c>
      <c r="G452">
        <f t="shared" si="147"/>
        <v>0.21352426243948586</v>
      </c>
      <c r="H452">
        <f t="shared" si="148"/>
        <v>3.5000778174162847E-2</v>
      </c>
      <c r="I452" t="b">
        <f t="shared" si="160"/>
        <v>1</v>
      </c>
      <c r="J452">
        <f t="shared" si="149"/>
        <v>2.2249999999999801</v>
      </c>
      <c r="K452">
        <f t="shared" si="161"/>
        <v>3.5000778174162847E-2</v>
      </c>
      <c r="L452">
        <f t="shared" si="150"/>
        <v>0.16468496479834605</v>
      </c>
      <c r="M452">
        <f t="shared" si="151"/>
        <v>0.19000155634832572</v>
      </c>
      <c r="N452">
        <f t="shared" si="152"/>
        <v>0.18807469867963011</v>
      </c>
      <c r="O452">
        <f t="shared" si="153"/>
        <v>0.15777778694633829</v>
      </c>
      <c r="P452">
        <f t="shared" si="166"/>
        <v>0.08</v>
      </c>
      <c r="Q452">
        <f t="shared" si="162"/>
        <v>0.08</v>
      </c>
      <c r="R452">
        <f t="shared" si="155"/>
        <v>0.08</v>
      </c>
      <c r="S452">
        <f t="shared" si="156"/>
        <v>0.06</v>
      </c>
      <c r="T452">
        <f t="shared" si="157"/>
        <v>0.1</v>
      </c>
      <c r="U452">
        <f t="shared" si="163"/>
        <v>0.08</v>
      </c>
      <c r="V452">
        <f t="shared" si="168"/>
        <v>0.18807469867963011</v>
      </c>
      <c r="W452">
        <f t="shared" si="164"/>
        <v>0.16457759396498325</v>
      </c>
      <c r="X452">
        <f t="shared" si="165"/>
        <v>0.21359545726336943</v>
      </c>
      <c r="Y452" t="b">
        <f t="shared" si="167"/>
        <v>0</v>
      </c>
    </row>
    <row xmlns:x14ac="http://schemas.microsoft.com/office/spreadsheetml/2009/9/ac" r="453" x14ac:dyDescent="0.45">
      <c r="A453">
        <v>2.22999999999998</v>
      </c>
      <c r="B453">
        <f t="shared" si="145"/>
        <v>0.16300190439172954</v>
      </c>
      <c r="C453" t="b">
        <f t="shared" si="158"/>
        <v>1</v>
      </c>
      <c r="D453" t="b">
        <f t="shared" si="146"/>
        <v>1</v>
      </c>
      <c r="E453">
        <f t="shared" si="154"/>
        <v>2.22999999999998</v>
      </c>
      <c r="F453">
        <f t="shared" si="159"/>
        <v>0.16300190439172954</v>
      </c>
      <c r="G453">
        <f t="shared" si="147"/>
        <v>0.21350668510723847</v>
      </c>
      <c r="H453">
        <f t="shared" si="148"/>
        <v>3.5000732458357511E-2</v>
      </c>
      <c r="I453" t="b">
        <f t="shared" si="160"/>
        <v>1</v>
      </c>
      <c r="J453">
        <f t="shared" si="149"/>
        <v>2.22999999999998</v>
      </c>
      <c r="K453">
        <f t="shared" si="161"/>
        <v>3.5000732458357511E-2</v>
      </c>
      <c r="L453">
        <f t="shared" si="150"/>
        <v>0.16471147364700589</v>
      </c>
      <c r="M453">
        <f t="shared" si="151"/>
        <v>0.19000146491671505</v>
      </c>
      <c r="N453">
        <f t="shared" si="152"/>
        <v>0.18807012580794114</v>
      </c>
      <c r="O453">
        <f t="shared" si="153"/>
        <v>0.1577777863929159</v>
      </c>
      <c r="P453">
        <f t="shared" si="166"/>
        <v>0.08</v>
      </c>
      <c r="Q453">
        <f t="shared" si="162"/>
        <v>0.08</v>
      </c>
      <c r="R453">
        <f t="shared" si="155"/>
        <v>0.08</v>
      </c>
      <c r="S453">
        <f t="shared" si="156"/>
        <v>0.06</v>
      </c>
      <c r="T453">
        <f t="shared" si="157"/>
        <v>0.1</v>
      </c>
      <c r="U453">
        <f t="shared" si="163"/>
        <v>0.08</v>
      </c>
      <c r="V453">
        <f t="shared" si="168"/>
        <v>0.18807012580794114</v>
      </c>
      <c r="W453">
        <f t="shared" si="164"/>
        <v>0.16460463832790861</v>
      </c>
      <c r="X453">
        <f t="shared" si="165"/>
        <v>0.21357752484545656</v>
      </c>
      <c r="Y453" t="b">
        <f t="shared" si="167"/>
        <v>0</v>
      </c>
    </row>
    <row xmlns:x14ac="http://schemas.microsoft.com/office/spreadsheetml/2009/9/ac" r="454" x14ac:dyDescent="0.45">
      <c r="A454">
        <v>2.2349999999999799</v>
      </c>
      <c r="B454">
        <f t="shared" si="145"/>
        <v>0.1630017822176037</v>
      </c>
      <c r="C454" t="b">
        <f t="shared" si="158"/>
        <v>1</v>
      </c>
      <c r="D454" t="b">
        <f t="shared" si="146"/>
        <v>1</v>
      </c>
      <c r="E454">
        <f t="shared" si="154"/>
        <v>2.2349999999999799</v>
      </c>
      <c r="F454">
        <f t="shared" si="159"/>
        <v>0.1630017822176037</v>
      </c>
      <c r="G454">
        <f t="shared" si="147"/>
        <v>0.21348919544230138</v>
      </c>
      <c r="H454">
        <f t="shared" si="148"/>
        <v>3.5000685468309117E-2</v>
      </c>
      <c r="I454" t="b">
        <f t="shared" si="160"/>
        <v>1</v>
      </c>
      <c r="J454">
        <f t="shared" si="149"/>
        <v>2.2349999999999799</v>
      </c>
      <c r="K454">
        <f t="shared" si="161"/>
        <v>3.5000685468309117E-2</v>
      </c>
      <c r="L454">
        <f t="shared" si="150"/>
        <v>0.16473785028223153</v>
      </c>
      <c r="M454">
        <f t="shared" si="151"/>
        <v>0.19000137093661823</v>
      </c>
      <c r="N454">
        <f t="shared" si="152"/>
        <v>0.18806538392865177</v>
      </c>
      <c r="O454">
        <f t="shared" si="153"/>
        <v>0.15777778583160096</v>
      </c>
      <c r="P454">
        <f t="shared" si="166"/>
        <v>0.08</v>
      </c>
      <c r="Q454">
        <f t="shared" si="162"/>
        <v>0.08</v>
      </c>
      <c r="R454">
        <f t="shared" si="155"/>
        <v>0.08</v>
      </c>
      <c r="S454">
        <f t="shared" si="156"/>
        <v>0.06</v>
      </c>
      <c r="T454">
        <f t="shared" si="157"/>
        <v>0.1</v>
      </c>
      <c r="U454">
        <f t="shared" si="163"/>
        <v>0.08</v>
      </c>
      <c r="V454">
        <f t="shared" si="168"/>
        <v>0.18806538392865177</v>
      </c>
      <c r="W454">
        <f t="shared" si="164"/>
        <v>0.16463154780651118</v>
      </c>
      <c r="X454">
        <f t="shared" si="165"/>
        <v>0.21355968186585117</v>
      </c>
      <c r="Y454" t="b">
        <f t="shared" si="167"/>
        <v>0</v>
      </c>
    </row>
    <row xmlns:x14ac="http://schemas.microsoft.com/office/spreadsheetml/2009/9/ac" r="455" x14ac:dyDescent="0.45">
      <c r="A455">
        <v>2.2399999999999798</v>
      </c>
      <c r="B455">
        <f t="shared" ref="B455:B518" si="169">-(1+Marge_haute)*(A+B/Tpll*EXP(-$A455/Tpll)+C_*EXP(-epsilon*Wn*$A455)*COS(Wd*$A455)+C_*(D/C_-epsilon*Wn)/Wd*EXP(-epsilon*Wn*$A455)*SIN(Wd*$A455))+SIGN(DeltaPexpected)*Tunnel</f>
        <v>0.16300165747646347</v>
      </c>
      <c r="C455" t="b">
        <f t="shared" si="158"/>
        <v>1</v>
      </c>
      <c r="D455" t="b">
        <f t="shared" ref="D455:D518" si="170">IF(D454,D454,IF(C455,B455&gt;B454,C455))</f>
        <v>1</v>
      </c>
      <c r="E455">
        <f t="shared" si="154"/>
        <v>2.2399999999999798</v>
      </c>
      <c r="F455">
        <f t="shared" si="159"/>
        <v>0.16300165747646347</v>
      </c>
      <c r="G455">
        <f t="shared" ref="G455:G518" si="171">P0-SIGN(Rocof)*IF(D455,DeltaPexpected+SIGN(DeltaPexpected)*Tunnel+(MIN(F$7:F$1495)-DeltaPexpected-+SIGN(DeltaPexpected)*Tunnel)*EXP(-(A455-MIN(E$7:E$1495))/Texpodecrease),B455)</f>
        <v>0.21347179300743213</v>
      </c>
      <c r="H455">
        <f t="shared" ref="H455:H518" si="172">-(1-marge_basse)*(A+B/Tpll*EXP(-$A455/Tpll)+C_*EXP(-epsilon*Wn*$A455)*COS(Wd*$A455)+C_*(D/C_-epsilon*Wn)/Wd*EXP(-epsilon*Wn*$A455)*SIN(Wd*$A455))-Tunnel</f>
        <v>3.5000637490947492E-2</v>
      </c>
      <c r="I455" t="b">
        <f t="shared" si="160"/>
        <v>1</v>
      </c>
      <c r="J455">
        <f t="shared" ref="J455:J518" si="173">IF(I455,A455,I455)</f>
        <v>2.2399999999999798</v>
      </c>
      <c r="K455">
        <f t="shared" si="161"/>
        <v>3.5000637490947492E-2</v>
      </c>
      <c r="L455">
        <f t="shared" ref="L455:L518" si="174">P0-SIGN(Rocof)*IF(I455,AF$23-AF$13+(MAX(K$7:K$1495)-AF$23+AF$13)*EXP(-(A455-MIN(J$7:J$1495))/AB$21),H455)</f>
        <v>0.16476409536344011</v>
      </c>
      <c r="M455">
        <f t="shared" ref="M455:M518" si="175">P0-(1)*(A+B/Tpll*EXP(-$A455/Tpll)+C_*EXP(-epsilon*Wn*$A455)*COS(Wd*$A455)+C_*(D/C_-epsilon*Wn)/Wd*EXP(-epsilon*Wn*$A455)*SIN(Wd*$A455))</f>
        <v>0.19000127498189498</v>
      </c>
      <c r="N455">
        <f t="shared" ref="N455:N518" si="176">AB$6-(AG$17+AG$16/AC$18*EXP(-$A455/AC$18)+AG$18*EXP(-AG$6*AG$12*$A455)*COS(AG$5*$A455)+AG$18*(AG$19/AG$18-AG$6*AG$12)/AG$5*EXP(-AG$6*AG$12*$A455)*SIN(AG$5*$A455))</f>
        <v>0.18806049953087725</v>
      </c>
      <c r="O455">
        <f t="shared" ref="O455:O518" si="177">AB$6-(AH$17+AH$16/AD$18*EXP(-$A455/AD$18)+AH$18*EXP(-AH$6*AH$12*$A455)*COS(AH$5*$A455)+AH$18*(AH$19/AH$18-AH$6*AH$12)/AH$5*EXP(-AH$6*AH$12*$A455)*SIN(AH$5*$A455))</f>
        <v>0.15777778526596098</v>
      </c>
      <c r="P455">
        <f t="shared" si="166"/>
        <v>0.08</v>
      </c>
      <c r="Q455">
        <f t="shared" si="162"/>
        <v>0.08</v>
      </c>
      <c r="R455">
        <f t="shared" si="155"/>
        <v>0.08</v>
      </c>
      <c r="S455">
        <f t="shared" si="156"/>
        <v>0.06</v>
      </c>
      <c r="T455">
        <f t="shared" si="157"/>
        <v>0.1</v>
      </c>
      <c r="U455">
        <f t="shared" si="163"/>
        <v>0.08</v>
      </c>
      <c r="V455">
        <f t="shared" si="168"/>
        <v>0.18806049953087725</v>
      </c>
      <c r="W455">
        <f t="shared" si="164"/>
        <v>0.16465832307352929</v>
      </c>
      <c r="X455">
        <f t="shared" si="165"/>
        <v>0.21354192787847776</v>
      </c>
      <c r="Y455" t="b">
        <f t="shared" si="167"/>
        <v>0</v>
      </c>
    </row>
    <row xmlns:x14ac="http://schemas.microsoft.com/office/spreadsheetml/2009/9/ac" r="456" x14ac:dyDescent="0.45">
      <c r="A456">
        <v>2.2449999999999801</v>
      </c>
      <c r="B456">
        <f t="shared" si="169"/>
        <v>0.16300153089022237</v>
      </c>
      <c r="C456" t="b">
        <f t="shared" si="158"/>
        <v>1</v>
      </c>
      <c r="D456" t="b">
        <f t="shared" si="170"/>
        <v>1</v>
      </c>
      <c r="E456">
        <f t="shared" ref="E456:E519" si="178">IF(D456,A456,D456)</f>
        <v>2.2449999999999801</v>
      </c>
      <c r="F456">
        <f t="shared" si="159"/>
        <v>0.16300153089022237</v>
      </c>
      <c r="G456">
        <f t="shared" si="171"/>
        <v>0.21345447736756884</v>
      </c>
      <c r="H456">
        <f t="shared" si="172"/>
        <v>3.5000588803931684E-2</v>
      </c>
      <c r="I456" t="b">
        <f t="shared" si="160"/>
        <v>1</v>
      </c>
      <c r="J456">
        <f t="shared" si="173"/>
        <v>2.2449999999999801</v>
      </c>
      <c r="K456">
        <f t="shared" si="161"/>
        <v>3.5000588803931684E-2</v>
      </c>
      <c r="L456">
        <f t="shared" si="174"/>
        <v>0.1647902095467601</v>
      </c>
      <c r="M456">
        <f t="shared" si="175"/>
        <v>0.19000117760786336</v>
      </c>
      <c r="N456">
        <f t="shared" si="176"/>
        <v>0.18805549890566464</v>
      </c>
      <c r="O456">
        <f t="shared" si="177"/>
        <v>0.15777778469933879</v>
      </c>
      <c r="P456">
        <f t="shared" si="166"/>
        <v>0.08</v>
      </c>
      <c r="Q456">
        <f t="shared" si="162"/>
        <v>0.08</v>
      </c>
      <c r="R456">
        <f t="shared" ref="R456:R519" si="179">$AB$6-(1+AB$17)*EXP(-AF$6*AF$12*A456)*(COS(AF$5*A456)-(AF$6*AF$12-1)/(AF$5)*SIN(AF$5*A456))*AF$15</f>
        <v>0.08</v>
      </c>
      <c r="S456">
        <f t="shared" ref="S456:S519" si="180">R456-AF$13</f>
        <v>0.06</v>
      </c>
      <c r="T456">
        <f t="shared" ref="T456:T519" si="181">R456+AF$13</f>
        <v>0.1</v>
      </c>
      <c r="U456">
        <f t="shared" si="163"/>
        <v>0.08</v>
      </c>
      <c r="V456">
        <f t="shared" si="168"/>
        <v>0.18805549890566464</v>
      </c>
      <c r="W456">
        <f t="shared" si="164"/>
        <v>0.16468496479834605</v>
      </c>
      <c r="X456">
        <f t="shared" si="165"/>
        <v>0.21352426243948586</v>
      </c>
      <c r="Y456" t="b">
        <f t="shared" si="167"/>
        <v>0</v>
      </c>
    </row>
    <row xmlns:x14ac="http://schemas.microsoft.com/office/spreadsheetml/2009/9/ac" r="457" x14ac:dyDescent="0.45">
      <c r="A457">
        <v>2.24999999999998</v>
      </c>
      <c r="B457">
        <f t="shared" si="169"/>
        <v>0.16300140315441211</v>
      </c>
      <c r="C457" t="b">
        <f t="shared" ref="C457:C520" si="182">IF(C456,C456,(B457&lt;B456))</f>
        <v>1</v>
      </c>
      <c r="D457" t="b">
        <f t="shared" si="170"/>
        <v>1</v>
      </c>
      <c r="E457">
        <f t="shared" si="178"/>
        <v>2.24999999999998</v>
      </c>
      <c r="F457">
        <f t="shared" ref="F457:F520" si="183">IF(D457,B457,D457)</f>
        <v>0.16300140315441211</v>
      </c>
      <c r="G457">
        <f t="shared" si="171"/>
        <v>0.21343724808981968</v>
      </c>
      <c r="H457">
        <f t="shared" si="172"/>
        <v>3.5000539674773887E-2</v>
      </c>
      <c r="I457" t="b">
        <f t="shared" ref="I457:I520" si="184">IF(I456,I456,H456&gt;H457)</f>
        <v>1</v>
      </c>
      <c r="J457">
        <f t="shared" si="173"/>
        <v>2.24999999999998</v>
      </c>
      <c r="K457">
        <f t="shared" ref="K457:K520" si="185">IF(I457,H457,I457)</f>
        <v>3.5000539674773887E-2</v>
      </c>
      <c r="L457">
        <f t="shared" si="174"/>
        <v>0.16481619348504739</v>
      </c>
      <c r="M457">
        <f t="shared" si="175"/>
        <v>0.1900010793495478</v>
      </c>
      <c r="N457">
        <f t="shared" si="176"/>
        <v>0.18805040803487447</v>
      </c>
      <c r="O457">
        <f t="shared" si="177"/>
        <v>0.15777778413485033</v>
      </c>
      <c r="P457">
        <f t="shared" si="166"/>
        <v>0.08</v>
      </c>
      <c r="Q457">
        <f t="shared" ref="Q457:Q520" si="186">$AB$6-(1+AB$17)*EXP(-AF$6*AF$12*A455)*(COS(AF$5*A455)-(AF$6*AF$12-1)/(AF$5)*SIN(AF$5*A455))*AF$15</f>
        <v>0.08</v>
      </c>
      <c r="R457">
        <f t="shared" si="179"/>
        <v>0.08</v>
      </c>
      <c r="S457">
        <f t="shared" si="180"/>
        <v>0.06</v>
      </c>
      <c r="T457">
        <f t="shared" si="181"/>
        <v>0.1</v>
      </c>
      <c r="U457">
        <f t="shared" ref="U457:U520" si="187">$AB$6-AB$18*EXP(-AF$6*AF$12*A455)*(COS(AF$5*A455)-(AF$6*AF$12-1)/(AF$5)*SIN(AF$5*A455))*AF$15</f>
        <v>0.08</v>
      </c>
      <c r="V457">
        <f t="shared" si="168"/>
        <v>0.18805040803487447</v>
      </c>
      <c r="W457">
        <f t="shared" si="164"/>
        <v>0.16471147364700589</v>
      </c>
      <c r="X457">
        <f t="shared" si="165"/>
        <v>0.21350668510723847</v>
      </c>
      <c r="Y457" t="b">
        <f t="shared" si="167"/>
        <v>0</v>
      </c>
    </row>
    <row xmlns:x14ac="http://schemas.microsoft.com/office/spreadsheetml/2009/9/ac" r="458" x14ac:dyDescent="0.45">
      <c r="A458">
        <v>2.2549999999999799</v>
      </c>
      <c r="B458">
        <f t="shared" si="169"/>
        <v>0.16300127493614214</v>
      </c>
      <c r="C458" t="b">
        <f t="shared" si="182"/>
        <v>1</v>
      </c>
      <c r="D458" t="b">
        <f t="shared" si="170"/>
        <v>1</v>
      </c>
      <c r="E458">
        <f t="shared" si="178"/>
        <v>2.2549999999999799</v>
      </c>
      <c r="F458">
        <f t="shared" si="183"/>
        <v>0.16300127493614214</v>
      </c>
      <c r="G458">
        <f t="shared" si="171"/>
        <v>0.2134201047434518</v>
      </c>
      <c r="H458">
        <f t="shared" si="172"/>
        <v>3.5000490360054662E-2</v>
      </c>
      <c r="I458" t="b">
        <f t="shared" si="184"/>
        <v>1</v>
      </c>
      <c r="J458">
        <f t="shared" si="173"/>
        <v>2.2549999999999799</v>
      </c>
      <c r="K458">
        <f t="shared" si="185"/>
        <v>3.5000490360054662E-2</v>
      </c>
      <c r="L458">
        <f t="shared" si="174"/>
        <v>0.16484204782790182</v>
      </c>
      <c r="M458">
        <f t="shared" si="175"/>
        <v>0.19000098072010935</v>
      </c>
      <c r="N458">
        <f t="shared" si="176"/>
        <v>0.18804525248494192</v>
      </c>
      <c r="O458">
        <f t="shared" si="177"/>
        <v>0.15777778357538358</v>
      </c>
      <c r="P458">
        <f t="shared" si="166"/>
        <v>0.08</v>
      </c>
      <c r="Q458">
        <f t="shared" si="186"/>
        <v>0.08</v>
      </c>
      <c r="R458">
        <f t="shared" si="179"/>
        <v>0.08</v>
      </c>
      <c r="S458">
        <f t="shared" si="180"/>
        <v>0.06</v>
      </c>
      <c r="T458">
        <f t="shared" si="181"/>
        <v>0.1</v>
      </c>
      <c r="U458">
        <f t="shared" si="187"/>
        <v>0.08</v>
      </c>
      <c r="V458">
        <f t="shared" si="168"/>
        <v>0.18804525248494192</v>
      </c>
      <c r="W458">
        <f t="shared" si="164"/>
        <v>0.16473785028223153</v>
      </c>
      <c r="X458">
        <f t="shared" si="165"/>
        <v>0.21348919544230138</v>
      </c>
      <c r="Y458" t="b">
        <f t="shared" si="167"/>
        <v>0</v>
      </c>
    </row>
    <row xmlns:x14ac="http://schemas.microsoft.com/office/spreadsheetml/2009/9/ac" r="459" x14ac:dyDescent="0.45">
      <c r="A459">
        <v>2.2599999999999798</v>
      </c>
      <c r="B459">
        <f t="shared" si="169"/>
        <v>0.16300114687229436</v>
      </c>
      <c r="C459" t="b">
        <f t="shared" si="182"/>
        <v>1</v>
      </c>
      <c r="D459" t="b">
        <f t="shared" si="170"/>
        <v>1</v>
      </c>
      <c r="E459">
        <f t="shared" si="178"/>
        <v>2.2599999999999798</v>
      </c>
      <c r="F459">
        <f t="shared" si="183"/>
        <v>0.16300114687229436</v>
      </c>
      <c r="G459">
        <f t="shared" si="171"/>
        <v>0.21340304689988066</v>
      </c>
      <c r="H459">
        <f t="shared" si="172"/>
        <v>3.5000441104728608E-2</v>
      </c>
      <c r="I459" t="b">
        <f t="shared" si="184"/>
        <v>1</v>
      </c>
      <c r="J459">
        <f t="shared" si="173"/>
        <v>2.2599999999999798</v>
      </c>
      <c r="K459">
        <f t="shared" si="185"/>
        <v>3.5000441104728608E-2</v>
      </c>
      <c r="L459">
        <f t="shared" si="174"/>
        <v>0.16486777322168331</v>
      </c>
      <c r="M459">
        <f t="shared" si="175"/>
        <v>0.19000088220945721</v>
      </c>
      <c r="N459">
        <f t="shared" si="176"/>
        <v>0.18804005730583828</v>
      </c>
      <c r="O459">
        <f t="shared" si="177"/>
        <v>0.15777778302359888</v>
      </c>
      <c r="P459">
        <f t="shared" si="166"/>
        <v>0.08</v>
      </c>
      <c r="Q459">
        <f t="shared" si="186"/>
        <v>0.08</v>
      </c>
      <c r="R459">
        <f t="shared" si="179"/>
        <v>0.08</v>
      </c>
      <c r="S459">
        <f t="shared" si="180"/>
        <v>0.06</v>
      </c>
      <c r="T459">
        <f t="shared" si="181"/>
        <v>0.1</v>
      </c>
      <c r="U459">
        <f t="shared" si="187"/>
        <v>0.08</v>
      </c>
      <c r="V459">
        <f t="shared" si="168"/>
        <v>0.18804005730583828</v>
      </c>
      <c r="W459">
        <f t="shared" ref="W459:W522" si="188">IF(EMT_Simulation,L455,L459)</f>
        <v>0.16476409536344011</v>
      </c>
      <c r="X459">
        <f t="shared" ref="X459:X522" si="189">IF(EMT_Simulation,G455,G459)</f>
        <v>0.21347179300743213</v>
      </c>
      <c r="Y459" t="b">
        <f t="shared" si="167"/>
        <v>0</v>
      </c>
    </row>
    <row xmlns:x14ac="http://schemas.microsoft.com/office/spreadsheetml/2009/9/ac" r="460" x14ac:dyDescent="0.45">
      <c r="A460">
        <v>2.2649999999999801</v>
      </c>
      <c r="B460">
        <f t="shared" si="169"/>
        <v>0.16300101956795104</v>
      </c>
      <c r="C460" t="b">
        <f t="shared" si="182"/>
        <v>1</v>
      </c>
      <c r="D460" t="b">
        <f t="shared" si="170"/>
        <v>1</v>
      </c>
      <c r="E460">
        <f t="shared" si="178"/>
        <v>2.2649999999999801</v>
      </c>
      <c r="F460">
        <f t="shared" si="183"/>
        <v>0.16300101956795104</v>
      </c>
      <c r="G460">
        <f t="shared" si="171"/>
        <v>0.2133860741326592</v>
      </c>
      <c r="H460">
        <f t="shared" si="172"/>
        <v>3.5000392141519635E-2</v>
      </c>
      <c r="I460" t="b">
        <f t="shared" si="184"/>
        <v>1</v>
      </c>
      <c r="J460">
        <f t="shared" si="173"/>
        <v>2.2649999999999801</v>
      </c>
      <c r="K460">
        <f t="shared" si="185"/>
        <v>3.5000392141519635E-2</v>
      </c>
      <c r="L460">
        <f t="shared" si="174"/>
        <v>0.16489337030952805</v>
      </c>
      <c r="M460">
        <f t="shared" si="175"/>
        <v>0.19000078428303929</v>
      </c>
      <c r="N460">
        <f t="shared" si="176"/>
        <v>0.18803484693551964</v>
      </c>
      <c r="O460">
        <f t="shared" si="177"/>
        <v>0.15777778248193047</v>
      </c>
      <c r="P460">
        <f t="shared" si="166"/>
        <v>0.08</v>
      </c>
      <c r="Q460">
        <f t="shared" si="186"/>
        <v>0.08</v>
      </c>
      <c r="R460">
        <f t="shared" si="179"/>
        <v>0.08</v>
      </c>
      <c r="S460">
        <f t="shared" si="180"/>
        <v>0.06</v>
      </c>
      <c r="T460">
        <f t="shared" si="181"/>
        <v>0.1</v>
      </c>
      <c r="U460">
        <f t="shared" si="187"/>
        <v>0.08</v>
      </c>
      <c r="V460">
        <f t="shared" si="168"/>
        <v>0.18803484693551964</v>
      </c>
      <c r="W460">
        <f t="shared" si="188"/>
        <v>0.1647902095467601</v>
      </c>
      <c r="X460">
        <f t="shared" si="189"/>
        <v>0.21345447736756884</v>
      </c>
      <c r="Y460" t="b">
        <f t="shared" si="167"/>
        <v>0</v>
      </c>
    </row>
    <row xmlns:x14ac="http://schemas.microsoft.com/office/spreadsheetml/2009/9/ac" r="461" x14ac:dyDescent="0.45">
      <c r="A461">
        <v>2.26999999999998</v>
      </c>
      <c r="B461">
        <f t="shared" si="169"/>
        <v>0.16300089359505099</v>
      </c>
      <c r="C461" t="b">
        <f t="shared" si="182"/>
        <v>1</v>
      </c>
      <c r="D461" t="b">
        <f t="shared" si="170"/>
        <v>1</v>
      </c>
      <c r="E461">
        <f t="shared" si="178"/>
        <v>2.26999999999998</v>
      </c>
      <c r="F461">
        <f t="shared" si="183"/>
        <v>0.16300089359505099</v>
      </c>
      <c r="G461">
        <f t="shared" si="171"/>
        <v>0.21336918601746746</v>
      </c>
      <c r="H461">
        <f t="shared" si="172"/>
        <v>3.5000343690404223E-2</v>
      </c>
      <c r="I461" t="b">
        <f t="shared" si="184"/>
        <v>1</v>
      </c>
      <c r="J461">
        <f t="shared" si="173"/>
        <v>2.26999999999998</v>
      </c>
      <c r="K461">
        <f t="shared" si="185"/>
        <v>3.5000343690404223E-2</v>
      </c>
      <c r="L461">
        <f t="shared" si="174"/>
        <v>0.16491883973136451</v>
      </c>
      <c r="M461">
        <f t="shared" si="175"/>
        <v>0.19000068738080844</v>
      </c>
      <c r="N461">
        <f t="shared" si="176"/>
        <v>0.18802964511011688</v>
      </c>
      <c r="O461">
        <f t="shared" si="177"/>
        <v>0.15777778195258904</v>
      </c>
      <c r="P461">
        <f t="shared" si="166"/>
        <v>0.08</v>
      </c>
      <c r="Q461">
        <f t="shared" si="186"/>
        <v>0.08</v>
      </c>
      <c r="R461">
        <f t="shared" si="179"/>
        <v>0.08</v>
      </c>
      <c r="S461">
        <f t="shared" si="180"/>
        <v>0.06</v>
      </c>
      <c r="T461">
        <f t="shared" si="181"/>
        <v>0.1</v>
      </c>
      <c r="U461">
        <f t="shared" si="187"/>
        <v>0.08</v>
      </c>
      <c r="V461">
        <f t="shared" si="168"/>
        <v>0.18802964511011688</v>
      </c>
      <c r="W461">
        <f t="shared" si="188"/>
        <v>0.16481619348504739</v>
      </c>
      <c r="X461">
        <f t="shared" si="189"/>
        <v>0.21343724808981968</v>
      </c>
      <c r="Y461" t="b">
        <f t="shared" si="167"/>
        <v>0</v>
      </c>
    </row>
    <row xmlns:x14ac="http://schemas.microsoft.com/office/spreadsheetml/2009/9/ac" r="462" x14ac:dyDescent="0.45">
      <c r="A462">
        <v>2.2749999999999799</v>
      </c>
      <c r="B462">
        <f t="shared" si="169"/>
        <v>0.16300076949126996</v>
      </c>
      <c r="C462" t="b">
        <f t="shared" si="182"/>
        <v>1</v>
      </c>
      <c r="D462" t="b">
        <f t="shared" si="170"/>
        <v>1</v>
      </c>
      <c r="E462">
        <f t="shared" si="178"/>
        <v>2.2749999999999799</v>
      </c>
      <c r="F462">
        <f t="shared" si="183"/>
        <v>0.16300076949126996</v>
      </c>
      <c r="G462">
        <f t="shared" si="171"/>
        <v>0.21335238213210161</v>
      </c>
      <c r="H462">
        <f t="shared" si="172"/>
        <v>3.5000295958180758E-2</v>
      </c>
      <c r="I462" t="b">
        <f t="shared" si="184"/>
        <v>1</v>
      </c>
      <c r="J462">
        <f t="shared" si="173"/>
        <v>2.2749999999999799</v>
      </c>
      <c r="K462">
        <f t="shared" si="185"/>
        <v>3.5000295958180758E-2</v>
      </c>
      <c r="L462">
        <f t="shared" si="174"/>
        <v>0.16494418212392967</v>
      </c>
      <c r="M462">
        <f t="shared" si="175"/>
        <v>0.19000059191636151</v>
      </c>
      <c r="N462">
        <f t="shared" si="176"/>
        <v>0.18802447478008683</v>
      </c>
      <c r="O462">
        <f t="shared" si="177"/>
        <v>0.15777778143756541</v>
      </c>
      <c r="P462">
        <f t="shared" ref="P462:P525" si="190">$AB$6-EXP(-AF$6*AF$12*A462)*(COS(AF$5*A462)-(AF$6*AF$12-1)/(AF$5)*SIN(AF$5*A462))*AF$15</f>
        <v>0.08</v>
      </c>
      <c r="Q462">
        <f t="shared" si="186"/>
        <v>0.08</v>
      </c>
      <c r="R462">
        <f t="shared" si="179"/>
        <v>0.08</v>
      </c>
      <c r="S462">
        <f t="shared" si="180"/>
        <v>0.06</v>
      </c>
      <c r="T462">
        <f t="shared" si="181"/>
        <v>0.1</v>
      </c>
      <c r="U462">
        <f t="shared" si="187"/>
        <v>0.08</v>
      </c>
      <c r="V462">
        <f t="shared" si="168"/>
        <v>0.18802447478008683</v>
      </c>
      <c r="W462">
        <f t="shared" si="188"/>
        <v>0.16484204782790182</v>
      </c>
      <c r="X462">
        <f t="shared" si="189"/>
        <v>0.2134201047434518</v>
      </c>
      <c r="Y462" t="b">
        <f t="shared" si="167"/>
        <v>0</v>
      </c>
    </row>
    <row xmlns:x14ac="http://schemas.microsoft.com/office/spreadsheetml/2009/9/ac" r="463" x14ac:dyDescent="0.45">
      <c r="A463">
        <v>2.2799999999999798</v>
      </c>
      <c r="B463">
        <f t="shared" si="169"/>
        <v>0.16300064775911985</v>
      </c>
      <c r="C463" t="b">
        <f t="shared" si="182"/>
        <v>1</v>
      </c>
      <c r="D463" t="b">
        <f t="shared" si="170"/>
        <v>1</v>
      </c>
      <c r="E463">
        <f t="shared" si="178"/>
        <v>2.2799999999999798</v>
      </c>
      <c r="F463">
        <f t="shared" si="183"/>
        <v>0.16300064775911985</v>
      </c>
      <c r="G463">
        <f t="shared" si="171"/>
        <v>0.21333566205646365</v>
      </c>
      <c r="H463">
        <f t="shared" si="172"/>
        <v>3.5000249138123024E-2</v>
      </c>
      <c r="I463" t="b">
        <f t="shared" si="184"/>
        <v>1</v>
      </c>
      <c r="J463">
        <f t="shared" si="173"/>
        <v>2.2799999999999798</v>
      </c>
      <c r="K463">
        <f t="shared" si="185"/>
        <v>3.5000249138123024E-2</v>
      </c>
      <c r="L463">
        <f t="shared" si="174"/>
        <v>0.16496939812078459</v>
      </c>
      <c r="M463">
        <f t="shared" si="175"/>
        <v>0.19000049827624604</v>
      </c>
      <c r="N463">
        <f t="shared" si="176"/>
        <v>0.18801935803251096</v>
      </c>
      <c r="O463">
        <f t="shared" si="177"/>
        <v>0.15777778093863512</v>
      </c>
      <c r="P463">
        <f t="shared" si="190"/>
        <v>0.08</v>
      </c>
      <c r="Q463">
        <f t="shared" si="186"/>
        <v>0.08</v>
      </c>
      <c r="R463">
        <f t="shared" si="179"/>
        <v>0.08</v>
      </c>
      <c r="S463">
        <f t="shared" si="180"/>
        <v>0.06</v>
      </c>
      <c r="T463">
        <f t="shared" si="181"/>
        <v>0.1</v>
      </c>
      <c r="U463">
        <f t="shared" si="187"/>
        <v>0.08</v>
      </c>
      <c r="V463">
        <f t="shared" si="168"/>
        <v>0.18801935803251096</v>
      </c>
      <c r="W463">
        <f t="shared" si="188"/>
        <v>0.16486777322168331</v>
      </c>
      <c r="X463">
        <f t="shared" si="189"/>
        <v>0.21340304689988066</v>
      </c>
      <c r="Y463" t="b">
        <f t="shared" ref="Y463:Y526" si="191">IF(Y462,TRUE,IF(P463&lt;P462,TRUE))</f>
        <v>0</v>
      </c>
    </row>
    <row xmlns:x14ac="http://schemas.microsoft.com/office/spreadsheetml/2009/9/ac" r="464" x14ac:dyDescent="0.45">
      <c r="A464">
        <v>2.2849999999999802</v>
      </c>
      <c r="B464">
        <f t="shared" si="169"/>
        <v>0.16300052886525962</v>
      </c>
      <c r="C464" t="b">
        <f t="shared" si="182"/>
        <v>1</v>
      </c>
      <c r="D464" t="b">
        <f t="shared" si="170"/>
        <v>1</v>
      </c>
      <c r="E464">
        <f t="shared" si="178"/>
        <v>2.2849999999999802</v>
      </c>
      <c r="F464">
        <f t="shared" si="183"/>
        <v>0.16300052886525962</v>
      </c>
      <c r="G464">
        <f t="shared" si="171"/>
        <v>0.21331902537255087</v>
      </c>
      <c r="H464">
        <f t="shared" si="172"/>
        <v>3.5000203409715241E-2</v>
      </c>
      <c r="I464" t="b">
        <f t="shared" si="184"/>
        <v>1</v>
      </c>
      <c r="J464">
        <f t="shared" si="173"/>
        <v>2.2849999999999802</v>
      </c>
      <c r="K464">
        <f t="shared" si="185"/>
        <v>3.5000203409715241E-2</v>
      </c>
      <c r="L464">
        <f t="shared" si="174"/>
        <v>0.16499448835233049</v>
      </c>
      <c r="M464">
        <f t="shared" si="175"/>
        <v>0.19000040681943048</v>
      </c>
      <c r="N464">
        <f t="shared" si="176"/>
        <v>0.18801431601969523</v>
      </c>
      <c r="O464">
        <f t="shared" si="177"/>
        <v>0.15777778045736374</v>
      </c>
      <c r="P464">
        <f t="shared" si="190"/>
        <v>0.08</v>
      </c>
      <c r="Q464">
        <f t="shared" si="186"/>
        <v>0.08</v>
      </c>
      <c r="R464">
        <f t="shared" si="179"/>
        <v>0.08</v>
      </c>
      <c r="S464">
        <f t="shared" si="180"/>
        <v>0.06</v>
      </c>
      <c r="T464">
        <f t="shared" si="181"/>
        <v>0.1</v>
      </c>
      <c r="U464">
        <f t="shared" si="187"/>
        <v>0.08</v>
      </c>
      <c r="V464">
        <f t="shared" si="168"/>
        <v>0.18801431601969523</v>
      </c>
      <c r="W464">
        <f t="shared" si="188"/>
        <v>0.16489337030952805</v>
      </c>
      <c r="X464">
        <f t="shared" si="189"/>
        <v>0.2133860741326592</v>
      </c>
      <c r="Y464" t="b">
        <f t="shared" si="191"/>
        <v>0</v>
      </c>
    </row>
    <row xmlns:x14ac="http://schemas.microsoft.com/office/spreadsheetml/2009/9/ac" r="465" x14ac:dyDescent="0.45">
      <c r="A465">
        <v>2.2899999999999801</v>
      </c>
      <c r="B465">
        <f t="shared" si="169"/>
        <v>0.16300041324001166</v>
      </c>
      <c r="C465" t="b">
        <f t="shared" si="182"/>
        <v>1</v>
      </c>
      <c r="D465" t="b">
        <f t="shared" si="170"/>
        <v>1</v>
      </c>
      <c r="E465">
        <f t="shared" si="178"/>
        <v>2.2899999999999801</v>
      </c>
      <c r="F465">
        <f t="shared" si="183"/>
        <v>0.16300041324001166</v>
      </c>
      <c r="G465">
        <f t="shared" si="171"/>
        <v>0.21330247166444527</v>
      </c>
      <c r="H465">
        <f t="shared" si="172"/>
        <v>3.5000158938466017E-2</v>
      </c>
      <c r="I465" t="b">
        <f t="shared" si="184"/>
        <v>1</v>
      </c>
      <c r="J465">
        <f t="shared" si="173"/>
        <v>2.2899999999999801</v>
      </c>
      <c r="K465">
        <f t="shared" si="185"/>
        <v>3.5000158938466017E-2</v>
      </c>
      <c r="L465">
        <f t="shared" si="174"/>
        <v>0.16501945344582453</v>
      </c>
      <c r="M465">
        <f t="shared" si="175"/>
        <v>0.19000031787693206</v>
      </c>
      <c r="N465">
        <f t="shared" si="176"/>
        <v>0.18800936889419112</v>
      </c>
      <c r="O465">
        <f t="shared" si="177"/>
        <v>0.15777777999511317</v>
      </c>
      <c r="P465">
        <f t="shared" si="190"/>
        <v>0.08</v>
      </c>
      <c r="Q465">
        <f t="shared" si="186"/>
        <v>0.08</v>
      </c>
      <c r="R465">
        <f t="shared" si="179"/>
        <v>0.08</v>
      </c>
      <c r="S465">
        <f t="shared" si="180"/>
        <v>0.06</v>
      </c>
      <c r="T465">
        <f t="shared" si="181"/>
        <v>0.1</v>
      </c>
      <c r="U465">
        <f t="shared" si="187"/>
        <v>0.08</v>
      </c>
      <c r="V465">
        <f t="shared" si="168"/>
        <v>0.18800936889419112</v>
      </c>
      <c r="W465">
        <f t="shared" si="188"/>
        <v>0.16491883973136451</v>
      </c>
      <c r="X465">
        <f t="shared" si="189"/>
        <v>0.21336918601746746</v>
      </c>
      <c r="Y465" t="b">
        <f t="shared" si="191"/>
        <v>0</v>
      </c>
    </row>
    <row xmlns:x14ac="http://schemas.microsoft.com/office/spreadsheetml/2009/9/ac" r="466" x14ac:dyDescent="0.45">
      <c r="A466">
        <v>2.2949999999999799</v>
      </c>
      <c r="B466">
        <f t="shared" si="169"/>
        <v>0.16300030127707527</v>
      </c>
      <c r="C466" t="b">
        <f t="shared" si="182"/>
        <v>1</v>
      </c>
      <c r="D466" t="b">
        <f t="shared" si="170"/>
        <v>1</v>
      </c>
      <c r="E466">
        <f t="shared" si="178"/>
        <v>2.2949999999999799</v>
      </c>
      <c r="F466">
        <f t="shared" si="183"/>
        <v>0.16300030127707527</v>
      </c>
      <c r="G466">
        <f t="shared" si="171"/>
        <v>0.21328600051830326</v>
      </c>
      <c r="H466">
        <f t="shared" si="172"/>
        <v>3.5000115875798182E-2</v>
      </c>
      <c r="I466" t="b">
        <f t="shared" si="184"/>
        <v>1</v>
      </c>
      <c r="J466">
        <f t="shared" si="173"/>
        <v>2.2949999999999799</v>
      </c>
      <c r="K466">
        <f t="shared" si="185"/>
        <v>3.5000115875798182E-2</v>
      </c>
      <c r="L466">
        <f t="shared" si="174"/>
        <v>0.16504429402539528</v>
      </c>
      <c r="M466">
        <f t="shared" si="175"/>
        <v>0.19000023175159636</v>
      </c>
      <c r="N466">
        <f t="shared" si="176"/>
        <v>0.18800453575032561</v>
      </c>
      <c r="O466">
        <f t="shared" si="177"/>
        <v>0.15777777955304836</v>
      </c>
      <c r="P466">
        <f t="shared" si="190"/>
        <v>0.08</v>
      </c>
      <c r="Q466">
        <f t="shared" si="186"/>
        <v>0.08</v>
      </c>
      <c r="R466">
        <f t="shared" si="179"/>
        <v>0.08</v>
      </c>
      <c r="S466">
        <f t="shared" si="180"/>
        <v>0.06</v>
      </c>
      <c r="T466">
        <f t="shared" si="181"/>
        <v>0.1</v>
      </c>
      <c r="U466">
        <f t="shared" si="187"/>
        <v>0.08</v>
      </c>
      <c r="V466">
        <f t="shared" si="168"/>
        <v>0.18800453575032561</v>
      </c>
      <c r="W466">
        <f t="shared" si="188"/>
        <v>0.16494418212392967</v>
      </c>
      <c r="X466">
        <f t="shared" si="189"/>
        <v>0.21335238213210161</v>
      </c>
      <c r="Y466" t="b">
        <f t="shared" si="191"/>
        <v>0</v>
      </c>
    </row>
    <row xmlns:x14ac="http://schemas.microsoft.com/office/spreadsheetml/2009/9/ac" r="467" x14ac:dyDescent="0.45">
      <c r="A467">
        <v>2.2999999999999798</v>
      </c>
      <c r="B467">
        <f t="shared" si="169"/>
        <v>0.16300019333342972</v>
      </c>
      <c r="C467" t="b">
        <f t="shared" si="182"/>
        <v>1</v>
      </c>
      <c r="D467" t="b">
        <f t="shared" si="170"/>
        <v>1</v>
      </c>
      <c r="E467">
        <f t="shared" si="178"/>
        <v>2.2999999999999798</v>
      </c>
      <c r="F467">
        <f t="shared" si="183"/>
        <v>0.16300019333342972</v>
      </c>
      <c r="G467">
        <f t="shared" si="171"/>
        <v>0.21326961152234536</v>
      </c>
      <c r="H467">
        <f t="shared" si="172"/>
        <v>3.5000074359011438E-2</v>
      </c>
      <c r="I467" t="b">
        <f t="shared" si="184"/>
        <v>1</v>
      </c>
      <c r="J467">
        <f t="shared" si="173"/>
        <v>2.2999999999999798</v>
      </c>
      <c r="K467">
        <f t="shared" si="185"/>
        <v>3.5000074359011438E-2</v>
      </c>
      <c r="L467">
        <f t="shared" si="174"/>
        <v>0.16506901071205857</v>
      </c>
      <c r="M467">
        <f t="shared" si="175"/>
        <v>0.19000014871802287</v>
      </c>
      <c r="N467">
        <f t="shared" si="176"/>
        <v>0.18799983457229635</v>
      </c>
      <c r="O467">
        <f t="shared" si="177"/>
        <v>0.15777777913214475</v>
      </c>
      <c r="P467">
        <f t="shared" si="190"/>
        <v>0.08</v>
      </c>
      <c r="Q467">
        <f t="shared" si="186"/>
        <v>0.08</v>
      </c>
      <c r="R467">
        <f t="shared" si="179"/>
        <v>0.08</v>
      </c>
      <c r="S467">
        <f t="shared" si="180"/>
        <v>0.06</v>
      </c>
      <c r="T467">
        <f t="shared" si="181"/>
        <v>0.1</v>
      </c>
      <c r="U467">
        <f t="shared" si="187"/>
        <v>0.08</v>
      </c>
      <c r="V467">
        <f t="shared" si="168"/>
        <v>0.18799983457229635</v>
      </c>
      <c r="W467">
        <f t="shared" si="188"/>
        <v>0.16496939812078459</v>
      </c>
      <c r="X467">
        <f t="shared" si="189"/>
        <v>0.21333566205646365</v>
      </c>
      <c r="Y467" t="b">
        <f t="shared" si="191"/>
        <v>0</v>
      </c>
    </row>
    <row xmlns:x14ac="http://schemas.microsoft.com/office/spreadsheetml/2009/9/ac" r="468" x14ac:dyDescent="0.45">
      <c r="A468">
        <v>2.3049999999999802</v>
      </c>
      <c r="B468">
        <f t="shared" si="169"/>
        <v>0.16300008972941715</v>
      </c>
      <c r="C468" t="b">
        <f t="shared" si="182"/>
        <v>1</v>
      </c>
      <c r="D468" t="b">
        <f t="shared" si="170"/>
        <v>1</v>
      </c>
      <c r="E468">
        <f t="shared" si="178"/>
        <v>2.3049999999999802</v>
      </c>
      <c r="F468">
        <f t="shared" si="183"/>
        <v>0.16300008972941715</v>
      </c>
      <c r="G468">
        <f t="shared" si="171"/>
        <v>0.21325330426684586</v>
      </c>
      <c r="H468">
        <f t="shared" si="172"/>
        <v>3.5000034511314296E-2</v>
      </c>
      <c r="I468" t="b">
        <f t="shared" si="184"/>
        <v>1</v>
      </c>
      <c r="J468">
        <f t="shared" si="173"/>
        <v>2.3049999999999802</v>
      </c>
      <c r="K468">
        <f t="shared" si="185"/>
        <v>3.5000034511314296E-2</v>
      </c>
      <c r="L468">
        <f t="shared" si="174"/>
        <v>0.16509360412373283</v>
      </c>
      <c r="M468">
        <f t="shared" si="175"/>
        <v>0.19000006902262859</v>
      </c>
      <c r="N468">
        <f t="shared" si="176"/>
        <v>0.18799528218885678</v>
      </c>
      <c r="O468">
        <f t="shared" si="177"/>
        <v>0.15777777873319615</v>
      </c>
      <c r="P468">
        <f t="shared" si="190"/>
        <v>0.08</v>
      </c>
      <c r="Q468">
        <f t="shared" si="186"/>
        <v>0.08</v>
      </c>
      <c r="R468">
        <f t="shared" si="179"/>
        <v>0.08</v>
      </c>
      <c r="S468">
        <f t="shared" si="180"/>
        <v>0.06</v>
      </c>
      <c r="T468">
        <f t="shared" si="181"/>
        <v>0.1</v>
      </c>
      <c r="U468">
        <f t="shared" si="187"/>
        <v>0.08</v>
      </c>
      <c r="V468">
        <f t="shared" si="168"/>
        <v>0.18799528218885678</v>
      </c>
      <c r="W468">
        <f t="shared" si="188"/>
        <v>0.16499448835233049</v>
      </c>
      <c r="X468">
        <f t="shared" si="189"/>
        <v>0.21331902537255087</v>
      </c>
      <c r="Y468" t="b">
        <f t="shared" si="191"/>
        <v>0</v>
      </c>
    </row>
    <row xmlns:x14ac="http://schemas.microsoft.com/office/spreadsheetml/2009/9/ac" r="469" x14ac:dyDescent="0.45">
      <c r="A469">
        <v>2.3099999999999801</v>
      </c>
      <c r="B469">
        <f t="shared" si="169"/>
        <v>0.16299999074899721</v>
      </c>
      <c r="C469" t="b">
        <f t="shared" si="182"/>
        <v>1</v>
      </c>
      <c r="D469" t="b">
        <f t="shared" si="170"/>
        <v>1</v>
      </c>
      <c r="E469">
        <f t="shared" si="178"/>
        <v>2.3099999999999801</v>
      </c>
      <c r="F469">
        <f t="shared" si="183"/>
        <v>0.16299999074899721</v>
      </c>
      <c r="G469">
        <f t="shared" si="171"/>
        <v>0.21323707834412242</v>
      </c>
      <c r="H469">
        <f t="shared" si="172"/>
        <v>3.4999996441922004E-2</v>
      </c>
      <c r="I469" t="b">
        <f t="shared" si="184"/>
        <v>1</v>
      </c>
      <c r="J469">
        <f t="shared" si="173"/>
        <v>2.3099999999999801</v>
      </c>
      <c r="K469">
        <f t="shared" si="185"/>
        <v>3.4999996441922004E-2</v>
      </c>
      <c r="L469">
        <f t="shared" si="174"/>
        <v>0.16511807487525465</v>
      </c>
      <c r="M469">
        <f t="shared" si="175"/>
        <v>0.189999992883844</v>
      </c>
      <c r="N469">
        <f t="shared" si="176"/>
        <v>0.18799089423458581</v>
      </c>
      <c r="O469">
        <f t="shared" si="177"/>
        <v>0.1577777783568233</v>
      </c>
      <c r="P469">
        <f t="shared" si="190"/>
        <v>0.08</v>
      </c>
      <c r="Q469">
        <f t="shared" si="186"/>
        <v>0.08</v>
      </c>
      <c r="R469">
        <f t="shared" si="179"/>
        <v>0.08</v>
      </c>
      <c r="S469">
        <f t="shared" si="180"/>
        <v>0.06</v>
      </c>
      <c r="T469">
        <f t="shared" si="181"/>
        <v>0.1</v>
      </c>
      <c r="U469">
        <f t="shared" si="187"/>
        <v>0.08</v>
      </c>
      <c r="V469">
        <f t="shared" ref="V469:V532" si="192">MAX(IF(Y469,MAX(H469,$AB$6+$AF$13),MAX(T469,$AB$6+$AF$13)),O469,N469)</f>
        <v>0.18799089423458581</v>
      </c>
      <c r="W469">
        <f t="shared" si="188"/>
        <v>0.16501945344582453</v>
      </c>
      <c r="X469">
        <f t="shared" si="189"/>
        <v>0.21330247166444527</v>
      </c>
      <c r="Y469" t="b">
        <f t="shared" si="191"/>
        <v>0</v>
      </c>
    </row>
    <row xmlns:x14ac="http://schemas.microsoft.com/office/spreadsheetml/2009/9/ac" r="470" x14ac:dyDescent="0.45">
      <c r="A470">
        <v>2.31499999999998</v>
      </c>
      <c r="B470">
        <f t="shared" si="169"/>
        <v>0.1629998966401629</v>
      </c>
      <c r="C470" t="b">
        <f t="shared" si="182"/>
        <v>1</v>
      </c>
      <c r="D470" t="b">
        <f t="shared" si="170"/>
        <v>1</v>
      </c>
      <c r="E470">
        <f t="shared" si="178"/>
        <v>2.31499999999998</v>
      </c>
      <c r="F470">
        <f t="shared" si="183"/>
        <v>0.1629998966401629</v>
      </c>
      <c r="G470">
        <f t="shared" si="171"/>
        <v>0.21322093334852615</v>
      </c>
      <c r="H470">
        <f t="shared" si="172"/>
        <v>3.4999960246216502E-2</v>
      </c>
      <c r="I470" t="b">
        <f t="shared" si="184"/>
        <v>1</v>
      </c>
      <c r="J470">
        <f t="shared" si="173"/>
        <v>2.31499999999998</v>
      </c>
      <c r="K470">
        <f t="shared" si="185"/>
        <v>3.4999960246216502E-2</v>
      </c>
      <c r="L470">
        <f t="shared" si="174"/>
        <v>0.16514242357839409</v>
      </c>
      <c r="M470">
        <f t="shared" si="175"/>
        <v>0.189999920492433</v>
      </c>
      <c r="N470">
        <f t="shared" si="176"/>
        <v>0.18798668511770805</v>
      </c>
      <c r="O470">
        <f t="shared" si="177"/>
        <v>0.15777777800348219</v>
      </c>
      <c r="P470">
        <f t="shared" si="190"/>
        <v>0.08</v>
      </c>
      <c r="Q470">
        <f t="shared" si="186"/>
        <v>0.08</v>
      </c>
      <c r="R470">
        <f t="shared" si="179"/>
        <v>0.08</v>
      </c>
      <c r="S470">
        <f t="shared" si="180"/>
        <v>0.06</v>
      </c>
      <c r="T470">
        <f t="shared" si="181"/>
        <v>0.1</v>
      </c>
      <c r="U470">
        <f t="shared" si="187"/>
        <v>0.08</v>
      </c>
      <c r="V470">
        <f t="shared" si="192"/>
        <v>0.18798668511770805</v>
      </c>
      <c r="W470">
        <f t="shared" si="188"/>
        <v>0.16504429402539528</v>
      </c>
      <c r="X470">
        <f t="shared" si="189"/>
        <v>0.21328600051830326</v>
      </c>
      <c r="Y470" t="b">
        <f t="shared" si="191"/>
        <v>0</v>
      </c>
    </row>
    <row xmlns:x14ac="http://schemas.microsoft.com/office/spreadsheetml/2009/9/ac" r="471" x14ac:dyDescent="0.45">
      <c r="A471">
        <v>2.3199999999999799</v>
      </c>
      <c r="B471">
        <f t="shared" si="169"/>
        <v>0.16299980761550856</v>
      </c>
      <c r="C471" t="b">
        <f t="shared" si="182"/>
        <v>1</v>
      </c>
      <c r="D471" t="b">
        <f t="shared" si="170"/>
        <v>1</v>
      </c>
      <c r="E471">
        <f t="shared" si="178"/>
        <v>2.3199999999999799</v>
      </c>
      <c r="F471">
        <f t="shared" si="183"/>
        <v>0.16299980761550856</v>
      </c>
      <c r="G471">
        <f t="shared" si="171"/>
        <v>0.21320486887643142</v>
      </c>
      <c r="H471">
        <f t="shared" si="172"/>
        <v>3.4999926005964827E-2</v>
      </c>
      <c r="I471" t="b">
        <f t="shared" si="184"/>
        <v>1</v>
      </c>
      <c r="J471">
        <f t="shared" si="173"/>
        <v>2.3199999999999799</v>
      </c>
      <c r="K471">
        <f t="shared" si="185"/>
        <v>3.4999926005964827E-2</v>
      </c>
      <c r="L471">
        <f t="shared" si="174"/>
        <v>0.16516665084186999</v>
      </c>
      <c r="M471">
        <f t="shared" si="175"/>
        <v>0.18999985201192965</v>
      </c>
      <c r="N471">
        <f t="shared" si="176"/>
        <v>0.18798266799440122</v>
      </c>
      <c r="O471">
        <f t="shared" si="177"/>
        <v>0.1577777776734734</v>
      </c>
      <c r="P471">
        <f t="shared" si="190"/>
        <v>0.08</v>
      </c>
      <c r="Q471">
        <f t="shared" si="186"/>
        <v>0.08</v>
      </c>
      <c r="R471">
        <f t="shared" si="179"/>
        <v>0.08</v>
      </c>
      <c r="S471">
        <f t="shared" si="180"/>
        <v>0.06</v>
      </c>
      <c r="T471">
        <f t="shared" si="181"/>
        <v>0.1</v>
      </c>
      <c r="U471">
        <f t="shared" si="187"/>
        <v>0.08</v>
      </c>
      <c r="V471">
        <f t="shared" si="192"/>
        <v>0.18798266799440122</v>
      </c>
      <c r="W471">
        <f t="shared" si="188"/>
        <v>0.16506901071205857</v>
      </c>
      <c r="X471">
        <f t="shared" si="189"/>
        <v>0.21326961152234536</v>
      </c>
      <c r="Y471" t="b">
        <f t="shared" si="191"/>
        <v>0</v>
      </c>
    </row>
    <row xmlns:x14ac="http://schemas.microsoft.com/office/spreadsheetml/2009/9/ac" r="472" x14ac:dyDescent="0.45">
      <c r="A472">
        <v>2.3249999999999802</v>
      </c>
      <c r="B472">
        <f t="shared" si="169"/>
        <v>0.16299972385293918</v>
      </c>
      <c r="C472" t="b">
        <f t="shared" si="182"/>
        <v>1</v>
      </c>
      <c r="D472" t="b">
        <f t="shared" si="170"/>
        <v>1</v>
      </c>
      <c r="E472">
        <f t="shared" si="178"/>
        <v>2.3249999999999802</v>
      </c>
      <c r="F472">
        <f t="shared" si="183"/>
        <v>0.16299972385293918</v>
      </c>
      <c r="G472">
        <f t="shared" si="171"/>
        <v>0.21318888452622548</v>
      </c>
      <c r="H472">
        <f t="shared" si="172"/>
        <v>3.4999893789591993E-2</v>
      </c>
      <c r="I472" t="b">
        <f t="shared" si="184"/>
        <v>1</v>
      </c>
      <c r="J472">
        <f t="shared" si="173"/>
        <v>2.3249999999999802</v>
      </c>
      <c r="K472">
        <f t="shared" si="185"/>
        <v>3.4999893789591993E-2</v>
      </c>
      <c r="L472">
        <f t="shared" si="174"/>
        <v>0.16519075727136517</v>
      </c>
      <c r="M472">
        <f t="shared" si="175"/>
        <v>0.18999978757918401</v>
      </c>
      <c r="N472">
        <f t="shared" si="176"/>
        <v>0.18797885474950179</v>
      </c>
      <c r="O472">
        <f t="shared" si="177"/>
        <v>0.15777777736695103</v>
      </c>
      <c r="P472">
        <f t="shared" si="190"/>
        <v>0.08</v>
      </c>
      <c r="Q472">
        <f t="shared" si="186"/>
        <v>0.08</v>
      </c>
      <c r="R472">
        <f t="shared" si="179"/>
        <v>0.08</v>
      </c>
      <c r="S472">
        <f t="shared" si="180"/>
        <v>0.06</v>
      </c>
      <c r="T472">
        <f t="shared" si="181"/>
        <v>0.1</v>
      </c>
      <c r="U472">
        <f t="shared" si="187"/>
        <v>0.08</v>
      </c>
      <c r="V472">
        <f t="shared" si="192"/>
        <v>0.18797885474950179</v>
      </c>
      <c r="W472">
        <f t="shared" si="188"/>
        <v>0.16509360412373283</v>
      </c>
      <c r="X472">
        <f t="shared" si="189"/>
        <v>0.21325330426684586</v>
      </c>
      <c r="Y472" t="b">
        <f t="shared" si="191"/>
        <v>0</v>
      </c>
    </row>
    <row xmlns:x14ac="http://schemas.microsoft.com/office/spreadsheetml/2009/9/ac" r="473" x14ac:dyDescent="0.45">
      <c r="A473">
        <v>2.3299999999999801</v>
      </c>
      <c r="B473">
        <f t="shared" si="169"/>
        <v>0.16299964549651119</v>
      </c>
      <c r="C473" t="b">
        <f t="shared" si="182"/>
        <v>1</v>
      </c>
      <c r="D473" t="b">
        <f t="shared" si="170"/>
        <v>1</v>
      </c>
      <c r="E473">
        <f t="shared" si="178"/>
        <v>2.3299999999999801</v>
      </c>
      <c r="F473">
        <f t="shared" si="183"/>
        <v>0.16299964549651119</v>
      </c>
      <c r="G473">
        <f t="shared" si="171"/>
        <v>0.21317297989829881</v>
      </c>
      <c r="H473">
        <f t="shared" si="172"/>
        <v>3.4999863652504307E-2</v>
      </c>
      <c r="I473" t="b">
        <f t="shared" si="184"/>
        <v>1</v>
      </c>
      <c r="J473">
        <f t="shared" si="173"/>
        <v>2.3299999999999801</v>
      </c>
      <c r="K473">
        <f t="shared" si="185"/>
        <v>3.4999863652504307E-2</v>
      </c>
      <c r="L473">
        <f t="shared" si="174"/>
        <v>0.16521474346954168</v>
      </c>
      <c r="M473">
        <f t="shared" si="175"/>
        <v>0.18999972730500864</v>
      </c>
      <c r="N473">
        <f t="shared" si="176"/>
        <v>0.18797525598349313</v>
      </c>
      <c r="O473">
        <f t="shared" si="177"/>
        <v>0.1577777770839322</v>
      </c>
      <c r="P473">
        <f t="shared" si="190"/>
        <v>0.08</v>
      </c>
      <c r="Q473">
        <f t="shared" si="186"/>
        <v>0.08</v>
      </c>
      <c r="R473">
        <f t="shared" si="179"/>
        <v>0.08</v>
      </c>
      <c r="S473">
        <f t="shared" si="180"/>
        <v>0.06</v>
      </c>
      <c r="T473">
        <f t="shared" si="181"/>
        <v>0.1</v>
      </c>
      <c r="U473">
        <f t="shared" si="187"/>
        <v>0.08</v>
      </c>
      <c r="V473">
        <f t="shared" si="192"/>
        <v>0.18797525598349313</v>
      </c>
      <c r="W473">
        <f t="shared" si="188"/>
        <v>0.16511807487525465</v>
      </c>
      <c r="X473">
        <f t="shared" si="189"/>
        <v>0.21323707834412242</v>
      </c>
      <c r="Y473" t="b">
        <f t="shared" si="191"/>
        <v>0</v>
      </c>
    </row>
    <row xmlns:x14ac="http://schemas.microsoft.com/office/spreadsheetml/2009/9/ac" r="474" x14ac:dyDescent="0.45">
      <c r="A474">
        <v>2.33499999999998</v>
      </c>
      <c r="B474">
        <f t="shared" si="169"/>
        <v>0.16299957265739423</v>
      </c>
      <c r="C474" t="b">
        <f t="shared" si="182"/>
        <v>1</v>
      </c>
      <c r="D474" t="b">
        <f t="shared" si="170"/>
        <v>1</v>
      </c>
      <c r="E474">
        <f t="shared" si="178"/>
        <v>2.33499999999998</v>
      </c>
      <c r="F474">
        <f t="shared" si="183"/>
        <v>0.16299957265739423</v>
      </c>
      <c r="G474">
        <f t="shared" si="171"/>
        <v>0.21315715459503481</v>
      </c>
      <c r="H474">
        <f t="shared" si="172"/>
        <v>3.4999835637459314E-2</v>
      </c>
      <c r="I474" t="b">
        <f t="shared" si="184"/>
        <v>1</v>
      </c>
      <c r="J474">
        <f t="shared" si="173"/>
        <v>2.33499999999998</v>
      </c>
      <c r="K474">
        <f t="shared" si="185"/>
        <v>3.4999835637459314E-2</v>
      </c>
      <c r="L474">
        <f t="shared" si="174"/>
        <v>0.16523861003605572</v>
      </c>
      <c r="M474">
        <f t="shared" si="175"/>
        <v>0.18999967127491862</v>
      </c>
      <c r="N474">
        <f t="shared" si="176"/>
        <v>0.18797188100563642</v>
      </c>
      <c r="O474">
        <f t="shared" si="177"/>
        <v>0.15777777682430641</v>
      </c>
      <c r="P474">
        <f t="shared" si="190"/>
        <v>0.08</v>
      </c>
      <c r="Q474">
        <f t="shared" si="186"/>
        <v>0.08</v>
      </c>
      <c r="R474">
        <f t="shared" si="179"/>
        <v>0.08</v>
      </c>
      <c r="S474">
        <f t="shared" si="180"/>
        <v>0.06</v>
      </c>
      <c r="T474">
        <f t="shared" si="181"/>
        <v>0.1</v>
      </c>
      <c r="U474">
        <f t="shared" si="187"/>
        <v>0.08</v>
      </c>
      <c r="V474">
        <f t="shared" si="192"/>
        <v>0.18797188100563642</v>
      </c>
      <c r="W474">
        <f t="shared" si="188"/>
        <v>0.16514242357839409</v>
      </c>
      <c r="X474">
        <f t="shared" si="189"/>
        <v>0.21322093334852615</v>
      </c>
      <c r="Y474" t="b">
        <f t="shared" si="191"/>
        <v>0</v>
      </c>
    </row>
    <row xmlns:x14ac="http://schemas.microsoft.com/office/spreadsheetml/2009/9/ac" r="475" x14ac:dyDescent="0.45">
      <c r="A475">
        <v>2.3399999999999799</v>
      </c>
      <c r="B475">
        <f t="shared" si="169"/>
        <v>0.16299950541494315</v>
      </c>
      <c r="C475" t="b">
        <f t="shared" si="182"/>
        <v>1</v>
      </c>
      <c r="D475" t="b">
        <f t="shared" si="170"/>
        <v>1</v>
      </c>
      <c r="E475">
        <f t="shared" si="178"/>
        <v>2.3399999999999799</v>
      </c>
      <c r="F475">
        <f t="shared" si="183"/>
        <v>0.16299950541494315</v>
      </c>
      <c r="G475">
        <f t="shared" si="171"/>
        <v>0.21314140822080019</v>
      </c>
      <c r="H475">
        <f t="shared" si="172"/>
        <v>3.499980977497813E-2</v>
      </c>
      <c r="I475" t="b">
        <f t="shared" si="184"/>
        <v>1</v>
      </c>
      <c r="J475">
        <f t="shared" si="173"/>
        <v>2.3399999999999799</v>
      </c>
      <c r="K475">
        <f t="shared" si="185"/>
        <v>3.499980977497813E-2</v>
      </c>
      <c r="L475">
        <f t="shared" si="174"/>
        <v>0.16526235756757263</v>
      </c>
      <c r="M475">
        <f t="shared" si="175"/>
        <v>0.18999961954995626</v>
      </c>
      <c r="N475">
        <f t="shared" si="176"/>
        <v>0.18796873783308155</v>
      </c>
      <c r="O475">
        <f t="shared" si="177"/>
        <v>0.15777777658784506</v>
      </c>
      <c r="P475">
        <f t="shared" si="190"/>
        <v>0.08</v>
      </c>
      <c r="Q475">
        <f t="shared" si="186"/>
        <v>0.08</v>
      </c>
      <c r="R475">
        <f t="shared" si="179"/>
        <v>0.08</v>
      </c>
      <c r="S475">
        <f t="shared" si="180"/>
        <v>0.06</v>
      </c>
      <c r="T475">
        <f t="shared" si="181"/>
        <v>0.1</v>
      </c>
      <c r="U475">
        <f t="shared" si="187"/>
        <v>0.08</v>
      </c>
      <c r="V475">
        <f t="shared" si="192"/>
        <v>0.18796873783308155</v>
      </c>
      <c r="W475">
        <f t="shared" si="188"/>
        <v>0.16516665084186999</v>
      </c>
      <c r="X475">
        <f t="shared" si="189"/>
        <v>0.21320486887643142</v>
      </c>
      <c r="Y475" t="b">
        <f t="shared" si="191"/>
        <v>0</v>
      </c>
    </row>
    <row xmlns:x14ac="http://schemas.microsoft.com/office/spreadsheetml/2009/9/ac" r="476" x14ac:dyDescent="0.45">
      <c r="A476">
        <v>2.3449999999999802</v>
      </c>
      <c r="B476">
        <f t="shared" si="169"/>
        <v>0.1629994438178701</v>
      </c>
      <c r="C476" t="b">
        <f t="shared" si="182"/>
        <v>1</v>
      </c>
      <c r="D476" t="b">
        <f t="shared" si="170"/>
        <v>1</v>
      </c>
      <c r="E476">
        <f t="shared" si="178"/>
        <v>2.3449999999999802</v>
      </c>
      <c r="F476">
        <f t="shared" si="183"/>
        <v>0.1629994438178701</v>
      </c>
      <c r="G476">
        <f t="shared" si="171"/>
        <v>0.21312574038193466</v>
      </c>
      <c r="H476">
        <f t="shared" si="172"/>
        <v>3.4999786083796197E-2</v>
      </c>
      <c r="I476" t="b">
        <f t="shared" si="184"/>
        <v>1</v>
      </c>
      <c r="J476">
        <f t="shared" si="173"/>
        <v>2.3449999999999802</v>
      </c>
      <c r="K476">
        <f t="shared" si="185"/>
        <v>3.4999786083796197E-2</v>
      </c>
      <c r="L476">
        <f t="shared" si="174"/>
        <v>0.16528598665778199</v>
      </c>
      <c r="M476">
        <f t="shared" si="175"/>
        <v>0.18999957216759239</v>
      </c>
      <c r="N476">
        <f t="shared" si="176"/>
        <v>0.18796583319577381</v>
      </c>
      <c r="O476">
        <f t="shared" si="177"/>
        <v>0.15777777637421075</v>
      </c>
      <c r="P476">
        <f t="shared" si="190"/>
        <v>0.08</v>
      </c>
      <c r="Q476">
        <f t="shared" si="186"/>
        <v>0.08</v>
      </c>
      <c r="R476">
        <f t="shared" si="179"/>
        <v>0.08</v>
      </c>
      <c r="S476">
        <f t="shared" si="180"/>
        <v>0.06</v>
      </c>
      <c r="T476">
        <f t="shared" si="181"/>
        <v>0.1</v>
      </c>
      <c r="U476">
        <f t="shared" si="187"/>
        <v>0.08</v>
      </c>
      <c r="V476">
        <f t="shared" si="192"/>
        <v>0.18796583319577381</v>
      </c>
      <c r="W476">
        <f t="shared" si="188"/>
        <v>0.16519075727136517</v>
      </c>
      <c r="X476">
        <f t="shared" si="189"/>
        <v>0.21318888452622548</v>
      </c>
      <c r="Y476" t="b">
        <f t="shared" si="191"/>
        <v>0</v>
      </c>
    </row>
    <row xmlns:x14ac="http://schemas.microsoft.com/office/spreadsheetml/2009/9/ac" r="477" x14ac:dyDescent="0.45">
      <c r="A477">
        <v>2.3499999999999801</v>
      </c>
      <c r="B477">
        <f t="shared" si="169"/>
        <v>0.16299938788550605</v>
      </c>
      <c r="C477" t="b">
        <f t="shared" si="182"/>
        <v>1</v>
      </c>
      <c r="D477" t="b">
        <f t="shared" si="170"/>
        <v>1</v>
      </c>
      <c r="E477">
        <f t="shared" si="178"/>
        <v>2.3499999999999801</v>
      </c>
      <c r="F477">
        <f t="shared" si="183"/>
        <v>0.16299938788550605</v>
      </c>
      <c r="G477">
        <f t="shared" si="171"/>
        <v>0.2131101506867415</v>
      </c>
      <c r="H477">
        <f t="shared" si="172"/>
        <v>3.4999764571348485E-2</v>
      </c>
      <c r="I477" t="b">
        <f t="shared" si="184"/>
        <v>1</v>
      </c>
      <c r="J477">
        <f t="shared" si="173"/>
        <v>2.3499999999999801</v>
      </c>
      <c r="K477">
        <f t="shared" si="185"/>
        <v>3.4999764571348485E-2</v>
      </c>
      <c r="L477">
        <f t="shared" si="174"/>
        <v>0.16530949789741228</v>
      </c>
      <c r="M477">
        <f t="shared" si="175"/>
        <v>0.18999952914269697</v>
      </c>
      <c r="N477">
        <f t="shared" si="176"/>
        <v>0.18796317254695152</v>
      </c>
      <c r="O477">
        <f t="shared" si="177"/>
        <v>0.15777777618296679</v>
      </c>
      <c r="P477">
        <f t="shared" si="190"/>
        <v>0.08</v>
      </c>
      <c r="Q477">
        <f t="shared" si="186"/>
        <v>0.08</v>
      </c>
      <c r="R477">
        <f t="shared" si="179"/>
        <v>0.08</v>
      </c>
      <c r="S477">
        <f t="shared" si="180"/>
        <v>0.06</v>
      </c>
      <c r="T477">
        <f t="shared" si="181"/>
        <v>0.1</v>
      </c>
      <c r="U477">
        <f t="shared" si="187"/>
        <v>0.08</v>
      </c>
      <c r="V477">
        <f t="shared" si="192"/>
        <v>0.18796317254695152</v>
      </c>
      <c r="W477">
        <f t="shared" si="188"/>
        <v>0.16521474346954168</v>
      </c>
      <c r="X477">
        <f t="shared" si="189"/>
        <v>0.21317297989829881</v>
      </c>
      <c r="Y477" t="b">
        <f t="shared" si="191"/>
        <v>0</v>
      </c>
    </row>
    <row xmlns:x14ac="http://schemas.microsoft.com/office/spreadsheetml/2009/9/ac" r="478" x14ac:dyDescent="0.45">
      <c r="A478">
        <v>2.35499999999998</v>
      </c>
      <c r="B478">
        <f t="shared" si="169"/>
        <v>0.16299933760914107</v>
      </c>
      <c r="C478" t="b">
        <f t="shared" si="182"/>
        <v>1</v>
      </c>
      <c r="D478" t="b">
        <f t="shared" si="170"/>
        <v>1</v>
      </c>
      <c r="E478">
        <f t="shared" si="178"/>
        <v>2.35499999999998</v>
      </c>
      <c r="F478">
        <f t="shared" si="183"/>
        <v>0.16299933760914107</v>
      </c>
      <c r="G478">
        <f t="shared" si="171"/>
        <v>0.21309463874547746</v>
      </c>
      <c r="H478">
        <f t="shared" si="172"/>
        <v>3.4999745234285021E-2</v>
      </c>
      <c r="I478" t="b">
        <f t="shared" si="184"/>
        <v>1</v>
      </c>
      <c r="J478">
        <f t="shared" si="173"/>
        <v>2.35499999999998</v>
      </c>
      <c r="K478">
        <f t="shared" si="185"/>
        <v>3.4999745234285021E-2</v>
      </c>
      <c r="L478">
        <f t="shared" si="174"/>
        <v>0.16533289187424571</v>
      </c>
      <c r="M478">
        <f t="shared" si="175"/>
        <v>0.18999949046857006</v>
      </c>
      <c r="N478">
        <f t="shared" si="176"/>
        <v>0.18796076007901222</v>
      </c>
      <c r="O478">
        <f t="shared" si="177"/>
        <v>0.15777777601358639</v>
      </c>
      <c r="P478">
        <f t="shared" si="190"/>
        <v>0.08</v>
      </c>
      <c r="Q478">
        <f t="shared" si="186"/>
        <v>0.08</v>
      </c>
      <c r="R478">
        <f t="shared" si="179"/>
        <v>0.08</v>
      </c>
      <c r="S478">
        <f t="shared" si="180"/>
        <v>0.06</v>
      </c>
      <c r="T478">
        <f t="shared" si="181"/>
        <v>0.1</v>
      </c>
      <c r="U478">
        <f t="shared" si="187"/>
        <v>0.08</v>
      </c>
      <c r="V478">
        <f t="shared" si="192"/>
        <v>0.18796076007901222</v>
      </c>
      <c r="W478">
        <f t="shared" si="188"/>
        <v>0.16523861003605572</v>
      </c>
      <c r="X478">
        <f t="shared" si="189"/>
        <v>0.21315715459503481</v>
      </c>
      <c r="Y478" t="b">
        <f t="shared" si="191"/>
        <v>0</v>
      </c>
    </row>
    <row xmlns:x14ac="http://schemas.microsoft.com/office/spreadsheetml/2009/9/ac" r="479" x14ac:dyDescent="0.45">
      <c r="A479">
        <v>2.3599999999999799</v>
      </c>
      <c r="B479">
        <f t="shared" si="169"/>
        <v>0.16299929295343366</v>
      </c>
      <c r="C479" t="b">
        <f t="shared" si="182"/>
        <v>1</v>
      </c>
      <c r="D479" t="b">
        <f t="shared" si="170"/>
        <v>1</v>
      </c>
      <c r="E479">
        <f t="shared" si="178"/>
        <v>2.3599999999999799</v>
      </c>
      <c r="F479">
        <f t="shared" si="183"/>
        <v>0.16299929295343366</v>
      </c>
      <c r="G479">
        <f t="shared" si="171"/>
        <v>0.21307920417034326</v>
      </c>
      <c r="H479">
        <f t="shared" si="172"/>
        <v>3.4999728059012941E-2</v>
      </c>
      <c r="I479" t="b">
        <f t="shared" si="184"/>
        <v>1</v>
      </c>
      <c r="J479">
        <f t="shared" si="173"/>
        <v>2.3599999999999799</v>
      </c>
      <c r="K479">
        <f t="shared" si="185"/>
        <v>3.4999728059012941E-2</v>
      </c>
      <c r="L479">
        <f t="shared" si="174"/>
        <v>0.16535616917313289</v>
      </c>
      <c r="M479">
        <f t="shared" si="175"/>
        <v>0.18999945611802588</v>
      </c>
      <c r="N479">
        <f t="shared" si="176"/>
        <v>0.18795859874450699</v>
      </c>
      <c r="O479">
        <f t="shared" si="177"/>
        <v>0.15777777586546177</v>
      </c>
      <c r="P479">
        <f t="shared" si="190"/>
        <v>0.08</v>
      </c>
      <c r="Q479">
        <f t="shared" si="186"/>
        <v>0.08</v>
      </c>
      <c r="R479">
        <f t="shared" si="179"/>
        <v>0.08</v>
      </c>
      <c r="S479">
        <f t="shared" si="180"/>
        <v>0.06</v>
      </c>
      <c r="T479">
        <f t="shared" si="181"/>
        <v>0.1</v>
      </c>
      <c r="U479">
        <f t="shared" si="187"/>
        <v>0.08</v>
      </c>
      <c r="V479">
        <f t="shared" si="192"/>
        <v>0.18795859874450699</v>
      </c>
      <c r="W479">
        <f t="shared" si="188"/>
        <v>0.16526235756757263</v>
      </c>
      <c r="X479">
        <f t="shared" si="189"/>
        <v>0.21314140822080019</v>
      </c>
      <c r="Y479" t="b">
        <f t="shared" si="191"/>
        <v>0</v>
      </c>
    </row>
    <row xmlns:x14ac="http://schemas.microsoft.com/office/spreadsheetml/2009/9/ac" r="480" x14ac:dyDescent="0.45">
      <c r="A480">
        <v>2.3649999999999798</v>
      </c>
      <c r="B480">
        <f t="shared" si="169"/>
        <v>0.1629992538578787</v>
      </c>
      <c r="C480" t="b">
        <f t="shared" si="182"/>
        <v>1</v>
      </c>
      <c r="D480" t="b">
        <f t="shared" si="170"/>
        <v>1</v>
      </c>
      <c r="E480">
        <f t="shared" si="178"/>
        <v>2.3649999999999798</v>
      </c>
      <c r="F480">
        <f t="shared" si="183"/>
        <v>0.1629992538578787</v>
      </c>
      <c r="G480">
        <f t="shared" si="171"/>
        <v>0.21306384657547373</v>
      </c>
      <c r="H480">
        <f t="shared" si="172"/>
        <v>3.4999713022261042E-2</v>
      </c>
      <c r="I480" t="b">
        <f t="shared" si="184"/>
        <v>1</v>
      </c>
      <c r="J480">
        <f t="shared" si="173"/>
        <v>2.3649999999999798</v>
      </c>
      <c r="K480">
        <f t="shared" si="185"/>
        <v>3.4999713022261042E-2</v>
      </c>
      <c r="L480">
        <f t="shared" si="174"/>
        <v>0.16537933037600758</v>
      </c>
      <c r="M480">
        <f t="shared" si="175"/>
        <v>0.18999942604452208</v>
      </c>
      <c r="N480">
        <f t="shared" si="176"/>
        <v>0.18795669028200818</v>
      </c>
      <c r="O480">
        <f t="shared" si="177"/>
        <v>0.15777777573791299</v>
      </c>
      <c r="P480">
        <f t="shared" si="190"/>
        <v>0.08</v>
      </c>
      <c r="Q480">
        <f t="shared" si="186"/>
        <v>0.08</v>
      </c>
      <c r="R480">
        <f t="shared" si="179"/>
        <v>0.08</v>
      </c>
      <c r="S480">
        <f t="shared" si="180"/>
        <v>0.06</v>
      </c>
      <c r="T480">
        <f t="shared" si="181"/>
        <v>0.1</v>
      </c>
      <c r="U480">
        <f t="shared" si="187"/>
        <v>0.08</v>
      </c>
      <c r="V480">
        <f t="shared" si="192"/>
        <v>0.18795669028200818</v>
      </c>
      <c r="W480">
        <f t="shared" si="188"/>
        <v>0.16528598665778199</v>
      </c>
      <c r="X480">
        <f t="shared" si="189"/>
        <v>0.21312574038193466</v>
      </c>
      <c r="Y480" t="b">
        <f t="shared" si="191"/>
        <v>0</v>
      </c>
    </row>
    <row xmlns:x14ac="http://schemas.microsoft.com/office/spreadsheetml/2009/9/ac" r="481" x14ac:dyDescent="0.45">
      <c r="A481">
        <v>2.3699999999999801</v>
      </c>
      <c r="B481">
        <f t="shared" si="169"/>
        <v>0.16299922023832408</v>
      </c>
      <c r="C481" t="b">
        <f t="shared" si="182"/>
        <v>1</v>
      </c>
      <c r="D481" t="b">
        <f t="shared" si="170"/>
        <v>1</v>
      </c>
      <c r="E481">
        <f t="shared" si="178"/>
        <v>2.3699999999999801</v>
      </c>
      <c r="F481">
        <f t="shared" si="183"/>
        <v>0.16299922023832408</v>
      </c>
      <c r="G481">
        <f t="shared" si="171"/>
        <v>0.21304856557692808</v>
      </c>
      <c r="H481">
        <f t="shared" si="172"/>
        <v>3.4999700091663116E-2</v>
      </c>
      <c r="I481" t="b">
        <f t="shared" si="184"/>
        <v>1</v>
      </c>
      <c r="J481">
        <f t="shared" si="173"/>
        <v>2.3699999999999801</v>
      </c>
      <c r="K481">
        <f t="shared" si="185"/>
        <v>3.4999700091663116E-2</v>
      </c>
      <c r="L481">
        <f t="shared" si="174"/>
        <v>0.16540237606190097</v>
      </c>
      <c r="M481">
        <f t="shared" si="175"/>
        <v>0.18999940018332623</v>
      </c>
      <c r="N481">
        <f t="shared" si="176"/>
        <v>0.18795503524658108</v>
      </c>
      <c r="O481">
        <f t="shared" si="177"/>
        <v>0.15777777563019674</v>
      </c>
      <c r="P481">
        <f t="shared" si="190"/>
        <v>0.08</v>
      </c>
      <c r="Q481">
        <f t="shared" si="186"/>
        <v>0.08</v>
      </c>
      <c r="R481">
        <f t="shared" si="179"/>
        <v>0.08</v>
      </c>
      <c r="S481">
        <f t="shared" si="180"/>
        <v>0.06</v>
      </c>
      <c r="T481">
        <f t="shared" si="181"/>
        <v>0.1</v>
      </c>
      <c r="U481">
        <f t="shared" si="187"/>
        <v>0.08</v>
      </c>
      <c r="V481">
        <f t="shared" si="192"/>
        <v>0.18795503524658108</v>
      </c>
      <c r="W481">
        <f t="shared" si="188"/>
        <v>0.16530949789741228</v>
      </c>
      <c r="X481">
        <f t="shared" si="189"/>
        <v>0.2131101506867415</v>
      </c>
      <c r="Y481" t="b">
        <f t="shared" si="191"/>
        <v>0</v>
      </c>
    </row>
    <row xmlns:x14ac="http://schemas.microsoft.com/office/spreadsheetml/2009/9/ac" r="482" x14ac:dyDescent="0.45">
      <c r="A482">
        <v>2.37499999999998</v>
      </c>
      <c r="B482">
        <f t="shared" si="169"/>
        <v>0.16299919198852653</v>
      </c>
      <c r="C482" t="b">
        <f t="shared" si="182"/>
        <v>1</v>
      </c>
      <c r="D482" t="b">
        <f t="shared" si="170"/>
        <v>1</v>
      </c>
      <c r="E482">
        <f t="shared" si="178"/>
        <v>2.37499999999998</v>
      </c>
      <c r="F482">
        <f t="shared" si="183"/>
        <v>0.16299919198852653</v>
      </c>
      <c r="G482">
        <f t="shared" si="171"/>
        <v>0.2130333607926807</v>
      </c>
      <c r="H482">
        <f t="shared" si="172"/>
        <v>3.4999689226356351E-2</v>
      </c>
      <c r="I482" t="b">
        <f t="shared" si="184"/>
        <v>1</v>
      </c>
      <c r="J482">
        <f t="shared" si="173"/>
        <v>2.37499999999998</v>
      </c>
      <c r="K482">
        <f t="shared" si="185"/>
        <v>3.4999689226356351E-2</v>
      </c>
      <c r="L482">
        <f t="shared" si="174"/>
        <v>0.16542530680695647</v>
      </c>
      <c r="M482">
        <f t="shared" si="175"/>
        <v>0.1899993784527127</v>
      </c>
      <c r="N482">
        <f t="shared" si="176"/>
        <v>0.18795363304457913</v>
      </c>
      <c r="O482">
        <f t="shared" si="177"/>
        <v>0.15777777554151468</v>
      </c>
      <c r="P482">
        <f t="shared" si="190"/>
        <v>0.08</v>
      </c>
      <c r="Q482">
        <f t="shared" si="186"/>
        <v>0.08</v>
      </c>
      <c r="R482">
        <f t="shared" si="179"/>
        <v>0.08</v>
      </c>
      <c r="S482">
        <f t="shared" si="180"/>
        <v>0.06</v>
      </c>
      <c r="T482">
        <f t="shared" si="181"/>
        <v>0.1</v>
      </c>
      <c r="U482">
        <f t="shared" si="187"/>
        <v>0.08</v>
      </c>
      <c r="V482">
        <f t="shared" si="192"/>
        <v>0.18795363304457913</v>
      </c>
      <c r="W482">
        <f t="shared" si="188"/>
        <v>0.16533289187424571</v>
      </c>
      <c r="X482">
        <f t="shared" si="189"/>
        <v>0.21309463874547746</v>
      </c>
      <c r="Y482" t="b">
        <f t="shared" si="191"/>
        <v>0</v>
      </c>
    </row>
    <row xmlns:x14ac="http://schemas.microsoft.com/office/spreadsheetml/2009/9/ac" r="483" x14ac:dyDescent="0.45">
      <c r="A483">
        <v>2.3799999999999799</v>
      </c>
      <c r="B483">
        <f t="shared" si="169"/>
        <v>0.16299916898173716</v>
      </c>
      <c r="C483" t="b">
        <f t="shared" si="182"/>
        <v>1</v>
      </c>
      <c r="D483" t="b">
        <f t="shared" si="170"/>
        <v>1</v>
      </c>
      <c r="E483">
        <f t="shared" si="178"/>
        <v>2.3799999999999799</v>
      </c>
      <c r="F483">
        <f t="shared" si="183"/>
        <v>0.16299916898173716</v>
      </c>
      <c r="G483">
        <f t="shared" si="171"/>
        <v>0.21301823184261109</v>
      </c>
      <c r="H483">
        <f t="shared" si="172"/>
        <v>3.4999680377591214E-2</v>
      </c>
      <c r="I483" t="b">
        <f t="shared" si="184"/>
        <v>1</v>
      </c>
      <c r="J483">
        <f t="shared" si="173"/>
        <v>2.3799999999999799</v>
      </c>
      <c r="K483">
        <f t="shared" si="185"/>
        <v>3.4999680377591214E-2</v>
      </c>
      <c r="L483">
        <f t="shared" si="174"/>
        <v>0.16544812318444385</v>
      </c>
      <c r="M483">
        <f t="shared" si="175"/>
        <v>0.18999936075518242</v>
      </c>
      <c r="N483">
        <f t="shared" si="176"/>
        <v>0.18795248197247047</v>
      </c>
      <c r="O483">
        <f t="shared" si="177"/>
        <v>0.15777777547102143</v>
      </c>
      <c r="P483">
        <f t="shared" si="190"/>
        <v>0.08</v>
      </c>
      <c r="Q483">
        <f t="shared" si="186"/>
        <v>0.08</v>
      </c>
      <c r="R483">
        <f t="shared" si="179"/>
        <v>0.08</v>
      </c>
      <c r="S483">
        <f t="shared" si="180"/>
        <v>0.06</v>
      </c>
      <c r="T483">
        <f t="shared" si="181"/>
        <v>0.1</v>
      </c>
      <c r="U483">
        <f t="shared" si="187"/>
        <v>0.08</v>
      </c>
      <c r="V483">
        <f t="shared" si="192"/>
        <v>0.18795248197247047</v>
      </c>
      <c r="W483">
        <f t="shared" si="188"/>
        <v>0.16535616917313289</v>
      </c>
      <c r="X483">
        <f t="shared" si="189"/>
        <v>0.21307920417034326</v>
      </c>
      <c r="Y483" t="b">
        <f t="shared" si="191"/>
        <v>0</v>
      </c>
    </row>
    <row xmlns:x14ac="http://schemas.microsoft.com/office/spreadsheetml/2009/9/ac" r="484" x14ac:dyDescent="0.45">
      <c r="A484">
        <v>2.3849999999999798</v>
      </c>
      <c r="B484">
        <f t="shared" si="169"/>
        <v>0.16299915107230808</v>
      </c>
      <c r="C484" t="b">
        <f t="shared" si="182"/>
        <v>1</v>
      </c>
      <c r="D484" t="b">
        <f t="shared" si="170"/>
        <v>1</v>
      </c>
      <c r="E484">
        <f t="shared" si="178"/>
        <v>2.3849999999999798</v>
      </c>
      <c r="F484">
        <f t="shared" si="183"/>
        <v>0.16299915107230808</v>
      </c>
      <c r="G484">
        <f t="shared" si="171"/>
        <v>0.2130031783484948</v>
      </c>
      <c r="H484">
        <f t="shared" si="172"/>
        <v>3.4999673489349264E-2</v>
      </c>
      <c r="I484" t="b">
        <f t="shared" si="184"/>
        <v>1</v>
      </c>
      <c r="J484">
        <f t="shared" si="173"/>
        <v>2.3849999999999798</v>
      </c>
      <c r="K484">
        <f t="shared" si="185"/>
        <v>3.4999673489349264E-2</v>
      </c>
      <c r="L484">
        <f t="shared" si="174"/>
        <v>0.16547082576477379</v>
      </c>
      <c r="M484">
        <f t="shared" si="175"/>
        <v>0.18999934697869852</v>
      </c>
      <c r="N484">
        <f t="shared" si="176"/>
        <v>0.18795157925939621</v>
      </c>
      <c r="O484">
        <f t="shared" si="177"/>
        <v>0.15777777541783261</v>
      </c>
      <c r="P484">
        <f t="shared" si="190"/>
        <v>0.08</v>
      </c>
      <c r="Q484">
        <f t="shared" si="186"/>
        <v>0.08</v>
      </c>
      <c r="R484">
        <f t="shared" si="179"/>
        <v>0.08</v>
      </c>
      <c r="S484">
        <f t="shared" si="180"/>
        <v>0.06</v>
      </c>
      <c r="T484">
        <f t="shared" si="181"/>
        <v>0.1</v>
      </c>
      <c r="U484">
        <f t="shared" si="187"/>
        <v>0.08</v>
      </c>
      <c r="V484">
        <f t="shared" si="192"/>
        <v>0.18795157925939621</v>
      </c>
      <c r="W484">
        <f t="shared" si="188"/>
        <v>0.16537933037600758</v>
      </c>
      <c r="X484">
        <f t="shared" si="189"/>
        <v>0.21306384657547373</v>
      </c>
      <c r="Y484" t="b">
        <f t="shared" si="191"/>
        <v>0</v>
      </c>
    </row>
    <row xmlns:x14ac="http://schemas.microsoft.com/office/spreadsheetml/2009/9/ac" r="485" x14ac:dyDescent="0.45">
      <c r="A485">
        <v>2.3899999999999801</v>
      </c>
      <c r="B485">
        <f t="shared" si="169"/>
        <v>0.16299913809731062</v>
      </c>
      <c r="C485" t="b">
        <f t="shared" si="182"/>
        <v>1</v>
      </c>
      <c r="D485" t="b">
        <f t="shared" si="170"/>
        <v>1</v>
      </c>
      <c r="E485">
        <f t="shared" si="178"/>
        <v>2.3899999999999801</v>
      </c>
      <c r="F485">
        <f t="shared" si="183"/>
        <v>0.16299913809731062</v>
      </c>
      <c r="G485">
        <f t="shared" si="171"/>
        <v>0.21298819993399359</v>
      </c>
      <c r="H485">
        <f t="shared" si="172"/>
        <v>3.499966849896563E-2</v>
      </c>
      <c r="I485" t="b">
        <f t="shared" si="184"/>
        <v>1</v>
      </c>
      <c r="J485">
        <f t="shared" si="173"/>
        <v>2.3899999999999801</v>
      </c>
      <c r="K485">
        <f t="shared" si="185"/>
        <v>3.499966849896563E-2</v>
      </c>
      <c r="L485">
        <f t="shared" si="174"/>
        <v>0.16549341511551197</v>
      </c>
      <c r="M485">
        <f t="shared" si="175"/>
        <v>0.18999933699793126</v>
      </c>
      <c r="N485">
        <f t="shared" si="176"/>
        <v>0.18795092111315262</v>
      </c>
      <c r="O485">
        <f t="shared" si="177"/>
        <v>0.15777777538103227</v>
      </c>
      <c r="P485">
        <f t="shared" si="190"/>
        <v>0.08</v>
      </c>
      <c r="Q485">
        <f t="shared" si="186"/>
        <v>0.08</v>
      </c>
      <c r="R485">
        <f t="shared" si="179"/>
        <v>0.08</v>
      </c>
      <c r="S485">
        <f t="shared" si="180"/>
        <v>0.06</v>
      </c>
      <c r="T485">
        <f t="shared" si="181"/>
        <v>0.1</v>
      </c>
      <c r="U485">
        <f t="shared" si="187"/>
        <v>0.08</v>
      </c>
      <c r="V485">
        <f t="shared" si="192"/>
        <v>0.18795092111315262</v>
      </c>
      <c r="W485">
        <f t="shared" si="188"/>
        <v>0.16540237606190097</v>
      </c>
      <c r="X485">
        <f t="shared" si="189"/>
        <v>0.21304856557692808</v>
      </c>
      <c r="Y485" t="b">
        <f t="shared" si="191"/>
        <v>0</v>
      </c>
    </row>
    <row xmlns:x14ac="http://schemas.microsoft.com/office/spreadsheetml/2009/9/ac" r="486" x14ac:dyDescent="0.45">
      <c r="A486">
        <v>2.39499999999998</v>
      </c>
      <c r="B486">
        <f t="shared" si="169"/>
        <v>0.16299912987815771</v>
      </c>
      <c r="C486" t="b">
        <f t="shared" si="182"/>
        <v>1</v>
      </c>
      <c r="D486" t="b">
        <f t="shared" si="170"/>
        <v>1</v>
      </c>
      <c r="E486">
        <f t="shared" si="178"/>
        <v>2.39499999999998</v>
      </c>
      <c r="F486">
        <f t="shared" si="183"/>
        <v>0.16299912987815771</v>
      </c>
      <c r="G486">
        <f t="shared" si="171"/>
        <v>0.21297329622464634</v>
      </c>
      <c r="H486">
        <f t="shared" si="172"/>
        <v>3.4999665337752964E-2</v>
      </c>
      <c r="I486" t="b">
        <f t="shared" si="184"/>
        <v>1</v>
      </c>
      <c r="J486">
        <f t="shared" si="173"/>
        <v>2.39499999999998</v>
      </c>
      <c r="K486">
        <f t="shared" si="185"/>
        <v>3.4999665337752964E-2</v>
      </c>
      <c r="L486">
        <f t="shared" si="174"/>
        <v>0.16551589180139328</v>
      </c>
      <c r="M486">
        <f t="shared" si="175"/>
        <v>0.18999933067550592</v>
      </c>
      <c r="N486">
        <f t="shared" si="176"/>
        <v>0.1879505027692841</v>
      </c>
      <c r="O486">
        <f t="shared" si="177"/>
        <v>0.15777777535967979</v>
      </c>
      <c r="P486">
        <f t="shared" si="190"/>
        <v>0.08</v>
      </c>
      <c r="Q486">
        <f t="shared" si="186"/>
        <v>0.08</v>
      </c>
      <c r="R486">
        <f t="shared" si="179"/>
        <v>0.08</v>
      </c>
      <c r="S486">
        <f t="shared" si="180"/>
        <v>0.06</v>
      </c>
      <c r="T486">
        <f t="shared" si="181"/>
        <v>0.1</v>
      </c>
      <c r="U486">
        <f t="shared" si="187"/>
        <v>0.08</v>
      </c>
      <c r="V486">
        <f t="shared" si="192"/>
        <v>0.1879505027692841</v>
      </c>
      <c r="W486">
        <f t="shared" si="188"/>
        <v>0.16542530680695647</v>
      </c>
      <c r="X486">
        <f t="shared" si="189"/>
        <v>0.2130333607926807</v>
      </c>
      <c r="Y486" t="b">
        <f t="shared" si="191"/>
        <v>0</v>
      </c>
    </row>
    <row xmlns:x14ac="http://schemas.microsoft.com/office/spreadsheetml/2009/9/ac" r="487" x14ac:dyDescent="0.45">
      <c r="A487">
        <v>2.3999999999999799</v>
      </c>
      <c r="B487">
        <f t="shared" si="169"/>
        <v>0.1629991262222216</v>
      </c>
      <c r="C487" t="b">
        <f t="shared" si="182"/>
        <v>1</v>
      </c>
      <c r="D487" t="b">
        <f t="shared" si="170"/>
        <v>1</v>
      </c>
      <c r="E487">
        <f t="shared" si="178"/>
        <v>2.3999999999999799</v>
      </c>
      <c r="F487">
        <f t="shared" si="183"/>
        <v>0.1629991262222216</v>
      </c>
      <c r="G487">
        <f t="shared" si="171"/>
        <v>0.21295846684785963</v>
      </c>
      <c r="H487">
        <f t="shared" si="172"/>
        <v>3.4999663931623695E-2</v>
      </c>
      <c r="I487" t="b">
        <f t="shared" si="184"/>
        <v>1</v>
      </c>
      <c r="J487">
        <f t="shared" si="173"/>
        <v>2.3999999999999799</v>
      </c>
      <c r="K487">
        <f t="shared" si="185"/>
        <v>3.4999663931623695E-2</v>
      </c>
      <c r="L487">
        <f t="shared" si="174"/>
        <v>0.16553825638433611</v>
      </c>
      <c r="M487">
        <f t="shared" si="175"/>
        <v>0.18999932786324739</v>
      </c>
      <c r="N487">
        <f t="shared" si="176"/>
        <v>0.18795031854297006</v>
      </c>
      <c r="O487">
        <f t="shared" si="177"/>
        <v>0.15777777535281684</v>
      </c>
      <c r="P487">
        <f t="shared" si="190"/>
        <v>0.08</v>
      </c>
      <c r="Q487">
        <f t="shared" si="186"/>
        <v>0.08</v>
      </c>
      <c r="R487">
        <f t="shared" si="179"/>
        <v>0.08</v>
      </c>
      <c r="S487">
        <f t="shared" si="180"/>
        <v>0.06</v>
      </c>
      <c r="T487">
        <f t="shared" si="181"/>
        <v>0.1</v>
      </c>
      <c r="U487">
        <f t="shared" si="187"/>
        <v>0.08</v>
      </c>
      <c r="V487">
        <f t="shared" si="192"/>
        <v>0.18795031854297006</v>
      </c>
      <c r="W487">
        <f t="shared" si="188"/>
        <v>0.16544812318444385</v>
      </c>
      <c r="X487">
        <f t="shared" si="189"/>
        <v>0.21301823184261109</v>
      </c>
      <c r="Y487" t="b">
        <f t="shared" si="191"/>
        <v>0</v>
      </c>
    </row>
    <row xmlns:x14ac="http://schemas.microsoft.com/office/spreadsheetml/2009/9/ac" r="488" x14ac:dyDescent="0.45">
      <c r="A488">
        <v>2.4049999999999798</v>
      </c>
      <c r="B488">
        <f t="shared" si="169"/>
        <v>0.16299912692444035</v>
      </c>
      <c r="C488" t="b">
        <f t="shared" si="182"/>
        <v>1</v>
      </c>
      <c r="D488" t="b">
        <f t="shared" si="170"/>
        <v>1</v>
      </c>
      <c r="E488">
        <f t="shared" si="178"/>
        <v>2.4049999999999798</v>
      </c>
      <c r="F488">
        <f t="shared" si="183"/>
        <v>0.16299912692444035</v>
      </c>
      <c r="G488">
        <f t="shared" si="171"/>
        <v>0.21294371143289814</v>
      </c>
      <c r="H488">
        <f t="shared" si="172"/>
        <v>3.4999664201707831E-2</v>
      </c>
      <c r="I488" t="b">
        <f t="shared" si="184"/>
        <v>1</v>
      </c>
      <c r="J488">
        <f t="shared" si="173"/>
        <v>2.4049999999999798</v>
      </c>
      <c r="K488">
        <f t="shared" si="185"/>
        <v>3.4999664201707831E-2</v>
      </c>
      <c r="L488">
        <f t="shared" si="174"/>
        <v>0.16556050942345613</v>
      </c>
      <c r="M488">
        <f t="shared" si="175"/>
        <v>0.18999932840341566</v>
      </c>
      <c r="N488">
        <f t="shared" si="176"/>
        <v>0.18795036188338576</v>
      </c>
      <c r="O488">
        <f t="shared" si="177"/>
        <v>0.15777777535947382</v>
      </c>
      <c r="P488">
        <f t="shared" si="190"/>
        <v>0.08</v>
      </c>
      <c r="Q488">
        <f t="shared" si="186"/>
        <v>0.08</v>
      </c>
      <c r="R488">
        <f t="shared" si="179"/>
        <v>0.08</v>
      </c>
      <c r="S488">
        <f t="shared" si="180"/>
        <v>0.06</v>
      </c>
      <c r="T488">
        <f t="shared" si="181"/>
        <v>0.1</v>
      </c>
      <c r="U488">
        <f t="shared" si="187"/>
        <v>0.08</v>
      </c>
      <c r="V488">
        <f t="shared" si="192"/>
        <v>0.18795036188338576</v>
      </c>
      <c r="W488">
        <f t="shared" si="188"/>
        <v>0.16547082576477379</v>
      </c>
      <c r="X488">
        <f t="shared" si="189"/>
        <v>0.2130031783484948</v>
      </c>
      <c r="Y488" t="b">
        <f t="shared" si="191"/>
        <v>0</v>
      </c>
    </row>
    <row xmlns:x14ac="http://schemas.microsoft.com/office/spreadsheetml/2009/9/ac" r="489" x14ac:dyDescent="0.45">
      <c r="A489">
        <v>2.4099999999999802</v>
      </c>
      <c r="B489">
        <f t="shared" si="169"/>
        <v>0.16299913176890507</v>
      </c>
      <c r="C489" t="b">
        <f t="shared" si="182"/>
        <v>1</v>
      </c>
      <c r="D489" t="b">
        <f t="shared" si="170"/>
        <v>1</v>
      </c>
      <c r="E489">
        <f t="shared" si="178"/>
        <v>2.4099999999999802</v>
      </c>
      <c r="F489">
        <f t="shared" si="183"/>
        <v>0.16299913176890507</v>
      </c>
      <c r="G489">
        <f t="shared" si="171"/>
        <v>0.21292902961087584</v>
      </c>
      <c r="H489">
        <f t="shared" si="172"/>
        <v>3.4999666064963492E-2</v>
      </c>
      <c r="I489" t="b">
        <f t="shared" si="184"/>
        <v>1</v>
      </c>
      <c r="J489">
        <f t="shared" si="173"/>
        <v>2.4099999999999802</v>
      </c>
      <c r="K489">
        <f t="shared" si="185"/>
        <v>3.4999666064963492E-2</v>
      </c>
      <c r="L489">
        <f t="shared" si="174"/>
        <v>0.16558265147508056</v>
      </c>
      <c r="M489">
        <f t="shared" si="175"/>
        <v>0.18999933212992698</v>
      </c>
      <c r="N489">
        <f t="shared" si="176"/>
        <v>0.18795062543021701</v>
      </c>
      <c r="O489">
        <f t="shared" si="177"/>
        <v>0.15777777537867568</v>
      </c>
      <c r="P489">
        <f t="shared" si="190"/>
        <v>0.08</v>
      </c>
      <c r="Q489">
        <f t="shared" si="186"/>
        <v>0.08</v>
      </c>
      <c r="R489">
        <f t="shared" si="179"/>
        <v>0.08</v>
      </c>
      <c r="S489">
        <f t="shared" si="180"/>
        <v>0.06</v>
      </c>
      <c r="T489">
        <f t="shared" si="181"/>
        <v>0.1</v>
      </c>
      <c r="U489">
        <f t="shared" si="187"/>
        <v>0.08</v>
      </c>
      <c r="V489">
        <f t="shared" si="192"/>
        <v>0.18795062543021701</v>
      </c>
      <c r="W489">
        <f t="shared" si="188"/>
        <v>0.16549341511551197</v>
      </c>
      <c r="X489">
        <f t="shared" si="189"/>
        <v>0.21298819993399359</v>
      </c>
      <c r="Y489" t="b">
        <f t="shared" si="191"/>
        <v>0</v>
      </c>
    </row>
    <row xmlns:x14ac="http://schemas.microsoft.com/office/spreadsheetml/2009/9/ac" r="490" x14ac:dyDescent="0.45">
      <c r="A490">
        <v>2.4149999999999801</v>
      </c>
      <c r="B490">
        <f t="shared" si="169"/>
        <v>0.16299914053042178</v>
      </c>
      <c r="C490" t="b">
        <f t="shared" si="182"/>
        <v>1</v>
      </c>
      <c r="D490" t="b">
        <f t="shared" si="170"/>
        <v>1</v>
      </c>
      <c r="E490">
        <f t="shared" si="178"/>
        <v>2.4149999999999801</v>
      </c>
      <c r="F490">
        <f t="shared" si="183"/>
        <v>0.16299914053042178</v>
      </c>
      <c r="G490">
        <f t="shared" si="171"/>
        <v>0.21291442101474634</v>
      </c>
      <c r="H490">
        <f t="shared" si="172"/>
        <v>3.49996694347776E-2</v>
      </c>
      <c r="I490" t="b">
        <f t="shared" si="184"/>
        <v>1</v>
      </c>
      <c r="J490">
        <f t="shared" si="173"/>
        <v>2.4149999999999801</v>
      </c>
      <c r="K490">
        <f t="shared" si="185"/>
        <v>3.49996694347776E-2</v>
      </c>
      <c r="L490">
        <f t="shared" si="174"/>
        <v>0.16560468309276177</v>
      </c>
      <c r="M490">
        <f t="shared" si="175"/>
        <v>0.18999933886955522</v>
      </c>
      <c r="N490">
        <f t="shared" si="176"/>
        <v>0.18795110107200813</v>
      </c>
      <c r="O490">
        <f t="shared" si="177"/>
        <v>0.15777777540944765</v>
      </c>
      <c r="P490">
        <f t="shared" si="190"/>
        <v>0.08</v>
      </c>
      <c r="Q490">
        <f t="shared" si="186"/>
        <v>0.08</v>
      </c>
      <c r="R490">
        <f t="shared" si="179"/>
        <v>0.08</v>
      </c>
      <c r="S490">
        <f t="shared" si="180"/>
        <v>0.06</v>
      </c>
      <c r="T490">
        <f t="shared" si="181"/>
        <v>0.1</v>
      </c>
      <c r="U490">
        <f t="shared" si="187"/>
        <v>0.08</v>
      </c>
      <c r="V490">
        <f t="shared" si="192"/>
        <v>0.18795110107200813</v>
      </c>
      <c r="W490">
        <f t="shared" si="188"/>
        <v>0.16551589180139328</v>
      </c>
      <c r="X490">
        <f t="shared" si="189"/>
        <v>0.21297329622464634</v>
      </c>
      <c r="Y490" t="b">
        <f t="shared" si="191"/>
        <v>0</v>
      </c>
    </row>
    <row xmlns:x14ac="http://schemas.microsoft.com/office/spreadsheetml/2009/9/ac" r="491" x14ac:dyDescent="0.45">
      <c r="A491">
        <v>2.4199999999999799</v>
      </c>
      <c r="B491">
        <f t="shared" si="169"/>
        <v>0.16299915297604153</v>
      </c>
      <c r="C491" t="b">
        <f t="shared" si="182"/>
        <v>1</v>
      </c>
      <c r="D491" t="b">
        <f t="shared" si="170"/>
        <v>1</v>
      </c>
      <c r="E491">
        <f t="shared" si="178"/>
        <v>2.4199999999999799</v>
      </c>
      <c r="F491">
        <f t="shared" si="183"/>
        <v>0.16299915297604153</v>
      </c>
      <c r="G491">
        <f t="shared" si="171"/>
        <v>0.21289988527929399</v>
      </c>
      <c r="H491">
        <f t="shared" si="172"/>
        <v>3.4999674221554436E-2</v>
      </c>
      <c r="I491" t="b">
        <f t="shared" si="184"/>
        <v>1</v>
      </c>
      <c r="J491">
        <f t="shared" si="173"/>
        <v>2.4199999999999799</v>
      </c>
      <c r="K491">
        <f t="shared" si="185"/>
        <v>3.4999674221554436E-2</v>
      </c>
      <c r="L491">
        <f t="shared" si="174"/>
        <v>0.16562660482729136</v>
      </c>
      <c r="M491">
        <f t="shared" si="175"/>
        <v>0.18999934844310887</v>
      </c>
      <c r="N491">
        <f t="shared" si="176"/>
        <v>0.18795178000602547</v>
      </c>
      <c r="O491">
        <f t="shared" si="177"/>
        <v>0.15777777545082047</v>
      </c>
      <c r="P491">
        <f t="shared" si="190"/>
        <v>0.08</v>
      </c>
      <c r="Q491">
        <f t="shared" si="186"/>
        <v>0.08</v>
      </c>
      <c r="R491">
        <f t="shared" si="179"/>
        <v>0.08</v>
      </c>
      <c r="S491">
        <f t="shared" si="180"/>
        <v>0.06</v>
      </c>
      <c r="T491">
        <f t="shared" si="181"/>
        <v>0.1</v>
      </c>
      <c r="U491">
        <f t="shared" si="187"/>
        <v>0.08</v>
      </c>
      <c r="V491">
        <f t="shared" si="192"/>
        <v>0.18795178000602547</v>
      </c>
      <c r="W491">
        <f t="shared" si="188"/>
        <v>0.16553825638433611</v>
      </c>
      <c r="X491">
        <f t="shared" si="189"/>
        <v>0.21295846684785963</v>
      </c>
      <c r="Y491" t="b">
        <f t="shared" si="191"/>
        <v>0</v>
      </c>
    </row>
    <row xmlns:x14ac="http://schemas.microsoft.com/office/spreadsheetml/2009/9/ac" r="492" x14ac:dyDescent="0.45">
      <c r="A492">
        <v>2.4249999999999798</v>
      </c>
      <c r="B492">
        <f t="shared" si="169"/>
        <v>0.16299916886655288</v>
      </c>
      <c r="C492" t="b">
        <f t="shared" si="182"/>
        <v>1</v>
      </c>
      <c r="D492" t="b">
        <f t="shared" si="170"/>
        <v>1</v>
      </c>
      <c r="E492">
        <f t="shared" si="178"/>
        <v>2.4249999999999798</v>
      </c>
      <c r="F492">
        <f t="shared" si="183"/>
        <v>0.16299916886655288</v>
      </c>
      <c r="G492">
        <f t="shared" si="171"/>
        <v>0.21288542204112471</v>
      </c>
      <c r="H492">
        <f t="shared" si="172"/>
        <v>3.4999680333289568E-2</v>
      </c>
      <c r="I492" t="b">
        <f t="shared" si="184"/>
        <v>1</v>
      </c>
      <c r="J492">
        <f t="shared" si="173"/>
        <v>2.4249999999999798</v>
      </c>
      <c r="K492">
        <f t="shared" si="185"/>
        <v>3.4999680333289568E-2</v>
      </c>
      <c r="L492">
        <f t="shared" si="174"/>
        <v>0.16564841722671386</v>
      </c>
      <c r="M492">
        <f t="shared" si="175"/>
        <v>0.18999936066657913</v>
      </c>
      <c r="N492">
        <f t="shared" si="176"/>
        <v>0.18795265279932102</v>
      </c>
      <c r="O492">
        <f t="shared" si="177"/>
        <v>0.15777777550183517</v>
      </c>
      <c r="P492">
        <f t="shared" si="190"/>
        <v>0.08</v>
      </c>
      <c r="Q492">
        <f t="shared" si="186"/>
        <v>0.08</v>
      </c>
      <c r="R492">
        <f t="shared" si="179"/>
        <v>0.08</v>
      </c>
      <c r="S492">
        <f t="shared" si="180"/>
        <v>0.06</v>
      </c>
      <c r="T492">
        <f t="shared" si="181"/>
        <v>0.1</v>
      </c>
      <c r="U492">
        <f t="shared" si="187"/>
        <v>0.08</v>
      </c>
      <c r="V492">
        <f t="shared" si="192"/>
        <v>0.18795265279932102</v>
      </c>
      <c r="W492">
        <f t="shared" si="188"/>
        <v>0.16556050942345613</v>
      </c>
      <c r="X492">
        <f t="shared" si="189"/>
        <v>0.21294371143289814</v>
      </c>
      <c r="Y492" t="b">
        <f t="shared" si="191"/>
        <v>0</v>
      </c>
    </row>
    <row xmlns:x14ac="http://schemas.microsoft.com/office/spreadsheetml/2009/9/ac" r="493" x14ac:dyDescent="0.45">
      <c r="A493">
        <v>2.4299999999999802</v>
      </c>
      <c r="B493">
        <f t="shared" si="169"/>
        <v>0.16299918795793178</v>
      </c>
      <c r="C493" t="b">
        <f t="shared" si="182"/>
        <v>1</v>
      </c>
      <c r="D493" t="b">
        <f t="shared" si="170"/>
        <v>1</v>
      </c>
      <c r="E493">
        <f t="shared" si="178"/>
        <v>2.4299999999999802</v>
      </c>
      <c r="F493">
        <f t="shared" si="183"/>
        <v>0.16299918795793178</v>
      </c>
      <c r="G493">
        <f t="shared" si="171"/>
        <v>0.21287103093865667</v>
      </c>
      <c r="H493">
        <f t="shared" si="172"/>
        <v>3.4999687676127614E-2</v>
      </c>
      <c r="I493" t="b">
        <f t="shared" si="184"/>
        <v>1</v>
      </c>
      <c r="J493">
        <f t="shared" si="173"/>
        <v>2.4299999999999802</v>
      </c>
      <c r="K493">
        <f t="shared" si="185"/>
        <v>3.4999687676127614E-2</v>
      </c>
      <c r="L493">
        <f t="shared" si="174"/>
        <v>0.16567012083634042</v>
      </c>
      <c r="M493">
        <f t="shared" si="175"/>
        <v>0.18999937535225522</v>
      </c>
      <c r="N493">
        <f t="shared" si="176"/>
        <v>0.18795370945068637</v>
      </c>
      <c r="O493">
        <f t="shared" si="177"/>
        <v>0.15777777556154754</v>
      </c>
      <c r="P493">
        <f t="shared" si="190"/>
        <v>0.08</v>
      </c>
      <c r="Q493">
        <f t="shared" si="186"/>
        <v>0.08</v>
      </c>
      <c r="R493">
        <f t="shared" si="179"/>
        <v>0.08</v>
      </c>
      <c r="S493">
        <f t="shared" si="180"/>
        <v>0.06</v>
      </c>
      <c r="T493">
        <f t="shared" si="181"/>
        <v>0.1</v>
      </c>
      <c r="U493">
        <f t="shared" si="187"/>
        <v>0.08</v>
      </c>
      <c r="V493">
        <f t="shared" si="192"/>
        <v>0.18795370945068637</v>
      </c>
      <c r="W493">
        <f t="shared" si="188"/>
        <v>0.16558265147508056</v>
      </c>
      <c r="X493">
        <f t="shared" si="189"/>
        <v>0.21292902961087584</v>
      </c>
      <c r="Y493" t="b">
        <f t="shared" si="191"/>
        <v>0</v>
      </c>
    </row>
    <row xmlns:x14ac="http://schemas.microsoft.com/office/spreadsheetml/2009/9/ac" r="494" x14ac:dyDescent="0.45">
      <c r="A494">
        <v>2.4349999999999801</v>
      </c>
      <c r="B494">
        <f t="shared" si="169"/>
        <v>0.16299921000274348</v>
      </c>
      <c r="C494" t="b">
        <f t="shared" si="182"/>
        <v>1</v>
      </c>
      <c r="D494" t="b">
        <f t="shared" si="170"/>
        <v>1</v>
      </c>
      <c r="E494">
        <f t="shared" si="178"/>
        <v>2.4349999999999801</v>
      </c>
      <c r="F494">
        <f t="shared" si="183"/>
        <v>0.16299921000274348</v>
      </c>
      <c r="G494">
        <f t="shared" si="171"/>
        <v>0.21285671161211167</v>
      </c>
      <c r="H494">
        <f t="shared" si="172"/>
        <v>3.4999696154901339E-2</v>
      </c>
      <c r="I494" t="b">
        <f t="shared" si="184"/>
        <v>1</v>
      </c>
      <c r="J494">
        <f t="shared" si="173"/>
        <v>2.4349999999999801</v>
      </c>
      <c r="K494">
        <f t="shared" si="185"/>
        <v>3.4999696154901339E-2</v>
      </c>
      <c r="L494">
        <f t="shared" si="174"/>
        <v>0.16569171619876233</v>
      </c>
      <c r="M494">
        <f t="shared" si="175"/>
        <v>0.18999939230980267</v>
      </c>
      <c r="N494">
        <f t="shared" si="176"/>
        <v>0.18795493945319175</v>
      </c>
      <c r="O494">
        <f t="shared" si="177"/>
        <v>0.15777777562903217</v>
      </c>
      <c r="P494">
        <f t="shared" si="190"/>
        <v>0.08</v>
      </c>
      <c r="Q494">
        <f t="shared" si="186"/>
        <v>0.08</v>
      </c>
      <c r="R494">
        <f t="shared" si="179"/>
        <v>0.08</v>
      </c>
      <c r="S494">
        <f t="shared" si="180"/>
        <v>0.06</v>
      </c>
      <c r="T494">
        <f t="shared" si="181"/>
        <v>0.1</v>
      </c>
      <c r="U494">
        <f t="shared" si="187"/>
        <v>0.08</v>
      </c>
      <c r="V494">
        <f t="shared" si="192"/>
        <v>0.18795493945319175</v>
      </c>
      <c r="W494">
        <f t="shared" si="188"/>
        <v>0.16560468309276177</v>
      </c>
      <c r="X494">
        <f t="shared" si="189"/>
        <v>0.21291442101474634</v>
      </c>
      <c r="Y494" t="b">
        <f t="shared" si="191"/>
        <v>0</v>
      </c>
    </row>
    <row xmlns:x14ac="http://schemas.microsoft.com/office/spreadsheetml/2009/9/ac" r="495" x14ac:dyDescent="0.45">
      <c r="A495">
        <v>2.43999999999998</v>
      </c>
      <c r="B495">
        <f t="shared" si="169"/>
        <v>0.16299923475149253</v>
      </c>
      <c r="C495" t="b">
        <f t="shared" si="182"/>
        <v>1</v>
      </c>
      <c r="D495" t="b">
        <f t="shared" si="170"/>
        <v>1</v>
      </c>
      <c r="E495">
        <f t="shared" si="178"/>
        <v>2.43999999999998</v>
      </c>
      <c r="F495">
        <f t="shared" si="183"/>
        <v>0.16299923475149253</v>
      </c>
      <c r="G495">
        <f t="shared" si="171"/>
        <v>0.21284246370350579</v>
      </c>
      <c r="H495">
        <f t="shared" si="172"/>
        <v>3.4999705673650974E-2</v>
      </c>
      <c r="I495" t="b">
        <f t="shared" si="184"/>
        <v>1</v>
      </c>
      <c r="J495">
        <f t="shared" si="173"/>
        <v>2.43999999999998</v>
      </c>
      <c r="K495">
        <f t="shared" si="185"/>
        <v>3.4999705673650974E-2</v>
      </c>
      <c r="L495">
        <f t="shared" si="174"/>
        <v>0.16571320385386484</v>
      </c>
      <c r="M495">
        <f t="shared" si="175"/>
        <v>0.18999941134730194</v>
      </c>
      <c r="N495">
        <f t="shared" si="176"/>
        <v>0.18795633185701316</v>
      </c>
      <c r="O495">
        <f t="shared" si="177"/>
        <v>0.15777777570338619</v>
      </c>
      <c r="P495">
        <f t="shared" si="190"/>
        <v>0.08</v>
      </c>
      <c r="Q495">
        <f t="shared" si="186"/>
        <v>0.08</v>
      </c>
      <c r="R495">
        <f t="shared" si="179"/>
        <v>0.08</v>
      </c>
      <c r="S495">
        <f t="shared" si="180"/>
        <v>0.06</v>
      </c>
      <c r="T495">
        <f t="shared" si="181"/>
        <v>0.1</v>
      </c>
      <c r="U495">
        <f t="shared" si="187"/>
        <v>0.08</v>
      </c>
      <c r="V495">
        <f t="shared" si="192"/>
        <v>0.18795633185701316</v>
      </c>
      <c r="W495">
        <f t="shared" si="188"/>
        <v>0.16562660482729136</v>
      </c>
      <c r="X495">
        <f t="shared" si="189"/>
        <v>0.21289988527929399</v>
      </c>
      <c r="Y495" t="b">
        <f t="shared" si="191"/>
        <v>0</v>
      </c>
    </row>
    <row xmlns:x14ac="http://schemas.microsoft.com/office/spreadsheetml/2009/9/ac" r="496" x14ac:dyDescent="0.45">
      <c r="A496">
        <v>2.4449999999999799</v>
      </c>
      <c r="B496">
        <f t="shared" si="169"/>
        <v>0.16299926195391684</v>
      </c>
      <c r="C496" t="b">
        <f t="shared" si="182"/>
        <v>1</v>
      </c>
      <c r="D496" t="b">
        <f t="shared" si="170"/>
        <v>1</v>
      </c>
      <c r="E496">
        <f t="shared" si="178"/>
        <v>2.4449999999999799</v>
      </c>
      <c r="F496">
        <f t="shared" si="183"/>
        <v>0.16299926195391684</v>
      </c>
      <c r="G496">
        <f t="shared" si="171"/>
        <v>0.21282828685664051</v>
      </c>
      <c r="H496">
        <f t="shared" si="172"/>
        <v>3.4999716136121864E-2</v>
      </c>
      <c r="I496" t="b">
        <f t="shared" si="184"/>
        <v>1</v>
      </c>
      <c r="J496">
        <f t="shared" si="173"/>
        <v>2.4449999999999799</v>
      </c>
      <c r="K496">
        <f t="shared" si="185"/>
        <v>3.4999716136121864E-2</v>
      </c>
      <c r="L496">
        <f t="shared" si="174"/>
        <v>0.16573458433884042</v>
      </c>
      <c r="M496">
        <f t="shared" si="175"/>
        <v>0.18999943227224375</v>
      </c>
      <c r="N496">
        <f t="shared" si="176"/>
        <v>0.18795787533225763</v>
      </c>
      <c r="O496">
        <f t="shared" si="177"/>
        <v>0.15777777578373242</v>
      </c>
      <c r="P496">
        <f t="shared" si="190"/>
        <v>0.08</v>
      </c>
      <c r="Q496">
        <f t="shared" si="186"/>
        <v>0.08</v>
      </c>
      <c r="R496">
        <f t="shared" si="179"/>
        <v>0.08</v>
      </c>
      <c r="S496">
        <f t="shared" si="180"/>
        <v>0.06</v>
      </c>
      <c r="T496">
        <f t="shared" si="181"/>
        <v>0.1</v>
      </c>
      <c r="U496">
        <f t="shared" si="187"/>
        <v>0.08</v>
      </c>
      <c r="V496">
        <f t="shared" si="192"/>
        <v>0.18795787533225763</v>
      </c>
      <c r="W496">
        <f t="shared" si="188"/>
        <v>0.16564841722671386</v>
      </c>
      <c r="X496">
        <f t="shared" si="189"/>
        <v>0.21288542204112471</v>
      </c>
      <c r="Y496" t="b">
        <f t="shared" si="191"/>
        <v>0</v>
      </c>
    </row>
    <row xmlns:x14ac="http://schemas.microsoft.com/office/spreadsheetml/2009/9/ac" r="497" x14ac:dyDescent="0.45">
      <c r="A497">
        <v>2.4499999999999802</v>
      </c>
      <c r="B497">
        <f t="shared" si="169"/>
        <v>0.1629992913602222</v>
      </c>
      <c r="C497" t="b">
        <f t="shared" si="182"/>
        <v>1</v>
      </c>
      <c r="D497" t="b">
        <f t="shared" si="170"/>
        <v>1</v>
      </c>
      <c r="E497">
        <f t="shared" si="178"/>
        <v>2.4499999999999802</v>
      </c>
      <c r="F497">
        <f t="shared" si="183"/>
        <v>0.1629992913602222</v>
      </c>
      <c r="G497">
        <f t="shared" si="171"/>
        <v>0.21281418071709396</v>
      </c>
      <c r="H497">
        <f t="shared" si="172"/>
        <v>3.4999727446239318E-2</v>
      </c>
      <c r="I497" t="b">
        <f t="shared" si="184"/>
        <v>1</v>
      </c>
      <c r="J497">
        <f t="shared" si="173"/>
        <v>2.4499999999999802</v>
      </c>
      <c r="K497">
        <f t="shared" si="185"/>
        <v>3.4999727446239318E-2</v>
      </c>
      <c r="L497">
        <f t="shared" si="174"/>
        <v>0.16575585818820229</v>
      </c>
      <c r="M497">
        <f t="shared" si="175"/>
        <v>0.18999945489247863</v>
      </c>
      <c r="N497">
        <f t="shared" si="176"/>
        <v>0.18795955823150667</v>
      </c>
      <c r="O497">
        <f t="shared" si="177"/>
        <v>0.15777777586922245</v>
      </c>
      <c r="P497">
        <f t="shared" si="190"/>
        <v>0.08</v>
      </c>
      <c r="Q497">
        <f t="shared" si="186"/>
        <v>0.08</v>
      </c>
      <c r="R497">
        <f t="shared" si="179"/>
        <v>0.08</v>
      </c>
      <c r="S497">
        <f t="shared" si="180"/>
        <v>0.06</v>
      </c>
      <c r="T497">
        <f t="shared" si="181"/>
        <v>0.1</v>
      </c>
      <c r="U497">
        <f t="shared" si="187"/>
        <v>0.08</v>
      </c>
      <c r="V497">
        <f t="shared" si="192"/>
        <v>0.18795955823150667</v>
      </c>
      <c r="W497">
        <f t="shared" si="188"/>
        <v>0.16567012083634042</v>
      </c>
      <c r="X497">
        <f t="shared" si="189"/>
        <v>0.21287103093865667</v>
      </c>
      <c r="Y497" t="b">
        <f t="shared" si="191"/>
        <v>0</v>
      </c>
    </row>
    <row xmlns:x14ac="http://schemas.microsoft.com/office/spreadsheetml/2009/9/ac" r="498" x14ac:dyDescent="0.45">
      <c r="A498">
        <v>2.4549999999999801</v>
      </c>
      <c r="B498">
        <f t="shared" si="169"/>
        <v>0.16299932272225442</v>
      </c>
      <c r="C498" t="b">
        <f t="shared" si="182"/>
        <v>1</v>
      </c>
      <c r="D498" t="b">
        <f t="shared" si="170"/>
        <v>1</v>
      </c>
      <c r="E498">
        <f t="shared" si="178"/>
        <v>2.4549999999999801</v>
      </c>
      <c r="F498">
        <f t="shared" si="183"/>
        <v>0.16299932272225442</v>
      </c>
      <c r="G498">
        <f t="shared" si="171"/>
        <v>0.21280014493221189</v>
      </c>
      <c r="H498">
        <f t="shared" si="172"/>
        <v>3.4999739508559391E-2</v>
      </c>
      <c r="I498" t="b">
        <f t="shared" si="184"/>
        <v>1</v>
      </c>
      <c r="J498">
        <f t="shared" si="173"/>
        <v>2.4549999999999801</v>
      </c>
      <c r="K498">
        <f t="shared" si="185"/>
        <v>3.4999739508559391E-2</v>
      </c>
      <c r="L498">
        <f t="shared" si="174"/>
        <v>0.16577702593379784</v>
      </c>
      <c r="M498">
        <f t="shared" si="175"/>
        <v>0.18999947901711878</v>
      </c>
      <c r="N498">
        <f t="shared" si="176"/>
        <v>0.1879613686518071</v>
      </c>
      <c r="O498">
        <f t="shared" si="177"/>
        <v>0.15777777595903913</v>
      </c>
      <c r="P498">
        <f t="shared" si="190"/>
        <v>0.08</v>
      </c>
      <c r="Q498">
        <f t="shared" si="186"/>
        <v>0.08</v>
      </c>
      <c r="R498">
        <f t="shared" si="179"/>
        <v>0.08</v>
      </c>
      <c r="S498">
        <f t="shared" si="180"/>
        <v>0.06</v>
      </c>
      <c r="T498">
        <f t="shared" si="181"/>
        <v>0.1</v>
      </c>
      <c r="U498">
        <f t="shared" si="187"/>
        <v>0.08</v>
      </c>
      <c r="V498">
        <f t="shared" si="192"/>
        <v>0.1879613686518071</v>
      </c>
      <c r="W498">
        <f t="shared" si="188"/>
        <v>0.16569171619876233</v>
      </c>
      <c r="X498">
        <f t="shared" si="189"/>
        <v>0.21285671161211167</v>
      </c>
      <c r="Y498" t="b">
        <f t="shared" si="191"/>
        <v>0</v>
      </c>
    </row>
    <row xmlns:x14ac="http://schemas.microsoft.com/office/spreadsheetml/2009/9/ac" r="499" x14ac:dyDescent="0.45">
      <c r="A499">
        <v>2.45999999999998</v>
      </c>
      <c r="B499">
        <f t="shared" si="169"/>
        <v>0.16299935579460639</v>
      </c>
      <c r="C499" t="b">
        <f t="shared" si="182"/>
        <v>1</v>
      </c>
      <c r="D499" t="b">
        <f t="shared" si="170"/>
        <v>1</v>
      </c>
      <c r="E499">
        <f t="shared" si="178"/>
        <v>2.45999999999998</v>
      </c>
      <c r="F499">
        <f t="shared" si="183"/>
        <v>0.16299935579460639</v>
      </c>
      <c r="G499">
        <f t="shared" si="171"/>
        <v>0.21278617915109899</v>
      </c>
      <c r="H499">
        <f t="shared" si="172"/>
        <v>3.4999752228694767E-2</v>
      </c>
      <c r="I499" t="b">
        <f t="shared" si="184"/>
        <v>1</v>
      </c>
      <c r="J499">
        <f t="shared" si="173"/>
        <v>2.45999999999998</v>
      </c>
      <c r="K499">
        <f t="shared" si="185"/>
        <v>3.4999752228694767E-2</v>
      </c>
      <c r="L499">
        <f t="shared" si="174"/>
        <v>0.16579808810482177</v>
      </c>
      <c r="M499">
        <f t="shared" si="175"/>
        <v>0.18999950445738956</v>
      </c>
      <c r="N499">
        <f t="shared" si="176"/>
        <v>0.18796329449585031</v>
      </c>
      <c r="O499">
        <f t="shared" si="177"/>
        <v>0.15777777605239873</v>
      </c>
      <c r="P499">
        <f t="shared" si="190"/>
        <v>0.08</v>
      </c>
      <c r="Q499">
        <f t="shared" si="186"/>
        <v>0.08</v>
      </c>
      <c r="R499">
        <f t="shared" si="179"/>
        <v>0.08</v>
      </c>
      <c r="S499">
        <f t="shared" si="180"/>
        <v>0.06</v>
      </c>
      <c r="T499">
        <f t="shared" si="181"/>
        <v>0.1</v>
      </c>
      <c r="U499">
        <f t="shared" si="187"/>
        <v>0.08</v>
      </c>
      <c r="V499">
        <f t="shared" si="192"/>
        <v>0.18796329449585031</v>
      </c>
      <c r="W499">
        <f t="shared" si="188"/>
        <v>0.16571320385386484</v>
      </c>
      <c r="X499">
        <f t="shared" si="189"/>
        <v>0.21284246370350579</v>
      </c>
      <c r="Y499" t="b">
        <f t="shared" si="191"/>
        <v>0</v>
      </c>
    </row>
    <row xmlns:x14ac="http://schemas.microsoft.com/office/spreadsheetml/2009/9/ac" r="500" x14ac:dyDescent="0.45">
      <c r="A500">
        <v>2.4649999999999799</v>
      </c>
      <c r="B500">
        <f t="shared" si="169"/>
        <v>0.16299939033565802</v>
      </c>
      <c r="C500" t="b">
        <f t="shared" si="182"/>
        <v>1</v>
      </c>
      <c r="D500" t="b">
        <f t="shared" si="170"/>
        <v>1</v>
      </c>
      <c r="E500">
        <f t="shared" si="178"/>
        <v>2.4649999999999799</v>
      </c>
      <c r="F500">
        <f t="shared" si="183"/>
        <v>0.16299939033565802</v>
      </c>
      <c r="G500">
        <f t="shared" si="171"/>
        <v>0.21277228302460993</v>
      </c>
      <c r="H500">
        <f t="shared" si="172"/>
        <v>3.4999765513714629E-2</v>
      </c>
      <c r="I500" t="b">
        <f t="shared" si="184"/>
        <v>1</v>
      </c>
      <c r="J500">
        <f t="shared" si="173"/>
        <v>2.4649999999999799</v>
      </c>
      <c r="K500">
        <f t="shared" si="185"/>
        <v>3.4999765513714629E-2</v>
      </c>
      <c r="L500">
        <f t="shared" si="174"/>
        <v>0.1658190452278295</v>
      </c>
      <c r="M500">
        <f t="shared" si="175"/>
        <v>0.18999953102742925</v>
      </c>
      <c r="N500">
        <f t="shared" si="176"/>
        <v>0.18796532353209242</v>
      </c>
      <c r="O500">
        <f t="shared" si="177"/>
        <v>0.15777777614855307</v>
      </c>
      <c r="P500">
        <f t="shared" si="190"/>
        <v>0.08</v>
      </c>
      <c r="Q500">
        <f t="shared" si="186"/>
        <v>0.08</v>
      </c>
      <c r="R500">
        <f t="shared" si="179"/>
        <v>0.08</v>
      </c>
      <c r="S500">
        <f t="shared" si="180"/>
        <v>0.06</v>
      </c>
      <c r="T500">
        <f t="shared" si="181"/>
        <v>0.1</v>
      </c>
      <c r="U500">
        <f t="shared" si="187"/>
        <v>0.08</v>
      </c>
      <c r="V500">
        <f t="shared" si="192"/>
        <v>0.18796532353209242</v>
      </c>
      <c r="W500">
        <f t="shared" si="188"/>
        <v>0.16573458433884042</v>
      </c>
      <c r="X500">
        <f t="shared" si="189"/>
        <v>0.21282828685664051</v>
      </c>
      <c r="Y500" t="b">
        <f t="shared" si="191"/>
        <v>0</v>
      </c>
    </row>
    <row xmlns:x14ac="http://schemas.microsoft.com/office/spreadsheetml/2009/9/ac" r="501" x14ac:dyDescent="0.45">
      <c r="A501">
        <v>2.4699999999999802</v>
      </c>
      <c r="B501">
        <f t="shared" si="169"/>
        <v>0.16299942610854751</v>
      </c>
      <c r="C501" t="b">
        <f t="shared" si="182"/>
        <v>1</v>
      </c>
      <c r="D501" t="b">
        <f t="shared" si="170"/>
        <v>1</v>
      </c>
      <c r="E501">
        <f t="shared" si="178"/>
        <v>2.4699999999999802</v>
      </c>
      <c r="F501">
        <f t="shared" si="183"/>
        <v>0.16299942610854751</v>
      </c>
      <c r="G501">
        <f t="shared" si="171"/>
        <v>0.21275845620534095</v>
      </c>
      <c r="H501">
        <f t="shared" si="172"/>
        <v>3.4999779272518267E-2</v>
      </c>
      <c r="I501" t="b">
        <f t="shared" si="184"/>
        <v>1</v>
      </c>
      <c r="J501">
        <f t="shared" si="173"/>
        <v>2.4699999999999802</v>
      </c>
      <c r="K501">
        <f t="shared" si="185"/>
        <v>3.4999779272518267E-2</v>
      </c>
      <c r="L501">
        <f t="shared" si="174"/>
        <v>0.16583989782675015</v>
      </c>
      <c r="M501">
        <f t="shared" si="175"/>
        <v>0.18999955854503653</v>
      </c>
      <c r="N501">
        <f t="shared" si="176"/>
        <v>0.18796744345358013</v>
      </c>
      <c r="O501">
        <f t="shared" si="177"/>
        <v>0.15777777624679074</v>
      </c>
      <c r="P501">
        <f t="shared" si="190"/>
        <v>0.08</v>
      </c>
      <c r="Q501">
        <f t="shared" si="186"/>
        <v>0.08</v>
      </c>
      <c r="R501">
        <f t="shared" si="179"/>
        <v>0.08</v>
      </c>
      <c r="S501">
        <f t="shared" si="180"/>
        <v>0.06</v>
      </c>
      <c r="T501">
        <f t="shared" si="181"/>
        <v>0.1</v>
      </c>
      <c r="U501">
        <f t="shared" si="187"/>
        <v>0.08</v>
      </c>
      <c r="V501">
        <f t="shared" si="192"/>
        <v>0.18796744345358013</v>
      </c>
      <c r="W501">
        <f t="shared" si="188"/>
        <v>0.16575585818820229</v>
      </c>
      <c r="X501">
        <f t="shared" si="189"/>
        <v>0.21281418071709396</v>
      </c>
      <c r="Y501" t="b">
        <f t="shared" si="191"/>
        <v>0</v>
      </c>
    </row>
    <row xmlns:x14ac="http://schemas.microsoft.com/office/spreadsheetml/2009/9/ac" r="502" x14ac:dyDescent="0.45">
      <c r="A502">
        <v>2.4749999999999801</v>
      </c>
      <c r="B502">
        <f t="shared" si="169"/>
        <v>0.16299946288207215</v>
      </c>
      <c r="C502" t="b">
        <f t="shared" si="182"/>
        <v>1</v>
      </c>
      <c r="D502" t="b">
        <f t="shared" si="170"/>
        <v>1</v>
      </c>
      <c r="E502">
        <f t="shared" si="178"/>
        <v>2.4749999999999801</v>
      </c>
      <c r="F502">
        <f t="shared" si="183"/>
        <v>0.16299946288207215</v>
      </c>
      <c r="G502">
        <f t="shared" si="171"/>
        <v>0.21274469834762072</v>
      </c>
      <c r="H502">
        <f t="shared" si="172"/>
        <v>3.499979341618159E-2</v>
      </c>
      <c r="I502" t="b">
        <f t="shared" si="184"/>
        <v>1</v>
      </c>
      <c r="J502">
        <f t="shared" si="173"/>
        <v>2.4749999999999801</v>
      </c>
      <c r="K502">
        <f t="shared" si="185"/>
        <v>3.499979341618159E-2</v>
      </c>
      <c r="L502">
        <f t="shared" si="174"/>
        <v>0.16586064642289983</v>
      </c>
      <c r="M502">
        <f t="shared" si="175"/>
        <v>0.18999958683236318</v>
      </c>
      <c r="N502">
        <f t="shared" si="176"/>
        <v>0.18796964193526067</v>
      </c>
      <c r="O502">
        <f t="shared" si="177"/>
        <v>0.15777777634643869</v>
      </c>
      <c r="P502">
        <f t="shared" si="190"/>
        <v>0.08</v>
      </c>
      <c r="Q502">
        <f t="shared" si="186"/>
        <v>0.08</v>
      </c>
      <c r="R502">
        <f t="shared" si="179"/>
        <v>0.08</v>
      </c>
      <c r="S502">
        <f t="shared" si="180"/>
        <v>0.06</v>
      </c>
      <c r="T502">
        <f t="shared" si="181"/>
        <v>0.1</v>
      </c>
      <c r="U502">
        <f t="shared" si="187"/>
        <v>0.08</v>
      </c>
      <c r="V502">
        <f t="shared" si="192"/>
        <v>0.18796964193526067</v>
      </c>
      <c r="W502">
        <f t="shared" si="188"/>
        <v>0.16577702593379784</v>
      </c>
      <c r="X502">
        <f t="shared" si="189"/>
        <v>0.21280014493221189</v>
      </c>
      <c r="Y502" t="b">
        <f t="shared" si="191"/>
        <v>0</v>
      </c>
    </row>
    <row xmlns:x14ac="http://schemas.microsoft.com/office/spreadsheetml/2009/9/ac" r="503" x14ac:dyDescent="0.45">
      <c r="A503">
        <v>2.47999999999998</v>
      </c>
      <c r="B503">
        <f t="shared" si="169"/>
        <v>0.16299950043151848</v>
      </c>
      <c r="C503" t="b">
        <f t="shared" si="182"/>
        <v>1</v>
      </c>
      <c r="D503" t="b">
        <f t="shared" si="170"/>
        <v>1</v>
      </c>
      <c r="E503">
        <f t="shared" si="178"/>
        <v>2.47999999999998</v>
      </c>
      <c r="F503">
        <f t="shared" si="183"/>
        <v>0.16299950043151848</v>
      </c>
      <c r="G503">
        <f t="shared" si="171"/>
        <v>0.21273100910750214</v>
      </c>
      <c r="H503">
        <f t="shared" si="172"/>
        <v>3.4999807858276347E-2</v>
      </c>
      <c r="I503" t="b">
        <f t="shared" si="184"/>
        <v>1</v>
      </c>
      <c r="J503">
        <f t="shared" si="173"/>
        <v>2.47999999999998</v>
      </c>
      <c r="K503">
        <f t="shared" si="185"/>
        <v>3.4999807858276347E-2</v>
      </c>
      <c r="L503">
        <f t="shared" si="174"/>
        <v>0.16588129153499442</v>
      </c>
      <c r="M503">
        <f t="shared" si="175"/>
        <v>0.18999961571655269</v>
      </c>
      <c r="N503">
        <f t="shared" si="176"/>
        <v>0.18797190668956731</v>
      </c>
      <c r="O503">
        <f t="shared" si="177"/>
        <v>0.15777777644686289</v>
      </c>
      <c r="P503">
        <f t="shared" si="190"/>
        <v>0.08</v>
      </c>
      <c r="Q503">
        <f t="shared" si="186"/>
        <v>0.08</v>
      </c>
      <c r="R503">
        <f t="shared" si="179"/>
        <v>0.08</v>
      </c>
      <c r="S503">
        <f t="shared" si="180"/>
        <v>0.06</v>
      </c>
      <c r="T503">
        <f t="shared" si="181"/>
        <v>0.1</v>
      </c>
      <c r="U503">
        <f t="shared" si="187"/>
        <v>0.08</v>
      </c>
      <c r="V503">
        <f t="shared" si="192"/>
        <v>0.18797190668956731</v>
      </c>
      <c r="W503">
        <f t="shared" si="188"/>
        <v>0.16579808810482177</v>
      </c>
      <c r="X503">
        <f t="shared" si="189"/>
        <v>0.21278617915109899</v>
      </c>
      <c r="Y503" t="b">
        <f t="shared" si="191"/>
        <v>0</v>
      </c>
    </row>
    <row xmlns:x14ac="http://schemas.microsoft.com/office/spreadsheetml/2009/9/ac" r="504" x14ac:dyDescent="0.45">
      <c r="A504">
        <v>2.4849999999999701</v>
      </c>
      <c r="B504">
        <f t="shared" si="169"/>
        <v>0.16299953853942076</v>
      </c>
      <c r="C504" t="b">
        <f t="shared" si="182"/>
        <v>1</v>
      </c>
      <c r="D504" t="b">
        <f t="shared" si="170"/>
        <v>1</v>
      </c>
      <c r="E504">
        <f t="shared" si="178"/>
        <v>2.4849999999999701</v>
      </c>
      <c r="F504">
        <f t="shared" si="183"/>
        <v>0.16299953853942076</v>
      </c>
      <c r="G504">
        <f t="shared" si="171"/>
        <v>0.21271738814275354</v>
      </c>
      <c r="H504">
        <f t="shared" si="172"/>
        <v>3.499982251516183E-2</v>
      </c>
      <c r="I504" t="b">
        <f t="shared" si="184"/>
        <v>1</v>
      </c>
      <c r="J504">
        <f t="shared" si="173"/>
        <v>2.4849999999999701</v>
      </c>
      <c r="K504">
        <f t="shared" si="185"/>
        <v>3.499982251516183E-2</v>
      </c>
      <c r="L504">
        <f t="shared" si="174"/>
        <v>0.16590183367916289</v>
      </c>
      <c r="M504">
        <f t="shared" si="175"/>
        <v>0.18999964503032366</v>
      </c>
      <c r="N504">
        <f t="shared" si="176"/>
        <v>0.18797422552008763</v>
      </c>
      <c r="O504">
        <f t="shared" si="177"/>
        <v>0.15777777654746933</v>
      </c>
      <c r="P504">
        <f t="shared" si="190"/>
        <v>0.08</v>
      </c>
      <c r="Q504">
        <f t="shared" si="186"/>
        <v>0.08</v>
      </c>
      <c r="R504">
        <f t="shared" si="179"/>
        <v>0.08</v>
      </c>
      <c r="S504">
        <f t="shared" si="180"/>
        <v>0.06</v>
      </c>
      <c r="T504">
        <f t="shared" si="181"/>
        <v>0.1</v>
      </c>
      <c r="U504">
        <f t="shared" si="187"/>
        <v>0.08</v>
      </c>
      <c r="V504">
        <f t="shared" si="192"/>
        <v>0.18797422552008763</v>
      </c>
      <c r="W504">
        <f t="shared" si="188"/>
        <v>0.1658190452278295</v>
      </c>
      <c r="X504">
        <f t="shared" si="189"/>
        <v>0.21277228302460993</v>
      </c>
      <c r="Y504" t="b">
        <f t="shared" si="191"/>
        <v>0</v>
      </c>
    </row>
    <row xmlns:x14ac="http://schemas.microsoft.com/office/spreadsheetml/2009/9/ac" r="505" x14ac:dyDescent="0.45">
      <c r="A505">
        <v>2.48999999999997</v>
      </c>
      <c r="B505">
        <f t="shared" si="169"/>
        <v>0.16299957699624759</v>
      </c>
      <c r="C505" t="b">
        <f t="shared" si="182"/>
        <v>1</v>
      </c>
      <c r="D505" t="b">
        <f t="shared" si="170"/>
        <v>1</v>
      </c>
      <c r="E505">
        <f t="shared" si="178"/>
        <v>2.48999999999997</v>
      </c>
      <c r="F505">
        <f t="shared" si="183"/>
        <v>0.16299957699624759</v>
      </c>
      <c r="G505">
        <f t="shared" si="171"/>
        <v>0.21270383511285001</v>
      </c>
      <c r="H505">
        <f t="shared" si="172"/>
        <v>3.4999837306249074E-2</v>
      </c>
      <c r="I505" t="b">
        <f t="shared" si="184"/>
        <v>1</v>
      </c>
      <c r="J505">
        <f t="shared" si="173"/>
        <v>2.48999999999997</v>
      </c>
      <c r="K505">
        <f t="shared" si="185"/>
        <v>3.4999837306249074E-2</v>
      </c>
      <c r="L505">
        <f t="shared" si="174"/>
        <v>0.16592227336895993</v>
      </c>
      <c r="M505">
        <f t="shared" si="175"/>
        <v>0.18999967461249814</v>
      </c>
      <c r="N505">
        <f t="shared" si="176"/>
        <v>0.18797658637313397</v>
      </c>
      <c r="O505">
        <f t="shared" si="177"/>
        <v>0.15777777664770415</v>
      </c>
      <c r="P505">
        <f t="shared" si="190"/>
        <v>0.08</v>
      </c>
      <c r="Q505">
        <f t="shared" si="186"/>
        <v>0.08</v>
      </c>
      <c r="R505">
        <f t="shared" si="179"/>
        <v>0.08</v>
      </c>
      <c r="S505">
        <f t="shared" si="180"/>
        <v>0.06</v>
      </c>
      <c r="T505">
        <f t="shared" si="181"/>
        <v>0.1</v>
      </c>
      <c r="U505">
        <f t="shared" si="187"/>
        <v>0.08</v>
      </c>
      <c r="V505">
        <f t="shared" si="192"/>
        <v>0.18797658637313397</v>
      </c>
      <c r="W505">
        <f t="shared" si="188"/>
        <v>0.16583989782675015</v>
      </c>
      <c r="X505">
        <f t="shared" si="189"/>
        <v>0.21275845620534095</v>
      </c>
      <c r="Y505" t="b">
        <f t="shared" si="191"/>
        <v>0</v>
      </c>
    </row>
    <row xmlns:x14ac="http://schemas.microsoft.com/office/spreadsheetml/2009/9/ac" r="506" x14ac:dyDescent="0.45">
      <c r="A506">
        <v>2.4949999999999699</v>
      </c>
      <c r="B506">
        <f t="shared" si="169"/>
        <v>0.1629996156010175</v>
      </c>
      <c r="C506" t="b">
        <f t="shared" si="182"/>
        <v>1</v>
      </c>
      <c r="D506" t="b">
        <f t="shared" si="170"/>
        <v>1</v>
      </c>
      <c r="E506">
        <f t="shared" si="178"/>
        <v>2.4949999999999699</v>
      </c>
      <c r="F506">
        <f t="shared" si="183"/>
        <v>0.1629996156010175</v>
      </c>
      <c r="G506">
        <f t="shared" si="171"/>
        <v>0.21269034967896511</v>
      </c>
      <c r="H506">
        <f t="shared" si="172"/>
        <v>3.4999852154237496E-2</v>
      </c>
      <c r="I506" t="b">
        <f t="shared" si="184"/>
        <v>1</v>
      </c>
      <c r="J506">
        <f t="shared" si="173"/>
        <v>2.4949999999999699</v>
      </c>
      <c r="K506">
        <f t="shared" si="185"/>
        <v>3.4999852154237496E-2</v>
      </c>
      <c r="L506">
        <f t="shared" si="174"/>
        <v>0.16594261111537878</v>
      </c>
      <c r="M506">
        <f t="shared" si="175"/>
        <v>0.18999970430847501</v>
      </c>
      <c r="N506">
        <f t="shared" si="176"/>
        <v>0.1879789773870531</v>
      </c>
      <c r="O506">
        <f t="shared" si="177"/>
        <v>0.15777777674705412</v>
      </c>
      <c r="P506">
        <f t="shared" si="190"/>
        <v>0.08</v>
      </c>
      <c r="Q506">
        <f t="shared" si="186"/>
        <v>0.08</v>
      </c>
      <c r="R506">
        <f t="shared" si="179"/>
        <v>0.08</v>
      </c>
      <c r="S506">
        <f t="shared" si="180"/>
        <v>0.06</v>
      </c>
      <c r="T506">
        <f t="shared" si="181"/>
        <v>0.1</v>
      </c>
      <c r="U506">
        <f t="shared" si="187"/>
        <v>0.08</v>
      </c>
      <c r="V506">
        <f t="shared" si="192"/>
        <v>0.1879789773870531</v>
      </c>
      <c r="W506">
        <f t="shared" si="188"/>
        <v>0.16586064642289983</v>
      </c>
      <c r="X506">
        <f t="shared" si="189"/>
        <v>0.21274469834762072</v>
      </c>
      <c r="Y506" t="b">
        <f t="shared" si="191"/>
        <v>0</v>
      </c>
    </row>
    <row xmlns:x14ac="http://schemas.microsoft.com/office/spreadsheetml/2009/9/ac" r="507" x14ac:dyDescent="0.45">
      <c r="A507">
        <v>2.4999999999999698</v>
      </c>
      <c r="B507">
        <f t="shared" si="169"/>
        <v>0.16299965416184323</v>
      </c>
      <c r="C507" t="b">
        <f t="shared" si="182"/>
        <v>1</v>
      </c>
      <c r="D507" t="b">
        <f t="shared" si="170"/>
        <v>1</v>
      </c>
      <c r="E507">
        <f t="shared" si="178"/>
        <v>2.4999999999999698</v>
      </c>
      <c r="F507">
        <f t="shared" si="183"/>
        <v>0.16299965416184323</v>
      </c>
      <c r="G507">
        <f t="shared" si="171"/>
        <v>0.21267693150396233</v>
      </c>
      <c r="H507">
        <f t="shared" si="172"/>
        <v>3.4999866985324327E-2</v>
      </c>
      <c r="I507" t="b">
        <f t="shared" si="184"/>
        <v>1</v>
      </c>
      <c r="J507">
        <f t="shared" si="173"/>
        <v>2.4999999999999698</v>
      </c>
      <c r="K507">
        <f t="shared" si="185"/>
        <v>3.4999866985324327E-2</v>
      </c>
      <c r="L507">
        <f t="shared" si="174"/>
        <v>0.16596284742686421</v>
      </c>
      <c r="M507">
        <f t="shared" si="175"/>
        <v>0.18999973397064865</v>
      </c>
      <c r="N507">
        <f t="shared" si="176"/>
        <v>0.18798138693912575</v>
      </c>
      <c r="O507">
        <f t="shared" si="177"/>
        <v>0.15777777684504629</v>
      </c>
      <c r="P507">
        <f t="shared" si="190"/>
        <v>0.08</v>
      </c>
      <c r="Q507">
        <f t="shared" si="186"/>
        <v>0.08</v>
      </c>
      <c r="R507">
        <f t="shared" si="179"/>
        <v>0.08</v>
      </c>
      <c r="S507">
        <f t="shared" si="180"/>
        <v>0.06</v>
      </c>
      <c r="T507">
        <f t="shared" si="181"/>
        <v>0.1</v>
      </c>
      <c r="U507">
        <f t="shared" si="187"/>
        <v>0.08</v>
      </c>
      <c r="V507">
        <f t="shared" si="192"/>
        <v>0.18798138693912575</v>
      </c>
      <c r="W507">
        <f t="shared" si="188"/>
        <v>0.16588129153499442</v>
      </c>
      <c r="X507">
        <f t="shared" si="189"/>
        <v>0.21273100910750214</v>
      </c>
      <c r="Y507" t="b">
        <f t="shared" si="191"/>
        <v>0</v>
      </c>
    </row>
    <row xmlns:x14ac="http://schemas.microsoft.com/office/spreadsheetml/2009/9/ac" r="508" x14ac:dyDescent="0.45">
      <c r="A508">
        <v>2.5049999999999701</v>
      </c>
      <c r="B508">
        <f t="shared" si="169"/>
        <v>0.16299969249640628</v>
      </c>
      <c r="C508" t="b">
        <f t="shared" si="182"/>
        <v>1</v>
      </c>
      <c r="D508" t="b">
        <f t="shared" si="170"/>
        <v>1</v>
      </c>
      <c r="E508">
        <f t="shared" si="178"/>
        <v>2.5049999999999701</v>
      </c>
      <c r="F508">
        <f t="shared" si="183"/>
        <v>0.16299969249640628</v>
      </c>
      <c r="G508">
        <f t="shared" si="171"/>
        <v>0.21266358025238652</v>
      </c>
      <c r="H508">
        <f t="shared" si="172"/>
        <v>3.4999881729387033E-2</v>
      </c>
      <c r="I508" t="b">
        <f t="shared" si="184"/>
        <v>1</v>
      </c>
      <c r="J508">
        <f t="shared" si="173"/>
        <v>2.5049999999999701</v>
      </c>
      <c r="K508">
        <f t="shared" si="185"/>
        <v>3.4999881729387033E-2</v>
      </c>
      <c r="L508">
        <f t="shared" si="174"/>
        <v>0.16598298280932505</v>
      </c>
      <c r="M508">
        <f t="shared" si="175"/>
        <v>0.18999976345877406</v>
      </c>
      <c r="N508">
        <f t="shared" si="176"/>
        <v>0.18798380368992232</v>
      </c>
      <c r="O508">
        <f t="shared" si="177"/>
        <v>0.15777777694124789</v>
      </c>
      <c r="P508">
        <f t="shared" si="190"/>
        <v>0.08</v>
      </c>
      <c r="Q508">
        <f t="shared" si="186"/>
        <v>0.08</v>
      </c>
      <c r="R508">
        <f t="shared" si="179"/>
        <v>0.08</v>
      </c>
      <c r="S508">
        <f t="shared" si="180"/>
        <v>0.06</v>
      </c>
      <c r="T508">
        <f t="shared" si="181"/>
        <v>0.1</v>
      </c>
      <c r="U508">
        <f t="shared" si="187"/>
        <v>0.08</v>
      </c>
      <c r="V508">
        <f t="shared" si="192"/>
        <v>0.18798380368992232</v>
      </c>
      <c r="W508">
        <f t="shared" si="188"/>
        <v>0.16590183367916289</v>
      </c>
      <c r="X508">
        <f t="shared" si="189"/>
        <v>0.21271738814275354</v>
      </c>
      <c r="Y508" t="b">
        <f t="shared" si="191"/>
        <v>0</v>
      </c>
    </row>
    <row xmlns:x14ac="http://schemas.microsoft.com/office/spreadsheetml/2009/9/ac" r="509" x14ac:dyDescent="0.45">
      <c r="A509">
        <v>2.50999999999997</v>
      </c>
      <c r="B509">
        <f t="shared" si="169"/>
        <v>0.16299973043236218</v>
      </c>
      <c r="C509" t="b">
        <f t="shared" si="182"/>
        <v>1</v>
      </c>
      <c r="D509" t="b">
        <f t="shared" si="170"/>
        <v>1</v>
      </c>
      <c r="E509">
        <f t="shared" si="178"/>
        <v>2.50999999999997</v>
      </c>
      <c r="F509">
        <f t="shared" si="183"/>
        <v>0.16299973043236218</v>
      </c>
      <c r="G509">
        <f t="shared" si="171"/>
        <v>0.21265029559045578</v>
      </c>
      <c r="H509">
        <f t="shared" si="172"/>
        <v>3.4999896320139307E-2</v>
      </c>
      <c r="I509" t="b">
        <f t="shared" si="184"/>
        <v>1</v>
      </c>
      <c r="J509">
        <f t="shared" si="173"/>
        <v>2.50999999999997</v>
      </c>
      <c r="K509">
        <f t="shared" si="185"/>
        <v>3.4999896320139307E-2</v>
      </c>
      <c r="L509">
        <f t="shared" si="174"/>
        <v>0.1660030177661469</v>
      </c>
      <c r="M509">
        <f t="shared" si="175"/>
        <v>0.18999979264027861</v>
      </c>
      <c r="N509">
        <f t="shared" si="176"/>
        <v>0.18798621662499748</v>
      </c>
      <c r="O509">
        <f t="shared" si="177"/>
        <v>0.15777777703526591</v>
      </c>
      <c r="P509">
        <f t="shared" si="190"/>
        <v>0.08</v>
      </c>
      <c r="Q509">
        <f t="shared" si="186"/>
        <v>0.08</v>
      </c>
      <c r="R509">
        <f t="shared" si="179"/>
        <v>0.08</v>
      </c>
      <c r="S509">
        <f t="shared" si="180"/>
        <v>0.06</v>
      </c>
      <c r="T509">
        <f t="shared" si="181"/>
        <v>0.1</v>
      </c>
      <c r="U509">
        <f t="shared" si="187"/>
        <v>0.08</v>
      </c>
      <c r="V509">
        <f t="shared" si="192"/>
        <v>0.18798621662499748</v>
      </c>
      <c r="W509">
        <f t="shared" si="188"/>
        <v>0.16592227336895993</v>
      </c>
      <c r="X509">
        <f t="shared" si="189"/>
        <v>0.21270383511285001</v>
      </c>
      <c r="Y509" t="b">
        <f t="shared" si="191"/>
        <v>0</v>
      </c>
    </row>
    <row xmlns:x14ac="http://schemas.microsoft.com/office/spreadsheetml/2009/9/ac" r="510" x14ac:dyDescent="0.45">
      <c r="A510">
        <v>2.5149999999999699</v>
      </c>
      <c r="B510">
        <f t="shared" si="169"/>
        <v>0.16299976780767869</v>
      </c>
      <c r="C510" t="b">
        <f t="shared" si="182"/>
        <v>1</v>
      </c>
      <c r="D510" t="b">
        <f t="shared" si="170"/>
        <v>1</v>
      </c>
      <c r="E510">
        <f t="shared" si="178"/>
        <v>2.5149999999999699</v>
      </c>
      <c r="F510">
        <f t="shared" si="183"/>
        <v>0.16299976780767869</v>
      </c>
      <c r="G510">
        <f t="shared" si="171"/>
        <v>0.21263707718605285</v>
      </c>
      <c r="H510">
        <f t="shared" si="172"/>
        <v>3.4999910695261038E-2</v>
      </c>
      <c r="I510" t="b">
        <f t="shared" si="184"/>
        <v>1</v>
      </c>
      <c r="J510">
        <f t="shared" si="173"/>
        <v>2.5149999999999699</v>
      </c>
      <c r="K510">
        <f t="shared" si="185"/>
        <v>3.4999910695261038E-2</v>
      </c>
      <c r="L510">
        <f t="shared" si="174"/>
        <v>0.16602295279820473</v>
      </c>
      <c r="M510">
        <f t="shared" si="175"/>
        <v>0.18999982139052207</v>
      </c>
      <c r="N510">
        <f t="shared" si="176"/>
        <v>0.18798861509382081</v>
      </c>
      <c r="O510">
        <f t="shared" si="177"/>
        <v>0.15777777712674634</v>
      </c>
      <c r="P510">
        <f t="shared" si="190"/>
        <v>0.08</v>
      </c>
      <c r="Q510">
        <f t="shared" si="186"/>
        <v>0.08</v>
      </c>
      <c r="R510">
        <f t="shared" si="179"/>
        <v>0.08</v>
      </c>
      <c r="S510">
        <f t="shared" si="180"/>
        <v>0.06</v>
      </c>
      <c r="T510">
        <f t="shared" si="181"/>
        <v>0.1</v>
      </c>
      <c r="U510">
        <f t="shared" si="187"/>
        <v>0.08</v>
      </c>
      <c r="V510">
        <f t="shared" si="192"/>
        <v>0.18798861509382081</v>
      </c>
      <c r="W510">
        <f t="shared" si="188"/>
        <v>0.16594261111537878</v>
      </c>
      <c r="X510">
        <f t="shared" si="189"/>
        <v>0.21269034967896511</v>
      </c>
      <c r="Y510" t="b">
        <f t="shared" si="191"/>
        <v>0</v>
      </c>
    </row>
    <row xmlns:x14ac="http://schemas.microsoft.com/office/spreadsheetml/2009/9/ac" r="511" x14ac:dyDescent="0.45">
      <c r="A511">
        <v>2.5199999999999698</v>
      </c>
      <c r="B511">
        <f t="shared" si="169"/>
        <v>0.16299980447090778</v>
      </c>
      <c r="C511" t="b">
        <f t="shared" si="182"/>
        <v>1</v>
      </c>
      <c r="D511" t="b">
        <f t="shared" si="170"/>
        <v>1</v>
      </c>
      <c r="E511">
        <f t="shared" si="178"/>
        <v>2.5199999999999698</v>
      </c>
      <c r="F511">
        <f t="shared" si="183"/>
        <v>0.16299980447090778</v>
      </c>
      <c r="G511">
        <f t="shared" si="171"/>
        <v>0.21262392470871688</v>
      </c>
      <c r="H511">
        <f t="shared" si="172"/>
        <v>3.499992479650299E-2</v>
      </c>
      <c r="I511" t="b">
        <f t="shared" si="184"/>
        <v>1</v>
      </c>
      <c r="J511">
        <f t="shared" si="173"/>
        <v>2.5199999999999698</v>
      </c>
      <c r="K511">
        <f t="shared" si="185"/>
        <v>3.499992479650299E-2</v>
      </c>
      <c r="L511">
        <f t="shared" si="174"/>
        <v>0.16604278840387535</v>
      </c>
      <c r="M511">
        <f t="shared" si="175"/>
        <v>0.18999984959300598</v>
      </c>
      <c r="N511">
        <f t="shared" si="176"/>
        <v>0.18799098884585694</v>
      </c>
      <c r="O511">
        <f t="shared" si="177"/>
        <v>0.15777777721537339</v>
      </c>
      <c r="P511">
        <f t="shared" si="190"/>
        <v>0.08</v>
      </c>
      <c r="Q511">
        <f t="shared" si="186"/>
        <v>0.08</v>
      </c>
      <c r="R511">
        <f t="shared" si="179"/>
        <v>0.08</v>
      </c>
      <c r="S511">
        <f t="shared" si="180"/>
        <v>0.06</v>
      </c>
      <c r="T511">
        <f t="shared" si="181"/>
        <v>0.1</v>
      </c>
      <c r="U511">
        <f t="shared" si="187"/>
        <v>0.08</v>
      </c>
      <c r="V511">
        <f t="shared" si="192"/>
        <v>0.18799098884585694</v>
      </c>
      <c r="W511">
        <f t="shared" si="188"/>
        <v>0.16596284742686421</v>
      </c>
      <c r="X511">
        <f t="shared" si="189"/>
        <v>0.21267693150396233</v>
      </c>
      <c r="Y511" t="b">
        <f t="shared" si="191"/>
        <v>0</v>
      </c>
    </row>
    <row xmlns:x14ac="http://schemas.microsoft.com/office/spreadsheetml/2009/9/ac" r="512" x14ac:dyDescent="0.45">
      <c r="A512">
        <v>2.5249999999999702</v>
      </c>
      <c r="B512">
        <f t="shared" si="169"/>
        <v>0.16299984028139411</v>
      </c>
      <c r="C512" t="b">
        <f t="shared" si="182"/>
        <v>1</v>
      </c>
      <c r="D512" t="b">
        <f t="shared" si="170"/>
        <v>1</v>
      </c>
      <c r="E512">
        <f t="shared" si="178"/>
        <v>2.5249999999999702</v>
      </c>
      <c r="F512">
        <f t="shared" si="183"/>
        <v>0.16299984028139411</v>
      </c>
      <c r="G512">
        <f t="shared" si="171"/>
        <v>0.21261083782963536</v>
      </c>
      <c r="H512">
        <f t="shared" si="172"/>
        <v>3.4999938569766964E-2</v>
      </c>
      <c r="I512" t="b">
        <f t="shared" si="184"/>
        <v>1</v>
      </c>
      <c r="J512">
        <f t="shared" si="173"/>
        <v>2.5249999999999702</v>
      </c>
      <c r="K512">
        <f t="shared" si="185"/>
        <v>3.4999938569766964E-2</v>
      </c>
      <c r="L512">
        <f t="shared" si="174"/>
        <v>0.16606252507904998</v>
      </c>
      <c r="M512">
        <f t="shared" si="175"/>
        <v>0.18999987713953392</v>
      </c>
      <c r="N512">
        <f t="shared" si="176"/>
        <v>0.1879933280637241</v>
      </c>
      <c r="O512">
        <f t="shared" si="177"/>
        <v>0.15777777730086864</v>
      </c>
      <c r="P512">
        <f t="shared" si="190"/>
        <v>0.08</v>
      </c>
      <c r="Q512">
        <f t="shared" si="186"/>
        <v>0.08</v>
      </c>
      <c r="R512">
        <f t="shared" si="179"/>
        <v>0.08</v>
      </c>
      <c r="S512">
        <f t="shared" si="180"/>
        <v>0.06</v>
      </c>
      <c r="T512">
        <f t="shared" si="181"/>
        <v>0.1</v>
      </c>
      <c r="U512">
        <f t="shared" si="187"/>
        <v>0.08</v>
      </c>
      <c r="V512">
        <f t="shared" si="192"/>
        <v>0.1879933280637241</v>
      </c>
      <c r="W512">
        <f t="shared" si="188"/>
        <v>0.16598298280932505</v>
      </c>
      <c r="X512">
        <f t="shared" si="189"/>
        <v>0.21266358025238652</v>
      </c>
      <c r="Y512" t="b">
        <f t="shared" si="191"/>
        <v>0</v>
      </c>
    </row>
    <row xmlns:x14ac="http://schemas.microsoft.com/office/spreadsheetml/2009/9/ac" r="513" x14ac:dyDescent="0.45">
      <c r="A513">
        <v>2.5299999999999701</v>
      </c>
      <c r="B513">
        <f t="shared" si="169"/>
        <v>0.16299987510942138</v>
      </c>
      <c r="C513" t="b">
        <f t="shared" si="182"/>
        <v>1</v>
      </c>
      <c r="D513" t="b">
        <f t="shared" si="170"/>
        <v>1</v>
      </c>
      <c r="E513">
        <f t="shared" si="178"/>
        <v>2.5299999999999701</v>
      </c>
      <c r="F513">
        <f t="shared" si="183"/>
        <v>0.16299987510942138</v>
      </c>
      <c r="G513">
        <f t="shared" si="171"/>
        <v>0.21259781622163548</v>
      </c>
      <c r="H513">
        <f t="shared" si="172"/>
        <v>3.4999951965162063E-2</v>
      </c>
      <c r="I513" t="b">
        <f t="shared" si="184"/>
        <v>1</v>
      </c>
      <c r="J513">
        <f t="shared" si="173"/>
        <v>2.5299999999999701</v>
      </c>
      <c r="K513">
        <f t="shared" si="185"/>
        <v>3.4999951965162063E-2</v>
      </c>
      <c r="L513">
        <f t="shared" si="174"/>
        <v>0.16608216331714651</v>
      </c>
      <c r="M513">
        <f t="shared" si="175"/>
        <v>0.18999990393032412</v>
      </c>
      <c r="N513">
        <f t="shared" si="176"/>
        <v>0.18799562339337478</v>
      </c>
      <c r="O513">
        <f t="shared" si="177"/>
        <v>0.15777777738298976</v>
      </c>
      <c r="P513">
        <f t="shared" si="190"/>
        <v>0.08</v>
      </c>
      <c r="Q513">
        <f t="shared" si="186"/>
        <v>0.08</v>
      </c>
      <c r="R513">
        <f t="shared" si="179"/>
        <v>0.08</v>
      </c>
      <c r="S513">
        <f t="shared" si="180"/>
        <v>0.06</v>
      </c>
      <c r="T513">
        <f t="shared" si="181"/>
        <v>0.1</v>
      </c>
      <c r="U513">
        <f t="shared" si="187"/>
        <v>0.08</v>
      </c>
      <c r="V513">
        <f t="shared" si="192"/>
        <v>0.18799562339337478</v>
      </c>
      <c r="W513">
        <f t="shared" si="188"/>
        <v>0.1660030177661469</v>
      </c>
      <c r="X513">
        <f t="shared" si="189"/>
        <v>0.21265029559045578</v>
      </c>
      <c r="Y513" t="b">
        <f t="shared" si="191"/>
        <v>0</v>
      </c>
    </row>
    <row xmlns:x14ac="http://schemas.microsoft.com/office/spreadsheetml/2009/9/ac" r="514" x14ac:dyDescent="0.45">
      <c r="A514">
        <v>2.5349999999999699</v>
      </c>
      <c r="B514">
        <f t="shared" si="169"/>
        <v>0.16299990883629933</v>
      </c>
      <c r="C514" t="b">
        <f t="shared" si="182"/>
        <v>1</v>
      </c>
      <c r="D514" t="b">
        <f t="shared" si="170"/>
        <v>1</v>
      </c>
      <c r="E514">
        <f t="shared" si="178"/>
        <v>2.5349999999999699</v>
      </c>
      <c r="F514">
        <f t="shared" si="183"/>
        <v>0.16299990883629933</v>
      </c>
      <c r="G514">
        <f t="shared" si="171"/>
        <v>0.2125848595591765</v>
      </c>
      <c r="H514">
        <f t="shared" si="172"/>
        <v>3.4999964937038205E-2</v>
      </c>
      <c r="I514" t="b">
        <f t="shared" si="184"/>
        <v>1</v>
      </c>
      <c r="J514">
        <f t="shared" si="173"/>
        <v>2.5349999999999699</v>
      </c>
      <c r="K514">
        <f t="shared" si="185"/>
        <v>3.4999964937038205E-2</v>
      </c>
      <c r="L514">
        <f t="shared" si="174"/>
        <v>0.16610170360912191</v>
      </c>
      <c r="M514">
        <f t="shared" si="175"/>
        <v>0.18999992987407641</v>
      </c>
      <c r="N514">
        <f t="shared" si="176"/>
        <v>0.18799786597125773</v>
      </c>
      <c r="O514">
        <f t="shared" si="177"/>
        <v>0.15777777746152943</v>
      </c>
      <c r="P514">
        <f t="shared" si="190"/>
        <v>0.08</v>
      </c>
      <c r="Q514">
        <f t="shared" si="186"/>
        <v>0.08</v>
      </c>
      <c r="R514">
        <f t="shared" si="179"/>
        <v>0.08</v>
      </c>
      <c r="S514">
        <f t="shared" si="180"/>
        <v>0.06</v>
      </c>
      <c r="T514">
        <f t="shared" si="181"/>
        <v>0.1</v>
      </c>
      <c r="U514">
        <f t="shared" si="187"/>
        <v>0.08</v>
      </c>
      <c r="V514">
        <f t="shared" si="192"/>
        <v>0.18799786597125773</v>
      </c>
      <c r="W514">
        <f t="shared" si="188"/>
        <v>0.16602295279820473</v>
      </c>
      <c r="X514">
        <f t="shared" si="189"/>
        <v>0.21263707718605285</v>
      </c>
      <c r="Y514" t="b">
        <f t="shared" si="191"/>
        <v>0</v>
      </c>
    </row>
    <row xmlns:x14ac="http://schemas.microsoft.com/office/spreadsheetml/2009/9/ac" r="515" x14ac:dyDescent="0.45">
      <c r="A515">
        <v>2.5399999999999698</v>
      </c>
      <c r="B515">
        <f t="shared" si="169"/>
        <v>0.16299994135439386</v>
      </c>
      <c r="C515" t="b">
        <f t="shared" si="182"/>
        <v>1</v>
      </c>
      <c r="D515" t="b">
        <f t="shared" si="170"/>
        <v>1</v>
      </c>
      <c r="E515">
        <f t="shared" si="178"/>
        <v>2.5399999999999698</v>
      </c>
      <c r="F515">
        <f t="shared" si="183"/>
        <v>0.16299994135439386</v>
      </c>
      <c r="G515">
        <f t="shared" si="171"/>
        <v>0.21257196751834112</v>
      </c>
      <c r="H515">
        <f t="shared" si="172"/>
        <v>3.4999977443997632E-2</v>
      </c>
      <c r="I515" t="b">
        <f t="shared" si="184"/>
        <v>1</v>
      </c>
      <c r="J515">
        <f t="shared" si="173"/>
        <v>2.5399999999999698</v>
      </c>
      <c r="K515">
        <f t="shared" si="185"/>
        <v>3.4999977443997632E-2</v>
      </c>
      <c r="L515">
        <f t="shared" si="174"/>
        <v>0.16612114644348452</v>
      </c>
      <c r="M515">
        <f t="shared" si="175"/>
        <v>0.18999995488799526</v>
      </c>
      <c r="N515">
        <f t="shared" si="176"/>
        <v>0.18800004744843501</v>
      </c>
      <c r="O515">
        <f t="shared" si="177"/>
        <v>0.157777777536314</v>
      </c>
      <c r="P515">
        <f t="shared" si="190"/>
        <v>0.08</v>
      </c>
      <c r="Q515">
        <f t="shared" si="186"/>
        <v>0.08</v>
      </c>
      <c r="R515">
        <f t="shared" si="179"/>
        <v>0.08</v>
      </c>
      <c r="S515">
        <f t="shared" si="180"/>
        <v>0.06</v>
      </c>
      <c r="T515">
        <f t="shared" si="181"/>
        <v>0.1</v>
      </c>
      <c r="U515">
        <f t="shared" si="187"/>
        <v>0.08</v>
      </c>
      <c r="V515">
        <f t="shared" si="192"/>
        <v>0.18800004744843501</v>
      </c>
      <c r="W515">
        <f t="shared" si="188"/>
        <v>0.16604278840387535</v>
      </c>
      <c r="X515">
        <f t="shared" si="189"/>
        <v>0.21262392470871688</v>
      </c>
      <c r="Y515" t="b">
        <f t="shared" si="191"/>
        <v>0</v>
      </c>
    </row>
    <row xmlns:x14ac="http://schemas.microsoft.com/office/spreadsheetml/2009/9/ac" r="516" x14ac:dyDescent="0.45">
      <c r="A516">
        <v>2.5449999999999702</v>
      </c>
      <c r="B516">
        <f t="shared" si="169"/>
        <v>0.16299997256710264</v>
      </c>
      <c r="C516" t="b">
        <f t="shared" si="182"/>
        <v>1</v>
      </c>
      <c r="D516" t="b">
        <f t="shared" si="170"/>
        <v>1</v>
      </c>
      <c r="E516">
        <f t="shared" si="178"/>
        <v>2.5449999999999702</v>
      </c>
      <c r="F516">
        <f t="shared" si="183"/>
        <v>0.16299997256710264</v>
      </c>
      <c r="G516">
        <f t="shared" si="171"/>
        <v>0.21255913977682767</v>
      </c>
      <c r="H516">
        <f t="shared" si="172"/>
        <v>3.4999989448885632E-2</v>
      </c>
      <c r="I516" t="b">
        <f t="shared" si="184"/>
        <v>1</v>
      </c>
      <c r="J516">
        <f t="shared" si="173"/>
        <v>2.5449999999999702</v>
      </c>
      <c r="K516">
        <f t="shared" si="185"/>
        <v>3.4999989448885632E-2</v>
      </c>
      <c r="L516">
        <f t="shared" si="174"/>
        <v>0.16614049230630618</v>
      </c>
      <c r="M516">
        <f t="shared" si="175"/>
        <v>0.18999997889777126</v>
      </c>
      <c r="N516">
        <f t="shared" si="176"/>
        <v>0.18800216001164269</v>
      </c>
      <c r="O516">
        <f t="shared" si="177"/>
        <v>0.15777777760720216</v>
      </c>
      <c r="P516">
        <f t="shared" si="190"/>
        <v>0.08</v>
      </c>
      <c r="Q516">
        <f t="shared" si="186"/>
        <v>0.08</v>
      </c>
      <c r="R516">
        <f t="shared" si="179"/>
        <v>0.08</v>
      </c>
      <c r="S516">
        <f t="shared" si="180"/>
        <v>0.06</v>
      </c>
      <c r="T516">
        <f t="shared" si="181"/>
        <v>0.1</v>
      </c>
      <c r="U516">
        <f t="shared" si="187"/>
        <v>0.08</v>
      </c>
      <c r="V516">
        <f t="shared" si="192"/>
        <v>0.18800216001164269</v>
      </c>
      <c r="W516">
        <f t="shared" si="188"/>
        <v>0.16606252507904998</v>
      </c>
      <c r="X516">
        <f t="shared" si="189"/>
        <v>0.21261083782963536</v>
      </c>
      <c r="Y516" t="b">
        <f t="shared" si="191"/>
        <v>0</v>
      </c>
    </row>
    <row xmlns:x14ac="http://schemas.microsoft.com/office/spreadsheetml/2009/9/ac" r="517" x14ac:dyDescent="0.45">
      <c r="A517">
        <v>2.5499999999999701</v>
      </c>
      <c r="B517">
        <f t="shared" si="169"/>
        <v>0.16300000238877921</v>
      </c>
      <c r="C517" t="b">
        <f t="shared" si="182"/>
        <v>1</v>
      </c>
      <c r="D517" t="b">
        <f t="shared" si="170"/>
        <v>1</v>
      </c>
      <c r="E517">
        <f t="shared" si="178"/>
        <v>2.5499999999999701</v>
      </c>
      <c r="F517">
        <f t="shared" si="183"/>
        <v>0.16300000238877921</v>
      </c>
      <c r="G517">
        <f t="shared" si="171"/>
        <v>0.21254637601394188</v>
      </c>
      <c r="H517">
        <f t="shared" si="172"/>
        <v>3.5000000918761237E-2</v>
      </c>
      <c r="I517" t="b">
        <f t="shared" si="184"/>
        <v>1</v>
      </c>
      <c r="J517">
        <f t="shared" si="173"/>
        <v>2.5499999999999701</v>
      </c>
      <c r="K517">
        <f t="shared" si="185"/>
        <v>3.5000000918761237E-2</v>
      </c>
      <c r="L517">
        <f t="shared" si="174"/>
        <v>0.16615974168123449</v>
      </c>
      <c r="M517">
        <f t="shared" si="175"/>
        <v>0.19000000183752247</v>
      </c>
      <c r="N517">
        <f t="shared" si="176"/>
        <v>0.18800419640129679</v>
      </c>
      <c r="O517">
        <f t="shared" si="177"/>
        <v>0.15777777767408324</v>
      </c>
      <c r="P517">
        <f t="shared" si="190"/>
        <v>0.08</v>
      </c>
      <c r="Q517">
        <f t="shared" si="186"/>
        <v>0.08</v>
      </c>
      <c r="R517">
        <f t="shared" si="179"/>
        <v>0.08</v>
      </c>
      <c r="S517">
        <f t="shared" si="180"/>
        <v>0.06</v>
      </c>
      <c r="T517">
        <f t="shared" si="181"/>
        <v>0.1</v>
      </c>
      <c r="U517">
        <f t="shared" si="187"/>
        <v>0.08</v>
      </c>
      <c r="V517">
        <f t="shared" si="192"/>
        <v>0.18800419640129679</v>
      </c>
      <c r="W517">
        <f t="shared" si="188"/>
        <v>0.16608216331714651</v>
      </c>
      <c r="X517">
        <f t="shared" si="189"/>
        <v>0.21259781622163548</v>
      </c>
      <c r="Y517" t="b">
        <f t="shared" si="191"/>
        <v>0</v>
      </c>
    </row>
    <row xmlns:x14ac="http://schemas.microsoft.com/office/spreadsheetml/2009/9/ac" r="518" x14ac:dyDescent="0.45">
      <c r="A518">
        <v>2.55499999999997</v>
      </c>
      <c r="B518">
        <f t="shared" si="169"/>
        <v>0.16300003074460834</v>
      </c>
      <c r="C518" t="b">
        <f t="shared" si="182"/>
        <v>1</v>
      </c>
      <c r="D518" t="b">
        <f t="shared" si="170"/>
        <v>1</v>
      </c>
      <c r="E518">
        <f t="shared" si="178"/>
        <v>2.55499999999997</v>
      </c>
      <c r="F518">
        <f t="shared" si="183"/>
        <v>0.16300003074460834</v>
      </c>
      <c r="G518">
        <f t="shared" si="171"/>
        <v>0.21253367591058908</v>
      </c>
      <c r="H518">
        <f t="shared" si="172"/>
        <v>3.5000011824849367E-2</v>
      </c>
      <c r="I518" t="b">
        <f t="shared" si="184"/>
        <v>1</v>
      </c>
      <c r="J518">
        <f t="shared" si="173"/>
        <v>2.55499999999997</v>
      </c>
      <c r="K518">
        <f t="shared" si="185"/>
        <v>3.5000011824849367E-2</v>
      </c>
      <c r="L518">
        <f t="shared" si="174"/>
        <v>0.16617889504950478</v>
      </c>
      <c r="M518">
        <f t="shared" si="175"/>
        <v>0.19000002364969873</v>
      </c>
      <c r="N518">
        <f t="shared" si="176"/>
        <v>0.18800614992646086</v>
      </c>
      <c r="O518">
        <f t="shared" si="177"/>
        <v>0.1577777777368759</v>
      </c>
      <c r="P518">
        <f t="shared" si="190"/>
        <v>0.08</v>
      </c>
      <c r="Q518">
        <f t="shared" si="186"/>
        <v>0.08</v>
      </c>
      <c r="R518">
        <f t="shared" si="179"/>
        <v>0.08</v>
      </c>
      <c r="S518">
        <f t="shared" si="180"/>
        <v>0.06</v>
      </c>
      <c r="T518">
        <f t="shared" si="181"/>
        <v>0.1</v>
      </c>
      <c r="U518">
        <f t="shared" si="187"/>
        <v>0.08</v>
      </c>
      <c r="V518">
        <f t="shared" si="192"/>
        <v>0.18800614992646086</v>
      </c>
      <c r="W518">
        <f t="shared" si="188"/>
        <v>0.16610170360912191</v>
      </c>
      <c r="X518">
        <f t="shared" si="189"/>
        <v>0.2125848595591765</v>
      </c>
      <c r="Y518" t="b">
        <f t="shared" si="191"/>
        <v>0</v>
      </c>
    </row>
    <row xmlns:x14ac="http://schemas.microsoft.com/office/spreadsheetml/2009/9/ac" r="519" x14ac:dyDescent="0.45">
      <c r="A519">
        <v>2.5599999999999699</v>
      </c>
      <c r="B519">
        <f t="shared" ref="B519:B582" si="193">-(1+Marge_haute)*(A+B/Tpll*EXP(-$A519/Tpll)+C_*EXP(-epsilon*Wn*$A519)*COS(Wd*$A519)+C_*(D/C_-epsilon*Wn)/Wd*EXP(-epsilon*Wn*$A519)*SIN(Wd*$A519))+SIGN(DeltaPexpected)*Tunnel</f>
        <v>0.16300005757043576</v>
      </c>
      <c r="C519" t="b">
        <f t="shared" si="182"/>
        <v>1</v>
      </c>
      <c r="D519" t="b">
        <f t="shared" ref="D519:D582" si="194">IF(D518,D518,IF(C519,B519&gt;B518,C519))</f>
        <v>1</v>
      </c>
      <c r="E519">
        <f t="shared" si="178"/>
        <v>2.5599999999999699</v>
      </c>
      <c r="F519">
        <f t="shared" si="183"/>
        <v>0.16300005757043576</v>
      </c>
      <c r="G519">
        <f t="shared" ref="G519:G582" si="195">P0-SIGN(Rocof)*IF(D519,DeltaPexpected+SIGN(DeltaPexpected)*Tunnel+(MIN(F$7:F$1495)-DeltaPexpected-+SIGN(DeltaPexpected)*Tunnel)*EXP(-(A519-MIN(E$7:E$1495))/Texpodecrease),B519)</f>
        <v>0.21252103914926607</v>
      </c>
      <c r="H519">
        <f t="shared" ref="H519:H582" si="196">-(1-marge_basse)*(A+B/Tpll*EXP(-$A519/Tpll)+C_*EXP(-epsilon*Wn*$A519)*COS(Wd*$A519)+C_*(D/C_-epsilon*Wn)/Wd*EXP(-epsilon*Wn*$A519)*SIN(Wd*$A519))-Tunnel</f>
        <v>3.5000022142475287E-2</v>
      </c>
      <c r="I519" t="b">
        <f t="shared" si="184"/>
        <v>1</v>
      </c>
      <c r="J519">
        <f t="shared" ref="J519:J582" si="197">IF(I519,A519,I519)</f>
        <v>2.5599999999999699</v>
      </c>
      <c r="K519">
        <f t="shared" si="185"/>
        <v>3.5000022142475287E-2</v>
      </c>
      <c r="L519">
        <f t="shared" ref="L519:L582" si="198">P0-SIGN(Rocof)*IF(I519,AF$23-AF$13+(MAX(K$7:K$1495)-AF$23+AF$13)*EXP(-(A519-MIN(J$7:J$1495))/AB$21),H519)</f>
        <v>0.16619795288995232</v>
      </c>
      <c r="M519">
        <f t="shared" ref="M519:M582" si="199">P0-(1)*(A+B/Tpll*EXP(-$A519/Tpll)+C_*EXP(-epsilon*Wn*$A519)*COS(Wd*$A519)+C_*(D/C_-epsilon*Wn)/Wd*EXP(-epsilon*Wn*$A519)*SIN(Wd*$A519))</f>
        <v>0.1900000442849506</v>
      </c>
      <c r="N519">
        <f t="shared" ref="N519:N582" si="200">AB$6-(AG$17+AG$16/AC$18*EXP(-$A519/AC$18)+AG$18*EXP(-AG$6*AG$12*$A519)*COS(AG$5*$A519)+AG$18*(AG$19/AG$18-AG$6*AG$12)/AG$5*EXP(-AG$6*AG$12*$A519)*SIN(AG$5*$A519))</f>
        <v>0.18800801447680418</v>
      </c>
      <c r="O519">
        <f t="shared" ref="O519:O582" si="201">AB$6-(AH$17+AH$16/AD$18*EXP(-$A519/AD$18)+AH$18*EXP(-AH$6*AH$12*$A519)*COS(AH$5*$A519)+AH$18*(AH$19/AH$18-AH$6*AH$12)/AH$5*EXP(-AH$6*AH$12*$A519)*SIN(AH$5*$A519))</f>
        <v>0.15777777779552637</v>
      </c>
      <c r="P519">
        <f t="shared" si="190"/>
        <v>0.08</v>
      </c>
      <c r="Q519">
        <f t="shared" si="186"/>
        <v>0.08</v>
      </c>
      <c r="R519">
        <f t="shared" si="179"/>
        <v>0.08</v>
      </c>
      <c r="S519">
        <f t="shared" si="180"/>
        <v>0.06</v>
      </c>
      <c r="T519">
        <f t="shared" si="181"/>
        <v>0.1</v>
      </c>
      <c r="U519">
        <f t="shared" si="187"/>
        <v>0.08</v>
      </c>
      <c r="V519">
        <f t="shared" si="192"/>
        <v>0.18800801447680418</v>
      </c>
      <c r="W519">
        <f t="shared" si="188"/>
        <v>0.16612114644348452</v>
      </c>
      <c r="X519">
        <f t="shared" si="189"/>
        <v>0.21257196751834112</v>
      </c>
      <c r="Y519" t="b">
        <f t="shared" si="191"/>
        <v>0</v>
      </c>
    </row>
    <row xmlns:x14ac="http://schemas.microsoft.com/office/spreadsheetml/2009/9/ac" r="520" x14ac:dyDescent="0.45">
      <c r="A520">
        <v>2.5649999999999702</v>
      </c>
      <c r="B520">
        <f t="shared" si="193"/>
        <v>0.1630000828125549</v>
      </c>
      <c r="C520" t="b">
        <f t="shared" si="182"/>
        <v>1</v>
      </c>
      <c r="D520" t="b">
        <f t="shared" si="194"/>
        <v>1</v>
      </c>
      <c r="E520">
        <f t="shared" ref="E520:E583" si="202">IF(D520,A520,D520)</f>
        <v>2.5649999999999702</v>
      </c>
      <c r="F520">
        <f t="shared" si="183"/>
        <v>0.1630000828125549</v>
      </c>
      <c r="G520">
        <f t="shared" si="195"/>
        <v>0.21250846541405299</v>
      </c>
      <c r="H520">
        <f t="shared" si="196"/>
        <v>3.500003185098266E-2</v>
      </c>
      <c r="I520" t="b">
        <f t="shared" si="184"/>
        <v>1</v>
      </c>
      <c r="J520">
        <f t="shared" si="197"/>
        <v>2.5649999999999702</v>
      </c>
      <c r="K520">
        <f t="shared" si="185"/>
        <v>3.500003185098266E-2</v>
      </c>
      <c r="L520">
        <f t="shared" si="198"/>
        <v>0.16621691567902408</v>
      </c>
      <c r="M520">
        <f t="shared" si="199"/>
        <v>0.19000006370196532</v>
      </c>
      <c r="N520">
        <f t="shared" si="200"/>
        <v>0.18800978453159095</v>
      </c>
      <c r="O520">
        <f t="shared" si="201"/>
        <v>0.15777777785000702</v>
      </c>
      <c r="P520">
        <f t="shared" si="190"/>
        <v>0.08</v>
      </c>
      <c r="Q520">
        <f t="shared" si="186"/>
        <v>0.08</v>
      </c>
      <c r="R520">
        <f t="shared" ref="R520:R583" si="203">$AB$6-(1+AB$17)*EXP(-AF$6*AF$12*A520)*(COS(AF$5*A520)-(AF$6*AF$12-1)/(AF$5)*SIN(AF$5*A520))*AF$15</f>
        <v>0.08</v>
      </c>
      <c r="S520">
        <f t="shared" ref="S520:S583" si="204">R520-AF$13</f>
        <v>0.06</v>
      </c>
      <c r="T520">
        <f t="shared" ref="T520:T583" si="205">R520+AF$13</f>
        <v>0.1</v>
      </c>
      <c r="U520">
        <f t="shared" si="187"/>
        <v>0.08</v>
      </c>
      <c r="V520">
        <f t="shared" si="192"/>
        <v>0.18800978453159095</v>
      </c>
      <c r="W520">
        <f t="shared" si="188"/>
        <v>0.16614049230630618</v>
      </c>
      <c r="X520">
        <f t="shared" si="189"/>
        <v>0.21255913977682767</v>
      </c>
      <c r="Y520" t="b">
        <f t="shared" si="191"/>
        <v>0</v>
      </c>
    </row>
    <row xmlns:x14ac="http://schemas.microsoft.com/office/spreadsheetml/2009/9/ac" r="521" x14ac:dyDescent="0.45">
      <c r="A521">
        <v>2.5699999999999701</v>
      </c>
      <c r="B521">
        <f t="shared" si="193"/>
        <v>0.16300010642745458</v>
      </c>
      <c r="C521" t="b">
        <f t="shared" ref="C521:C584" si="206">IF(C520,C520,(B521&lt;B520))</f>
        <v>1</v>
      </c>
      <c r="D521" t="b">
        <f t="shared" si="194"/>
        <v>1</v>
      </c>
      <c r="E521">
        <f t="shared" si="202"/>
        <v>2.5699999999999701</v>
      </c>
      <c r="F521">
        <f t="shared" ref="F521:F584" si="207">IF(D521,B521,D521)</f>
        <v>0.16300010642745458</v>
      </c>
      <c r="G521">
        <f t="shared" si="195"/>
        <v>0.21249595439060598</v>
      </c>
      <c r="H521">
        <f t="shared" si="196"/>
        <v>3.5000040933636373E-2</v>
      </c>
      <c r="I521" t="b">
        <f t="shared" ref="I521:I584" si="208">IF(I520,I520,H520&gt;H521)</f>
        <v>1</v>
      </c>
      <c r="J521">
        <f t="shared" si="197"/>
        <v>2.5699999999999701</v>
      </c>
      <c r="K521">
        <f t="shared" ref="K521:K584" si="209">IF(I521,H521,I521)</f>
        <v>3.5000040933636373E-2</v>
      </c>
      <c r="L521">
        <f t="shared" si="198"/>
        <v>0.1662357838907908</v>
      </c>
      <c r="M521">
        <f t="shared" si="199"/>
        <v>0.19000008186727274</v>
      </c>
      <c r="N521">
        <f t="shared" si="200"/>
        <v>0.18801145516575535</v>
      </c>
      <c r="O521">
        <f t="shared" si="201"/>
        <v>0.15777777790031444</v>
      </c>
      <c r="P521">
        <f t="shared" si="190"/>
        <v>0.08</v>
      </c>
      <c r="Q521">
        <f t="shared" ref="Q521:Q584" si="210">$AB$6-(1+AB$17)*EXP(-AF$6*AF$12*A519)*(COS(AF$5*A519)-(AF$6*AF$12-1)/(AF$5)*SIN(AF$5*A519))*AF$15</f>
        <v>0.08</v>
      </c>
      <c r="R521">
        <f t="shared" si="203"/>
        <v>0.08</v>
      </c>
      <c r="S521">
        <f t="shared" si="204"/>
        <v>0.06</v>
      </c>
      <c r="T521">
        <f t="shared" si="205"/>
        <v>0.1</v>
      </c>
      <c r="U521">
        <f t="shared" ref="U521:U584" si="211">$AB$6-AB$18*EXP(-AF$6*AF$12*A519)*(COS(AF$5*A519)-(AF$6*AF$12-1)/(AF$5)*SIN(AF$5*A519))*AF$15</f>
        <v>0.08</v>
      </c>
      <c r="V521">
        <f t="shared" si="192"/>
        <v>0.18801145516575535</v>
      </c>
      <c r="W521">
        <f t="shared" si="188"/>
        <v>0.16615974168123449</v>
      </c>
      <c r="X521">
        <f t="shared" si="189"/>
        <v>0.21254637601394188</v>
      </c>
      <c r="Y521" t="b">
        <f t="shared" si="191"/>
        <v>0</v>
      </c>
    </row>
    <row xmlns:x14ac="http://schemas.microsoft.com/office/spreadsheetml/2009/9/ac" r="522" x14ac:dyDescent="0.45">
      <c r="A522">
        <v>2.57499999999997</v>
      </c>
      <c r="B522">
        <f t="shared" si="193"/>
        <v>0.16300012838152961</v>
      </c>
      <c r="C522" t="b">
        <f t="shared" si="206"/>
        <v>1</v>
      </c>
      <c r="D522" t="b">
        <f t="shared" si="194"/>
        <v>1</v>
      </c>
      <c r="E522">
        <f t="shared" si="202"/>
        <v>2.57499999999997</v>
      </c>
      <c r="F522">
        <f t="shared" si="207"/>
        <v>0.16300012838152961</v>
      </c>
      <c r="G522">
        <f t="shared" si="195"/>
        <v>0.21248350576614872</v>
      </c>
      <c r="H522">
        <f t="shared" si="196"/>
        <v>3.5000049377511389E-2</v>
      </c>
      <c r="I522" t="b">
        <f t="shared" si="208"/>
        <v>1</v>
      </c>
      <c r="J522">
        <f t="shared" si="197"/>
        <v>2.57499999999997</v>
      </c>
      <c r="K522">
        <f t="shared" si="209"/>
        <v>3.5000049377511389E-2</v>
      </c>
      <c r="L522">
        <f t="shared" si="198"/>
        <v>0.16625455799695871</v>
      </c>
      <c r="M522">
        <f t="shared" si="199"/>
        <v>0.19000009875502277</v>
      </c>
      <c r="N522">
        <f t="shared" si="200"/>
        <v>0.18801302205312592</v>
      </c>
      <c r="O522">
        <f t="shared" si="201"/>
        <v>0.15777777794646797</v>
      </c>
      <c r="P522">
        <f t="shared" si="190"/>
        <v>0.08</v>
      </c>
      <c r="Q522">
        <f t="shared" si="210"/>
        <v>0.08</v>
      </c>
      <c r="R522">
        <f t="shared" si="203"/>
        <v>0.08</v>
      </c>
      <c r="S522">
        <f t="shared" si="204"/>
        <v>0.06</v>
      </c>
      <c r="T522">
        <f t="shared" si="205"/>
        <v>0.1</v>
      </c>
      <c r="U522">
        <f t="shared" si="211"/>
        <v>0.08</v>
      </c>
      <c r="V522">
        <f t="shared" si="192"/>
        <v>0.18801302205312592</v>
      </c>
      <c r="W522">
        <f t="shared" si="188"/>
        <v>0.16617889504950478</v>
      </c>
      <c r="X522">
        <f t="shared" si="189"/>
        <v>0.21253367591058908</v>
      </c>
      <c r="Y522" t="b">
        <f t="shared" si="191"/>
        <v>0</v>
      </c>
    </row>
    <row xmlns:x14ac="http://schemas.microsoft.com/office/spreadsheetml/2009/9/ac" r="523" x14ac:dyDescent="0.45">
      <c r="A523">
        <v>2.5799999999999699</v>
      </c>
      <c r="B523">
        <f t="shared" si="193"/>
        <v>0.16300014865075863</v>
      </c>
      <c r="C523" t="b">
        <f t="shared" si="206"/>
        <v>1</v>
      </c>
      <c r="D523" t="b">
        <f t="shared" si="194"/>
        <v>1</v>
      </c>
      <c r="E523">
        <f t="shared" si="202"/>
        <v>2.5799999999999699</v>
      </c>
      <c r="F523">
        <f t="shared" si="207"/>
        <v>0.16300014865075863</v>
      </c>
      <c r="G523">
        <f t="shared" si="195"/>
        <v>0.21247111922946499</v>
      </c>
      <c r="H523">
        <f t="shared" si="196"/>
        <v>3.5000057173368695E-2</v>
      </c>
      <c r="I523" t="b">
        <f t="shared" si="208"/>
        <v>1</v>
      </c>
      <c r="J523">
        <f t="shared" si="197"/>
        <v>2.5799999999999699</v>
      </c>
      <c r="K523">
        <f t="shared" si="209"/>
        <v>3.5000057173368695E-2</v>
      </c>
      <c r="L523">
        <f t="shared" si="198"/>
        <v>0.16627323846688147</v>
      </c>
      <c r="M523">
        <f t="shared" si="199"/>
        <v>0.19000011434673741</v>
      </c>
      <c r="N523">
        <f t="shared" si="200"/>
        <v>0.18801448146687522</v>
      </c>
      <c r="O523">
        <f t="shared" si="201"/>
        <v>0.15777777798850789</v>
      </c>
      <c r="P523">
        <f t="shared" si="190"/>
        <v>0.08</v>
      </c>
      <c r="Q523">
        <f t="shared" si="210"/>
        <v>0.08</v>
      </c>
      <c r="R523">
        <f t="shared" si="203"/>
        <v>0.08</v>
      </c>
      <c r="S523">
        <f t="shared" si="204"/>
        <v>0.06</v>
      </c>
      <c r="T523">
        <f t="shared" si="205"/>
        <v>0.1</v>
      </c>
      <c r="U523">
        <f t="shared" si="211"/>
        <v>0.08</v>
      </c>
      <c r="V523">
        <f t="shared" si="192"/>
        <v>0.18801448146687522</v>
      </c>
      <c r="W523">
        <f t="shared" ref="W523:W586" si="212">IF(EMT_Simulation,L519,L523)</f>
        <v>0.16619795288995232</v>
      </c>
      <c r="X523">
        <f t="shared" ref="X523:X586" si="213">IF(EMT_Simulation,G519,G523)</f>
        <v>0.21252103914926607</v>
      </c>
      <c r="Y523" t="b">
        <f t="shared" si="191"/>
        <v>0</v>
      </c>
    </row>
    <row xmlns:x14ac="http://schemas.microsoft.com/office/spreadsheetml/2009/9/ac" r="524" x14ac:dyDescent="0.45">
      <c r="A524">
        <v>2.5849999999999702</v>
      </c>
      <c r="B524">
        <f t="shared" si="193"/>
        <v>0.16300016722035152</v>
      </c>
      <c r="C524" t="b">
        <f t="shared" si="206"/>
        <v>1</v>
      </c>
      <c r="D524" t="b">
        <f t="shared" si="194"/>
        <v>1</v>
      </c>
      <c r="E524">
        <f t="shared" si="202"/>
        <v>2.5849999999999702</v>
      </c>
      <c r="F524">
        <f t="shared" si="207"/>
        <v>0.16300016722035152</v>
      </c>
      <c r="G524">
        <f t="shared" si="195"/>
        <v>0.21245879447089067</v>
      </c>
      <c r="H524">
        <f t="shared" si="196"/>
        <v>3.5000064315519816E-2</v>
      </c>
      <c r="I524" t="b">
        <f t="shared" si="208"/>
        <v>1</v>
      </c>
      <c r="J524">
        <f t="shared" si="197"/>
        <v>2.5849999999999702</v>
      </c>
      <c r="K524">
        <f t="shared" si="209"/>
        <v>3.5000064315519816E-2</v>
      </c>
      <c r="L524">
        <f t="shared" si="198"/>
        <v>0.16629182576757184</v>
      </c>
      <c r="M524">
        <f t="shared" si="199"/>
        <v>0.19000012863103963</v>
      </c>
      <c r="N524">
        <f t="shared" si="200"/>
        <v>0.18801583027728</v>
      </c>
      <c r="O524">
        <f t="shared" si="201"/>
        <v>0.1577777780264939</v>
      </c>
      <c r="P524">
        <f t="shared" si="190"/>
        <v>0.08</v>
      </c>
      <c r="Q524">
        <f t="shared" si="210"/>
        <v>0.08</v>
      </c>
      <c r="R524">
        <f t="shared" si="203"/>
        <v>0.08</v>
      </c>
      <c r="S524">
        <f t="shared" si="204"/>
        <v>0.06</v>
      </c>
      <c r="T524">
        <f t="shared" si="205"/>
        <v>0.1</v>
      </c>
      <c r="U524">
        <f t="shared" si="211"/>
        <v>0.08</v>
      </c>
      <c r="V524">
        <f t="shared" si="192"/>
        <v>0.18801583027728</v>
      </c>
      <c r="W524">
        <f t="shared" si="212"/>
        <v>0.16621691567902408</v>
      </c>
      <c r="X524">
        <f t="shared" si="213"/>
        <v>0.21250846541405299</v>
      </c>
      <c r="Y524" t="b">
        <f t="shared" si="191"/>
        <v>0</v>
      </c>
    </row>
    <row xmlns:x14ac="http://schemas.microsoft.com/office/spreadsheetml/2009/9/ac" r="525" x14ac:dyDescent="0.45">
      <c r="A525">
        <v>2.5899999999999701</v>
      </c>
      <c r="B525">
        <f t="shared" si="193"/>
        <v>0.16300018408436995</v>
      </c>
      <c r="C525" t="b">
        <f t="shared" si="206"/>
        <v>1</v>
      </c>
      <c r="D525" t="b">
        <f t="shared" si="194"/>
        <v>1</v>
      </c>
      <c r="E525">
        <f t="shared" si="202"/>
        <v>2.5899999999999701</v>
      </c>
      <c r="F525">
        <f t="shared" si="207"/>
        <v>0.16300018408436995</v>
      </c>
      <c r="G525">
        <f t="shared" si="195"/>
        <v>0.21244653118230616</v>
      </c>
      <c r="H525">
        <f t="shared" si="196"/>
        <v>3.5000070801680744E-2</v>
      </c>
      <c r="I525" t="b">
        <f t="shared" si="208"/>
        <v>1</v>
      </c>
      <c r="J525">
        <f t="shared" si="197"/>
        <v>2.5899999999999701</v>
      </c>
      <c r="K525">
        <f t="shared" si="209"/>
        <v>3.5000070801680744E-2</v>
      </c>
      <c r="L525">
        <f t="shared" si="198"/>
        <v>0.16631032036371324</v>
      </c>
      <c r="M525">
        <f t="shared" si="199"/>
        <v>0.19000014160336148</v>
      </c>
      <c r="N525">
        <f t="shared" si="200"/>
        <v>0.18801706594688664</v>
      </c>
      <c r="O525">
        <f t="shared" si="201"/>
        <v>0.1577777780605033</v>
      </c>
      <c r="P525">
        <f t="shared" si="190"/>
        <v>0.08</v>
      </c>
      <c r="Q525">
        <f t="shared" si="210"/>
        <v>0.08</v>
      </c>
      <c r="R525">
        <f t="shared" si="203"/>
        <v>0.08</v>
      </c>
      <c r="S525">
        <f t="shared" si="204"/>
        <v>0.06</v>
      </c>
      <c r="T525">
        <f t="shared" si="205"/>
        <v>0.1</v>
      </c>
      <c r="U525">
        <f t="shared" si="211"/>
        <v>0.08</v>
      </c>
      <c r="V525">
        <f t="shared" si="192"/>
        <v>0.18801706594688664</v>
      </c>
      <c r="W525">
        <f t="shared" si="212"/>
        <v>0.1662357838907908</v>
      </c>
      <c r="X525">
        <f t="shared" si="213"/>
        <v>0.21249595439060598</v>
      </c>
      <c r="Y525" t="b">
        <f t="shared" si="191"/>
        <v>0</v>
      </c>
    </row>
    <row xmlns:x14ac="http://schemas.microsoft.com/office/spreadsheetml/2009/9/ac" r="526" x14ac:dyDescent="0.45">
      <c r="A526">
        <v>2.59499999999997</v>
      </c>
      <c r="B526">
        <f t="shared" si="193"/>
        <v>0.16300019924532408</v>
      </c>
      <c r="C526" t="b">
        <f t="shared" si="206"/>
        <v>1</v>
      </c>
      <c r="D526" t="b">
        <f t="shared" si="194"/>
        <v>1</v>
      </c>
      <c r="E526">
        <f t="shared" si="202"/>
        <v>2.59499999999997</v>
      </c>
      <c r="F526">
        <f t="shared" si="207"/>
        <v>0.16300019924532408</v>
      </c>
      <c r="G526">
        <f t="shared" si="195"/>
        <v>0.21243432905712867</v>
      </c>
      <c r="H526">
        <f t="shared" si="196"/>
        <v>3.5000076632816957E-2</v>
      </c>
      <c r="I526" t="b">
        <f t="shared" si="208"/>
        <v>1</v>
      </c>
      <c r="J526">
        <f t="shared" si="197"/>
        <v>2.59499999999997</v>
      </c>
      <c r="K526">
        <f t="shared" si="209"/>
        <v>3.5000076632816957E-2</v>
      </c>
      <c r="L526">
        <f t="shared" si="198"/>
        <v>0.16632872271767152</v>
      </c>
      <c r="M526">
        <f t="shared" si="199"/>
        <v>0.19000015326563391</v>
      </c>
      <c r="N526">
        <f t="shared" si="200"/>
        <v>0.18801818652318503</v>
      </c>
      <c r="O526">
        <f t="shared" si="201"/>
        <v>0.15777777809062937</v>
      </c>
      <c r="P526">
        <f t="shared" ref="P526:P589" si="214">$AB$6-EXP(-AF$6*AF$12*A526)*(COS(AF$5*A526)-(AF$6*AF$12-1)/(AF$5)*SIN(AF$5*A526))*AF$15</f>
        <v>0.08</v>
      </c>
      <c r="Q526">
        <f t="shared" si="210"/>
        <v>0.08</v>
      </c>
      <c r="R526">
        <f t="shared" si="203"/>
        <v>0.08</v>
      </c>
      <c r="S526">
        <f t="shared" si="204"/>
        <v>0.06</v>
      </c>
      <c r="T526">
        <f t="shared" si="205"/>
        <v>0.1</v>
      </c>
      <c r="U526">
        <f t="shared" si="211"/>
        <v>0.08</v>
      </c>
      <c r="V526">
        <f t="shared" si="192"/>
        <v>0.18801818652318503</v>
      </c>
      <c r="W526">
        <f t="shared" si="212"/>
        <v>0.16625455799695871</v>
      </c>
      <c r="X526">
        <f t="shared" si="213"/>
        <v>0.21248350576614872</v>
      </c>
      <c r="Y526" t="b">
        <f t="shared" si="191"/>
        <v>0</v>
      </c>
    </row>
    <row xmlns:x14ac="http://schemas.microsoft.com/office/spreadsheetml/2009/9/ac" r="527" x14ac:dyDescent="0.45">
      <c r="A527">
        <v>2.5999999999999699</v>
      </c>
      <c r="B527">
        <f t="shared" si="193"/>
        <v>0.16300021271374862</v>
      </c>
      <c r="C527" t="b">
        <f t="shared" si="206"/>
        <v>1</v>
      </c>
      <c r="D527" t="b">
        <f t="shared" si="194"/>
        <v>1</v>
      </c>
      <c r="E527">
        <f t="shared" si="202"/>
        <v>2.5999999999999699</v>
      </c>
      <c r="F527">
        <f t="shared" si="207"/>
        <v>0.16300021271374862</v>
      </c>
      <c r="G527">
        <f t="shared" si="195"/>
        <v>0.21242218779030436</v>
      </c>
      <c r="H527">
        <f t="shared" si="196"/>
        <v>3.5000081812980241E-2</v>
      </c>
      <c r="I527" t="b">
        <f t="shared" si="208"/>
        <v>1</v>
      </c>
      <c r="J527">
        <f t="shared" si="197"/>
        <v>2.5999999999999699</v>
      </c>
      <c r="K527">
        <f t="shared" si="209"/>
        <v>3.5000081812980241E-2</v>
      </c>
      <c r="L527">
        <f t="shared" si="198"/>
        <v>0.16634703328950656</v>
      </c>
      <c r="M527">
        <f t="shared" si="199"/>
        <v>0.19000016362596048</v>
      </c>
      <c r="N527">
        <f t="shared" si="200"/>
        <v>0.18801919062890218</v>
      </c>
      <c r="O527">
        <f t="shared" si="201"/>
        <v>0.15777777811697991</v>
      </c>
      <c r="P527">
        <f t="shared" si="214"/>
        <v>0.08</v>
      </c>
      <c r="Q527">
        <f t="shared" si="210"/>
        <v>0.08</v>
      </c>
      <c r="R527">
        <f t="shared" si="203"/>
        <v>0.08</v>
      </c>
      <c r="S527">
        <f t="shared" si="204"/>
        <v>0.06</v>
      </c>
      <c r="T527">
        <f t="shared" si="205"/>
        <v>0.1</v>
      </c>
      <c r="U527">
        <f t="shared" si="211"/>
        <v>0.08</v>
      </c>
      <c r="V527">
        <f t="shared" si="192"/>
        <v>0.18801919062890218</v>
      </c>
      <c r="W527">
        <f t="shared" si="212"/>
        <v>0.16627323846688147</v>
      </c>
      <c r="X527">
        <f t="shared" si="213"/>
        <v>0.21247111922946499</v>
      </c>
      <c r="Y527" t="b">
        <f t="shared" ref="Y527:Y590" si="215">IF(Y526,TRUE,IF(P527&lt;P526,TRUE))</f>
        <v>0</v>
      </c>
    </row>
    <row xmlns:x14ac="http://schemas.microsoft.com/office/spreadsheetml/2009/9/ac" r="528" x14ac:dyDescent="0.45">
      <c r="A528">
        <v>2.6049999999999698</v>
      </c>
      <c r="B528">
        <f t="shared" si="193"/>
        <v>0.1630002245077608</v>
      </c>
      <c r="C528" t="b">
        <f t="shared" si="206"/>
        <v>1</v>
      </c>
      <c r="D528" t="b">
        <f t="shared" si="194"/>
        <v>1</v>
      </c>
      <c r="E528">
        <f t="shared" si="202"/>
        <v>2.6049999999999698</v>
      </c>
      <c r="F528">
        <f t="shared" si="207"/>
        <v>0.1630002245077608</v>
      </c>
      <c r="G528">
        <f t="shared" si="195"/>
        <v>0.21241010707830099</v>
      </c>
      <c r="H528">
        <f t="shared" si="196"/>
        <v>3.5000086349138773E-2</v>
      </c>
      <c r="I528" t="b">
        <f t="shared" si="208"/>
        <v>1</v>
      </c>
      <c r="J528">
        <f t="shared" si="197"/>
        <v>2.6049999999999698</v>
      </c>
      <c r="K528">
        <f t="shared" si="209"/>
        <v>3.5000086349138773E-2</v>
      </c>
      <c r="L528">
        <f t="shared" si="198"/>
        <v>0.16636525253698359</v>
      </c>
      <c r="M528">
        <f t="shared" si="199"/>
        <v>0.19000017269827754</v>
      </c>
      <c r="N528">
        <f t="shared" si="200"/>
        <v>0.18802007745003391</v>
      </c>
      <c r="O528">
        <f t="shared" si="201"/>
        <v>0.15777777813967542</v>
      </c>
      <c r="P528">
        <f t="shared" si="214"/>
        <v>0.08</v>
      </c>
      <c r="Q528">
        <f t="shared" si="210"/>
        <v>0.08</v>
      </c>
      <c r="R528">
        <f t="shared" si="203"/>
        <v>0.08</v>
      </c>
      <c r="S528">
        <f t="shared" si="204"/>
        <v>0.06</v>
      </c>
      <c r="T528">
        <f t="shared" si="205"/>
        <v>0.1</v>
      </c>
      <c r="U528">
        <f t="shared" si="211"/>
        <v>0.08</v>
      </c>
      <c r="V528">
        <f t="shared" si="192"/>
        <v>0.18802007745003391</v>
      </c>
      <c r="W528">
        <f t="shared" si="212"/>
        <v>0.16629182576757184</v>
      </c>
      <c r="X528">
        <f t="shared" si="213"/>
        <v>0.21245879447089067</v>
      </c>
      <c r="Y528" t="b">
        <f t="shared" si="215"/>
        <v>0</v>
      </c>
    </row>
    <row xmlns:x14ac="http://schemas.microsoft.com/office/spreadsheetml/2009/9/ac" r="529" x14ac:dyDescent="0.45">
      <c r="A529">
        <v>2.6099999999999701</v>
      </c>
      <c r="B529">
        <f t="shared" si="193"/>
        <v>0.16300023465260419</v>
      </c>
      <c r="C529" t="b">
        <f t="shared" si="206"/>
        <v>1</v>
      </c>
      <c r="D529" t="b">
        <f t="shared" si="194"/>
        <v>1</v>
      </c>
      <c r="E529">
        <f t="shared" si="202"/>
        <v>2.6099999999999701</v>
      </c>
      <c r="F529">
        <f t="shared" si="207"/>
        <v>0.16300023465260419</v>
      </c>
      <c r="G529">
        <f t="shared" si="195"/>
        <v>0.21239808661910009</v>
      </c>
      <c r="H529">
        <f t="shared" si="196"/>
        <v>3.500009025100162E-2</v>
      </c>
      <c r="I529" t="b">
        <f t="shared" si="208"/>
        <v>1</v>
      </c>
      <c r="J529">
        <f t="shared" si="197"/>
        <v>2.6099999999999701</v>
      </c>
      <c r="K529">
        <f t="shared" si="209"/>
        <v>3.500009025100162E-2</v>
      </c>
      <c r="L529">
        <f t="shared" si="198"/>
        <v>0.16638338091558474</v>
      </c>
      <c r="M529">
        <f t="shared" si="199"/>
        <v>0.19000018050200324</v>
      </c>
      <c r="N529">
        <f t="shared" si="200"/>
        <v>0.18802084672173891</v>
      </c>
      <c r="O529">
        <f t="shared" si="201"/>
        <v>0.15777777815884775</v>
      </c>
      <c r="P529">
        <f t="shared" si="214"/>
        <v>0.08</v>
      </c>
      <c r="Q529">
        <f t="shared" si="210"/>
        <v>0.08</v>
      </c>
      <c r="R529">
        <f t="shared" si="203"/>
        <v>0.08</v>
      </c>
      <c r="S529">
        <f t="shared" si="204"/>
        <v>0.06</v>
      </c>
      <c r="T529">
        <f t="shared" si="205"/>
        <v>0.1</v>
      </c>
      <c r="U529">
        <f t="shared" si="211"/>
        <v>0.08</v>
      </c>
      <c r="V529">
        <f t="shared" si="192"/>
        <v>0.18802084672173891</v>
      </c>
      <c r="W529">
        <f t="shared" si="212"/>
        <v>0.16631032036371324</v>
      </c>
      <c r="X529">
        <f t="shared" si="213"/>
        <v>0.21244653118230616</v>
      </c>
      <c r="Y529" t="b">
        <f t="shared" si="215"/>
        <v>0</v>
      </c>
    </row>
    <row xmlns:x14ac="http://schemas.microsoft.com/office/spreadsheetml/2009/9/ac" r="530" x14ac:dyDescent="0.45">
      <c r="A530">
        <v>2.61499999999997</v>
      </c>
      <c r="B530">
        <f t="shared" si="193"/>
        <v>0.1630002431801803</v>
      </c>
      <c r="C530" t="b">
        <f t="shared" si="206"/>
        <v>1</v>
      </c>
      <c r="D530" t="b">
        <f t="shared" si="194"/>
        <v>1</v>
      </c>
      <c r="E530">
        <f t="shared" si="202"/>
        <v>2.61499999999997</v>
      </c>
      <c r="F530">
        <f t="shared" si="207"/>
        <v>0.1630002431801803</v>
      </c>
      <c r="G530">
        <f t="shared" si="195"/>
        <v>0.2123861261121896</v>
      </c>
      <c r="H530">
        <f t="shared" si="196"/>
        <v>3.5000093530838577E-2</v>
      </c>
      <c r="I530" t="b">
        <f t="shared" si="208"/>
        <v>1</v>
      </c>
      <c r="J530">
        <f t="shared" si="197"/>
        <v>2.61499999999997</v>
      </c>
      <c r="K530">
        <f t="shared" si="209"/>
        <v>3.5000093530838577E-2</v>
      </c>
      <c r="L530">
        <f t="shared" si="198"/>
        <v>0.16640141887852039</v>
      </c>
      <c r="M530">
        <f t="shared" si="199"/>
        <v>0.19000018706167715</v>
      </c>
      <c r="N530">
        <f t="shared" si="200"/>
        <v>0.18802149871222612</v>
      </c>
      <c r="O530">
        <f t="shared" si="201"/>
        <v>0.15777777817463853</v>
      </c>
      <c r="P530">
        <f t="shared" si="214"/>
        <v>0.08</v>
      </c>
      <c r="Q530">
        <f t="shared" si="210"/>
        <v>0.08</v>
      </c>
      <c r="R530">
        <f t="shared" si="203"/>
        <v>0.08</v>
      </c>
      <c r="S530">
        <f t="shared" si="204"/>
        <v>0.06</v>
      </c>
      <c r="T530">
        <f t="shared" si="205"/>
        <v>0.1</v>
      </c>
      <c r="U530">
        <f t="shared" si="211"/>
        <v>0.08</v>
      </c>
      <c r="V530">
        <f t="shared" si="192"/>
        <v>0.18802149871222612</v>
      </c>
      <c r="W530">
        <f t="shared" si="212"/>
        <v>0.16632872271767152</v>
      </c>
      <c r="X530">
        <f t="shared" si="213"/>
        <v>0.21243432905712867</v>
      </c>
      <c r="Y530" t="b">
        <f t="shared" si="215"/>
        <v>0</v>
      </c>
    </row>
    <row xmlns:x14ac="http://schemas.microsoft.com/office/spreadsheetml/2009/9/ac" r="531" x14ac:dyDescent="0.45">
      <c r="A531">
        <v>2.6199999999999699</v>
      </c>
      <c r="B531">
        <f t="shared" si="193"/>
        <v>0.16300025012857117</v>
      </c>
      <c r="C531" t="b">
        <f t="shared" si="206"/>
        <v>1</v>
      </c>
      <c r="D531" t="b">
        <f t="shared" si="194"/>
        <v>1</v>
      </c>
      <c r="E531">
        <f t="shared" si="202"/>
        <v>2.6199999999999699</v>
      </c>
      <c r="F531">
        <f t="shared" si="207"/>
        <v>0.16300025012857117</v>
      </c>
      <c r="G531">
        <f t="shared" si="195"/>
        <v>0.21237422525855615</v>
      </c>
      <c r="H531">
        <f t="shared" si="196"/>
        <v>3.500009620329661E-2</v>
      </c>
      <c r="I531" t="b">
        <f t="shared" si="208"/>
        <v>1</v>
      </c>
      <c r="J531">
        <f t="shared" si="197"/>
        <v>2.6199999999999699</v>
      </c>
      <c r="K531">
        <f t="shared" si="209"/>
        <v>3.500009620329661E-2</v>
      </c>
      <c r="L531">
        <f t="shared" si="198"/>
        <v>0.16641936687674061</v>
      </c>
      <c r="M531">
        <f t="shared" si="199"/>
        <v>0.19000019240659322</v>
      </c>
      <c r="N531">
        <f t="shared" si="200"/>
        <v>0.18802203420476971</v>
      </c>
      <c r="O531">
        <f t="shared" si="201"/>
        <v>0.15777777818719774</v>
      </c>
      <c r="P531">
        <f t="shared" si="214"/>
        <v>0.08</v>
      </c>
      <c r="Q531">
        <f t="shared" si="210"/>
        <v>0.08</v>
      </c>
      <c r="R531">
        <f t="shared" si="203"/>
        <v>0.08</v>
      </c>
      <c r="S531">
        <f t="shared" si="204"/>
        <v>0.06</v>
      </c>
      <c r="T531">
        <f t="shared" si="205"/>
        <v>0.1</v>
      </c>
      <c r="U531">
        <f t="shared" si="211"/>
        <v>0.08</v>
      </c>
      <c r="V531">
        <f t="shared" si="192"/>
        <v>0.18802203420476971</v>
      </c>
      <c r="W531">
        <f t="shared" si="212"/>
        <v>0.16634703328950656</v>
      </c>
      <c r="X531">
        <f t="shared" si="213"/>
        <v>0.21242218779030436</v>
      </c>
      <c r="Y531" t="b">
        <f t="shared" si="215"/>
        <v>0</v>
      </c>
    </row>
    <row xmlns:x14ac="http://schemas.microsoft.com/office/spreadsheetml/2009/9/ac" r="532" x14ac:dyDescent="0.45">
      <c r="A532">
        <v>2.6249999999999698</v>
      </c>
      <c r="B532">
        <f t="shared" si="193"/>
        <v>0.16300025554155584</v>
      </c>
      <c r="C532" t="b">
        <f t="shared" si="206"/>
        <v>1</v>
      </c>
      <c r="D532" t="b">
        <f t="shared" si="194"/>
        <v>1</v>
      </c>
      <c r="E532">
        <f t="shared" si="202"/>
        <v>2.6249999999999698</v>
      </c>
      <c r="F532">
        <f t="shared" si="207"/>
        <v>0.16300025554155584</v>
      </c>
      <c r="G532">
        <f t="shared" si="195"/>
        <v>0.21236238376067784</v>
      </c>
      <c r="H532">
        <f t="shared" si="196"/>
        <v>3.500009828521379E-2</v>
      </c>
      <c r="I532" t="b">
        <f t="shared" si="208"/>
        <v>1</v>
      </c>
      <c r="J532">
        <f t="shared" si="197"/>
        <v>2.6249999999999698</v>
      </c>
      <c r="K532">
        <f t="shared" si="209"/>
        <v>3.500009828521379E-2</v>
      </c>
      <c r="L532">
        <f t="shared" si="198"/>
        <v>0.16643722535894623</v>
      </c>
      <c r="M532">
        <f t="shared" si="199"/>
        <v>0.19000019657042758</v>
      </c>
      <c r="N532">
        <f t="shared" si="200"/>
        <v>0.18802245447799187</v>
      </c>
      <c r="O532">
        <f t="shared" si="201"/>
        <v>0.15777777819668234</v>
      </c>
      <c r="P532">
        <f t="shared" si="214"/>
        <v>0.08</v>
      </c>
      <c r="Q532">
        <f t="shared" si="210"/>
        <v>0.08</v>
      </c>
      <c r="R532">
        <f t="shared" si="203"/>
        <v>0.08</v>
      </c>
      <c r="S532">
        <f t="shared" si="204"/>
        <v>0.06</v>
      </c>
      <c r="T532">
        <f t="shared" si="205"/>
        <v>0.1</v>
      </c>
      <c r="U532">
        <f t="shared" si="211"/>
        <v>0.08</v>
      </c>
      <c r="V532">
        <f t="shared" si="192"/>
        <v>0.18802245447799187</v>
      </c>
      <c r="W532">
        <f t="shared" si="212"/>
        <v>0.16636525253698359</v>
      </c>
      <c r="X532">
        <f t="shared" si="213"/>
        <v>0.21241010707830099</v>
      </c>
      <c r="Y532" t="b">
        <f t="shared" si="215"/>
        <v>0</v>
      </c>
    </row>
    <row xmlns:x14ac="http://schemas.microsoft.com/office/spreadsheetml/2009/9/ac" r="533" x14ac:dyDescent="0.45">
      <c r="A533">
        <v>2.6299999999999701</v>
      </c>
      <c r="B533">
        <f t="shared" si="193"/>
        <v>0.1630002594681231</v>
      </c>
      <c r="C533" t="b">
        <f t="shared" si="206"/>
        <v>1</v>
      </c>
      <c r="D533" t="b">
        <f t="shared" si="194"/>
        <v>1</v>
      </c>
      <c r="E533">
        <f t="shared" si="202"/>
        <v>2.6299999999999701</v>
      </c>
      <c r="F533">
        <f t="shared" si="207"/>
        <v>0.1630002594681231</v>
      </c>
      <c r="G533">
        <f t="shared" si="195"/>
        <v>0.2123506013225166</v>
      </c>
      <c r="H533">
        <f t="shared" si="196"/>
        <v>3.5000099795431963E-2</v>
      </c>
      <c r="I533" t="b">
        <f t="shared" si="208"/>
        <v>1</v>
      </c>
      <c r="J533">
        <f t="shared" si="197"/>
        <v>2.6299999999999701</v>
      </c>
      <c r="K533">
        <f t="shared" si="209"/>
        <v>3.5000099795431963E-2</v>
      </c>
      <c r="L533">
        <f t="shared" si="198"/>
        <v>0.16645499477160028</v>
      </c>
      <c r="M533">
        <f t="shared" si="199"/>
        <v>0.19000019959086395</v>
      </c>
      <c r="N533">
        <f t="shared" si="200"/>
        <v>0.18802276128455486</v>
      </c>
      <c r="O533">
        <f t="shared" si="201"/>
        <v>0.15777777820325489</v>
      </c>
      <c r="P533">
        <f t="shared" si="214"/>
        <v>0.08</v>
      </c>
      <c r="Q533">
        <f t="shared" si="210"/>
        <v>0.08</v>
      </c>
      <c r="R533">
        <f t="shared" si="203"/>
        <v>0.08</v>
      </c>
      <c r="S533">
        <f t="shared" si="204"/>
        <v>0.06</v>
      </c>
      <c r="T533">
        <f t="shared" si="205"/>
        <v>0.1</v>
      </c>
      <c r="U533">
        <f t="shared" si="211"/>
        <v>0.08</v>
      </c>
      <c r="V533">
        <f t="shared" ref="V533:V596" si="216">MAX(IF(Y533,MAX(H533,$AB$6+$AF$13),MAX(T533,$AB$6+$AF$13)),O533,N533)</f>
        <v>0.18802276128455486</v>
      </c>
      <c r="W533">
        <f t="shared" si="212"/>
        <v>0.16638338091558474</v>
      </c>
      <c r="X533">
        <f t="shared" si="213"/>
        <v>0.21239808661910009</v>
      </c>
      <c r="Y533" t="b">
        <f t="shared" si="215"/>
        <v>0</v>
      </c>
    </row>
    <row xmlns:x14ac="http://schemas.microsoft.com/office/spreadsheetml/2009/9/ac" r="534" x14ac:dyDescent="0.45">
      <c r="A534">
        <v>2.63499999999997</v>
      </c>
      <c r="B534">
        <f t="shared" si="193"/>
        <v>0.16300026196198306</v>
      </c>
      <c r="C534" t="b">
        <f t="shared" si="206"/>
        <v>1</v>
      </c>
      <c r="D534" t="b">
        <f t="shared" si="194"/>
        <v>1</v>
      </c>
      <c r="E534">
        <f t="shared" si="202"/>
        <v>2.63499999999997</v>
      </c>
      <c r="F534">
        <f t="shared" si="207"/>
        <v>0.16300026196198306</v>
      </c>
      <c r="G534">
        <f t="shared" si="195"/>
        <v>0.21233887764951087</v>
      </c>
      <c r="H534">
        <f t="shared" si="196"/>
        <v>3.5000100754608868E-2</v>
      </c>
      <c r="I534" t="b">
        <f t="shared" si="208"/>
        <v>1</v>
      </c>
      <c r="J534">
        <f t="shared" si="197"/>
        <v>2.63499999999997</v>
      </c>
      <c r="K534">
        <f t="shared" si="209"/>
        <v>3.5000100754608868E-2</v>
      </c>
      <c r="L534">
        <f t="shared" si="198"/>
        <v>0.16647267555893897</v>
      </c>
      <c r="M534">
        <f t="shared" si="199"/>
        <v>0.19000020150921773</v>
      </c>
      <c r="N534">
        <f t="shared" si="200"/>
        <v>0.18802295682840872</v>
      </c>
      <c r="O534">
        <f t="shared" si="201"/>
        <v>0.1577777782070823</v>
      </c>
      <c r="P534">
        <f t="shared" si="214"/>
        <v>0.08</v>
      </c>
      <c r="Q534">
        <f t="shared" si="210"/>
        <v>0.08</v>
      </c>
      <c r="R534">
        <f t="shared" si="203"/>
        <v>0.08</v>
      </c>
      <c r="S534">
        <f t="shared" si="204"/>
        <v>0.06</v>
      </c>
      <c r="T534">
        <f t="shared" si="205"/>
        <v>0.1</v>
      </c>
      <c r="U534">
        <f t="shared" si="211"/>
        <v>0.08</v>
      </c>
      <c r="V534">
        <f t="shared" si="216"/>
        <v>0.18802295682840872</v>
      </c>
      <c r="W534">
        <f t="shared" si="212"/>
        <v>0.16640141887852039</v>
      </c>
      <c r="X534">
        <f t="shared" si="213"/>
        <v>0.2123861261121896</v>
      </c>
      <c r="Y534" t="b">
        <f t="shared" si="215"/>
        <v>0</v>
      </c>
    </row>
    <row xmlns:x14ac="http://schemas.microsoft.com/office/spreadsheetml/2009/9/ac" r="535" x14ac:dyDescent="0.45">
      <c r="A535">
        <v>2.6399999999999699</v>
      </c>
      <c r="B535">
        <f t="shared" si="193"/>
        <v>0.16300026308107984</v>
      </c>
      <c r="C535" t="b">
        <f t="shared" si="206"/>
        <v>1</v>
      </c>
      <c r="D535" t="b">
        <f t="shared" si="194"/>
        <v>1</v>
      </c>
      <c r="E535">
        <f t="shared" si="202"/>
        <v>2.6399999999999699</v>
      </c>
      <c r="F535">
        <f t="shared" si="207"/>
        <v>0.16300026308107984</v>
      </c>
      <c r="G535">
        <f t="shared" si="195"/>
        <v>0.21232721244856811</v>
      </c>
      <c r="H535">
        <f t="shared" si="196"/>
        <v>3.5000101185030719E-2</v>
      </c>
      <c r="I535" t="b">
        <f t="shared" si="208"/>
        <v>1</v>
      </c>
      <c r="J535">
        <f t="shared" si="197"/>
        <v>2.6399999999999699</v>
      </c>
      <c r="K535">
        <f t="shared" si="209"/>
        <v>3.5000101185030719E-2</v>
      </c>
      <c r="L535">
        <f t="shared" si="198"/>
        <v>0.1664902681629829</v>
      </c>
      <c r="M535">
        <f t="shared" si="199"/>
        <v>0.19000020237006143</v>
      </c>
      <c r="N535">
        <f t="shared" si="200"/>
        <v>0.18802304374074069</v>
      </c>
      <c r="O535">
        <f t="shared" si="201"/>
        <v>0.15777777820833477</v>
      </c>
      <c r="P535">
        <f t="shared" si="214"/>
        <v>0.08</v>
      </c>
      <c r="Q535">
        <f t="shared" si="210"/>
        <v>0.08</v>
      </c>
      <c r="R535">
        <f t="shared" si="203"/>
        <v>0.08</v>
      </c>
      <c r="S535">
        <f t="shared" si="204"/>
        <v>0.06</v>
      </c>
      <c r="T535">
        <f t="shared" si="205"/>
        <v>0.1</v>
      </c>
      <c r="U535">
        <f t="shared" si="211"/>
        <v>0.08</v>
      </c>
      <c r="V535">
        <f t="shared" si="216"/>
        <v>0.18802304374074069</v>
      </c>
      <c r="W535">
        <f t="shared" si="212"/>
        <v>0.16641936687674061</v>
      </c>
      <c r="X535">
        <f t="shared" si="213"/>
        <v>0.21237422525855615</v>
      </c>
      <c r="Y535" t="b">
        <f t="shared" si="215"/>
        <v>0</v>
      </c>
    </row>
    <row xmlns:x14ac="http://schemas.microsoft.com/office/spreadsheetml/2009/9/ac" r="536" x14ac:dyDescent="0.45">
      <c r="A536">
        <v>2.6449999999999698</v>
      </c>
      <c r="B536">
        <f t="shared" si="193"/>
        <v>0.16300026288710817</v>
      </c>
      <c r="C536" t="b">
        <f t="shared" si="206"/>
        <v>1</v>
      </c>
      <c r="D536" t="b">
        <f t="shared" si="194"/>
        <v>1</v>
      </c>
      <c r="E536">
        <f t="shared" si="202"/>
        <v>2.6449999999999698</v>
      </c>
      <c r="F536">
        <f t="shared" si="207"/>
        <v>0.16300026288710817</v>
      </c>
      <c r="G536">
        <f t="shared" si="195"/>
        <v>0.21231560542805789</v>
      </c>
      <c r="H536">
        <f t="shared" si="196"/>
        <v>3.5000101110426216E-2</v>
      </c>
      <c r="I536" t="b">
        <f t="shared" si="208"/>
        <v>1</v>
      </c>
      <c r="J536">
        <f t="shared" si="197"/>
        <v>2.6449999999999698</v>
      </c>
      <c r="K536">
        <f t="shared" si="209"/>
        <v>3.5000101110426216E-2</v>
      </c>
      <c r="L536">
        <f t="shared" si="198"/>
        <v>0.16650777302354813</v>
      </c>
      <c r="M536">
        <f t="shared" si="199"/>
        <v>0.19000020222085245</v>
      </c>
      <c r="N536">
        <f t="shared" si="200"/>
        <v>0.18802302505477508</v>
      </c>
      <c r="O536">
        <f t="shared" si="201"/>
        <v>0.15777777820718436</v>
      </c>
      <c r="P536">
        <f t="shared" si="214"/>
        <v>0.08</v>
      </c>
      <c r="Q536">
        <f t="shared" si="210"/>
        <v>0.08</v>
      </c>
      <c r="R536">
        <f t="shared" si="203"/>
        <v>0.08</v>
      </c>
      <c r="S536">
        <f t="shared" si="204"/>
        <v>0.06</v>
      </c>
      <c r="T536">
        <f t="shared" si="205"/>
        <v>0.1</v>
      </c>
      <c r="U536">
        <f t="shared" si="211"/>
        <v>0.08</v>
      </c>
      <c r="V536">
        <f t="shared" si="216"/>
        <v>0.18802302505477508</v>
      </c>
      <c r="W536">
        <f t="shared" si="212"/>
        <v>0.16643722535894623</v>
      </c>
      <c r="X536">
        <f t="shared" si="213"/>
        <v>0.21236238376067784</v>
      </c>
      <c r="Y536" t="b">
        <f t="shared" si="215"/>
        <v>0</v>
      </c>
    </row>
    <row xmlns:x14ac="http://schemas.microsoft.com/office/spreadsheetml/2009/9/ac" r="537" x14ac:dyDescent="0.45">
      <c r="A537">
        <v>2.6499999999999702</v>
      </c>
      <c r="B537">
        <f t="shared" si="193"/>
        <v>0.16300026144503496</v>
      </c>
      <c r="C537" t="b">
        <f t="shared" si="206"/>
        <v>1</v>
      </c>
      <c r="D537" t="b">
        <f t="shared" si="194"/>
        <v>1</v>
      </c>
      <c r="E537">
        <f t="shared" si="202"/>
        <v>2.6499999999999702</v>
      </c>
      <c r="F537">
        <f t="shared" si="207"/>
        <v>0.16300026144503496</v>
      </c>
      <c r="G537">
        <f t="shared" si="195"/>
        <v>0.21230405629780386</v>
      </c>
      <c r="H537">
        <f t="shared" si="196"/>
        <v>3.5000100555782676E-2</v>
      </c>
      <c r="I537" t="b">
        <f t="shared" si="208"/>
        <v>1</v>
      </c>
      <c r="J537">
        <f t="shared" si="197"/>
        <v>2.6499999999999702</v>
      </c>
      <c r="K537">
        <f t="shared" si="209"/>
        <v>3.5000100555782676E-2</v>
      </c>
      <c r="L537">
        <f t="shared" si="198"/>
        <v>0.1665251905782571</v>
      </c>
      <c r="M537">
        <f t="shared" si="199"/>
        <v>0.19000020111156535</v>
      </c>
      <c r="N537">
        <f t="shared" si="200"/>
        <v>0.18802290417957251</v>
      </c>
      <c r="O537">
        <f t="shared" si="201"/>
        <v>0.15777777820380423</v>
      </c>
      <c r="P537">
        <f t="shared" si="214"/>
        <v>0.08</v>
      </c>
      <c r="Q537">
        <f t="shared" si="210"/>
        <v>0.08</v>
      </c>
      <c r="R537">
        <f t="shared" si="203"/>
        <v>0.08</v>
      </c>
      <c r="S537">
        <f t="shared" si="204"/>
        <v>0.06</v>
      </c>
      <c r="T537">
        <f t="shared" si="205"/>
        <v>0.1</v>
      </c>
      <c r="U537">
        <f t="shared" si="211"/>
        <v>0.08</v>
      </c>
      <c r="V537">
        <f t="shared" si="216"/>
        <v>0.18802290417957251</v>
      </c>
      <c r="W537">
        <f t="shared" si="212"/>
        <v>0.16645499477160028</v>
      </c>
      <c r="X537">
        <f t="shared" si="213"/>
        <v>0.2123506013225166</v>
      </c>
      <c r="Y537" t="b">
        <f t="shared" si="215"/>
        <v>0</v>
      </c>
    </row>
    <row xmlns:x14ac="http://schemas.microsoft.com/office/spreadsheetml/2009/9/ac" r="538" x14ac:dyDescent="0.45">
      <c r="A538">
        <v>2.6549999999999701</v>
      </c>
      <c r="B538">
        <f t="shared" si="193"/>
        <v>0.16300025882262925</v>
      </c>
      <c r="C538" t="b">
        <f t="shared" si="206"/>
        <v>1</v>
      </c>
      <c r="D538" t="b">
        <f t="shared" si="194"/>
        <v>1</v>
      </c>
      <c r="E538">
        <f t="shared" si="202"/>
        <v>2.6549999999999701</v>
      </c>
      <c r="F538">
        <f t="shared" si="207"/>
        <v>0.16300025882262925</v>
      </c>
      <c r="G538">
        <f t="shared" si="195"/>
        <v>0.21229256476907737</v>
      </c>
      <c r="H538">
        <f t="shared" si="196"/>
        <v>3.5000099547165098E-2</v>
      </c>
      <c r="I538" t="b">
        <f t="shared" si="208"/>
        <v>1</v>
      </c>
      <c r="J538">
        <f t="shared" si="197"/>
        <v>2.6549999999999701</v>
      </c>
      <c r="K538">
        <f t="shared" si="209"/>
        <v>3.5000099547165098E-2</v>
      </c>
      <c r="L538">
        <f t="shared" si="198"/>
        <v>0.16654252126254948</v>
      </c>
      <c r="M538">
        <f t="shared" si="199"/>
        <v>0.19000019909433019</v>
      </c>
      <c r="N538">
        <f t="shared" si="200"/>
        <v>0.18802268487297596</v>
      </c>
      <c r="O538">
        <f t="shared" si="201"/>
        <v>0.15777777819836747</v>
      </c>
      <c r="P538">
        <f t="shared" si="214"/>
        <v>0.08</v>
      </c>
      <c r="Q538">
        <f t="shared" si="210"/>
        <v>0.08</v>
      </c>
      <c r="R538">
        <f t="shared" si="203"/>
        <v>0.08</v>
      </c>
      <c r="S538">
        <f t="shared" si="204"/>
        <v>0.06</v>
      </c>
      <c r="T538">
        <f t="shared" si="205"/>
        <v>0.1</v>
      </c>
      <c r="U538">
        <f t="shared" si="211"/>
        <v>0.08</v>
      </c>
      <c r="V538">
        <f t="shared" si="216"/>
        <v>0.18802268487297596</v>
      </c>
      <c r="W538">
        <f t="shared" si="212"/>
        <v>0.16647267555893897</v>
      </c>
      <c r="X538">
        <f t="shared" si="213"/>
        <v>0.21233887764951087</v>
      </c>
      <c r="Y538" t="b">
        <f t="shared" si="215"/>
        <v>0</v>
      </c>
    </row>
    <row xmlns:x14ac="http://schemas.microsoft.com/office/spreadsheetml/2009/9/ac" r="539" x14ac:dyDescent="0.45">
      <c r="A539">
        <v>2.6599999999999699</v>
      </c>
      <c r="B539">
        <f t="shared" si="193"/>
        <v>0.16300025509000124</v>
      </c>
      <c r="C539" t="b">
        <f t="shared" si="206"/>
        <v>1</v>
      </c>
      <c r="D539" t="b">
        <f t="shared" si="194"/>
        <v>1</v>
      </c>
      <c r="E539">
        <f t="shared" si="202"/>
        <v>2.6599999999999699</v>
      </c>
      <c r="F539">
        <f t="shared" si="207"/>
        <v>0.16300025509000124</v>
      </c>
      <c r="G539">
        <f t="shared" si="195"/>
        <v>0.21228113055458947</v>
      </c>
      <c r="H539">
        <f t="shared" si="196"/>
        <v>3.5000098111538938E-2</v>
      </c>
      <c r="I539" t="b">
        <f t="shared" si="208"/>
        <v>1</v>
      </c>
      <c r="J539">
        <f t="shared" si="197"/>
        <v>2.6599999999999699</v>
      </c>
      <c r="K539">
        <f t="shared" si="209"/>
        <v>3.5000098111538938E-2</v>
      </c>
      <c r="L539">
        <f t="shared" si="198"/>
        <v>0.16655976550969337</v>
      </c>
      <c r="M539">
        <f t="shared" si="199"/>
        <v>0.19000019622307787</v>
      </c>
      <c r="N539">
        <f t="shared" si="200"/>
        <v>0.1880223712138529</v>
      </c>
      <c r="O539">
        <f t="shared" si="201"/>
        <v>0.15777777819104616</v>
      </c>
      <c r="P539">
        <f t="shared" si="214"/>
        <v>0.08</v>
      </c>
      <c r="Q539">
        <f t="shared" si="210"/>
        <v>0.08</v>
      </c>
      <c r="R539">
        <f t="shared" si="203"/>
        <v>0.08</v>
      </c>
      <c r="S539">
        <f t="shared" si="204"/>
        <v>0.06</v>
      </c>
      <c r="T539">
        <f t="shared" si="205"/>
        <v>0.1</v>
      </c>
      <c r="U539">
        <f t="shared" si="211"/>
        <v>0.08</v>
      </c>
      <c r="V539">
        <f t="shared" si="216"/>
        <v>0.1880223712138529</v>
      </c>
      <c r="W539">
        <f t="shared" si="212"/>
        <v>0.1664902681629829</v>
      </c>
      <c r="X539">
        <f t="shared" si="213"/>
        <v>0.21232721244856811</v>
      </c>
      <c r="Y539" t="b">
        <f t="shared" si="215"/>
        <v>0</v>
      </c>
    </row>
    <row xmlns:x14ac="http://schemas.microsoft.com/office/spreadsheetml/2009/9/ac" r="540" x14ac:dyDescent="0.45">
      <c r="A540">
        <v>2.6649999999999698</v>
      </c>
      <c r="B540">
        <f t="shared" si="193"/>
        <v>0.16300025031915266</v>
      </c>
      <c r="C540" t="b">
        <f t="shared" si="206"/>
        <v>1</v>
      </c>
      <c r="D540" t="b">
        <f t="shared" si="194"/>
        <v>1</v>
      </c>
      <c r="E540">
        <f t="shared" si="202"/>
        <v>2.6649999999999698</v>
      </c>
      <c r="F540">
        <f t="shared" si="207"/>
        <v>0.16300025031915266</v>
      </c>
      <c r="G540">
        <f t="shared" si="195"/>
        <v>0.21226975336848425</v>
      </c>
      <c r="H540">
        <f t="shared" si="196"/>
        <v>3.5000096276597184E-2</v>
      </c>
      <c r="I540" t="b">
        <f t="shared" si="208"/>
        <v>1</v>
      </c>
      <c r="J540">
        <f t="shared" si="197"/>
        <v>2.6649999999999698</v>
      </c>
      <c r="K540">
        <f t="shared" si="209"/>
        <v>3.5000096276597184E-2</v>
      </c>
      <c r="L540">
        <f t="shared" si="198"/>
        <v>0.16657692375079583</v>
      </c>
      <c r="M540">
        <f t="shared" si="199"/>
        <v>0.19000019255319436</v>
      </c>
      <c r="N540">
        <f t="shared" si="200"/>
        <v>0.1880219675737777</v>
      </c>
      <c r="O540">
        <f t="shared" si="201"/>
        <v>0.15777777818201058</v>
      </c>
      <c r="P540">
        <f t="shared" si="214"/>
        <v>0.08</v>
      </c>
      <c r="Q540">
        <f t="shared" si="210"/>
        <v>0.08</v>
      </c>
      <c r="R540">
        <f t="shared" si="203"/>
        <v>0.08</v>
      </c>
      <c r="S540">
        <f t="shared" si="204"/>
        <v>0.06</v>
      </c>
      <c r="T540">
        <f t="shared" si="205"/>
        <v>0.1</v>
      </c>
      <c r="U540">
        <f t="shared" si="211"/>
        <v>0.08</v>
      </c>
      <c r="V540">
        <f t="shared" si="216"/>
        <v>0.1880219675737777</v>
      </c>
      <c r="W540">
        <f t="shared" si="212"/>
        <v>0.16650777302354813</v>
      </c>
      <c r="X540">
        <f t="shared" si="213"/>
        <v>0.21231560542805789</v>
      </c>
      <c r="Y540" t="b">
        <f t="shared" si="215"/>
        <v>0</v>
      </c>
    </row>
    <row xmlns:x14ac="http://schemas.microsoft.com/office/spreadsheetml/2009/9/ac" r="541" x14ac:dyDescent="0.45">
      <c r="A541">
        <v>2.6699999999999702</v>
      </c>
      <c r="B541">
        <f t="shared" si="193"/>
        <v>0.16300024458354029</v>
      </c>
      <c r="C541" t="b">
        <f t="shared" si="206"/>
        <v>1</v>
      </c>
      <c r="D541" t="b">
        <f t="shared" si="194"/>
        <v>1</v>
      </c>
      <c r="E541">
        <f t="shared" si="202"/>
        <v>2.6699999999999702</v>
      </c>
      <c r="F541">
        <f t="shared" si="207"/>
        <v>0.16300024458354029</v>
      </c>
      <c r="G541">
        <f t="shared" si="195"/>
        <v>0.21225843292633145</v>
      </c>
      <c r="H541">
        <f t="shared" si="196"/>
        <v>3.5000094070592416E-2</v>
      </c>
      <c r="I541" t="b">
        <f t="shared" si="208"/>
        <v>1</v>
      </c>
      <c r="J541">
        <f t="shared" si="197"/>
        <v>2.6699999999999702</v>
      </c>
      <c r="K541">
        <f t="shared" si="209"/>
        <v>3.5000094070592416E-2</v>
      </c>
      <c r="L541">
        <f t="shared" si="198"/>
        <v>0.16659399641481376</v>
      </c>
      <c r="M541">
        <f t="shared" si="199"/>
        <v>0.19000018814118486</v>
      </c>
      <c r="N541">
        <f t="shared" si="200"/>
        <v>0.18802147858830009</v>
      </c>
      <c r="O541">
        <f t="shared" si="201"/>
        <v>0.15777777817142846</v>
      </c>
      <c r="P541">
        <f t="shared" si="214"/>
        <v>0.08</v>
      </c>
      <c r="Q541">
        <f t="shared" si="210"/>
        <v>0.08</v>
      </c>
      <c r="R541">
        <f t="shared" si="203"/>
        <v>0.08</v>
      </c>
      <c r="S541">
        <f t="shared" si="204"/>
        <v>0.06</v>
      </c>
      <c r="T541">
        <f t="shared" si="205"/>
        <v>0.1</v>
      </c>
      <c r="U541">
        <f t="shared" si="211"/>
        <v>0.08</v>
      </c>
      <c r="V541">
        <f t="shared" si="216"/>
        <v>0.18802147858830009</v>
      </c>
      <c r="W541">
        <f t="shared" si="212"/>
        <v>0.1665251905782571</v>
      </c>
      <c r="X541">
        <f t="shared" si="213"/>
        <v>0.21230405629780386</v>
      </c>
      <c r="Y541" t="b">
        <f t="shared" si="215"/>
        <v>0</v>
      </c>
    </row>
    <row xmlns:x14ac="http://schemas.microsoft.com/office/spreadsheetml/2009/9/ac" r="542" x14ac:dyDescent="0.45">
      <c r="A542">
        <v>2.6749999999999701</v>
      </c>
      <c r="B542">
        <f t="shared" si="193"/>
        <v>0.16300023795765339</v>
      </c>
      <c r="C542" t="b">
        <f t="shared" si="206"/>
        <v>1</v>
      </c>
      <c r="D542" t="b">
        <f t="shared" si="194"/>
        <v>1</v>
      </c>
      <c r="E542">
        <f t="shared" si="202"/>
        <v>2.6749999999999701</v>
      </c>
      <c r="F542">
        <f t="shared" si="207"/>
        <v>0.16300023795765339</v>
      </c>
      <c r="G542">
        <f t="shared" si="195"/>
        <v>0.21224716894511941</v>
      </c>
      <c r="H542">
        <f t="shared" si="196"/>
        <v>3.5000091522174384E-2</v>
      </c>
      <c r="I542" t="b">
        <f t="shared" si="208"/>
        <v>1</v>
      </c>
      <c r="J542">
        <f t="shared" si="197"/>
        <v>2.6749999999999701</v>
      </c>
      <c r="K542">
        <f t="shared" si="209"/>
        <v>3.5000091522174384E-2</v>
      </c>
      <c r="L542">
        <f t="shared" si="198"/>
        <v>0.16661098392856469</v>
      </c>
      <c r="M542">
        <f t="shared" si="199"/>
        <v>0.19000018304434879</v>
      </c>
      <c r="N542">
        <f t="shared" si="200"/>
        <v>0.18802090912793973</v>
      </c>
      <c r="O542">
        <f t="shared" si="201"/>
        <v>0.15777777815946414</v>
      </c>
      <c r="P542">
        <f t="shared" si="214"/>
        <v>0.08</v>
      </c>
      <c r="Q542">
        <f t="shared" si="210"/>
        <v>0.08</v>
      </c>
      <c r="R542">
        <f t="shared" si="203"/>
        <v>0.08</v>
      </c>
      <c r="S542">
        <f t="shared" si="204"/>
        <v>0.06</v>
      </c>
      <c r="T542">
        <f t="shared" si="205"/>
        <v>0.1</v>
      </c>
      <c r="U542">
        <f t="shared" si="211"/>
        <v>0.08</v>
      </c>
      <c r="V542">
        <f t="shared" si="216"/>
        <v>0.18802090912793973</v>
      </c>
      <c r="W542">
        <f t="shared" si="212"/>
        <v>0.16654252126254948</v>
      </c>
      <c r="X542">
        <f t="shared" si="213"/>
        <v>0.21229256476907737</v>
      </c>
      <c r="Y542" t="b">
        <f t="shared" si="215"/>
        <v>0</v>
      </c>
    </row>
    <row xmlns:x14ac="http://schemas.microsoft.com/office/spreadsheetml/2009/9/ac" r="543" x14ac:dyDescent="0.45">
      <c r="A543">
        <v>2.67999999999997</v>
      </c>
      <c r="B543">
        <f t="shared" si="193"/>
        <v>0.16300023051660714</v>
      </c>
      <c r="C543" t="b">
        <f t="shared" si="206"/>
        <v>1</v>
      </c>
      <c r="D543" t="b">
        <f t="shared" si="194"/>
        <v>1</v>
      </c>
      <c r="E543">
        <f t="shared" si="202"/>
        <v>2.67999999999997</v>
      </c>
      <c r="F543">
        <f t="shared" si="207"/>
        <v>0.16300023051660714</v>
      </c>
      <c r="G543">
        <f t="shared" si="195"/>
        <v>0.21223596114324811</v>
      </c>
      <c r="H543">
        <f t="shared" si="196"/>
        <v>3.5000088660233519E-2</v>
      </c>
      <c r="I543" t="b">
        <f t="shared" si="208"/>
        <v>1</v>
      </c>
      <c r="J543">
        <f t="shared" si="197"/>
        <v>2.67999999999997</v>
      </c>
      <c r="K543">
        <f t="shared" si="209"/>
        <v>3.5000088660233519E-2</v>
      </c>
      <c r="L543">
        <f t="shared" si="198"/>
        <v>0.16662788671673731</v>
      </c>
      <c r="M543">
        <f t="shared" si="199"/>
        <v>0.19000017732046703</v>
      </c>
      <c r="N543">
        <f t="shared" si="200"/>
        <v>0.18802026426904522</v>
      </c>
      <c r="O543">
        <f t="shared" si="201"/>
        <v>0.157777778146278</v>
      </c>
      <c r="P543">
        <f t="shared" si="214"/>
        <v>0.08</v>
      </c>
      <c r="Q543">
        <f t="shared" si="210"/>
        <v>0.08</v>
      </c>
      <c r="R543">
        <f t="shared" si="203"/>
        <v>0.08</v>
      </c>
      <c r="S543">
        <f t="shared" si="204"/>
        <v>0.06</v>
      </c>
      <c r="T543">
        <f t="shared" si="205"/>
        <v>0.1</v>
      </c>
      <c r="U543">
        <f t="shared" si="211"/>
        <v>0.08</v>
      </c>
      <c r="V543">
        <f t="shared" si="216"/>
        <v>0.18802026426904522</v>
      </c>
      <c r="W543">
        <f t="shared" si="212"/>
        <v>0.16655976550969337</v>
      </c>
      <c r="X543">
        <f t="shared" si="213"/>
        <v>0.21228113055458947</v>
      </c>
      <c r="Y543" t="b">
        <f t="shared" si="215"/>
        <v>0</v>
      </c>
    </row>
    <row xmlns:x14ac="http://schemas.microsoft.com/office/spreadsheetml/2009/9/ac" r="544" x14ac:dyDescent="0.45">
      <c r="A544">
        <v>2.6849999999999699</v>
      </c>
      <c r="B544">
        <f t="shared" si="193"/>
        <v>0.1630002223357527</v>
      </c>
      <c r="C544" t="b">
        <f t="shared" si="206"/>
        <v>1</v>
      </c>
      <c r="D544" t="b">
        <f t="shared" si="194"/>
        <v>1</v>
      </c>
      <c r="E544">
        <f t="shared" si="202"/>
        <v>2.6849999999999699</v>
      </c>
      <c r="F544">
        <f t="shared" si="207"/>
        <v>0.1630002223357527</v>
      </c>
      <c r="G544">
        <f t="shared" si="195"/>
        <v>0.21222480924052178</v>
      </c>
      <c r="H544">
        <f t="shared" si="196"/>
        <v>3.5000085513751042E-2</v>
      </c>
      <c r="I544" t="b">
        <f t="shared" si="208"/>
        <v>1</v>
      </c>
      <c r="J544">
        <f t="shared" si="197"/>
        <v>2.6849999999999699</v>
      </c>
      <c r="K544">
        <f t="shared" si="209"/>
        <v>3.5000085513751042E-2</v>
      </c>
      <c r="L544">
        <f t="shared" si="198"/>
        <v>0.16664470520190222</v>
      </c>
      <c r="M544">
        <f t="shared" si="199"/>
        <v>0.19000017102750211</v>
      </c>
      <c r="N544">
        <f t="shared" si="200"/>
        <v>0.18801954926465281</v>
      </c>
      <c r="O544">
        <f t="shared" si="201"/>
        <v>0.15777777813202581</v>
      </c>
      <c r="P544">
        <f t="shared" si="214"/>
        <v>0.08</v>
      </c>
      <c r="Q544">
        <f t="shared" si="210"/>
        <v>0.08</v>
      </c>
      <c r="R544">
        <f t="shared" si="203"/>
        <v>0.08</v>
      </c>
      <c r="S544">
        <f t="shared" si="204"/>
        <v>0.06</v>
      </c>
      <c r="T544">
        <f t="shared" si="205"/>
        <v>0.1</v>
      </c>
      <c r="U544">
        <f t="shared" si="211"/>
        <v>0.08</v>
      </c>
      <c r="V544">
        <f t="shared" si="216"/>
        <v>0.18801954926465281</v>
      </c>
      <c r="W544">
        <f t="shared" si="212"/>
        <v>0.16657692375079583</v>
      </c>
      <c r="X544">
        <f t="shared" si="213"/>
        <v>0.21226975336848425</v>
      </c>
      <c r="Y544" t="b">
        <f t="shared" si="215"/>
        <v>0</v>
      </c>
    </row>
    <row xmlns:x14ac="http://schemas.microsoft.com/office/spreadsheetml/2009/9/ac" r="545" x14ac:dyDescent="0.45">
      <c r="A545">
        <v>2.6899999999999702</v>
      </c>
      <c r="B545">
        <f t="shared" si="193"/>
        <v>0.16300021349030541</v>
      </c>
      <c r="C545" t="b">
        <f t="shared" si="206"/>
        <v>1</v>
      </c>
      <c r="D545" t="b">
        <f t="shared" si="194"/>
        <v>1</v>
      </c>
      <c r="E545">
        <f t="shared" si="202"/>
        <v>2.6899999999999702</v>
      </c>
      <c r="F545">
        <f t="shared" si="207"/>
        <v>0.16300021349030541</v>
      </c>
      <c r="G545">
        <f t="shared" si="195"/>
        <v>0.21221371295814234</v>
      </c>
      <c r="H545">
        <f t="shared" si="196"/>
        <v>3.5000082111655936E-2</v>
      </c>
      <c r="I545" t="b">
        <f t="shared" si="208"/>
        <v>1</v>
      </c>
      <c r="J545">
        <f t="shared" si="197"/>
        <v>2.6899999999999702</v>
      </c>
      <c r="K545">
        <f t="shared" si="209"/>
        <v>3.5000082111655936E-2</v>
      </c>
      <c r="L545">
        <f t="shared" si="198"/>
        <v>0.16666143980452242</v>
      </c>
      <c r="M545">
        <f t="shared" si="199"/>
        <v>0.19000016422331187</v>
      </c>
      <c r="N545">
        <f t="shared" si="200"/>
        <v>0.18801876951547347</v>
      </c>
      <c r="O545">
        <f t="shared" si="201"/>
        <v>0.15777777811685834</v>
      </c>
      <c r="P545">
        <f t="shared" si="214"/>
        <v>0.08</v>
      </c>
      <c r="Q545">
        <f t="shared" si="210"/>
        <v>0.08</v>
      </c>
      <c r="R545">
        <f t="shared" si="203"/>
        <v>0.08</v>
      </c>
      <c r="S545">
        <f t="shared" si="204"/>
        <v>0.06</v>
      </c>
      <c r="T545">
        <f t="shared" si="205"/>
        <v>0.1</v>
      </c>
      <c r="U545">
        <f t="shared" si="211"/>
        <v>0.08</v>
      </c>
      <c r="V545">
        <f t="shared" si="216"/>
        <v>0.18801876951547347</v>
      </c>
      <c r="W545">
        <f t="shared" si="212"/>
        <v>0.16659399641481376</v>
      </c>
      <c r="X545">
        <f t="shared" si="213"/>
        <v>0.21225843292633145</v>
      </c>
      <c r="Y545" t="b">
        <f t="shared" si="215"/>
        <v>0</v>
      </c>
    </row>
    <row xmlns:x14ac="http://schemas.microsoft.com/office/spreadsheetml/2009/9/ac" r="546" x14ac:dyDescent="0.45">
      <c r="A546">
        <v>2.6949999999999701</v>
      </c>
      <c r="B546">
        <f t="shared" si="193"/>
        <v>0.16300020405499138</v>
      </c>
      <c r="C546" t="b">
        <f t="shared" si="206"/>
        <v>1</v>
      </c>
      <c r="D546" t="b">
        <f t="shared" si="194"/>
        <v>1</v>
      </c>
      <c r="E546">
        <f t="shared" si="202"/>
        <v>2.6949999999999701</v>
      </c>
      <c r="F546">
        <f t="shared" si="207"/>
        <v>0.16300020405499138</v>
      </c>
      <c r="G546">
        <f t="shared" si="195"/>
        <v>0.21220267201870219</v>
      </c>
      <c r="H546">
        <f t="shared" si="196"/>
        <v>3.500007848268899E-2</v>
      </c>
      <c r="I546" t="b">
        <f t="shared" si="208"/>
        <v>1</v>
      </c>
      <c r="J546">
        <f t="shared" si="197"/>
        <v>2.6949999999999701</v>
      </c>
      <c r="K546">
        <f t="shared" si="209"/>
        <v>3.500007848268899E-2</v>
      </c>
      <c r="L546">
        <f t="shared" si="198"/>
        <v>0.16667809094296382</v>
      </c>
      <c r="M546">
        <f t="shared" si="199"/>
        <v>0.19000015696537798</v>
      </c>
      <c r="N546">
        <f t="shared" si="200"/>
        <v>0.18801793054113483</v>
      </c>
      <c r="O546">
        <f t="shared" si="201"/>
        <v>0.15777777810092072</v>
      </c>
      <c r="P546">
        <f t="shared" si="214"/>
        <v>0.08</v>
      </c>
      <c r="Q546">
        <f t="shared" si="210"/>
        <v>0.08</v>
      </c>
      <c r="R546">
        <f t="shared" si="203"/>
        <v>0.08</v>
      </c>
      <c r="S546">
        <f t="shared" si="204"/>
        <v>0.06</v>
      </c>
      <c r="T546">
        <f t="shared" si="205"/>
        <v>0.1</v>
      </c>
      <c r="U546">
        <f t="shared" si="211"/>
        <v>0.08</v>
      </c>
      <c r="V546">
        <f t="shared" si="216"/>
        <v>0.18801793054113483</v>
      </c>
      <c r="W546">
        <f t="shared" si="212"/>
        <v>0.16661098392856469</v>
      </c>
      <c r="X546">
        <f t="shared" si="213"/>
        <v>0.21224716894511941</v>
      </c>
      <c r="Y546" t="b">
        <f t="shared" si="215"/>
        <v>0</v>
      </c>
    </row>
    <row xmlns:x14ac="http://schemas.microsoft.com/office/spreadsheetml/2009/9/ac" r="547" x14ac:dyDescent="0.45">
      <c r="A547">
        <v>2.69999999999997</v>
      </c>
      <c r="B547">
        <f t="shared" si="193"/>
        <v>0.16300019410371405</v>
      </c>
      <c r="C547" t="b">
        <f t="shared" si="206"/>
        <v>1</v>
      </c>
      <c r="D547" t="b">
        <f t="shared" si="194"/>
        <v>1</v>
      </c>
      <c r="E547">
        <f t="shared" si="202"/>
        <v>2.69999999999997</v>
      </c>
      <c r="F547">
        <f t="shared" si="207"/>
        <v>0.16300019410371405</v>
      </c>
      <c r="G547">
        <f t="shared" si="195"/>
        <v>0.21219168614617723</v>
      </c>
      <c r="H547">
        <f t="shared" si="196"/>
        <v>3.5000074655274632E-2</v>
      </c>
      <c r="I547" t="b">
        <f t="shared" si="208"/>
        <v>1</v>
      </c>
      <c r="J547">
        <f t="shared" si="197"/>
        <v>2.69999999999997</v>
      </c>
      <c r="K547">
        <f t="shared" si="209"/>
        <v>3.5000074655274632E-2</v>
      </c>
      <c r="L547">
        <f t="shared" si="198"/>
        <v>0.16669465903350583</v>
      </c>
      <c r="M547">
        <f t="shared" si="199"/>
        <v>0.19000014931054926</v>
      </c>
      <c r="N547">
        <f t="shared" si="200"/>
        <v>0.18801703795179792</v>
      </c>
      <c r="O547">
        <f t="shared" si="201"/>
        <v>0.1577777780843522</v>
      </c>
      <c r="P547">
        <f t="shared" si="214"/>
        <v>0.08</v>
      </c>
      <c r="Q547">
        <f t="shared" si="210"/>
        <v>0.08</v>
      </c>
      <c r="R547">
        <f t="shared" si="203"/>
        <v>0.08</v>
      </c>
      <c r="S547">
        <f t="shared" si="204"/>
        <v>0.06</v>
      </c>
      <c r="T547">
        <f t="shared" si="205"/>
        <v>0.1</v>
      </c>
      <c r="U547">
        <f t="shared" si="211"/>
        <v>0.08</v>
      </c>
      <c r="V547">
        <f t="shared" si="216"/>
        <v>0.18801703795179792</v>
      </c>
      <c r="W547">
        <f t="shared" si="212"/>
        <v>0.16662788671673731</v>
      </c>
      <c r="X547">
        <f t="shared" si="213"/>
        <v>0.21223596114324811</v>
      </c>
      <c r="Y547" t="b">
        <f t="shared" si="215"/>
        <v>0</v>
      </c>
    </row>
    <row xmlns:x14ac="http://schemas.microsoft.com/office/spreadsheetml/2009/9/ac" r="548" x14ac:dyDescent="0.45">
      <c r="A548">
        <v>2.7049999999999699</v>
      </c>
      <c r="B548">
        <f t="shared" si="193"/>
        <v>0.16300018370924074</v>
      </c>
      <c r="C548" t="b">
        <f t="shared" si="206"/>
        <v>1</v>
      </c>
      <c r="D548" t="b">
        <f t="shared" si="194"/>
        <v>1</v>
      </c>
      <c r="E548">
        <f t="shared" si="202"/>
        <v>2.7049999999999699</v>
      </c>
      <c r="F548">
        <f t="shared" si="207"/>
        <v>0.16300018370924074</v>
      </c>
      <c r="G548">
        <f t="shared" si="195"/>
        <v>0.21218075506592005</v>
      </c>
      <c r="H548">
        <f t="shared" si="196"/>
        <v>3.5000070657400295E-2</v>
      </c>
      <c r="I548" t="b">
        <f t="shared" si="208"/>
        <v>1</v>
      </c>
      <c r="J548">
        <f t="shared" si="197"/>
        <v>2.7049999999999699</v>
      </c>
      <c r="K548">
        <f t="shared" si="209"/>
        <v>3.5000070657400295E-2</v>
      </c>
      <c r="L548">
        <f t="shared" si="198"/>
        <v>0.16671114449035149</v>
      </c>
      <c r="M548">
        <f t="shared" si="199"/>
        <v>0.19000014131480059</v>
      </c>
      <c r="N548">
        <f t="shared" si="200"/>
        <v>0.18801609742026371</v>
      </c>
      <c r="O548">
        <f t="shared" si="201"/>
        <v>0.15777777806728568</v>
      </c>
      <c r="P548">
        <f t="shared" si="214"/>
        <v>0.08</v>
      </c>
      <c r="Q548">
        <f t="shared" si="210"/>
        <v>0.08</v>
      </c>
      <c r="R548">
        <f t="shared" si="203"/>
        <v>0.08</v>
      </c>
      <c r="S548">
        <f t="shared" si="204"/>
        <v>0.06</v>
      </c>
      <c r="T548">
        <f t="shared" si="205"/>
        <v>0.1</v>
      </c>
      <c r="U548">
        <f t="shared" si="211"/>
        <v>0.08</v>
      </c>
      <c r="V548">
        <f t="shared" si="216"/>
        <v>0.18801609742026371</v>
      </c>
      <c r="W548">
        <f t="shared" si="212"/>
        <v>0.16664470520190222</v>
      </c>
      <c r="X548">
        <f t="shared" si="213"/>
        <v>0.21222480924052178</v>
      </c>
      <c r="Y548" t="b">
        <f t="shared" si="215"/>
        <v>0</v>
      </c>
    </row>
    <row xmlns:x14ac="http://schemas.microsoft.com/office/spreadsheetml/2009/9/ac" r="549" x14ac:dyDescent="0.45">
      <c r="A549">
        <v>2.7099999999999702</v>
      </c>
      <c r="B549">
        <f t="shared" si="193"/>
        <v>0.16300017294290997</v>
      </c>
      <c r="C549" t="b">
        <f t="shared" si="206"/>
        <v>1</v>
      </c>
      <c r="D549" t="b">
        <f t="shared" si="194"/>
        <v>1</v>
      </c>
      <c r="E549">
        <f t="shared" si="202"/>
        <v>2.7099999999999702</v>
      </c>
      <c r="F549">
        <f t="shared" si="207"/>
        <v>0.16300017294290997</v>
      </c>
      <c r="G549">
        <f t="shared" si="195"/>
        <v>0.21216987850465313</v>
      </c>
      <c r="H549">
        <f t="shared" si="196"/>
        <v>3.5000066516503836E-2</v>
      </c>
      <c r="I549" t="b">
        <f t="shared" si="208"/>
        <v>1</v>
      </c>
      <c r="J549">
        <f t="shared" si="197"/>
        <v>2.7099999999999702</v>
      </c>
      <c r="K549">
        <f t="shared" si="209"/>
        <v>3.5000066516503836E-2</v>
      </c>
      <c r="L549">
        <f t="shared" si="198"/>
        <v>0.16672754772563814</v>
      </c>
      <c r="M549">
        <f t="shared" si="199"/>
        <v>0.19000013303300767</v>
      </c>
      <c r="N549">
        <f t="shared" si="200"/>
        <v>0.18801511465467857</v>
      </c>
      <c r="O549">
        <f t="shared" si="201"/>
        <v>0.15777777804984761</v>
      </c>
      <c r="P549">
        <f t="shared" si="214"/>
        <v>0.08</v>
      </c>
      <c r="Q549">
        <f t="shared" si="210"/>
        <v>0.08</v>
      </c>
      <c r="R549">
        <f t="shared" si="203"/>
        <v>0.08</v>
      </c>
      <c r="S549">
        <f t="shared" si="204"/>
        <v>0.06</v>
      </c>
      <c r="T549">
        <f t="shared" si="205"/>
        <v>0.1</v>
      </c>
      <c r="U549">
        <f t="shared" si="211"/>
        <v>0.08</v>
      </c>
      <c r="V549">
        <f t="shared" si="216"/>
        <v>0.18801511465467857</v>
      </c>
      <c r="W549">
        <f t="shared" si="212"/>
        <v>0.16666143980452242</v>
      </c>
      <c r="X549">
        <f t="shared" si="213"/>
        <v>0.21221371295814234</v>
      </c>
      <c r="Y549" t="b">
        <f t="shared" si="215"/>
        <v>0</v>
      </c>
    </row>
    <row xmlns:x14ac="http://schemas.microsoft.com/office/spreadsheetml/2009/9/ac" r="550" x14ac:dyDescent="0.45">
      <c r="A550">
        <v>2.7149999999999701</v>
      </c>
      <c r="B550">
        <f t="shared" si="193"/>
        <v>0.16300016187435989</v>
      </c>
      <c r="C550" t="b">
        <f t="shared" si="206"/>
        <v>1</v>
      </c>
      <c r="D550" t="b">
        <f t="shared" si="194"/>
        <v>1</v>
      </c>
      <c r="E550">
        <f t="shared" si="202"/>
        <v>2.7149999999999701</v>
      </c>
      <c r="F550">
        <f t="shared" si="207"/>
        <v>0.16300016187435989</v>
      </c>
      <c r="G550">
        <f t="shared" si="195"/>
        <v>0.21215905619046183</v>
      </c>
      <c r="H550">
        <f t="shared" si="196"/>
        <v>3.5000062259369191E-2</v>
      </c>
      <c r="I550" t="b">
        <f t="shared" si="208"/>
        <v>1</v>
      </c>
      <c r="J550">
        <f t="shared" si="197"/>
        <v>2.7149999999999701</v>
      </c>
      <c r="K550">
        <f t="shared" si="209"/>
        <v>3.5000062259369191E-2</v>
      </c>
      <c r="L550">
        <f t="shared" si="198"/>
        <v>0.16674386914944744</v>
      </c>
      <c r="M550">
        <f t="shared" si="199"/>
        <v>0.19000012451873838</v>
      </c>
      <c r="N550">
        <f t="shared" si="200"/>
        <v>0.18801409537194136</v>
      </c>
      <c r="O550">
        <f t="shared" si="201"/>
        <v>0.15777777803215753</v>
      </c>
      <c r="P550">
        <f t="shared" si="214"/>
        <v>0.08</v>
      </c>
      <c r="Q550">
        <f t="shared" si="210"/>
        <v>0.08</v>
      </c>
      <c r="R550">
        <f t="shared" si="203"/>
        <v>0.08</v>
      </c>
      <c r="S550">
        <f t="shared" si="204"/>
        <v>0.06</v>
      </c>
      <c r="T550">
        <f t="shared" si="205"/>
        <v>0.1</v>
      </c>
      <c r="U550">
        <f t="shared" si="211"/>
        <v>0.08</v>
      </c>
      <c r="V550">
        <f t="shared" si="216"/>
        <v>0.18801409537194136</v>
      </c>
      <c r="W550">
        <f t="shared" si="212"/>
        <v>0.16667809094296382</v>
      </c>
      <c r="X550">
        <f t="shared" si="213"/>
        <v>0.21220267201870219</v>
      </c>
      <c r="Y550" t="b">
        <f t="shared" si="215"/>
        <v>0</v>
      </c>
    </row>
    <row xmlns:x14ac="http://schemas.microsoft.com/office/spreadsheetml/2009/9/ac" r="551" x14ac:dyDescent="0.45">
      <c r="A551">
        <v>2.71999999999997</v>
      </c>
      <c r="B551">
        <f t="shared" si="193"/>
        <v>0.16300015057127804</v>
      </c>
      <c r="C551" t="b">
        <f t="shared" si="206"/>
        <v>1</v>
      </c>
      <c r="D551" t="b">
        <f t="shared" si="194"/>
        <v>1</v>
      </c>
      <c r="E551">
        <f t="shared" si="202"/>
        <v>2.71999999999997</v>
      </c>
      <c r="F551">
        <f t="shared" si="207"/>
        <v>0.16300015057127804</v>
      </c>
      <c r="G551">
        <f t="shared" si="195"/>
        <v>0.21214828785278772</v>
      </c>
      <c r="H551">
        <f t="shared" si="196"/>
        <v>3.5000057912030008E-2</v>
      </c>
      <c r="I551" t="b">
        <f t="shared" si="208"/>
        <v>1</v>
      </c>
      <c r="J551">
        <f t="shared" si="197"/>
        <v>2.71999999999997</v>
      </c>
      <c r="K551">
        <f t="shared" si="209"/>
        <v>3.5000057912030008E-2</v>
      </c>
      <c r="L551">
        <f t="shared" si="198"/>
        <v>0.16676010916981593</v>
      </c>
      <c r="M551">
        <f t="shared" si="199"/>
        <v>0.19000011582406001</v>
      </c>
      <c r="N551">
        <f t="shared" si="200"/>
        <v>0.1880130452719091</v>
      </c>
      <c r="O551">
        <f t="shared" si="201"/>
        <v>0.15777777801432813</v>
      </c>
      <c r="P551">
        <f t="shared" si="214"/>
        <v>0.08</v>
      </c>
      <c r="Q551">
        <f t="shared" si="210"/>
        <v>0.08</v>
      </c>
      <c r="R551">
        <f t="shared" si="203"/>
        <v>0.08</v>
      </c>
      <c r="S551">
        <f t="shared" si="204"/>
        <v>0.06</v>
      </c>
      <c r="T551">
        <f t="shared" si="205"/>
        <v>0.1</v>
      </c>
      <c r="U551">
        <f t="shared" si="211"/>
        <v>0.08</v>
      </c>
      <c r="V551">
        <f t="shared" si="216"/>
        <v>0.1880130452719091</v>
      </c>
      <c r="W551">
        <f t="shared" si="212"/>
        <v>0.16669465903350583</v>
      </c>
      <c r="X551">
        <f t="shared" si="213"/>
        <v>0.21219168614617723</v>
      </c>
      <c r="Y551" t="b">
        <f t="shared" si="215"/>
        <v>0</v>
      </c>
    </row>
    <row xmlns:x14ac="http://schemas.microsoft.com/office/spreadsheetml/2009/9/ac" r="552" x14ac:dyDescent="0.45">
      <c r="A552">
        <v>2.7249999999999699</v>
      </c>
      <c r="B552">
        <f t="shared" si="193"/>
        <v>0.16300013909917271</v>
      </c>
      <c r="C552" t="b">
        <f t="shared" si="206"/>
        <v>1</v>
      </c>
      <c r="D552" t="b">
        <f t="shared" si="194"/>
        <v>1</v>
      </c>
      <c r="E552">
        <f t="shared" si="202"/>
        <v>2.7249999999999699</v>
      </c>
      <c r="F552">
        <f t="shared" si="207"/>
        <v>0.16300013909917271</v>
      </c>
      <c r="G552">
        <f t="shared" si="195"/>
        <v>0.21213757322242183</v>
      </c>
      <c r="H552">
        <f t="shared" si="196"/>
        <v>3.5000053499681813E-2</v>
      </c>
      <c r="I552" t="b">
        <f t="shared" si="208"/>
        <v>1</v>
      </c>
      <c r="J552">
        <f t="shared" si="197"/>
        <v>2.7249999999999699</v>
      </c>
      <c r="K552">
        <f t="shared" si="209"/>
        <v>3.5000053499681813E-2</v>
      </c>
      <c r="L552">
        <f t="shared" si="198"/>
        <v>0.16677626819274494</v>
      </c>
      <c r="M552">
        <f t="shared" si="199"/>
        <v>0.19000010699936362</v>
      </c>
      <c r="N552">
        <f t="shared" si="200"/>
        <v>0.18801197001249109</v>
      </c>
      <c r="O552">
        <f t="shared" si="201"/>
        <v>0.15777777799646503</v>
      </c>
      <c r="P552">
        <f t="shared" si="214"/>
        <v>0.08</v>
      </c>
      <c r="Q552">
        <f t="shared" si="210"/>
        <v>0.08</v>
      </c>
      <c r="R552">
        <f t="shared" si="203"/>
        <v>0.08</v>
      </c>
      <c r="S552">
        <f t="shared" si="204"/>
        <v>0.06</v>
      </c>
      <c r="T552">
        <f t="shared" si="205"/>
        <v>0.1</v>
      </c>
      <c r="U552">
        <f t="shared" si="211"/>
        <v>0.08</v>
      </c>
      <c r="V552">
        <f t="shared" si="216"/>
        <v>0.18801197001249109</v>
      </c>
      <c r="W552">
        <f t="shared" si="212"/>
        <v>0.16671114449035149</v>
      </c>
      <c r="X552">
        <f t="shared" si="213"/>
        <v>0.21218075506592005</v>
      </c>
      <c r="Y552" t="b">
        <f t="shared" si="215"/>
        <v>0</v>
      </c>
    </row>
    <row xmlns:x14ac="http://schemas.microsoft.com/office/spreadsheetml/2009/9/ac" r="553" x14ac:dyDescent="0.45">
      <c r="A553">
        <v>2.7299999999999698</v>
      </c>
      <c r="B553">
        <f t="shared" si="193"/>
        <v>0.16300012752116588</v>
      </c>
      <c r="C553" t="b">
        <f t="shared" si="206"/>
        <v>1</v>
      </c>
      <c r="D553" t="b">
        <f t="shared" si="194"/>
        <v>1</v>
      </c>
      <c r="E553">
        <f t="shared" si="202"/>
        <v>2.7299999999999698</v>
      </c>
      <c r="F553">
        <f t="shared" si="207"/>
        <v>0.16300012752116588</v>
      </c>
      <c r="G553">
        <f t="shared" si="195"/>
        <v>0.21212691203149786</v>
      </c>
      <c r="H553">
        <f t="shared" si="196"/>
        <v>3.5000049046602269E-2</v>
      </c>
      <c r="I553" t="b">
        <f t="shared" si="208"/>
        <v>1</v>
      </c>
      <c r="J553">
        <f t="shared" si="197"/>
        <v>2.7299999999999698</v>
      </c>
      <c r="K553">
        <f t="shared" si="209"/>
        <v>3.5000049046602269E-2</v>
      </c>
      <c r="L553">
        <f t="shared" si="198"/>
        <v>0.16679234662221082</v>
      </c>
      <c r="M553">
        <f t="shared" si="199"/>
        <v>0.19000009809320453</v>
      </c>
      <c r="N553">
        <f t="shared" si="200"/>
        <v>0.18801087518571447</v>
      </c>
      <c r="O553">
        <f t="shared" si="201"/>
        <v>0.1577777779786666</v>
      </c>
      <c r="P553">
        <f t="shared" si="214"/>
        <v>0.08</v>
      </c>
      <c r="Q553">
        <f t="shared" si="210"/>
        <v>0.08</v>
      </c>
      <c r="R553">
        <f t="shared" si="203"/>
        <v>0.08</v>
      </c>
      <c r="S553">
        <f t="shared" si="204"/>
        <v>0.06</v>
      </c>
      <c r="T553">
        <f t="shared" si="205"/>
        <v>0.1</v>
      </c>
      <c r="U553">
        <f t="shared" si="211"/>
        <v>0.08</v>
      </c>
      <c r="V553">
        <f t="shared" si="216"/>
        <v>0.18801087518571447</v>
      </c>
      <c r="W553">
        <f t="shared" si="212"/>
        <v>0.16672754772563814</v>
      </c>
      <c r="X553">
        <f t="shared" si="213"/>
        <v>0.21216987850465313</v>
      </c>
      <c r="Y553" t="b">
        <f t="shared" si="215"/>
        <v>0</v>
      </c>
    </row>
    <row xmlns:x14ac="http://schemas.microsoft.com/office/spreadsheetml/2009/9/ac" r="554" x14ac:dyDescent="0.45">
      <c r="A554">
        <v>2.7349999999999701</v>
      </c>
      <c r="B554">
        <f t="shared" si="193"/>
        <v>0.16300011589780766</v>
      </c>
      <c r="C554" t="b">
        <f t="shared" si="206"/>
        <v>1</v>
      </c>
      <c r="D554" t="b">
        <f t="shared" si="194"/>
        <v>1</v>
      </c>
      <c r="E554">
        <f t="shared" si="202"/>
        <v>2.7349999999999701</v>
      </c>
      <c r="F554">
        <f t="shared" si="207"/>
        <v>0.16300011589780766</v>
      </c>
      <c r="G554">
        <f t="shared" si="195"/>
        <v>0.21211630401348541</v>
      </c>
      <c r="H554">
        <f t="shared" si="196"/>
        <v>3.5000044576079872E-2</v>
      </c>
      <c r="I554" t="b">
        <f t="shared" si="208"/>
        <v>1</v>
      </c>
      <c r="J554">
        <f t="shared" si="197"/>
        <v>2.7349999999999701</v>
      </c>
      <c r="K554">
        <f t="shared" si="209"/>
        <v>3.5000044576079872E-2</v>
      </c>
      <c r="L554">
        <f t="shared" si="198"/>
        <v>0.16680834486017521</v>
      </c>
      <c r="M554">
        <f t="shared" si="199"/>
        <v>0.19000008915215977</v>
      </c>
      <c r="N554">
        <f t="shared" si="200"/>
        <v>0.18800976629483782</v>
      </c>
      <c r="O554">
        <f t="shared" si="201"/>
        <v>0.15777777796102405</v>
      </c>
      <c r="P554">
        <f t="shared" si="214"/>
        <v>0.08</v>
      </c>
      <c r="Q554">
        <f t="shared" si="210"/>
        <v>0.08</v>
      </c>
      <c r="R554">
        <f t="shared" si="203"/>
        <v>0.08</v>
      </c>
      <c r="S554">
        <f t="shared" si="204"/>
        <v>0.06</v>
      </c>
      <c r="T554">
        <f t="shared" si="205"/>
        <v>0.1</v>
      </c>
      <c r="U554">
        <f t="shared" si="211"/>
        <v>0.08</v>
      </c>
      <c r="V554">
        <f t="shared" si="216"/>
        <v>0.18800976629483782</v>
      </c>
      <c r="W554">
        <f t="shared" si="212"/>
        <v>0.16674386914944744</v>
      </c>
      <c r="X554">
        <f t="shared" si="213"/>
        <v>0.21215905619046183</v>
      </c>
      <c r="Y554" t="b">
        <f t="shared" si="215"/>
        <v>0</v>
      </c>
    </row>
    <row xmlns:x14ac="http://schemas.microsoft.com/office/spreadsheetml/2009/9/ac" r="555" x14ac:dyDescent="0.45">
      <c r="A555">
        <v>2.73999999999997</v>
      </c>
      <c r="B555">
        <f t="shared" si="193"/>
        <v>0.16300010428691203</v>
      </c>
      <c r="C555" t="b">
        <f t="shared" si="206"/>
        <v>1</v>
      </c>
      <c r="D555" t="b">
        <f t="shared" si="194"/>
        <v>1</v>
      </c>
      <c r="E555">
        <f t="shared" si="202"/>
        <v>2.73999999999997</v>
      </c>
      <c r="F555">
        <f t="shared" si="207"/>
        <v>0.16300010428691203</v>
      </c>
      <c r="G555">
        <f t="shared" si="195"/>
        <v>0.21210574890318357</v>
      </c>
      <c r="H555">
        <f t="shared" si="196"/>
        <v>3.500004011035078E-2</v>
      </c>
      <c r="I555" t="b">
        <f t="shared" si="208"/>
        <v>1</v>
      </c>
      <c r="J555">
        <f t="shared" si="197"/>
        <v>2.73999999999997</v>
      </c>
      <c r="K555">
        <f t="shared" si="209"/>
        <v>3.500004011035078E-2</v>
      </c>
      <c r="L555">
        <f t="shared" si="198"/>
        <v>0.16682426330659486</v>
      </c>
      <c r="M555">
        <f t="shared" si="199"/>
        <v>0.19000008022070156</v>
      </c>
      <c r="N555">
        <f t="shared" si="200"/>
        <v>0.18800864873258177</v>
      </c>
      <c r="O555">
        <f t="shared" si="201"/>
        <v>0.15777777794362152</v>
      </c>
      <c r="P555">
        <f t="shared" si="214"/>
        <v>0.08</v>
      </c>
      <c r="Q555">
        <f t="shared" si="210"/>
        <v>0.08</v>
      </c>
      <c r="R555">
        <f t="shared" si="203"/>
        <v>0.08</v>
      </c>
      <c r="S555">
        <f t="shared" si="204"/>
        <v>0.06</v>
      </c>
      <c r="T555">
        <f t="shared" si="205"/>
        <v>0.1</v>
      </c>
      <c r="U555">
        <f t="shared" si="211"/>
        <v>0.08</v>
      </c>
      <c r="V555">
        <f t="shared" si="216"/>
        <v>0.18800864873258177</v>
      </c>
      <c r="W555">
        <f t="shared" si="212"/>
        <v>0.16676010916981593</v>
      </c>
      <c r="X555">
        <f t="shared" si="213"/>
        <v>0.21214828785278772</v>
      </c>
      <c r="Y555" t="b">
        <f t="shared" si="215"/>
        <v>0</v>
      </c>
    </row>
    <row xmlns:x14ac="http://schemas.microsoft.com/office/spreadsheetml/2009/9/ac" r="556" x14ac:dyDescent="0.45">
      <c r="A556">
        <v>2.7449999999999699</v>
      </c>
      <c r="B556">
        <f t="shared" si="193"/>
        <v>0.16300009274341368</v>
      </c>
      <c r="C556" t="b">
        <f t="shared" si="206"/>
        <v>1</v>
      </c>
      <c r="D556" t="b">
        <f t="shared" si="194"/>
        <v>1</v>
      </c>
      <c r="E556">
        <f t="shared" si="202"/>
        <v>2.7449999999999699</v>
      </c>
      <c r="F556">
        <f t="shared" si="207"/>
        <v>0.16300009274341368</v>
      </c>
      <c r="G556">
        <f t="shared" si="195"/>
        <v>0.2120952464367139</v>
      </c>
      <c r="H556">
        <f t="shared" si="196"/>
        <v>3.5000035670543717E-2</v>
      </c>
      <c r="I556" t="b">
        <f t="shared" si="208"/>
        <v>1</v>
      </c>
      <c r="J556">
        <f t="shared" si="197"/>
        <v>2.7449999999999699</v>
      </c>
      <c r="K556">
        <f t="shared" si="209"/>
        <v>3.5000035670543717E-2</v>
      </c>
      <c r="L556">
        <f t="shared" si="198"/>
        <v>0.16684010235943178</v>
      </c>
      <c r="M556">
        <f t="shared" si="199"/>
        <v>0.19000007134108743</v>
      </c>
      <c r="N556">
        <f t="shared" si="200"/>
        <v>0.18800752776053847</v>
      </c>
      <c r="O556">
        <f t="shared" si="201"/>
        <v>0.15777777792653591</v>
      </c>
      <c r="P556">
        <f t="shared" si="214"/>
        <v>0.08</v>
      </c>
      <c r="Q556">
        <f t="shared" si="210"/>
        <v>0.08</v>
      </c>
      <c r="R556">
        <f t="shared" si="203"/>
        <v>0.08</v>
      </c>
      <c r="S556">
        <f t="shared" si="204"/>
        <v>0.06</v>
      </c>
      <c r="T556">
        <f t="shared" si="205"/>
        <v>0.1</v>
      </c>
      <c r="U556">
        <f t="shared" si="211"/>
        <v>0.08</v>
      </c>
      <c r="V556">
        <f t="shared" si="216"/>
        <v>0.18800752776053847</v>
      </c>
      <c r="W556">
        <f t="shared" si="212"/>
        <v>0.16677626819274494</v>
      </c>
      <c r="X556">
        <f t="shared" si="213"/>
        <v>0.21213757322242183</v>
      </c>
      <c r="Y556" t="b">
        <f t="shared" si="215"/>
        <v>0</v>
      </c>
    </row>
    <row xmlns:x14ac="http://schemas.microsoft.com/office/spreadsheetml/2009/9/ac" r="557" x14ac:dyDescent="0.45">
      <c r="A557">
        <v>2.7499999999999698</v>
      </c>
      <c r="B557">
        <f t="shared" si="193"/>
        <v>0.16300008131924573</v>
      </c>
      <c r="C557" t="b">
        <f t="shared" si="206"/>
        <v>1</v>
      </c>
      <c r="D557" t="b">
        <f t="shared" si="194"/>
        <v>1</v>
      </c>
      <c r="E557">
        <f t="shared" si="202"/>
        <v>2.7499999999999698</v>
      </c>
      <c r="F557">
        <f t="shared" si="207"/>
        <v>0.16300008131924573</v>
      </c>
      <c r="G557">
        <f t="shared" si="195"/>
        <v>0.21208479635151434</v>
      </c>
      <c r="H557">
        <f t="shared" si="196"/>
        <v>3.5000031276632967E-2</v>
      </c>
      <c r="I557" t="b">
        <f t="shared" si="208"/>
        <v>1</v>
      </c>
      <c r="J557">
        <f t="shared" si="197"/>
        <v>2.7499999999999698</v>
      </c>
      <c r="K557">
        <f t="shared" si="209"/>
        <v>3.5000031276632967E-2</v>
      </c>
      <c r="L557">
        <f t="shared" si="198"/>
        <v>0.1668558624146631</v>
      </c>
      <c r="M557">
        <f t="shared" si="199"/>
        <v>0.19000006255326596</v>
      </c>
      <c r="N557">
        <f t="shared" si="200"/>
        <v>0.18800640848981481</v>
      </c>
      <c r="O557">
        <f t="shared" si="201"/>
        <v>0.15777777790983707</v>
      </c>
      <c r="P557">
        <f t="shared" si="214"/>
        <v>0.08</v>
      </c>
      <c r="Q557">
        <f t="shared" si="210"/>
        <v>0.08</v>
      </c>
      <c r="R557">
        <f t="shared" si="203"/>
        <v>0.08</v>
      </c>
      <c r="S557">
        <f t="shared" si="204"/>
        <v>0.06</v>
      </c>
      <c r="T557">
        <f t="shared" si="205"/>
        <v>0.1</v>
      </c>
      <c r="U557">
        <f t="shared" si="211"/>
        <v>0.08</v>
      </c>
      <c r="V557">
        <f t="shared" si="216"/>
        <v>0.18800640848981481</v>
      </c>
      <c r="W557">
        <f t="shared" si="212"/>
        <v>0.16679234662221082</v>
      </c>
      <c r="X557">
        <f t="shared" si="213"/>
        <v>0.21212691203149786</v>
      </c>
      <c r="Y557" t="b">
        <f t="shared" si="215"/>
        <v>0</v>
      </c>
    </row>
    <row xmlns:x14ac="http://schemas.microsoft.com/office/spreadsheetml/2009/9/ac" r="558" x14ac:dyDescent="0.45">
      <c r="A558">
        <v>2.7549999999999701</v>
      </c>
      <c r="B558">
        <f t="shared" si="193"/>
        <v>0.16300007006323772</v>
      </c>
      <c r="C558" t="b">
        <f t="shared" si="206"/>
        <v>1</v>
      </c>
      <c r="D558" t="b">
        <f t="shared" si="194"/>
        <v>1</v>
      </c>
      <c r="E558">
        <f t="shared" si="202"/>
        <v>2.7549999999999701</v>
      </c>
      <c r="F558">
        <f t="shared" si="207"/>
        <v>0.16300007006323772</v>
      </c>
      <c r="G558">
        <f t="shared" si="195"/>
        <v>0.21207439838633219</v>
      </c>
      <c r="H558">
        <f t="shared" si="196"/>
        <v>3.5000026947399121E-2</v>
      </c>
      <c r="I558" t="b">
        <f t="shared" si="208"/>
        <v>1</v>
      </c>
      <c r="J558">
        <f t="shared" si="197"/>
        <v>2.7549999999999701</v>
      </c>
      <c r="K558">
        <f t="shared" si="209"/>
        <v>3.5000026947399121E-2</v>
      </c>
      <c r="L558">
        <f t="shared" si="198"/>
        <v>0.16687154386629105</v>
      </c>
      <c r="M558">
        <f t="shared" si="199"/>
        <v>0.19000005389479824</v>
      </c>
      <c r="N558">
        <f t="shared" si="200"/>
        <v>0.18800529586295739</v>
      </c>
      <c r="O558">
        <f t="shared" si="201"/>
        <v>0.15777777789358799</v>
      </c>
      <c r="P558">
        <f t="shared" si="214"/>
        <v>0.08</v>
      </c>
      <c r="Q558">
        <f t="shared" si="210"/>
        <v>0.08</v>
      </c>
      <c r="R558">
        <f t="shared" si="203"/>
        <v>0.08</v>
      </c>
      <c r="S558">
        <f t="shared" si="204"/>
        <v>0.06</v>
      </c>
      <c r="T558">
        <f t="shared" si="205"/>
        <v>0.1</v>
      </c>
      <c r="U558">
        <f t="shared" si="211"/>
        <v>0.08</v>
      </c>
      <c r="V558">
        <f t="shared" si="216"/>
        <v>0.18800529586295739</v>
      </c>
      <c r="W558">
        <f t="shared" si="212"/>
        <v>0.16680834486017521</v>
      </c>
      <c r="X558">
        <f t="shared" si="213"/>
        <v>0.21211630401348541</v>
      </c>
      <c r="Y558" t="b">
        <f t="shared" si="215"/>
        <v>0</v>
      </c>
    </row>
    <row xmlns:x14ac="http://schemas.microsoft.com/office/spreadsheetml/2009/9/ac" r="559" x14ac:dyDescent="0.45">
      <c r="A559">
        <v>2.75999999999997</v>
      </c>
      <c r="B559">
        <f t="shared" si="193"/>
        <v>0.16300005902103323</v>
      </c>
      <c r="C559" t="b">
        <f t="shared" si="206"/>
        <v>1</v>
      </c>
      <c r="D559" t="b">
        <f t="shared" si="194"/>
        <v>1</v>
      </c>
      <c r="E559">
        <f t="shared" si="202"/>
        <v>2.75999999999997</v>
      </c>
      <c r="F559">
        <f t="shared" si="207"/>
        <v>0.16300005902103323</v>
      </c>
      <c r="G559">
        <f t="shared" si="195"/>
        <v>0.21206405228121766</v>
      </c>
      <c r="H559">
        <f t="shared" si="196"/>
        <v>3.5000022700397398E-2</v>
      </c>
      <c r="I559" t="b">
        <f t="shared" si="208"/>
        <v>1</v>
      </c>
      <c r="J559">
        <f t="shared" si="197"/>
        <v>2.75999999999997</v>
      </c>
      <c r="K559">
        <f t="shared" si="209"/>
        <v>3.5000022700397398E-2</v>
      </c>
      <c r="L559">
        <f t="shared" si="198"/>
        <v>0.16688714710635272</v>
      </c>
      <c r="M559">
        <f t="shared" si="199"/>
        <v>0.19000004540079479</v>
      </c>
      <c r="N559">
        <f t="shared" si="200"/>
        <v>0.18800419463719856</v>
      </c>
      <c r="O559">
        <f t="shared" si="201"/>
        <v>0.1577777778778448</v>
      </c>
      <c r="P559">
        <f t="shared" si="214"/>
        <v>0.08</v>
      </c>
      <c r="Q559">
        <f t="shared" si="210"/>
        <v>0.08</v>
      </c>
      <c r="R559">
        <f t="shared" si="203"/>
        <v>0.08</v>
      </c>
      <c r="S559">
        <f t="shared" si="204"/>
        <v>0.06</v>
      </c>
      <c r="T559">
        <f t="shared" si="205"/>
        <v>0.1</v>
      </c>
      <c r="U559">
        <f t="shared" si="211"/>
        <v>0.08</v>
      </c>
      <c r="V559">
        <f t="shared" si="216"/>
        <v>0.18800419463719856</v>
      </c>
      <c r="W559">
        <f t="shared" si="212"/>
        <v>0.16682426330659486</v>
      </c>
      <c r="X559">
        <f t="shared" si="213"/>
        <v>0.21210574890318357</v>
      </c>
      <c r="Y559" t="b">
        <f t="shared" si="215"/>
        <v>0</v>
      </c>
    </row>
    <row xmlns:x14ac="http://schemas.microsoft.com/office/spreadsheetml/2009/9/ac" r="560" x14ac:dyDescent="0.45">
      <c r="A560">
        <v>2.7649999999999699</v>
      </c>
      <c r="B560">
        <f t="shared" si="193"/>
        <v>0.16300004823502706</v>
      </c>
      <c r="C560" t="b">
        <f t="shared" si="206"/>
        <v>1</v>
      </c>
      <c r="D560" t="b">
        <f t="shared" si="194"/>
        <v>1</v>
      </c>
      <c r="E560">
        <f t="shared" si="202"/>
        <v>2.7649999999999699</v>
      </c>
      <c r="F560">
        <f t="shared" si="207"/>
        <v>0.16300004823502706</v>
      </c>
      <c r="G560">
        <f t="shared" si="195"/>
        <v>0.21205375777751767</v>
      </c>
      <c r="H560">
        <f t="shared" si="196"/>
        <v>3.5000018551933479E-2</v>
      </c>
      <c r="I560" t="b">
        <f t="shared" si="208"/>
        <v>1</v>
      </c>
      <c r="J560">
        <f t="shared" si="197"/>
        <v>2.7649999999999699</v>
      </c>
      <c r="K560">
        <f t="shared" si="209"/>
        <v>3.5000018551933479E-2</v>
      </c>
      <c r="L560">
        <f t="shared" si="198"/>
        <v>0.16690267252492988</v>
      </c>
      <c r="M560">
        <f t="shared" si="199"/>
        <v>0.19000003710386698</v>
      </c>
      <c r="N560">
        <f t="shared" si="200"/>
        <v>0.18800310936905767</v>
      </c>
      <c r="O560">
        <f t="shared" si="201"/>
        <v>0.15777777786265706</v>
      </c>
      <c r="P560">
        <f t="shared" si="214"/>
        <v>0.08</v>
      </c>
      <c r="Q560">
        <f t="shared" si="210"/>
        <v>0.08</v>
      </c>
      <c r="R560">
        <f t="shared" si="203"/>
        <v>0.08</v>
      </c>
      <c r="S560">
        <f t="shared" si="204"/>
        <v>0.06</v>
      </c>
      <c r="T560">
        <f t="shared" si="205"/>
        <v>0.1</v>
      </c>
      <c r="U560">
        <f t="shared" si="211"/>
        <v>0.08</v>
      </c>
      <c r="V560">
        <f t="shared" si="216"/>
        <v>0.18800310936905767</v>
      </c>
      <c r="W560">
        <f t="shared" si="212"/>
        <v>0.16684010235943178</v>
      </c>
      <c r="X560">
        <f t="shared" si="213"/>
        <v>0.2120952464367139</v>
      </c>
      <c r="Y560" t="b">
        <f t="shared" si="215"/>
        <v>0</v>
      </c>
    </row>
    <row xmlns:x14ac="http://schemas.microsoft.com/office/spreadsheetml/2009/9/ac" r="561" x14ac:dyDescent="0.45">
      <c r="A561">
        <v>2.7699999999999698</v>
      </c>
      <c r="B561">
        <f t="shared" si="193"/>
        <v>0.16300003774432079</v>
      </c>
      <c r="C561" t="b">
        <f t="shared" si="206"/>
        <v>1</v>
      </c>
      <c r="D561" t="b">
        <f t="shared" si="194"/>
        <v>1</v>
      </c>
      <c r="E561">
        <f t="shared" si="202"/>
        <v>2.7699999999999698</v>
      </c>
      <c r="F561">
        <f t="shared" si="207"/>
        <v>0.16300003774432079</v>
      </c>
      <c r="G561">
        <f t="shared" si="195"/>
        <v>0.21204351461786913</v>
      </c>
      <c r="H561">
        <f t="shared" si="196"/>
        <v>3.5000014517046457E-2</v>
      </c>
      <c r="I561" t="b">
        <f t="shared" si="208"/>
        <v>1</v>
      </c>
      <c r="J561">
        <f t="shared" si="197"/>
        <v>2.7699999999999698</v>
      </c>
      <c r="K561">
        <f t="shared" si="209"/>
        <v>3.5000014517046457E-2</v>
      </c>
      <c r="L561">
        <f t="shared" si="198"/>
        <v>0.16691812051015886</v>
      </c>
      <c r="M561">
        <f t="shared" si="199"/>
        <v>0.19000002903409291</v>
      </c>
      <c r="N561">
        <f t="shared" si="200"/>
        <v>0.18800204440032328</v>
      </c>
      <c r="O561">
        <f t="shared" si="201"/>
        <v>0.15777777784806785</v>
      </c>
      <c r="P561">
        <f t="shared" si="214"/>
        <v>0.08</v>
      </c>
      <c r="Q561">
        <f t="shared" si="210"/>
        <v>0.08</v>
      </c>
      <c r="R561">
        <f t="shared" si="203"/>
        <v>0.08</v>
      </c>
      <c r="S561">
        <f t="shared" si="204"/>
        <v>0.06</v>
      </c>
      <c r="T561">
        <f t="shared" si="205"/>
        <v>0.1</v>
      </c>
      <c r="U561">
        <f t="shared" si="211"/>
        <v>0.08</v>
      </c>
      <c r="V561">
        <f t="shared" si="216"/>
        <v>0.18800204440032328</v>
      </c>
      <c r="W561">
        <f t="shared" si="212"/>
        <v>0.1668558624146631</v>
      </c>
      <c r="X561">
        <f t="shared" si="213"/>
        <v>0.21208479635151434</v>
      </c>
      <c r="Y561" t="b">
        <f t="shared" si="215"/>
        <v>0</v>
      </c>
    </row>
    <row xmlns:x14ac="http://schemas.microsoft.com/office/spreadsheetml/2009/9/ac" r="562" x14ac:dyDescent="0.45">
      <c r="A562">
        <v>2.7749999999999702</v>
      </c>
      <c r="B562">
        <f t="shared" si="193"/>
        <v>0.16300002758469645</v>
      </c>
      <c r="C562" t="b">
        <f t="shared" si="206"/>
        <v>1</v>
      </c>
      <c r="D562" t="b">
        <f t="shared" si="194"/>
        <v>1</v>
      </c>
      <c r="E562">
        <f t="shared" si="202"/>
        <v>2.7749999999999702</v>
      </c>
      <c r="F562">
        <f t="shared" si="207"/>
        <v>0.16300002758469645</v>
      </c>
      <c r="G562">
        <f t="shared" si="195"/>
        <v>0.21203332254619245</v>
      </c>
      <c r="H562">
        <f t="shared" si="196"/>
        <v>3.5000010609498644E-2</v>
      </c>
      <c r="I562" t="b">
        <f t="shared" si="208"/>
        <v>1</v>
      </c>
      <c r="J562">
        <f t="shared" si="197"/>
        <v>2.7749999999999702</v>
      </c>
      <c r="K562">
        <f t="shared" si="209"/>
        <v>3.5000010609498644E-2</v>
      </c>
      <c r="L562">
        <f t="shared" si="198"/>
        <v>0.1669334914482401</v>
      </c>
      <c r="M562">
        <f t="shared" si="199"/>
        <v>0.19000002121899728</v>
      </c>
      <c r="N562">
        <f t="shared" si="200"/>
        <v>0.18800100384543489</v>
      </c>
      <c r="O562">
        <f t="shared" si="201"/>
        <v>0.15777777783411406</v>
      </c>
      <c r="P562">
        <f t="shared" si="214"/>
        <v>0.08</v>
      </c>
      <c r="Q562">
        <f t="shared" si="210"/>
        <v>0.08</v>
      </c>
      <c r="R562">
        <f t="shared" si="203"/>
        <v>0.08</v>
      </c>
      <c r="S562">
        <f t="shared" si="204"/>
        <v>0.06</v>
      </c>
      <c r="T562">
        <f t="shared" si="205"/>
        <v>0.1</v>
      </c>
      <c r="U562">
        <f t="shared" si="211"/>
        <v>0.08</v>
      </c>
      <c r="V562">
        <f t="shared" si="216"/>
        <v>0.18800100384543489</v>
      </c>
      <c r="W562">
        <f t="shared" si="212"/>
        <v>0.16687154386629105</v>
      </c>
      <c r="X562">
        <f t="shared" si="213"/>
        <v>0.21207439838633219</v>
      </c>
      <c r="Y562" t="b">
        <f t="shared" si="215"/>
        <v>0</v>
      </c>
    </row>
    <row xmlns:x14ac="http://schemas.microsoft.com/office/spreadsheetml/2009/9/ac" r="563" x14ac:dyDescent="0.45">
      <c r="A563">
        <v>2.7799999999999701</v>
      </c>
      <c r="B563">
        <f t="shared" si="193"/>
        <v>0.16300001778860712</v>
      </c>
      <c r="C563" t="b">
        <f t="shared" si="206"/>
        <v>1</v>
      </c>
      <c r="D563" t="b">
        <f t="shared" si="194"/>
        <v>1</v>
      </c>
      <c r="E563">
        <f t="shared" si="202"/>
        <v>2.7799999999999701</v>
      </c>
      <c r="F563">
        <f t="shared" si="207"/>
        <v>0.16300001778860712</v>
      </c>
      <c r="G563">
        <f t="shared" si="195"/>
        <v>0.21202318130768533</v>
      </c>
      <c r="H563">
        <f t="shared" si="196"/>
        <v>3.5000006841771972E-2</v>
      </c>
      <c r="I563" t="b">
        <f t="shared" si="208"/>
        <v>1</v>
      </c>
      <c r="J563">
        <f t="shared" si="197"/>
        <v>2.7799999999999701</v>
      </c>
      <c r="K563">
        <f t="shared" si="209"/>
        <v>3.5000006841771972E-2</v>
      </c>
      <c r="L563">
        <f t="shared" si="198"/>
        <v>0.16694878572344782</v>
      </c>
      <c r="M563">
        <f t="shared" si="199"/>
        <v>0.19000001368354397</v>
      </c>
      <c r="N563">
        <f t="shared" si="200"/>
        <v>0.18799999158027736</v>
      </c>
      <c r="O563">
        <f t="shared" si="201"/>
        <v>0.15777777782082664</v>
      </c>
      <c r="P563">
        <f t="shared" si="214"/>
        <v>0.08</v>
      </c>
      <c r="Q563">
        <f t="shared" si="210"/>
        <v>0.08</v>
      </c>
      <c r="R563">
        <f t="shared" si="203"/>
        <v>0.08</v>
      </c>
      <c r="S563">
        <f t="shared" si="204"/>
        <v>0.06</v>
      </c>
      <c r="T563">
        <f t="shared" si="205"/>
        <v>0.1</v>
      </c>
      <c r="U563">
        <f t="shared" si="211"/>
        <v>0.08</v>
      </c>
      <c r="V563">
        <f t="shared" si="216"/>
        <v>0.18799999158027736</v>
      </c>
      <c r="W563">
        <f t="shared" si="212"/>
        <v>0.16688714710635272</v>
      </c>
      <c r="X563">
        <f t="shared" si="213"/>
        <v>0.21206405228121766</v>
      </c>
      <c r="Y563" t="b">
        <f t="shared" si="215"/>
        <v>0</v>
      </c>
    </row>
    <row xmlns:x14ac="http://schemas.microsoft.com/office/spreadsheetml/2009/9/ac" r="564" x14ac:dyDescent="0.45">
      <c r="A564">
        <v>2.7849999999999699</v>
      </c>
      <c r="B564">
        <f t="shared" si="193"/>
        <v>0.16300000838518414</v>
      </c>
      <c r="C564" t="b">
        <f t="shared" si="206"/>
        <v>1</v>
      </c>
      <c r="D564" t="b">
        <f t="shared" si="194"/>
        <v>1</v>
      </c>
      <c r="E564">
        <f t="shared" si="202"/>
        <v>2.7849999999999699</v>
      </c>
      <c r="F564">
        <f t="shared" si="207"/>
        <v>0.16300000838518414</v>
      </c>
      <c r="G564">
        <f t="shared" si="195"/>
        <v>0.21201309064881629</v>
      </c>
      <c r="H564">
        <f t="shared" si="196"/>
        <v>3.5000003225070825E-2</v>
      </c>
      <c r="I564" t="b">
        <f t="shared" si="208"/>
        <v>1</v>
      </c>
      <c r="J564">
        <f t="shared" si="197"/>
        <v>2.7849999999999699</v>
      </c>
      <c r="K564">
        <f t="shared" si="209"/>
        <v>3.5000003225070825E-2</v>
      </c>
      <c r="L564">
        <f t="shared" si="198"/>
        <v>0.16696400371813971</v>
      </c>
      <c r="M564">
        <f t="shared" si="199"/>
        <v>0.19000000645014165</v>
      </c>
      <c r="N564">
        <f t="shared" si="200"/>
        <v>0.18799901123239288</v>
      </c>
      <c r="O564">
        <f t="shared" si="201"/>
        <v>0.15777777780823071</v>
      </c>
      <c r="P564">
        <f t="shared" si="214"/>
        <v>0.08</v>
      </c>
      <c r="Q564">
        <f t="shared" si="210"/>
        <v>0.08</v>
      </c>
      <c r="R564">
        <f t="shared" si="203"/>
        <v>0.08</v>
      </c>
      <c r="S564">
        <f t="shared" si="204"/>
        <v>0.06</v>
      </c>
      <c r="T564">
        <f t="shared" si="205"/>
        <v>0.1</v>
      </c>
      <c r="U564">
        <f t="shared" si="211"/>
        <v>0.08</v>
      </c>
      <c r="V564">
        <f t="shared" si="216"/>
        <v>0.18799901123239288</v>
      </c>
      <c r="W564">
        <f t="shared" si="212"/>
        <v>0.16690267252492988</v>
      </c>
      <c r="X564">
        <f t="shared" si="213"/>
        <v>0.21205375777751767</v>
      </c>
      <c r="Y564" t="b">
        <f t="shared" si="215"/>
        <v>0</v>
      </c>
    </row>
    <row xmlns:x14ac="http://schemas.microsoft.com/office/spreadsheetml/2009/9/ac" r="565" x14ac:dyDescent="0.45">
      <c r="A565">
        <v>2.7899999999999698</v>
      </c>
      <c r="B565">
        <f t="shared" si="193"/>
        <v>0.16299999940025967</v>
      </c>
      <c r="C565" t="b">
        <f t="shared" si="206"/>
        <v>1</v>
      </c>
      <c r="D565" t="b">
        <f t="shared" si="194"/>
        <v>1</v>
      </c>
      <c r="E565">
        <f t="shared" si="202"/>
        <v>2.7899999999999698</v>
      </c>
      <c r="F565">
        <f t="shared" si="207"/>
        <v>0.16299999940025967</v>
      </c>
      <c r="G565">
        <f t="shared" si="195"/>
        <v>0.21200305031731831</v>
      </c>
      <c r="H565">
        <f t="shared" si="196"/>
        <v>3.4999999769330645E-2</v>
      </c>
      <c r="I565" t="b">
        <f t="shared" si="208"/>
        <v>1</v>
      </c>
      <c r="J565">
        <f t="shared" si="197"/>
        <v>2.7899999999999698</v>
      </c>
      <c r="K565">
        <f t="shared" si="209"/>
        <v>3.4999999769330645E-2</v>
      </c>
      <c r="L565">
        <f t="shared" si="198"/>
        <v>0.16697914581276643</v>
      </c>
      <c r="M565">
        <f t="shared" si="199"/>
        <v>0.18999999953866128</v>
      </c>
      <c r="N565">
        <f t="shared" si="200"/>
        <v>0.18799806617260972</v>
      </c>
      <c r="O565">
        <f t="shared" si="201"/>
        <v>0.15777777779634602</v>
      </c>
      <c r="P565">
        <f t="shared" si="214"/>
        <v>0.08</v>
      </c>
      <c r="Q565">
        <f t="shared" si="210"/>
        <v>0.08</v>
      </c>
      <c r="R565">
        <f t="shared" si="203"/>
        <v>0.08</v>
      </c>
      <c r="S565">
        <f t="shared" si="204"/>
        <v>0.06</v>
      </c>
      <c r="T565">
        <f t="shared" si="205"/>
        <v>0.1</v>
      </c>
      <c r="U565">
        <f t="shared" si="211"/>
        <v>0.08</v>
      </c>
      <c r="V565">
        <f t="shared" si="216"/>
        <v>0.18799806617260972</v>
      </c>
      <c r="W565">
        <f t="shared" si="212"/>
        <v>0.16691812051015886</v>
      </c>
      <c r="X565">
        <f t="shared" si="213"/>
        <v>0.21204351461786913</v>
      </c>
      <c r="Y565" t="b">
        <f t="shared" si="215"/>
        <v>0</v>
      </c>
    </row>
    <row xmlns:x14ac="http://schemas.microsoft.com/office/spreadsheetml/2009/9/ac" r="566" x14ac:dyDescent="0.45">
      <c r="A566">
        <v>2.7949999999999702</v>
      </c>
      <c r="B566">
        <f t="shared" si="193"/>
        <v>0.16299999085640407</v>
      </c>
      <c r="C566" t="b">
        <f t="shared" si="206"/>
        <v>1</v>
      </c>
      <c r="D566" t="b">
        <f t="shared" si="194"/>
        <v>1</v>
      </c>
      <c r="E566">
        <f t="shared" si="202"/>
        <v>2.7949999999999702</v>
      </c>
      <c r="F566">
        <f t="shared" si="207"/>
        <v>0.16299999085640407</v>
      </c>
      <c r="G566">
        <f t="shared" si="195"/>
        <v>0.21199306006218255</v>
      </c>
      <c r="H566">
        <f t="shared" si="196"/>
        <v>3.4999996483232335E-2</v>
      </c>
      <c r="I566" t="b">
        <f t="shared" si="208"/>
        <v>1</v>
      </c>
      <c r="J566">
        <f t="shared" si="197"/>
        <v>2.7949999999999702</v>
      </c>
      <c r="K566">
        <f t="shared" si="209"/>
        <v>3.4999996483232335E-2</v>
      </c>
      <c r="L566">
        <f t="shared" si="198"/>
        <v>0.16699421238588114</v>
      </c>
      <c r="M566">
        <f t="shared" si="199"/>
        <v>0.18999999296646469</v>
      </c>
      <c r="N566">
        <f t="shared" si="200"/>
        <v>0.18799715950808055</v>
      </c>
      <c r="O566">
        <f t="shared" si="201"/>
        <v>0.15777777778518709</v>
      </c>
      <c r="P566">
        <f t="shared" si="214"/>
        <v>0.08</v>
      </c>
      <c r="Q566">
        <f t="shared" si="210"/>
        <v>0.08</v>
      </c>
      <c r="R566">
        <f t="shared" si="203"/>
        <v>0.08</v>
      </c>
      <c r="S566">
        <f t="shared" si="204"/>
        <v>0.06</v>
      </c>
      <c r="T566">
        <f t="shared" si="205"/>
        <v>0.1</v>
      </c>
      <c r="U566">
        <f t="shared" si="211"/>
        <v>0.08</v>
      </c>
      <c r="V566">
        <f t="shared" si="216"/>
        <v>0.18799715950808055</v>
      </c>
      <c r="W566">
        <f t="shared" si="212"/>
        <v>0.1669334914482401</v>
      </c>
      <c r="X566">
        <f t="shared" si="213"/>
        <v>0.21203332254619245</v>
      </c>
      <c r="Y566" t="b">
        <f t="shared" si="215"/>
        <v>0</v>
      </c>
    </row>
    <row xmlns:x14ac="http://schemas.microsoft.com/office/spreadsheetml/2009/9/ac" r="567" x14ac:dyDescent="0.45">
      <c r="A567">
        <v>2.7999999999999701</v>
      </c>
      <c r="B567">
        <f t="shared" si="193"/>
        <v>0.16299998277297706</v>
      </c>
      <c r="C567" t="b">
        <f t="shared" si="206"/>
        <v>1</v>
      </c>
      <c r="D567" t="b">
        <f t="shared" si="194"/>
        <v>1</v>
      </c>
      <c r="E567">
        <f t="shared" si="202"/>
        <v>2.7999999999999701</v>
      </c>
      <c r="F567">
        <f t="shared" si="207"/>
        <v>0.16299998277297706</v>
      </c>
      <c r="G567">
        <f t="shared" si="195"/>
        <v>0.21198311963365218</v>
      </c>
      <c r="H567">
        <f t="shared" si="196"/>
        <v>3.4999993374221952E-2</v>
      </c>
      <c r="I567" t="b">
        <f t="shared" si="208"/>
        <v>1</v>
      </c>
      <c r="J567">
        <f t="shared" si="197"/>
        <v>2.7999999999999701</v>
      </c>
      <c r="K567">
        <f t="shared" si="209"/>
        <v>3.4999993374221952E-2</v>
      </c>
      <c r="L567">
        <f t="shared" si="198"/>
        <v>0.16700920381414891</v>
      </c>
      <c r="M567">
        <f t="shared" si="199"/>
        <v>0.1899999867484439</v>
      </c>
      <c r="N567">
        <f t="shared" si="200"/>
        <v>0.18799629407671689</v>
      </c>
      <c r="O567">
        <f t="shared" si="201"/>
        <v>0.15777777777476348</v>
      </c>
      <c r="P567">
        <f t="shared" si="214"/>
        <v>0.08</v>
      </c>
      <c r="Q567">
        <f t="shared" si="210"/>
        <v>0.08</v>
      </c>
      <c r="R567">
        <f t="shared" si="203"/>
        <v>0.08</v>
      </c>
      <c r="S567">
        <f t="shared" si="204"/>
        <v>0.06</v>
      </c>
      <c r="T567">
        <f t="shared" si="205"/>
        <v>0.1</v>
      </c>
      <c r="U567">
        <f t="shared" si="211"/>
        <v>0.08</v>
      </c>
      <c r="V567">
        <f t="shared" si="216"/>
        <v>0.18799629407671689</v>
      </c>
      <c r="W567">
        <f t="shared" si="212"/>
        <v>0.16694878572344782</v>
      </c>
      <c r="X567">
        <f t="shared" si="213"/>
        <v>0.21202318130768533</v>
      </c>
      <c r="Y567" t="b">
        <f t="shared" si="215"/>
        <v>0</v>
      </c>
    </row>
    <row xmlns:x14ac="http://schemas.microsoft.com/office/spreadsheetml/2009/9/ac" r="568" x14ac:dyDescent="0.45">
      <c r="A568">
        <v>2.80499999999997</v>
      </c>
      <c r="B568">
        <f t="shared" si="193"/>
        <v>0.16299997516619158</v>
      </c>
      <c r="C568" t="b">
        <f t="shared" si="206"/>
        <v>1</v>
      </c>
      <c r="D568" t="b">
        <f t="shared" si="194"/>
        <v>1</v>
      </c>
      <c r="E568">
        <f t="shared" si="202"/>
        <v>2.80499999999997</v>
      </c>
      <c r="F568">
        <f t="shared" si="207"/>
        <v>0.16299997516619158</v>
      </c>
      <c r="G568">
        <f t="shared" si="195"/>
        <v>0.21197322878321595</v>
      </c>
      <c r="H568">
        <f t="shared" si="196"/>
        <v>3.4999990448535231E-2</v>
      </c>
      <c r="I568" t="b">
        <f t="shared" si="208"/>
        <v>1</v>
      </c>
      <c r="J568">
        <f t="shared" si="197"/>
        <v>2.80499999999997</v>
      </c>
      <c r="K568">
        <f t="shared" si="209"/>
        <v>3.4999990448535231E-2</v>
      </c>
      <c r="L568">
        <f t="shared" si="198"/>
        <v>0.16702412047235632</v>
      </c>
      <c r="M568">
        <f t="shared" si="199"/>
        <v>0.18999998089707046</v>
      </c>
      <c r="N568">
        <f t="shared" si="200"/>
        <v>0.18799547244300097</v>
      </c>
      <c r="O568">
        <f t="shared" si="201"/>
        <v>0.15777777776508023</v>
      </c>
      <c r="P568">
        <f t="shared" si="214"/>
        <v>0.08</v>
      </c>
      <c r="Q568">
        <f t="shared" si="210"/>
        <v>0.08</v>
      </c>
      <c r="R568">
        <f t="shared" si="203"/>
        <v>0.08</v>
      </c>
      <c r="S568">
        <f t="shared" si="204"/>
        <v>0.06</v>
      </c>
      <c r="T568">
        <f t="shared" si="205"/>
        <v>0.1</v>
      </c>
      <c r="U568">
        <f t="shared" si="211"/>
        <v>0.08</v>
      </c>
      <c r="V568">
        <f t="shared" si="216"/>
        <v>0.18799547244300097</v>
      </c>
      <c r="W568">
        <f t="shared" si="212"/>
        <v>0.16696400371813971</v>
      </c>
      <c r="X568">
        <f t="shared" si="213"/>
        <v>0.21201309064881629</v>
      </c>
      <c r="Y568" t="b">
        <f t="shared" si="215"/>
        <v>0</v>
      </c>
    </row>
    <row xmlns:x14ac="http://schemas.microsoft.com/office/spreadsheetml/2009/9/ac" r="569" x14ac:dyDescent="0.45">
      <c r="A569">
        <v>2.8099999999999699</v>
      </c>
      <c r="B569">
        <f t="shared" si="193"/>
        <v>0.16299996804918984</v>
      </c>
      <c r="C569" t="b">
        <f t="shared" si="206"/>
        <v>1</v>
      </c>
      <c r="D569" t="b">
        <f t="shared" si="194"/>
        <v>1</v>
      </c>
      <c r="E569">
        <f t="shared" si="202"/>
        <v>2.8099999999999699</v>
      </c>
      <c r="F569">
        <f t="shared" si="207"/>
        <v>0.16299996804918984</v>
      </c>
      <c r="G569">
        <f t="shared" si="195"/>
        <v>0.21196338726360209</v>
      </c>
      <c r="H569">
        <f t="shared" si="196"/>
        <v>3.4999987711226865E-2</v>
      </c>
      <c r="I569" t="b">
        <f t="shared" si="208"/>
        <v>1</v>
      </c>
      <c r="J569">
        <f t="shared" si="197"/>
        <v>2.8099999999999699</v>
      </c>
      <c r="K569">
        <f t="shared" si="209"/>
        <v>3.4999987711226865E-2</v>
      </c>
      <c r="L569">
        <f t="shared" si="198"/>
        <v>0.1670389627334205</v>
      </c>
      <c r="M569">
        <f t="shared" si="199"/>
        <v>0.18999997542245373</v>
      </c>
      <c r="N569">
        <f t="shared" si="200"/>
        <v>0.18799469689514955</v>
      </c>
      <c r="O569">
        <f t="shared" si="201"/>
        <v>0.15777777775613794</v>
      </c>
      <c r="P569">
        <f t="shared" si="214"/>
        <v>0.08</v>
      </c>
      <c r="Q569">
        <f t="shared" si="210"/>
        <v>0.08</v>
      </c>
      <c r="R569">
        <f t="shared" si="203"/>
        <v>0.08</v>
      </c>
      <c r="S569">
        <f t="shared" si="204"/>
        <v>0.06</v>
      </c>
      <c r="T569">
        <f t="shared" si="205"/>
        <v>0.1</v>
      </c>
      <c r="U569">
        <f t="shared" si="211"/>
        <v>0.08</v>
      </c>
      <c r="V569">
        <f t="shared" si="216"/>
        <v>0.18799469689514955</v>
      </c>
      <c r="W569">
        <f t="shared" si="212"/>
        <v>0.16697914581276643</v>
      </c>
      <c r="X569">
        <f t="shared" si="213"/>
        <v>0.21200305031731831</v>
      </c>
      <c r="Y569" t="b">
        <f t="shared" si="215"/>
        <v>0</v>
      </c>
    </row>
    <row xmlns:x14ac="http://schemas.microsoft.com/office/spreadsheetml/2009/9/ac" r="570" x14ac:dyDescent="0.45">
      <c r="A570">
        <v>2.8149999999999702</v>
      </c>
      <c r="B570">
        <f t="shared" si="193"/>
        <v>0.16299996143213005</v>
      </c>
      <c r="C570" t="b">
        <f t="shared" si="206"/>
        <v>1</v>
      </c>
      <c r="D570" t="b">
        <f t="shared" si="194"/>
        <v>1</v>
      </c>
      <c r="E570">
        <f t="shared" si="202"/>
        <v>2.8149999999999702</v>
      </c>
      <c r="F570">
        <f t="shared" si="207"/>
        <v>0.16299996143213005</v>
      </c>
      <c r="G570">
        <f t="shared" si="195"/>
        <v>0.21195359482877202</v>
      </c>
      <c r="H570">
        <f t="shared" si="196"/>
        <v>3.4999985166203867E-2</v>
      </c>
      <c r="I570" t="b">
        <f t="shared" si="208"/>
        <v>1</v>
      </c>
      <c r="J570">
        <f t="shared" si="197"/>
        <v>2.8149999999999702</v>
      </c>
      <c r="K570">
        <f t="shared" si="209"/>
        <v>3.4999985166203867E-2</v>
      </c>
      <c r="L570">
        <f t="shared" si="198"/>
        <v>0.16705373096839882</v>
      </c>
      <c r="M570">
        <f t="shared" si="199"/>
        <v>0.18999997033240773</v>
      </c>
      <c r="N570">
        <f t="shared" si="200"/>
        <v>0.18799396944360064</v>
      </c>
      <c r="O570">
        <f t="shared" si="201"/>
        <v>0.15777777774793328</v>
      </c>
      <c r="P570">
        <f t="shared" si="214"/>
        <v>0.08</v>
      </c>
      <c r="Q570">
        <f t="shared" si="210"/>
        <v>0.08</v>
      </c>
      <c r="R570">
        <f t="shared" si="203"/>
        <v>0.08</v>
      </c>
      <c r="S570">
        <f t="shared" si="204"/>
        <v>0.06</v>
      </c>
      <c r="T570">
        <f t="shared" si="205"/>
        <v>0.1</v>
      </c>
      <c r="U570">
        <f t="shared" si="211"/>
        <v>0.08</v>
      </c>
      <c r="V570">
        <f t="shared" si="216"/>
        <v>0.18799396944360064</v>
      </c>
      <c r="W570">
        <f t="shared" si="212"/>
        <v>0.16699421238588114</v>
      </c>
      <c r="X570">
        <f t="shared" si="213"/>
        <v>0.21199306006218255</v>
      </c>
      <c r="Y570" t="b">
        <f t="shared" si="215"/>
        <v>0</v>
      </c>
    </row>
    <row xmlns:x14ac="http://schemas.microsoft.com/office/spreadsheetml/2009/9/ac" r="571" x14ac:dyDescent="0.45">
      <c r="A571">
        <v>2.8199999999999701</v>
      </c>
      <c r="B571">
        <f t="shared" si="193"/>
        <v>0.16299995532228351</v>
      </c>
      <c r="C571" t="b">
        <f t="shared" si="206"/>
        <v>1</v>
      </c>
      <c r="D571" t="b">
        <f t="shared" si="194"/>
        <v>1</v>
      </c>
      <c r="E571">
        <f t="shared" si="202"/>
        <v>2.8199999999999701</v>
      </c>
      <c r="F571">
        <f t="shared" si="207"/>
        <v>0.16299995532228351</v>
      </c>
      <c r="G571">
        <f t="shared" si="195"/>
        <v>0.21194385123391446</v>
      </c>
      <c r="H571">
        <f t="shared" si="196"/>
        <v>3.499998281626289E-2</v>
      </c>
      <c r="I571" t="b">
        <f t="shared" si="208"/>
        <v>1</v>
      </c>
      <c r="J571">
        <f t="shared" si="197"/>
        <v>2.8199999999999701</v>
      </c>
      <c r="K571">
        <f t="shared" si="209"/>
        <v>3.499998281626289E-2</v>
      </c>
      <c r="L571">
        <f t="shared" si="198"/>
        <v>0.16706842554649787</v>
      </c>
      <c r="M571">
        <f t="shared" si="199"/>
        <v>0.1899999656325258</v>
      </c>
      <c r="N571">
        <f t="shared" si="200"/>
        <v>0.18799329182078758</v>
      </c>
      <c r="O571">
        <f t="shared" si="201"/>
        <v>0.15777777774045909</v>
      </c>
      <c r="P571">
        <f t="shared" si="214"/>
        <v>0.08</v>
      </c>
      <c r="Q571">
        <f t="shared" si="210"/>
        <v>0.08</v>
      </c>
      <c r="R571">
        <f t="shared" si="203"/>
        <v>0.08</v>
      </c>
      <c r="S571">
        <f t="shared" si="204"/>
        <v>0.06</v>
      </c>
      <c r="T571">
        <f t="shared" si="205"/>
        <v>0.1</v>
      </c>
      <c r="U571">
        <f t="shared" si="211"/>
        <v>0.08</v>
      </c>
      <c r="V571">
        <f t="shared" si="216"/>
        <v>0.18799329182078758</v>
      </c>
      <c r="W571">
        <f t="shared" si="212"/>
        <v>0.16700920381414891</v>
      </c>
      <c r="X571">
        <f t="shared" si="213"/>
        <v>0.21198311963365218</v>
      </c>
      <c r="Y571" t="b">
        <f t="shared" si="215"/>
        <v>0</v>
      </c>
    </row>
    <row xmlns:x14ac="http://schemas.microsoft.com/office/spreadsheetml/2009/9/ac" r="572" x14ac:dyDescent="0.45">
      <c r="A572">
        <v>2.82499999999997</v>
      </c>
      <c r="B572">
        <f t="shared" si="193"/>
        <v>0.16299994972414059</v>
      </c>
      <c r="C572" t="b">
        <f t="shared" si="206"/>
        <v>1</v>
      </c>
      <c r="D572" t="b">
        <f t="shared" si="194"/>
        <v>1</v>
      </c>
      <c r="E572">
        <f t="shared" si="202"/>
        <v>2.82499999999997</v>
      </c>
      <c r="F572">
        <f t="shared" si="207"/>
        <v>0.16299994972414059</v>
      </c>
      <c r="G572">
        <f t="shared" si="195"/>
        <v>0.21193415623543899</v>
      </c>
      <c r="H572">
        <f t="shared" si="196"/>
        <v>3.4999980663130995E-2</v>
      </c>
      <c r="I572" t="b">
        <f t="shared" si="208"/>
        <v>1</v>
      </c>
      <c r="J572">
        <f t="shared" si="197"/>
        <v>2.82499999999997</v>
      </c>
      <c r="K572">
        <f t="shared" si="209"/>
        <v>3.4999980663130995E-2</v>
      </c>
      <c r="L572">
        <f t="shared" si="198"/>
        <v>0.1670830468350829</v>
      </c>
      <c r="M572">
        <f t="shared" si="199"/>
        <v>0.18999996132626201</v>
      </c>
      <c r="N572">
        <f t="shared" si="200"/>
        <v>0.1879926654821612</v>
      </c>
      <c r="O572">
        <f t="shared" si="201"/>
        <v>0.15777777773370485</v>
      </c>
      <c r="P572">
        <f t="shared" si="214"/>
        <v>0.08</v>
      </c>
      <c r="Q572">
        <f t="shared" si="210"/>
        <v>0.08</v>
      </c>
      <c r="R572">
        <f t="shared" si="203"/>
        <v>0.08</v>
      </c>
      <c r="S572">
        <f t="shared" si="204"/>
        <v>0.06</v>
      </c>
      <c r="T572">
        <f t="shared" si="205"/>
        <v>0.1</v>
      </c>
      <c r="U572">
        <f t="shared" si="211"/>
        <v>0.08</v>
      </c>
      <c r="V572">
        <f t="shared" si="216"/>
        <v>0.1879926654821612</v>
      </c>
      <c r="W572">
        <f t="shared" si="212"/>
        <v>0.16702412047235632</v>
      </c>
      <c r="X572">
        <f t="shared" si="213"/>
        <v>0.21197322878321595</v>
      </c>
      <c r="Y572" t="b">
        <f t="shared" si="215"/>
        <v>0</v>
      </c>
    </row>
    <row xmlns:x14ac="http://schemas.microsoft.com/office/spreadsheetml/2009/9/ac" r="573" x14ac:dyDescent="0.45">
      <c r="A573">
        <v>2.8299999999999699</v>
      </c>
      <c r="B573">
        <f t="shared" si="193"/>
        <v>0.16299994463952472</v>
      </c>
      <c r="C573" t="b">
        <f t="shared" si="206"/>
        <v>1</v>
      </c>
      <c r="D573" t="b">
        <f t="shared" si="194"/>
        <v>1</v>
      </c>
      <c r="E573">
        <f t="shared" si="202"/>
        <v>2.8299999999999699</v>
      </c>
      <c r="F573">
        <f t="shared" si="207"/>
        <v>0.16299994463952472</v>
      </c>
      <c r="G573">
        <f t="shared" si="195"/>
        <v>0.21192450959097014</v>
      </c>
      <c r="H573">
        <f t="shared" si="196"/>
        <v>3.499997870750951E-2</v>
      </c>
      <c r="I573" t="b">
        <f t="shared" si="208"/>
        <v>1</v>
      </c>
      <c r="J573">
        <f t="shared" si="197"/>
        <v>2.8299999999999699</v>
      </c>
      <c r="K573">
        <f t="shared" si="209"/>
        <v>3.499997870750951E-2</v>
      </c>
      <c r="L573">
        <f t="shared" si="198"/>
        <v>0.16709759519968692</v>
      </c>
      <c r="M573">
        <f t="shared" si="199"/>
        <v>0.18999995741501902</v>
      </c>
      <c r="N573">
        <f t="shared" si="200"/>
        <v>0.18799209160841629</v>
      </c>
      <c r="O573">
        <f t="shared" si="201"/>
        <v>0.15777777772765689</v>
      </c>
      <c r="P573">
        <f t="shared" si="214"/>
        <v>0.08</v>
      </c>
      <c r="Q573">
        <f t="shared" si="210"/>
        <v>0.08</v>
      </c>
      <c r="R573">
        <f t="shared" si="203"/>
        <v>0.08</v>
      </c>
      <c r="S573">
        <f t="shared" si="204"/>
        <v>0.06</v>
      </c>
      <c r="T573">
        <f t="shared" si="205"/>
        <v>0.1</v>
      </c>
      <c r="U573">
        <f t="shared" si="211"/>
        <v>0.08</v>
      </c>
      <c r="V573">
        <f t="shared" si="216"/>
        <v>0.18799209160841629</v>
      </c>
      <c r="W573">
        <f t="shared" si="212"/>
        <v>0.1670389627334205</v>
      </c>
      <c r="X573">
        <f t="shared" si="213"/>
        <v>0.21196338726360209</v>
      </c>
      <c r="Y573" t="b">
        <f t="shared" si="215"/>
        <v>0</v>
      </c>
    </row>
    <row xmlns:x14ac="http://schemas.microsoft.com/office/spreadsheetml/2009/9/ac" r="574" x14ac:dyDescent="0.45">
      <c r="A574">
        <v>2.8349999999999702</v>
      </c>
      <c r="B574">
        <f t="shared" si="193"/>
        <v>0.16299994006771401</v>
      </c>
      <c r="C574" t="b">
        <f t="shared" si="206"/>
        <v>1</v>
      </c>
      <c r="D574" t="b">
        <f t="shared" si="194"/>
        <v>1</v>
      </c>
      <c r="E574">
        <f t="shared" si="202"/>
        <v>2.8349999999999702</v>
      </c>
      <c r="F574">
        <f t="shared" si="207"/>
        <v>0.16299994006771401</v>
      </c>
      <c r="G574">
        <f t="shared" si="195"/>
        <v>0.21191491105934129</v>
      </c>
      <c r="H574">
        <f t="shared" si="196"/>
        <v>3.499997694912077E-2</v>
      </c>
      <c r="I574" t="b">
        <f t="shared" si="208"/>
        <v>1</v>
      </c>
      <c r="J574">
        <f t="shared" si="197"/>
        <v>2.8349999999999702</v>
      </c>
      <c r="K574">
        <f t="shared" si="209"/>
        <v>3.499997694912077E-2</v>
      </c>
      <c r="L574">
        <f t="shared" si="198"/>
        <v>0.16711207100401973</v>
      </c>
      <c r="M574">
        <f t="shared" si="199"/>
        <v>0.18999995389824154</v>
      </c>
      <c r="N574">
        <f t="shared" si="200"/>
        <v>0.18799157110887416</v>
      </c>
      <c r="O574">
        <f t="shared" si="201"/>
        <v>0.15777777772229867</v>
      </c>
      <c r="P574">
        <f t="shared" si="214"/>
        <v>0.08</v>
      </c>
      <c r="Q574">
        <f t="shared" si="210"/>
        <v>0.08</v>
      </c>
      <c r="R574">
        <f t="shared" si="203"/>
        <v>0.08</v>
      </c>
      <c r="S574">
        <f t="shared" si="204"/>
        <v>0.06</v>
      </c>
      <c r="T574">
        <f t="shared" si="205"/>
        <v>0.1</v>
      </c>
      <c r="U574">
        <f t="shared" si="211"/>
        <v>0.08</v>
      </c>
      <c r="V574">
        <f t="shared" si="216"/>
        <v>0.18799157110887416</v>
      </c>
      <c r="W574">
        <f t="shared" si="212"/>
        <v>0.16705373096839882</v>
      </c>
      <c r="X574">
        <f t="shared" si="213"/>
        <v>0.21195359482877202</v>
      </c>
      <c r="Y574" t="b">
        <f t="shared" si="215"/>
        <v>0</v>
      </c>
    </row>
    <row xmlns:x14ac="http://schemas.microsoft.com/office/spreadsheetml/2009/9/ac" r="575" x14ac:dyDescent="0.45">
      <c r="A575">
        <v>2.8399999999999701</v>
      </c>
      <c r="B575">
        <f t="shared" si="193"/>
        <v>0.16299993600556861</v>
      </c>
      <c r="C575" t="b">
        <f t="shared" si="206"/>
        <v>1</v>
      </c>
      <c r="D575" t="b">
        <f t="shared" si="194"/>
        <v>1</v>
      </c>
      <c r="E575">
        <f t="shared" si="202"/>
        <v>2.8399999999999701</v>
      </c>
      <c r="F575">
        <f t="shared" si="207"/>
        <v>0.16299993600556861</v>
      </c>
      <c r="G575">
        <f t="shared" si="195"/>
        <v>0.21190536040058866</v>
      </c>
      <c r="H575">
        <f t="shared" si="196"/>
        <v>3.4999975386757157E-2</v>
      </c>
      <c r="I575" t="b">
        <f t="shared" si="208"/>
        <v>1</v>
      </c>
      <c r="J575">
        <f t="shared" si="197"/>
        <v>2.8399999999999701</v>
      </c>
      <c r="K575">
        <f t="shared" si="209"/>
        <v>3.4999975386757157E-2</v>
      </c>
      <c r="L575">
        <f t="shared" si="198"/>
        <v>0.16712647460997723</v>
      </c>
      <c r="M575">
        <f t="shared" si="199"/>
        <v>0.18999995077351434</v>
      </c>
      <c r="N575">
        <f t="shared" si="200"/>
        <v>0.1879911046259703</v>
      </c>
      <c r="O575">
        <f t="shared" si="201"/>
        <v>0.15777777771761109</v>
      </c>
      <c r="P575">
        <f t="shared" si="214"/>
        <v>0.08</v>
      </c>
      <c r="Q575">
        <f t="shared" si="210"/>
        <v>0.08</v>
      </c>
      <c r="R575">
        <f t="shared" si="203"/>
        <v>0.08</v>
      </c>
      <c r="S575">
        <f t="shared" si="204"/>
        <v>0.06</v>
      </c>
      <c r="T575">
        <f t="shared" si="205"/>
        <v>0.1</v>
      </c>
      <c r="U575">
        <f t="shared" si="211"/>
        <v>0.08</v>
      </c>
      <c r="V575">
        <f t="shared" si="216"/>
        <v>0.1879911046259703</v>
      </c>
      <c r="W575">
        <f t="shared" si="212"/>
        <v>0.16706842554649787</v>
      </c>
      <c r="X575">
        <f t="shared" si="213"/>
        <v>0.21194385123391446</v>
      </c>
      <c r="Y575" t="b">
        <f t="shared" si="215"/>
        <v>0</v>
      </c>
    </row>
    <row xmlns:x14ac="http://schemas.microsoft.com/office/spreadsheetml/2009/9/ac" r="576" x14ac:dyDescent="0.45">
      <c r="A576">
        <v>2.84499999999997</v>
      </c>
      <c r="B576">
        <f t="shared" si="193"/>
        <v>0.16299993244766375</v>
      </c>
      <c r="C576" t="b">
        <f t="shared" si="206"/>
        <v>1</v>
      </c>
      <c r="D576" t="b">
        <f t="shared" si="194"/>
        <v>1</v>
      </c>
      <c r="E576">
        <f t="shared" si="202"/>
        <v>2.84499999999997</v>
      </c>
      <c r="F576">
        <f t="shared" si="207"/>
        <v>0.16299993244766375</v>
      </c>
      <c r="G576">
        <f t="shared" si="195"/>
        <v>0.2118958573759453</v>
      </c>
      <c r="H576">
        <f t="shared" si="196"/>
        <v>3.4999974018332214E-2</v>
      </c>
      <c r="I576" t="b">
        <f t="shared" si="208"/>
        <v>1</v>
      </c>
      <c r="J576">
        <f t="shared" si="197"/>
        <v>2.84499999999997</v>
      </c>
      <c r="K576">
        <f t="shared" si="209"/>
        <v>3.4999974018332214E-2</v>
      </c>
      <c r="L576">
        <f t="shared" si="198"/>
        <v>0.16714080637765033</v>
      </c>
      <c r="M576">
        <f t="shared" si="199"/>
        <v>0.18999994803666442</v>
      </c>
      <c r="N576">
        <f t="shared" si="200"/>
        <v>0.18799069254079179</v>
      </c>
      <c r="O576">
        <f t="shared" si="201"/>
        <v>0.15777777771357276</v>
      </c>
      <c r="P576">
        <f t="shared" si="214"/>
        <v>0.08</v>
      </c>
      <c r="Q576">
        <f t="shared" si="210"/>
        <v>0.08</v>
      </c>
      <c r="R576">
        <f t="shared" si="203"/>
        <v>0.08</v>
      </c>
      <c r="S576">
        <f t="shared" si="204"/>
        <v>0.06</v>
      </c>
      <c r="T576">
        <f t="shared" si="205"/>
        <v>0.1</v>
      </c>
      <c r="U576">
        <f t="shared" si="211"/>
        <v>0.08</v>
      </c>
      <c r="V576">
        <f t="shared" si="216"/>
        <v>0.18799069254079179</v>
      </c>
      <c r="W576">
        <f t="shared" si="212"/>
        <v>0.1670830468350829</v>
      </c>
      <c r="X576">
        <f t="shared" si="213"/>
        <v>0.21193415623543899</v>
      </c>
      <c r="Y576" t="b">
        <f t="shared" si="215"/>
        <v>0</v>
      </c>
    </row>
    <row xmlns:x14ac="http://schemas.microsoft.com/office/spreadsheetml/2009/9/ac" r="577" x14ac:dyDescent="0.45">
      <c r="A577">
        <v>2.8499999999999699</v>
      </c>
      <c r="B577">
        <f t="shared" si="193"/>
        <v>0.16299992938642716</v>
      </c>
      <c r="C577" t="b">
        <f t="shared" si="206"/>
        <v>1</v>
      </c>
      <c r="D577" t="b">
        <f t="shared" si="194"/>
        <v>1</v>
      </c>
      <c r="E577">
        <f t="shared" si="202"/>
        <v>2.8499999999999699</v>
      </c>
      <c r="F577">
        <f t="shared" si="207"/>
        <v>0.16299992938642716</v>
      </c>
      <c r="G577">
        <f t="shared" si="195"/>
        <v>0.21188640174783502</v>
      </c>
      <c r="H577">
        <f t="shared" si="196"/>
        <v>3.4999972840933521E-2</v>
      </c>
      <c r="I577" t="b">
        <f t="shared" si="208"/>
        <v>1</v>
      </c>
      <c r="J577">
        <f t="shared" si="197"/>
        <v>2.8499999999999699</v>
      </c>
      <c r="K577">
        <f t="shared" si="209"/>
        <v>3.4999972840933521E-2</v>
      </c>
      <c r="L577">
        <f t="shared" si="198"/>
        <v>0.16715506666533395</v>
      </c>
      <c r="M577">
        <f t="shared" si="199"/>
        <v>0.18999994568186704</v>
      </c>
      <c r="N577">
        <f t="shared" si="200"/>
        <v>0.18799033497960702</v>
      </c>
      <c r="O577">
        <f t="shared" si="201"/>
        <v>0.1577777777101603</v>
      </c>
      <c r="P577">
        <f t="shared" si="214"/>
        <v>0.08</v>
      </c>
      <c r="Q577">
        <f t="shared" si="210"/>
        <v>0.08</v>
      </c>
      <c r="R577">
        <f t="shared" si="203"/>
        <v>0.08</v>
      </c>
      <c r="S577">
        <f t="shared" si="204"/>
        <v>0.06</v>
      </c>
      <c r="T577">
        <f t="shared" si="205"/>
        <v>0.1</v>
      </c>
      <c r="U577">
        <f t="shared" si="211"/>
        <v>0.08</v>
      </c>
      <c r="V577">
        <f t="shared" si="216"/>
        <v>0.18799033497960702</v>
      </c>
      <c r="W577">
        <f t="shared" si="212"/>
        <v>0.16709759519968692</v>
      </c>
      <c r="X577">
        <f t="shared" si="213"/>
        <v>0.21192450959097014</v>
      </c>
      <c r="Y577" t="b">
        <f t="shared" si="215"/>
        <v>0</v>
      </c>
    </row>
    <row xmlns:x14ac="http://schemas.microsoft.com/office/spreadsheetml/2009/9/ac" r="578" x14ac:dyDescent="0.45">
      <c r="A578">
        <v>2.8549999999999698</v>
      </c>
      <c r="B578">
        <f t="shared" si="193"/>
        <v>0.16299992681227987</v>
      </c>
      <c r="C578" t="b">
        <f t="shared" si="206"/>
        <v>1</v>
      </c>
      <c r="D578" t="b">
        <f t="shared" si="194"/>
        <v>1</v>
      </c>
      <c r="E578">
        <f t="shared" si="202"/>
        <v>2.8549999999999698</v>
      </c>
      <c r="F578">
        <f t="shared" si="207"/>
        <v>0.16299992681227987</v>
      </c>
      <c r="G578">
        <f t="shared" si="195"/>
        <v>0.21187699327986675</v>
      </c>
      <c r="H578">
        <f t="shared" si="196"/>
        <v>3.4999971850876874E-2</v>
      </c>
      <c r="I578" t="b">
        <f t="shared" si="208"/>
        <v>1</v>
      </c>
      <c r="J578">
        <f t="shared" si="197"/>
        <v>2.8549999999999698</v>
      </c>
      <c r="K578">
        <f t="shared" si="209"/>
        <v>3.4999971850876874E-2</v>
      </c>
      <c r="L578">
        <f t="shared" si="198"/>
        <v>0.16716925582953601</v>
      </c>
      <c r="M578">
        <f t="shared" si="199"/>
        <v>0.18999994370175377</v>
      </c>
      <c r="N578">
        <f t="shared" si="200"/>
        <v>0.18799003182132706</v>
      </c>
      <c r="O578">
        <f t="shared" si="201"/>
        <v>0.1577777777073486</v>
      </c>
      <c r="P578">
        <f t="shared" si="214"/>
        <v>0.08</v>
      </c>
      <c r="Q578">
        <f t="shared" si="210"/>
        <v>0.08</v>
      </c>
      <c r="R578">
        <f t="shared" si="203"/>
        <v>0.08</v>
      </c>
      <c r="S578">
        <f t="shared" si="204"/>
        <v>0.06</v>
      </c>
      <c r="T578">
        <f t="shared" si="205"/>
        <v>0.1</v>
      </c>
      <c r="U578">
        <f t="shared" si="211"/>
        <v>0.08</v>
      </c>
      <c r="V578">
        <f t="shared" si="216"/>
        <v>0.18799003182132706</v>
      </c>
      <c r="W578">
        <f t="shared" si="212"/>
        <v>0.16711207100401973</v>
      </c>
      <c r="X578">
        <f t="shared" si="213"/>
        <v>0.21191491105934129</v>
      </c>
      <c r="Y578" t="b">
        <f t="shared" si="215"/>
        <v>0</v>
      </c>
    </row>
    <row xmlns:x14ac="http://schemas.microsoft.com/office/spreadsheetml/2009/9/ac" r="579" x14ac:dyDescent="0.45">
      <c r="A579">
        <v>2.8599999999999701</v>
      </c>
      <c r="B579">
        <f t="shared" si="193"/>
        <v>0.16299992471378016</v>
      </c>
      <c r="C579" t="b">
        <f t="shared" si="206"/>
        <v>1</v>
      </c>
      <c r="D579" t="b">
        <f t="shared" si="194"/>
        <v>1</v>
      </c>
      <c r="E579">
        <f t="shared" si="202"/>
        <v>2.8599999999999701</v>
      </c>
      <c r="F579">
        <f t="shared" si="207"/>
        <v>0.16299992471378016</v>
      </c>
      <c r="G579">
        <f t="shared" si="195"/>
        <v>0.21186763173682821</v>
      </c>
      <c r="H579">
        <f t="shared" si="196"/>
        <v>3.4999971043761596E-2</v>
      </c>
      <c r="I579" t="b">
        <f t="shared" si="208"/>
        <v>1</v>
      </c>
      <c r="J579">
        <f t="shared" si="197"/>
        <v>2.8599999999999701</v>
      </c>
      <c r="K579">
        <f t="shared" si="209"/>
        <v>3.4999971043761596E-2</v>
      </c>
      <c r="L579">
        <f t="shared" si="198"/>
        <v>0.16718337422498641</v>
      </c>
      <c r="M579">
        <f t="shared" si="199"/>
        <v>0.18999994208752319</v>
      </c>
      <c r="N579">
        <f t="shared" si="200"/>
        <v>0.18798978270583649</v>
      </c>
      <c r="O579">
        <f t="shared" si="201"/>
        <v>0.15777777770511103</v>
      </c>
      <c r="P579">
        <f t="shared" si="214"/>
        <v>0.08</v>
      </c>
      <c r="Q579">
        <f t="shared" si="210"/>
        <v>0.08</v>
      </c>
      <c r="R579">
        <f t="shared" si="203"/>
        <v>0.08</v>
      </c>
      <c r="S579">
        <f t="shared" si="204"/>
        <v>0.06</v>
      </c>
      <c r="T579">
        <f t="shared" si="205"/>
        <v>0.1</v>
      </c>
      <c r="U579">
        <f t="shared" si="211"/>
        <v>0.08</v>
      </c>
      <c r="V579">
        <f t="shared" si="216"/>
        <v>0.18798978270583649</v>
      </c>
      <c r="W579">
        <f t="shared" si="212"/>
        <v>0.16712647460997723</v>
      </c>
      <c r="X579">
        <f t="shared" si="213"/>
        <v>0.21190536040058866</v>
      </c>
      <c r="Y579" t="b">
        <f t="shared" si="215"/>
        <v>0</v>
      </c>
    </row>
    <row xmlns:x14ac="http://schemas.microsoft.com/office/spreadsheetml/2009/9/ac" r="580" x14ac:dyDescent="0.45">
      <c r="A580">
        <v>2.86499999999997</v>
      </c>
      <c r="B580">
        <f t="shared" si="193"/>
        <v>0.16299992307776892</v>
      </c>
      <c r="C580" t="b">
        <f t="shared" si="206"/>
        <v>1</v>
      </c>
      <c r="D580" t="b">
        <f t="shared" si="194"/>
        <v>1</v>
      </c>
      <c r="E580">
        <f t="shared" si="202"/>
        <v>2.86499999999997</v>
      </c>
      <c r="F580">
        <f t="shared" si="207"/>
        <v>0.16299992307776892</v>
      </c>
      <c r="G580">
        <f t="shared" si="195"/>
        <v>0.21185831688468038</v>
      </c>
      <c r="H580">
        <f t="shared" si="196"/>
        <v>3.4999970414526502E-2</v>
      </c>
      <c r="I580" t="b">
        <f t="shared" si="208"/>
        <v>1</v>
      </c>
      <c r="J580">
        <f t="shared" si="197"/>
        <v>2.86499999999997</v>
      </c>
      <c r="K580">
        <f t="shared" si="209"/>
        <v>3.4999970414526502E-2</v>
      </c>
      <c r="L580">
        <f t="shared" si="198"/>
        <v>0.16719742220464573</v>
      </c>
      <c r="M580">
        <f t="shared" si="199"/>
        <v>0.18999994082905303</v>
      </c>
      <c r="N580">
        <f t="shared" si="200"/>
        <v>0.18798958704312849</v>
      </c>
      <c r="O580">
        <f t="shared" si="201"/>
        <v>0.15777777770341977</v>
      </c>
      <c r="P580">
        <f t="shared" si="214"/>
        <v>0.08</v>
      </c>
      <c r="Q580">
        <f t="shared" si="210"/>
        <v>0.08</v>
      </c>
      <c r="R580">
        <f t="shared" si="203"/>
        <v>0.08</v>
      </c>
      <c r="S580">
        <f t="shared" si="204"/>
        <v>0.06</v>
      </c>
      <c r="T580">
        <f t="shared" si="205"/>
        <v>0.1</v>
      </c>
      <c r="U580">
        <f t="shared" si="211"/>
        <v>0.08</v>
      </c>
      <c r="V580">
        <f t="shared" si="216"/>
        <v>0.18798958704312849</v>
      </c>
      <c r="W580">
        <f t="shared" si="212"/>
        <v>0.16714080637765033</v>
      </c>
      <c r="X580">
        <f t="shared" si="213"/>
        <v>0.2118958573759453</v>
      </c>
      <c r="Y580" t="b">
        <f t="shared" si="215"/>
        <v>0</v>
      </c>
    </row>
    <row xmlns:x14ac="http://schemas.microsoft.com/office/spreadsheetml/2009/9/ac" r="581" x14ac:dyDescent="0.45">
      <c r="A581">
        <v>2.8699999999999699</v>
      </c>
      <c r="B581">
        <f t="shared" si="193"/>
        <v>0.1629999218895164</v>
      </c>
      <c r="C581" t="b">
        <f t="shared" si="206"/>
        <v>1</v>
      </c>
      <c r="D581" t="b">
        <f t="shared" si="194"/>
        <v>1</v>
      </c>
      <c r="E581">
        <f t="shared" si="202"/>
        <v>2.8699999999999699</v>
      </c>
      <c r="F581">
        <f t="shared" si="207"/>
        <v>0.1629999218895164</v>
      </c>
      <c r="G581">
        <f t="shared" si="195"/>
        <v>0.21184904849055147</v>
      </c>
      <c r="H581">
        <f t="shared" si="196"/>
        <v>3.4999969957506302E-2</v>
      </c>
      <c r="I581" t="b">
        <f t="shared" si="208"/>
        <v>1</v>
      </c>
      <c r="J581">
        <f t="shared" si="197"/>
        <v>2.8699999999999699</v>
      </c>
      <c r="K581">
        <f t="shared" si="209"/>
        <v>3.4999969957506302E-2</v>
      </c>
      <c r="L581">
        <f t="shared" si="198"/>
        <v>0.16721140011971419</v>
      </c>
      <c r="M581">
        <f t="shared" si="199"/>
        <v>0.18999993991501263</v>
      </c>
      <c r="N581">
        <f t="shared" si="200"/>
        <v>0.18798944402317846</v>
      </c>
      <c r="O581">
        <f t="shared" si="201"/>
        <v>0.15777777770224596</v>
      </c>
      <c r="P581">
        <f t="shared" si="214"/>
        <v>0.08</v>
      </c>
      <c r="Q581">
        <f t="shared" si="210"/>
        <v>0.08</v>
      </c>
      <c r="R581">
        <f t="shared" si="203"/>
        <v>0.08</v>
      </c>
      <c r="S581">
        <f t="shared" si="204"/>
        <v>0.06</v>
      </c>
      <c r="T581">
        <f t="shared" si="205"/>
        <v>0.1</v>
      </c>
      <c r="U581">
        <f t="shared" si="211"/>
        <v>0.08</v>
      </c>
      <c r="V581">
        <f t="shared" si="216"/>
        <v>0.18798944402317846</v>
      </c>
      <c r="W581">
        <f t="shared" si="212"/>
        <v>0.16715506666533395</v>
      </c>
      <c r="X581">
        <f t="shared" si="213"/>
        <v>0.21188640174783502</v>
      </c>
      <c r="Y581" t="b">
        <f t="shared" si="215"/>
        <v>0</v>
      </c>
    </row>
    <row xmlns:x14ac="http://schemas.microsoft.com/office/spreadsheetml/2009/9/ac" r="582" x14ac:dyDescent="0.45">
      <c r="A582">
        <v>2.8749999999999698</v>
      </c>
      <c r="B582">
        <f t="shared" si="193"/>
        <v>0.16299992113286935</v>
      </c>
      <c r="C582" t="b">
        <f t="shared" si="206"/>
        <v>1</v>
      </c>
      <c r="D582" t="b">
        <f t="shared" si="194"/>
        <v>1</v>
      </c>
      <c r="E582">
        <f t="shared" si="202"/>
        <v>2.8749999999999698</v>
      </c>
      <c r="F582">
        <f t="shared" si="207"/>
        <v>0.16299992113286935</v>
      </c>
      <c r="G582">
        <f t="shared" si="195"/>
        <v>0.21183982632273107</v>
      </c>
      <c r="H582">
        <f t="shared" si="196"/>
        <v>3.4999969666488218E-2</v>
      </c>
      <c r="I582" t="b">
        <f t="shared" si="208"/>
        <v>1</v>
      </c>
      <c r="J582">
        <f t="shared" si="197"/>
        <v>2.8749999999999698</v>
      </c>
      <c r="K582">
        <f t="shared" si="209"/>
        <v>3.4999969666488218E-2</v>
      </c>
      <c r="L582">
        <f t="shared" si="198"/>
        <v>0.16722530831964039</v>
      </c>
      <c r="M582">
        <f t="shared" si="199"/>
        <v>0.18999993933297643</v>
      </c>
      <c r="N582">
        <f t="shared" si="200"/>
        <v>0.18798935262648914</v>
      </c>
      <c r="O582">
        <f t="shared" si="201"/>
        <v>0.15777777770155996</v>
      </c>
      <c r="P582">
        <f t="shared" si="214"/>
        <v>0.08</v>
      </c>
      <c r="Q582">
        <f t="shared" si="210"/>
        <v>0.08</v>
      </c>
      <c r="R582">
        <f t="shared" si="203"/>
        <v>0.08</v>
      </c>
      <c r="S582">
        <f t="shared" si="204"/>
        <v>0.06</v>
      </c>
      <c r="T582">
        <f t="shared" si="205"/>
        <v>0.1</v>
      </c>
      <c r="U582">
        <f t="shared" si="211"/>
        <v>0.08</v>
      </c>
      <c r="V582">
        <f t="shared" si="216"/>
        <v>0.18798935262648914</v>
      </c>
      <c r="W582">
        <f t="shared" si="212"/>
        <v>0.16716925582953601</v>
      </c>
      <c r="X582">
        <f t="shared" si="213"/>
        <v>0.21187699327986675</v>
      </c>
      <c r="Y582" t="b">
        <f t="shared" si="215"/>
        <v>0</v>
      </c>
    </row>
    <row xmlns:x14ac="http://schemas.microsoft.com/office/spreadsheetml/2009/9/ac" r="583" x14ac:dyDescent="0.45">
      <c r="A583">
        <v>2.8799999999999701</v>
      </c>
      <c r="B583">
        <f t="shared" ref="B583:B646" si="217">-(1+Marge_haute)*(A+B/Tpll*EXP(-$A583/Tpll)+C_*EXP(-epsilon*Wn*$A583)*COS(Wd*$A583)+C_*(D/C_-epsilon*Wn)/Wd*EXP(-epsilon*Wn*$A583)*SIN(Wd*$A583))+SIGN(DeltaPexpected)*Tunnel</f>
        <v>0.16299992079039771</v>
      </c>
      <c r="C583" t="b">
        <f t="shared" si="206"/>
        <v>1</v>
      </c>
      <c r="D583" t="b">
        <f t="shared" ref="D583:D646" si="218">IF(D582,D582,IF(C583,B583&gt;B582,C583))</f>
        <v>1</v>
      </c>
      <c r="E583">
        <f t="shared" si="202"/>
        <v>2.8799999999999701</v>
      </c>
      <c r="F583">
        <f t="shared" si="207"/>
        <v>0.16299992079039771</v>
      </c>
      <c r="G583">
        <f t="shared" ref="G583:G646" si="219">P0-SIGN(Rocof)*IF(D583,DeltaPexpected+SIGN(DeltaPexpected)*Tunnel+(MIN(F$7:F$1495)-DeltaPexpected-+SIGN(DeltaPexpected)*Tunnel)*EXP(-(A583-MIN(E$7:E$1495))/Texpodecrease),B583)</f>
        <v>0.2118306501506646</v>
      </c>
      <c r="H583">
        <f t="shared" ref="H583:H646" si="220">-(1-marge_basse)*(A+B/Tpll*EXP(-$A583/Tpll)+C_*EXP(-epsilon*Wn*$A583)*COS(Wd*$A583)+C_*(D/C_-epsilon*Wn)/Wd*EXP(-epsilon*Wn*$A583)*SIN(Wd*$A583))-Tunnel</f>
        <v>3.4999969534768346E-2</v>
      </c>
      <c r="I583" t="b">
        <f t="shared" si="208"/>
        <v>1</v>
      </c>
      <c r="J583">
        <f t="shared" ref="J583:J646" si="221">IF(I583,A583,I583)</f>
        <v>2.8799999999999701</v>
      </c>
      <c r="K583">
        <f t="shared" si="209"/>
        <v>3.4999969534768346E-2</v>
      </c>
      <c r="L583">
        <f t="shared" ref="L583:L646" si="222">P0-SIGN(Rocof)*IF(I583,AF$23-AF$13+(MAX(K$7:K$1495)-AF$23+AF$13)*EXP(-(A583-MIN(J$7:J$1495))/AB$21),H583)</f>
        <v>0.16723914715213006</v>
      </c>
      <c r="M583">
        <f t="shared" ref="M583:M646" si="223">P0-(1)*(A+B/Tpll*EXP(-$A583/Tpll)+C_*EXP(-epsilon*Wn*$A583)*COS(Wd*$A583)+C_*(D/C_-epsilon*Wn)/Wd*EXP(-epsilon*Wn*$A583)*SIN(Wd*$A583))</f>
        <v>0.18999993906953672</v>
      </c>
      <c r="N583">
        <f t="shared" ref="N583:N646" si="224">AB$6-(AG$17+AG$16/AC$18*EXP(-$A583/AC$18)+AG$18*EXP(-AG$6*AG$12*$A583)*COS(AG$5*$A583)+AG$18*(AG$19/AG$18-AG$6*AG$12)/AG$5*EXP(-AG$6*AG$12*$A583)*SIN(AG$5*$A583))</f>
        <v>0.18798931163523802</v>
      </c>
      <c r="O583">
        <f t="shared" ref="O583:O646" si="225">AB$6-(AH$17+AH$16/AD$18*EXP(-$A583/AD$18)+AH$18*EXP(-AH$6*AH$12*$A583)*COS(AH$5*$A583)+AH$18*(AH$19/AH$18-AH$6*AH$12)/AH$5*EXP(-AH$6*AH$12*$A583)*SIN(AH$5*$A583))</f>
        <v>0.15777777770133156</v>
      </c>
      <c r="P583">
        <f t="shared" si="214"/>
        <v>0.08</v>
      </c>
      <c r="Q583">
        <f t="shared" si="210"/>
        <v>0.08</v>
      </c>
      <c r="R583">
        <f t="shared" si="203"/>
        <v>0.08</v>
      </c>
      <c r="S583">
        <f t="shared" si="204"/>
        <v>0.06</v>
      </c>
      <c r="T583">
        <f t="shared" si="205"/>
        <v>0.1</v>
      </c>
      <c r="U583">
        <f t="shared" si="211"/>
        <v>0.08</v>
      </c>
      <c r="V583">
        <f t="shared" si="216"/>
        <v>0.18798931163523802</v>
      </c>
      <c r="W583">
        <f t="shared" si="212"/>
        <v>0.16718337422498641</v>
      </c>
      <c r="X583">
        <f t="shared" si="213"/>
        <v>0.21186763173682821</v>
      </c>
      <c r="Y583" t="b">
        <f t="shared" si="215"/>
        <v>0</v>
      </c>
    </row>
    <row xmlns:x14ac="http://schemas.microsoft.com/office/spreadsheetml/2009/9/ac" r="584" x14ac:dyDescent="0.45">
      <c r="A584">
        <v>2.88499999999997</v>
      </c>
      <c r="B584">
        <f t="shared" si="217"/>
        <v>0.16299992084354012</v>
      </c>
      <c r="C584" t="b">
        <f t="shared" si="206"/>
        <v>1</v>
      </c>
      <c r="D584" t="b">
        <f t="shared" si="218"/>
        <v>1</v>
      </c>
      <c r="E584">
        <f t="shared" ref="E584:E647" si="226">IF(D584,A584,D584)</f>
        <v>2.88499999999997</v>
      </c>
      <c r="F584">
        <f t="shared" si="207"/>
        <v>0.16299992084354012</v>
      </c>
      <c r="G584">
        <f t="shared" si="219"/>
        <v>0.21182151974494723</v>
      </c>
      <c r="H584">
        <f t="shared" si="220"/>
        <v>3.4999969555207733E-2</v>
      </c>
      <c r="I584" t="b">
        <f t="shared" si="208"/>
        <v>1</v>
      </c>
      <c r="J584">
        <f t="shared" si="221"/>
        <v>2.88499999999997</v>
      </c>
      <c r="K584">
        <f t="shared" si="209"/>
        <v>3.4999969555207733E-2</v>
      </c>
      <c r="L584">
        <f t="shared" si="222"/>
        <v>0.16725291696315475</v>
      </c>
      <c r="M584">
        <f t="shared" si="223"/>
        <v>0.18999993911041546</v>
      </c>
      <c r="N584">
        <f t="shared" si="224"/>
        <v>0.18798931964495971</v>
      </c>
      <c r="O584">
        <f t="shared" si="225"/>
        <v>0.1577777777015302</v>
      </c>
      <c r="P584">
        <f t="shared" si="214"/>
        <v>0.08</v>
      </c>
      <c r="Q584">
        <f t="shared" si="210"/>
        <v>0.08</v>
      </c>
      <c r="R584">
        <f t="shared" ref="R584:R647" si="227">$AB$6-(1+AB$17)*EXP(-AF$6*AF$12*A584)*(COS(AF$5*A584)-(AF$6*AF$12-1)/(AF$5)*SIN(AF$5*A584))*AF$15</f>
        <v>0.08</v>
      </c>
      <c r="S584">
        <f t="shared" ref="S584:S647" si="228">R584-AF$13</f>
        <v>0.06</v>
      </c>
      <c r="T584">
        <f t="shared" ref="T584:T647" si="229">R584+AF$13</f>
        <v>0.1</v>
      </c>
      <c r="U584">
        <f t="shared" si="211"/>
        <v>0.08</v>
      </c>
      <c r="V584">
        <f t="shared" si="216"/>
        <v>0.18798931964495971</v>
      </c>
      <c r="W584">
        <f t="shared" si="212"/>
        <v>0.16719742220464573</v>
      </c>
      <c r="X584">
        <f t="shared" si="213"/>
        <v>0.21185831688468038</v>
      </c>
      <c r="Y584" t="b">
        <f t="shared" si="215"/>
        <v>0</v>
      </c>
    </row>
    <row xmlns:x14ac="http://schemas.microsoft.com/office/spreadsheetml/2009/9/ac" r="585" x14ac:dyDescent="0.45">
      <c r="A585">
        <v>2.8899999999999699</v>
      </c>
      <c r="B585">
        <f t="shared" si="217"/>
        <v>0.16299992127274804</v>
      </c>
      <c r="C585" t="b">
        <f t="shared" ref="C585:C648" si="230">IF(C584,C584,(B585&lt;B584))</f>
        <v>1</v>
      </c>
      <c r="D585" t="b">
        <f t="shared" si="218"/>
        <v>1</v>
      </c>
      <c r="E585">
        <f t="shared" si="226"/>
        <v>2.8899999999999699</v>
      </c>
      <c r="F585">
        <f t="shared" ref="F585:F648" si="231">IF(D585,B585,D585)</f>
        <v>0.16299992127274804</v>
      </c>
      <c r="G585">
        <f t="shared" si="219"/>
        <v>0.21181243487731838</v>
      </c>
      <c r="H585">
        <f t="shared" si="220"/>
        <v>3.499996972028771E-2</v>
      </c>
      <c r="I585" t="b">
        <f t="shared" ref="I585:I648" si="232">IF(I584,I584,H584&gt;H585)</f>
        <v>1</v>
      </c>
      <c r="J585">
        <f t="shared" si="221"/>
        <v>2.8899999999999699</v>
      </c>
      <c r="K585">
        <f t="shared" ref="K585:K648" si="233">IF(I585,H585,I585)</f>
        <v>3.499996972028771E-2</v>
      </c>
      <c r="L585">
        <f t="shared" si="222"/>
        <v>0.16726661809696047</v>
      </c>
      <c r="M585">
        <f t="shared" si="223"/>
        <v>0.18999993944057542</v>
      </c>
      <c r="N585">
        <f t="shared" si="224"/>
        <v>0.18798937507669278</v>
      </c>
      <c r="O585">
        <f t="shared" si="225"/>
        <v>0.15777777770212514</v>
      </c>
      <c r="P585">
        <f t="shared" si="214"/>
        <v>0.08</v>
      </c>
      <c r="Q585">
        <f t="shared" ref="Q585:Q648" si="234">$AB$6-(1+AB$17)*EXP(-AF$6*AF$12*A583)*(COS(AF$5*A583)-(AF$6*AF$12-1)/(AF$5)*SIN(AF$5*A583))*AF$15</f>
        <v>0.08</v>
      </c>
      <c r="R585">
        <f t="shared" si="227"/>
        <v>0.08</v>
      </c>
      <c r="S585">
        <f t="shared" si="228"/>
        <v>0.06</v>
      </c>
      <c r="T585">
        <f t="shared" si="229"/>
        <v>0.1</v>
      </c>
      <c r="U585">
        <f t="shared" ref="U585:U648" si="235">$AB$6-AB$18*EXP(-AF$6*AF$12*A583)*(COS(AF$5*A583)-(AF$6*AF$12-1)/(AF$5)*SIN(AF$5*A583))*AF$15</f>
        <v>0.08</v>
      </c>
      <c r="V585">
        <f t="shared" si="216"/>
        <v>0.18798937507669278</v>
      </c>
      <c r="W585">
        <f t="shared" si="212"/>
        <v>0.16721140011971419</v>
      </c>
      <c r="X585">
        <f t="shared" si="213"/>
        <v>0.21184904849055147</v>
      </c>
      <c r="Y585" t="b">
        <f t="shared" si="215"/>
        <v>0</v>
      </c>
    </row>
    <row xmlns:x14ac="http://schemas.microsoft.com/office/spreadsheetml/2009/9/ac" r="586" x14ac:dyDescent="0.45">
      <c r="A586">
        <v>2.8949999999999698</v>
      </c>
      <c r="B586">
        <f t="shared" si="217"/>
        <v>0.16299992205762742</v>
      </c>
      <c r="C586" t="b">
        <f t="shared" si="230"/>
        <v>1</v>
      </c>
      <c r="D586" t="b">
        <f t="shared" si="218"/>
        <v>1</v>
      </c>
      <c r="E586">
        <f t="shared" si="226"/>
        <v>2.8949999999999698</v>
      </c>
      <c r="F586">
        <f t="shared" si="231"/>
        <v>0.16299992205762742</v>
      </c>
      <c r="G586">
        <f t="shared" si="219"/>
        <v>0.21180339532065584</v>
      </c>
      <c r="H586">
        <f t="shared" si="220"/>
        <v>3.4999970022164387E-2</v>
      </c>
      <c r="I586" t="b">
        <f t="shared" si="232"/>
        <v>1</v>
      </c>
      <c r="J586">
        <f t="shared" si="221"/>
        <v>2.8949999999999698</v>
      </c>
      <c r="K586">
        <f t="shared" si="233"/>
        <v>3.4999970022164387E-2</v>
      </c>
      <c r="L586">
        <f t="shared" si="222"/>
        <v>0.16728025089607623</v>
      </c>
      <c r="M586">
        <f t="shared" si="223"/>
        <v>0.1899999400443288</v>
      </c>
      <c r="N586">
        <f t="shared" si="224"/>
        <v>0.1879894761895235</v>
      </c>
      <c r="O586">
        <f t="shared" si="225"/>
        <v>0.15777777770308571</v>
      </c>
      <c r="P586">
        <f t="shared" si="214"/>
        <v>0.08</v>
      </c>
      <c r="Q586">
        <f t="shared" si="234"/>
        <v>0.08</v>
      </c>
      <c r="R586">
        <f t="shared" si="227"/>
        <v>0.08</v>
      </c>
      <c r="S586">
        <f t="shared" si="228"/>
        <v>0.06</v>
      </c>
      <c r="T586">
        <f t="shared" si="229"/>
        <v>0.1</v>
      </c>
      <c r="U586">
        <f t="shared" si="235"/>
        <v>0.08</v>
      </c>
      <c r="V586">
        <f t="shared" si="216"/>
        <v>0.1879894761895235</v>
      </c>
      <c r="W586">
        <f t="shared" si="212"/>
        <v>0.16722530831964039</v>
      </c>
      <c r="X586">
        <f t="shared" si="213"/>
        <v>0.21183982632273107</v>
      </c>
      <c r="Y586" t="b">
        <f t="shared" si="215"/>
        <v>0</v>
      </c>
    </row>
    <row xmlns:x14ac="http://schemas.microsoft.com/office/spreadsheetml/2009/9/ac" r="587" x14ac:dyDescent="0.45">
      <c r="A587">
        <v>2.8999999999999702</v>
      </c>
      <c r="B587">
        <f t="shared" si="217"/>
        <v>0.16299992317707726</v>
      </c>
      <c r="C587" t="b">
        <f t="shared" si="230"/>
        <v>1</v>
      </c>
      <c r="D587" t="b">
        <f t="shared" si="218"/>
        <v>1</v>
      </c>
      <c r="E587">
        <f t="shared" si="226"/>
        <v>2.8999999999999702</v>
      </c>
      <c r="F587">
        <f t="shared" si="231"/>
        <v>0.16299992317707726</v>
      </c>
      <c r="G587">
        <f t="shared" si="219"/>
        <v>0.21179440084897028</v>
      </c>
      <c r="H587">
        <f t="shared" si="220"/>
        <v>3.4999970452722032E-2</v>
      </c>
      <c r="I587" t="b">
        <f t="shared" si="232"/>
        <v>1</v>
      </c>
      <c r="J587">
        <f t="shared" si="221"/>
        <v>2.8999999999999702</v>
      </c>
      <c r="K587">
        <f t="shared" si="233"/>
        <v>3.4999970452722032E-2</v>
      </c>
      <c r="L587">
        <f t="shared" si="222"/>
        <v>0.16729381570132273</v>
      </c>
      <c r="M587">
        <f t="shared" si="223"/>
        <v>0.18999994090544406</v>
      </c>
      <c r="N587">
        <f t="shared" si="224"/>
        <v>0.18798962109345718</v>
      </c>
      <c r="O587">
        <f t="shared" si="225"/>
        <v>0.15777777770438123</v>
      </c>
      <c r="P587">
        <f t="shared" si="214"/>
        <v>0.08</v>
      </c>
      <c r="Q587">
        <f t="shared" si="234"/>
        <v>0.08</v>
      </c>
      <c r="R587">
        <f t="shared" si="227"/>
        <v>0.08</v>
      </c>
      <c r="S587">
        <f t="shared" si="228"/>
        <v>0.06</v>
      </c>
      <c r="T587">
        <f t="shared" si="229"/>
        <v>0.1</v>
      </c>
      <c r="U587">
        <f t="shared" si="235"/>
        <v>0.08</v>
      </c>
      <c r="V587">
        <f t="shared" si="216"/>
        <v>0.18798962109345718</v>
      </c>
      <c r="W587">
        <f t="shared" ref="W587:W650" si="236">IF(EMT_Simulation,L583,L587)</f>
        <v>0.16723914715213006</v>
      </c>
      <c r="X587">
        <f t="shared" ref="X587:X650" si="237">IF(EMT_Simulation,G583,G587)</f>
        <v>0.2118306501506646</v>
      </c>
      <c r="Y587" t="b">
        <f t="shared" si="215"/>
        <v>0</v>
      </c>
    </row>
    <row xmlns:x14ac="http://schemas.microsoft.com/office/spreadsheetml/2009/9/ac" r="588" x14ac:dyDescent="0.45">
      <c r="A588">
        <v>2.9049999999999701</v>
      </c>
      <c r="B588">
        <f t="shared" si="217"/>
        <v>0.16299992460942539</v>
      </c>
      <c r="C588" t="b">
        <f t="shared" si="230"/>
        <v>1</v>
      </c>
      <c r="D588" t="b">
        <f t="shared" si="218"/>
        <v>1</v>
      </c>
      <c r="E588">
        <f t="shared" si="226"/>
        <v>2.9049999999999701</v>
      </c>
      <c r="F588">
        <f t="shared" si="231"/>
        <v>0.16299992460942539</v>
      </c>
      <c r="G588">
        <f t="shared" si="219"/>
        <v>0.21178545123739934</v>
      </c>
      <c r="H588">
        <f t="shared" si="220"/>
        <v>3.4999971003625147E-2</v>
      </c>
      <c r="I588" t="b">
        <f t="shared" si="232"/>
        <v>1</v>
      </c>
      <c r="J588">
        <f t="shared" si="221"/>
        <v>2.9049999999999701</v>
      </c>
      <c r="K588">
        <f t="shared" si="233"/>
        <v>3.4999971003625147E-2</v>
      </c>
      <c r="L588">
        <f t="shared" si="222"/>
        <v>0.16730731285182082</v>
      </c>
      <c r="M588">
        <f t="shared" si="223"/>
        <v>0.18999994200725029</v>
      </c>
      <c r="N588">
        <f t="shared" si="224"/>
        <v>0.18798980776254964</v>
      </c>
      <c r="O588">
        <f t="shared" si="225"/>
        <v>0.15777777770598159</v>
      </c>
      <c r="P588">
        <f t="shared" si="214"/>
        <v>0.08</v>
      </c>
      <c r="Q588">
        <f t="shared" si="234"/>
        <v>0.08</v>
      </c>
      <c r="R588">
        <f t="shared" si="227"/>
        <v>0.08</v>
      </c>
      <c r="S588">
        <f t="shared" si="228"/>
        <v>0.06</v>
      </c>
      <c r="T588">
        <f t="shared" si="229"/>
        <v>0.1</v>
      </c>
      <c r="U588">
        <f t="shared" si="235"/>
        <v>0.08</v>
      </c>
      <c r="V588">
        <f t="shared" si="216"/>
        <v>0.18798980776254964</v>
      </c>
      <c r="W588">
        <f t="shared" si="236"/>
        <v>0.16725291696315475</v>
      </c>
      <c r="X588">
        <f t="shared" si="237"/>
        <v>0.21182151974494723</v>
      </c>
      <c r="Y588" t="b">
        <f t="shared" si="215"/>
        <v>0</v>
      </c>
    </row>
    <row xmlns:x14ac="http://schemas.microsoft.com/office/spreadsheetml/2009/9/ac" r="589" x14ac:dyDescent="0.45">
      <c r="A589">
        <v>2.9099999999999699</v>
      </c>
      <c r="B589">
        <f t="shared" si="217"/>
        <v>0.16299992633255969</v>
      </c>
      <c r="C589" t="b">
        <f t="shared" si="230"/>
        <v>1</v>
      </c>
      <c r="D589" t="b">
        <f t="shared" si="218"/>
        <v>1</v>
      </c>
      <c r="E589">
        <f t="shared" si="226"/>
        <v>2.9099999999999699</v>
      </c>
      <c r="F589">
        <f t="shared" si="231"/>
        <v>0.16299992633255969</v>
      </c>
      <c r="G589">
        <f t="shared" si="219"/>
        <v>0.21177654626220238</v>
      </c>
      <c r="H589">
        <f t="shared" si="220"/>
        <v>3.4999971666369117E-2</v>
      </c>
      <c r="I589" t="b">
        <f t="shared" si="232"/>
        <v>1</v>
      </c>
      <c r="J589">
        <f t="shared" si="221"/>
        <v>2.9099999999999699</v>
      </c>
      <c r="K589">
        <f t="shared" si="233"/>
        <v>3.4999971666369117E-2</v>
      </c>
      <c r="L589">
        <f t="shared" si="222"/>
        <v>0.16732074268499994</v>
      </c>
      <c r="M589">
        <f t="shared" si="223"/>
        <v>0.18999994333273823</v>
      </c>
      <c r="N589">
        <f t="shared" si="224"/>
        <v>0.1879900340482322</v>
      </c>
      <c r="O589">
        <f t="shared" si="225"/>
        <v>0.15777777770785692</v>
      </c>
      <c r="P589">
        <f t="shared" si="214"/>
        <v>0.08</v>
      </c>
      <c r="Q589">
        <f t="shared" si="234"/>
        <v>0.08</v>
      </c>
      <c r="R589">
        <f t="shared" si="227"/>
        <v>0.08</v>
      </c>
      <c r="S589">
        <f t="shared" si="228"/>
        <v>0.06</v>
      </c>
      <c r="T589">
        <f t="shared" si="229"/>
        <v>0.1</v>
      </c>
      <c r="U589">
        <f t="shared" si="235"/>
        <v>0.08</v>
      </c>
      <c r="V589">
        <f t="shared" si="216"/>
        <v>0.1879900340482322</v>
      </c>
      <c r="W589">
        <f t="shared" si="236"/>
        <v>0.16726661809696047</v>
      </c>
      <c r="X589">
        <f t="shared" si="237"/>
        <v>0.21181243487731838</v>
      </c>
      <c r="Y589" t="b">
        <f t="shared" si="215"/>
        <v>0</v>
      </c>
    </row>
    <row xmlns:x14ac="http://schemas.microsoft.com/office/spreadsheetml/2009/9/ac" r="590" x14ac:dyDescent="0.45">
      <c r="A590">
        <v>2.9149999999999698</v>
      </c>
      <c r="B590">
        <f t="shared" si="217"/>
        <v>0.16299992832405549</v>
      </c>
      <c r="C590" t="b">
        <f t="shared" si="230"/>
        <v>1</v>
      </c>
      <c r="D590" t="b">
        <f t="shared" si="218"/>
        <v>1</v>
      </c>
      <c r="E590">
        <f t="shared" si="226"/>
        <v>2.9149999999999698</v>
      </c>
      <c r="F590">
        <f t="shared" si="231"/>
        <v>0.16299992832405549</v>
      </c>
      <c r="G590">
        <f t="shared" si="219"/>
        <v>0.21176768570075449</v>
      </c>
      <c r="H590">
        <f t="shared" si="220"/>
        <v>3.4999972432329038E-2</v>
      </c>
      <c r="I590" t="b">
        <f t="shared" si="232"/>
        <v>1</v>
      </c>
      <c r="J590">
        <f t="shared" si="221"/>
        <v>2.9149999999999698</v>
      </c>
      <c r="K590">
        <f t="shared" si="233"/>
        <v>3.4999972432329038E-2</v>
      </c>
      <c r="L590">
        <f t="shared" si="222"/>
        <v>0.16733410553660666</v>
      </c>
      <c r="M590">
        <f t="shared" si="223"/>
        <v>0.18999994486465807</v>
      </c>
      <c r="N590">
        <f t="shared" si="224"/>
        <v>0.18799029769276382</v>
      </c>
      <c r="O590">
        <f t="shared" si="225"/>
        <v>0.15777777770997806</v>
      </c>
      <c r="P590">
        <f t="shared" ref="P590:P653" si="238">$AB$6-EXP(-AF$6*AF$12*A590)*(COS(AF$5*A590)-(AF$6*AF$12-1)/(AF$5)*SIN(AF$5*A590))*AF$15</f>
        <v>0.08</v>
      </c>
      <c r="Q590">
        <f t="shared" si="234"/>
        <v>0.08</v>
      </c>
      <c r="R590">
        <f t="shared" si="227"/>
        <v>0.08</v>
      </c>
      <c r="S590">
        <f t="shared" si="228"/>
        <v>0.06</v>
      </c>
      <c r="T590">
        <f t="shared" si="229"/>
        <v>0.1</v>
      </c>
      <c r="U590">
        <f t="shared" si="235"/>
        <v>0.08</v>
      </c>
      <c r="V590">
        <f t="shared" si="216"/>
        <v>0.18799029769276382</v>
      </c>
      <c r="W590">
        <f t="shared" si="236"/>
        <v>0.16728025089607623</v>
      </c>
      <c r="X590">
        <f t="shared" si="237"/>
        <v>0.21180339532065584</v>
      </c>
      <c r="Y590" t="b">
        <f t="shared" si="215"/>
        <v>0</v>
      </c>
    </row>
    <row xmlns:x14ac="http://schemas.microsoft.com/office/spreadsheetml/2009/9/ac" r="591" x14ac:dyDescent="0.45">
      <c r="A591">
        <v>2.9199999999999702</v>
      </c>
      <c r="B591">
        <f t="shared" si="217"/>
        <v>0.16299993056129797</v>
      </c>
      <c r="C591" t="b">
        <f t="shared" si="230"/>
        <v>1</v>
      </c>
      <c r="D591" t="b">
        <f t="shared" si="218"/>
        <v>1</v>
      </c>
      <c r="E591">
        <f t="shared" si="226"/>
        <v>2.9199999999999702</v>
      </c>
      <c r="F591">
        <f t="shared" si="231"/>
        <v>0.16299993056129797</v>
      </c>
      <c r="G591">
        <f t="shared" si="219"/>
        <v>0.21175886933154114</v>
      </c>
      <c r="H591">
        <f t="shared" si="220"/>
        <v>3.4999973292806907E-2</v>
      </c>
      <c r="I591" t="b">
        <f t="shared" si="232"/>
        <v>1</v>
      </c>
      <c r="J591">
        <f t="shared" si="221"/>
        <v>2.9199999999999702</v>
      </c>
      <c r="K591">
        <f t="shared" si="233"/>
        <v>3.4999973292806907E-2</v>
      </c>
      <c r="L591">
        <f t="shared" si="222"/>
        <v>0.16734740174071294</v>
      </c>
      <c r="M591">
        <f t="shared" si="223"/>
        <v>0.18999994658561381</v>
      </c>
      <c r="N591">
        <f t="shared" si="224"/>
        <v>0.18799059634274759</v>
      </c>
      <c r="O591">
        <f t="shared" si="225"/>
        <v>0.15777777771231652</v>
      </c>
      <c r="P591">
        <f t="shared" si="238"/>
        <v>0.08</v>
      </c>
      <c r="Q591">
        <f t="shared" si="234"/>
        <v>0.08</v>
      </c>
      <c r="R591">
        <f t="shared" si="227"/>
        <v>0.08</v>
      </c>
      <c r="S591">
        <f t="shared" si="228"/>
        <v>0.06</v>
      </c>
      <c r="T591">
        <f t="shared" si="229"/>
        <v>0.1</v>
      </c>
      <c r="U591">
        <f t="shared" si="235"/>
        <v>0.08</v>
      </c>
      <c r="V591">
        <f t="shared" si="216"/>
        <v>0.18799059634274759</v>
      </c>
      <c r="W591">
        <f t="shared" si="236"/>
        <v>0.16729381570132273</v>
      </c>
      <c r="X591">
        <f t="shared" si="237"/>
        <v>0.21179440084897028</v>
      </c>
      <c r="Y591" t="b">
        <f t="shared" ref="Y591:Y654" si="239">IF(Y590,TRUE,IF(P591&lt;P590,TRUE))</f>
        <v>0</v>
      </c>
    </row>
    <row xmlns:x14ac="http://schemas.microsoft.com/office/spreadsheetml/2009/9/ac" r="592" x14ac:dyDescent="0.45">
      <c r="A592">
        <v>2.9249999999999701</v>
      </c>
      <c r="B592">
        <f t="shared" si="217"/>
        <v>0.16299993302159974</v>
      </c>
      <c r="C592" t="b">
        <f t="shared" si="230"/>
        <v>1</v>
      </c>
      <c r="D592" t="b">
        <f t="shared" si="218"/>
        <v>1</v>
      </c>
      <c r="E592">
        <f t="shared" si="226"/>
        <v>2.9249999999999701</v>
      </c>
      <c r="F592">
        <f t="shared" si="231"/>
        <v>0.16299993302159974</v>
      </c>
      <c r="G592">
        <f t="shared" si="219"/>
        <v>0.21175009693415275</v>
      </c>
      <c r="H592">
        <f t="shared" si="220"/>
        <v>3.4999974239076831E-2</v>
      </c>
      <c r="I592" t="b">
        <f t="shared" si="232"/>
        <v>1</v>
      </c>
      <c r="J592">
        <f t="shared" si="221"/>
        <v>2.9249999999999701</v>
      </c>
      <c r="K592">
        <f t="shared" si="233"/>
        <v>3.4999974239076831E-2</v>
      </c>
      <c r="L592">
        <f t="shared" si="222"/>
        <v>0.16736063162972459</v>
      </c>
      <c r="M592">
        <f t="shared" si="223"/>
        <v>0.18999994847815366</v>
      </c>
      <c r="N592">
        <f t="shared" si="224"/>
        <v>0.18799092756264807</v>
      </c>
      <c r="O592">
        <f t="shared" si="225"/>
        <v>0.15777777771484464</v>
      </c>
      <c r="P592">
        <f t="shared" si="238"/>
        <v>0.08</v>
      </c>
      <c r="Q592">
        <f t="shared" si="234"/>
        <v>0.08</v>
      </c>
      <c r="R592">
        <f t="shared" si="227"/>
        <v>0.08</v>
      </c>
      <c r="S592">
        <f t="shared" si="228"/>
        <v>0.06</v>
      </c>
      <c r="T592">
        <f t="shared" si="229"/>
        <v>0.1</v>
      </c>
      <c r="U592">
        <f t="shared" si="235"/>
        <v>0.08</v>
      </c>
      <c r="V592">
        <f t="shared" si="216"/>
        <v>0.18799092756264807</v>
      </c>
      <c r="W592">
        <f t="shared" si="236"/>
        <v>0.16730731285182082</v>
      </c>
      <c r="X592">
        <f t="shared" si="237"/>
        <v>0.21178545123739934</v>
      </c>
      <c r="Y592" t="b">
        <f t="shared" si="239"/>
        <v>0</v>
      </c>
    </row>
    <row xmlns:x14ac="http://schemas.microsoft.com/office/spreadsheetml/2009/9/ac" r="593" x14ac:dyDescent="0.45">
      <c r="A593">
        <v>2.92999999999997</v>
      </c>
      <c r="B593">
        <f t="shared" si="217"/>
        <v>0.16299993568231283</v>
      </c>
      <c r="C593" t="b">
        <f t="shared" si="230"/>
        <v>1</v>
      </c>
      <c r="D593" t="b">
        <f t="shared" si="218"/>
        <v>1</v>
      </c>
      <c r="E593">
        <f t="shared" si="226"/>
        <v>2.92999999999997</v>
      </c>
      <c r="F593">
        <f t="shared" si="231"/>
        <v>0.16299993568231283</v>
      </c>
      <c r="G593">
        <f t="shared" si="219"/>
        <v>0.21174136828927886</v>
      </c>
      <c r="H593">
        <f t="shared" si="220"/>
        <v>3.4999975262428012E-2</v>
      </c>
      <c r="I593" t="b">
        <f t="shared" si="232"/>
        <v>1</v>
      </c>
      <c r="J593">
        <f t="shared" si="221"/>
        <v>2.92999999999997</v>
      </c>
      <c r="K593">
        <f t="shared" si="233"/>
        <v>3.4999975262428012E-2</v>
      </c>
      <c r="L593">
        <f t="shared" si="222"/>
        <v>0.16737379553438952</v>
      </c>
      <c r="M593">
        <f t="shared" si="223"/>
        <v>0.18999995052485602</v>
      </c>
      <c r="N593">
        <f t="shared" si="224"/>
        <v>0.18799128884824973</v>
      </c>
      <c r="O593">
        <f t="shared" si="225"/>
        <v>0.15777777771753559</v>
      </c>
      <c r="P593">
        <f t="shared" si="238"/>
        <v>0.08</v>
      </c>
      <c r="Q593">
        <f t="shared" si="234"/>
        <v>0.08</v>
      </c>
      <c r="R593">
        <f t="shared" si="227"/>
        <v>0.08</v>
      </c>
      <c r="S593">
        <f t="shared" si="228"/>
        <v>0.06</v>
      </c>
      <c r="T593">
        <f t="shared" si="229"/>
        <v>0.1</v>
      </c>
      <c r="U593">
        <f t="shared" si="235"/>
        <v>0.08</v>
      </c>
      <c r="V593">
        <f t="shared" si="216"/>
        <v>0.18799128884824973</v>
      </c>
      <c r="W593">
        <f t="shared" si="236"/>
        <v>0.16732074268499994</v>
      </c>
      <c r="X593">
        <f t="shared" si="237"/>
        <v>0.21177654626220238</v>
      </c>
      <c r="Y593" t="b">
        <f t="shared" si="239"/>
        <v>0</v>
      </c>
    </row>
    <row xmlns:x14ac="http://schemas.microsoft.com/office/spreadsheetml/2009/9/ac" r="594" x14ac:dyDescent="0.45">
      <c r="A594">
        <v>2.9349999999999699</v>
      </c>
      <c r="B594">
        <f t="shared" si="217"/>
        <v>0.16299993852093517</v>
      </c>
      <c r="C594" t="b">
        <f t="shared" si="230"/>
        <v>1</v>
      </c>
      <c r="D594" t="b">
        <f t="shared" si="218"/>
        <v>1</v>
      </c>
      <c r="E594">
        <f t="shared" si="226"/>
        <v>2.9349999999999699</v>
      </c>
      <c r="F594">
        <f t="shared" si="231"/>
        <v>0.16299993852093517</v>
      </c>
      <c r="G594">
        <f t="shared" si="219"/>
        <v>0.21173268317870286</v>
      </c>
      <c r="H594">
        <f t="shared" si="220"/>
        <v>3.4999976354205833E-2</v>
      </c>
      <c r="I594" t="b">
        <f t="shared" si="232"/>
        <v>1</v>
      </c>
      <c r="J594">
        <f t="shared" si="221"/>
        <v>2.9349999999999699</v>
      </c>
      <c r="K594">
        <f t="shared" si="233"/>
        <v>3.4999976354205833E-2</v>
      </c>
      <c r="L594">
        <f t="shared" si="222"/>
        <v>0.16738689378380603</v>
      </c>
      <c r="M594">
        <f t="shared" si="223"/>
        <v>0.18999995270841169</v>
      </c>
      <c r="N594">
        <f t="shared" si="224"/>
        <v>0.18799167763999797</v>
      </c>
      <c r="O594">
        <f t="shared" si="225"/>
        <v>0.15777777772036367</v>
      </c>
      <c r="P594">
        <f t="shared" si="238"/>
        <v>0.08</v>
      </c>
      <c r="Q594">
        <f t="shared" si="234"/>
        <v>0.08</v>
      </c>
      <c r="R594">
        <f t="shared" si="227"/>
        <v>0.08</v>
      </c>
      <c r="S594">
        <f t="shared" si="228"/>
        <v>0.06</v>
      </c>
      <c r="T594">
        <f t="shared" si="229"/>
        <v>0.1</v>
      </c>
      <c r="U594">
        <f t="shared" si="235"/>
        <v>0.08</v>
      </c>
      <c r="V594">
        <f t="shared" si="216"/>
        <v>0.18799167763999797</v>
      </c>
      <c r="W594">
        <f t="shared" si="236"/>
        <v>0.16733410553660666</v>
      </c>
      <c r="X594">
        <f t="shared" si="237"/>
        <v>0.21176768570075449</v>
      </c>
      <c r="Y594" t="b">
        <f t="shared" si="239"/>
        <v>0</v>
      </c>
    </row>
    <row xmlns:x14ac="http://schemas.microsoft.com/office/spreadsheetml/2009/9/ac" r="595" x14ac:dyDescent="0.45">
      <c r="A595">
        <v>2.9399999999999702</v>
      </c>
      <c r="B595">
        <f t="shared" si="217"/>
        <v>0.16299994151521094</v>
      </c>
      <c r="C595" t="b">
        <f t="shared" si="230"/>
        <v>1</v>
      </c>
      <c r="D595" t="b">
        <f t="shared" si="218"/>
        <v>1</v>
      </c>
      <c r="E595">
        <f t="shared" si="226"/>
        <v>2.9399999999999702</v>
      </c>
      <c r="F595">
        <f t="shared" si="231"/>
        <v>0.16299994151521094</v>
      </c>
      <c r="G595">
        <f t="shared" si="219"/>
        <v>0.2117240413852966</v>
      </c>
      <c r="H595">
        <f t="shared" si="220"/>
        <v>3.4999977505850363E-2</v>
      </c>
      <c r="I595" t="b">
        <f t="shared" si="232"/>
        <v>1</v>
      </c>
      <c r="J595">
        <f t="shared" si="221"/>
        <v>2.9399999999999702</v>
      </c>
      <c r="K595">
        <f t="shared" si="233"/>
        <v>3.4999977505850363E-2</v>
      </c>
      <c r="L595">
        <f t="shared" si="222"/>
        <v>0.16739992670543102</v>
      </c>
      <c r="M595">
        <f t="shared" si="223"/>
        <v>0.18999995501170075</v>
      </c>
      <c r="N595">
        <f t="shared" si="224"/>
        <v>0.18799209133616723</v>
      </c>
      <c r="O595">
        <f t="shared" si="225"/>
        <v>0.15777777772330409</v>
      </c>
      <c r="P595">
        <f t="shared" si="238"/>
        <v>0.08</v>
      </c>
      <c r="Q595">
        <f t="shared" si="234"/>
        <v>0.08</v>
      </c>
      <c r="R595">
        <f t="shared" si="227"/>
        <v>0.08</v>
      </c>
      <c r="S595">
        <f t="shared" si="228"/>
        <v>0.06</v>
      </c>
      <c r="T595">
        <f t="shared" si="229"/>
        <v>0.1</v>
      </c>
      <c r="U595">
        <f t="shared" si="235"/>
        <v>0.08</v>
      </c>
      <c r="V595">
        <f t="shared" si="216"/>
        <v>0.18799209133616723</v>
      </c>
      <c r="W595">
        <f t="shared" si="236"/>
        <v>0.16734740174071294</v>
      </c>
      <c r="X595">
        <f t="shared" si="237"/>
        <v>0.21175886933154114</v>
      </c>
      <c r="Y595" t="b">
        <f t="shared" si="239"/>
        <v>0</v>
      </c>
    </row>
    <row xmlns:x14ac="http://schemas.microsoft.com/office/spreadsheetml/2009/9/ac" r="596" x14ac:dyDescent="0.45">
      <c r="A596">
        <v>2.9449999999999701</v>
      </c>
      <c r="B596">
        <f t="shared" si="217"/>
        <v>0.16299994464322537</v>
      </c>
      <c r="C596" t="b">
        <f t="shared" si="230"/>
        <v>1</v>
      </c>
      <c r="D596" t="b">
        <f t="shared" si="218"/>
        <v>1</v>
      </c>
      <c r="E596">
        <f t="shared" si="226"/>
        <v>2.9449999999999701</v>
      </c>
      <c r="F596">
        <f t="shared" si="231"/>
        <v>0.16299994464322537</v>
      </c>
      <c r="G596">
        <f t="shared" si="219"/>
        <v>0.21171544269301473</v>
      </c>
      <c r="H596">
        <f t="shared" si="220"/>
        <v>3.499997870893283E-2</v>
      </c>
      <c r="I596" t="b">
        <f t="shared" si="232"/>
        <v>1</v>
      </c>
      <c r="J596">
        <f t="shared" si="221"/>
        <v>2.9449999999999701</v>
      </c>
      <c r="K596">
        <f t="shared" si="233"/>
        <v>3.499997870893283E-2</v>
      </c>
      <c r="L596">
        <f t="shared" si="222"/>
        <v>0.16741289462508824</v>
      </c>
      <c r="M596">
        <f t="shared" si="223"/>
        <v>0.18999995741786568</v>
      </c>
      <c r="N596">
        <f t="shared" si="224"/>
        <v>0.18799252730580251</v>
      </c>
      <c r="O596">
        <f t="shared" si="225"/>
        <v>0.15777777772633322</v>
      </c>
      <c r="P596">
        <f t="shared" si="238"/>
        <v>0.08</v>
      </c>
      <c r="Q596">
        <f t="shared" si="234"/>
        <v>0.08</v>
      </c>
      <c r="R596">
        <f t="shared" si="227"/>
        <v>0.08</v>
      </c>
      <c r="S596">
        <f t="shared" si="228"/>
        <v>0.06</v>
      </c>
      <c r="T596">
        <f t="shared" si="229"/>
        <v>0.1</v>
      </c>
      <c r="U596">
        <f t="shared" si="235"/>
        <v>0.08</v>
      </c>
      <c r="V596">
        <f t="shared" si="216"/>
        <v>0.18799252730580251</v>
      </c>
      <c r="W596">
        <f t="shared" si="236"/>
        <v>0.16736063162972459</v>
      </c>
      <c r="X596">
        <f t="shared" si="237"/>
        <v>0.21175009693415275</v>
      </c>
      <c r="Y596" t="b">
        <f t="shared" si="239"/>
        <v>0</v>
      </c>
    </row>
    <row xmlns:x14ac="http://schemas.microsoft.com/office/spreadsheetml/2009/9/ac" r="597" x14ac:dyDescent="0.45">
      <c r="A597">
        <v>2.94999999999997</v>
      </c>
      <c r="B597">
        <f t="shared" si="217"/>
        <v>0.16299994788349245</v>
      </c>
      <c r="C597" t="b">
        <f t="shared" si="230"/>
        <v>1</v>
      </c>
      <c r="D597" t="b">
        <f t="shared" si="218"/>
        <v>1</v>
      </c>
      <c r="E597">
        <f t="shared" si="226"/>
        <v>2.94999999999997</v>
      </c>
      <c r="F597">
        <f t="shared" si="231"/>
        <v>0.16299994788349245</v>
      </c>
      <c r="G597">
        <f t="shared" si="219"/>
        <v>0.2117068868868896</v>
      </c>
      <c r="H597">
        <f t="shared" si="220"/>
        <v>3.4999979955189414E-2</v>
      </c>
      <c r="I597" t="b">
        <f t="shared" si="232"/>
        <v>1</v>
      </c>
      <c r="J597">
        <f t="shared" si="221"/>
        <v>2.94999999999997</v>
      </c>
      <c r="K597">
        <f t="shared" si="233"/>
        <v>3.4999979955189414E-2</v>
      </c>
      <c r="L597">
        <f t="shared" si="222"/>
        <v>0.16742579786697634</v>
      </c>
      <c r="M597">
        <f t="shared" si="223"/>
        <v>0.18999995991037882</v>
      </c>
      <c r="N597">
        <f t="shared" si="224"/>
        <v>0.18799298290138378</v>
      </c>
      <c r="O597">
        <f t="shared" si="225"/>
        <v>0.15777777772942864</v>
      </c>
      <c r="P597">
        <f t="shared" si="238"/>
        <v>0.08</v>
      </c>
      <c r="Q597">
        <f t="shared" si="234"/>
        <v>0.08</v>
      </c>
      <c r="R597">
        <f t="shared" si="227"/>
        <v>0.08</v>
      </c>
      <c r="S597">
        <f t="shared" si="228"/>
        <v>0.06</v>
      </c>
      <c r="T597">
        <f t="shared" si="229"/>
        <v>0.1</v>
      </c>
      <c r="U597">
        <f t="shared" si="235"/>
        <v>0.08</v>
      </c>
      <c r="V597">
        <f t="shared" ref="V597:V660" si="240">MAX(IF(Y597,MAX(H597,$AB$6+$AF$13),MAX(T597,$AB$6+$AF$13)),O597,N597)</f>
        <v>0.18799298290138378</v>
      </c>
      <c r="W597">
        <f t="shared" si="236"/>
        <v>0.16737379553438952</v>
      </c>
      <c r="X597">
        <f t="shared" si="237"/>
        <v>0.21174136828927886</v>
      </c>
      <c r="Y597" t="b">
        <f t="shared" si="239"/>
        <v>0</v>
      </c>
    </row>
    <row xmlns:x14ac="http://schemas.microsoft.com/office/spreadsheetml/2009/9/ac" r="598" x14ac:dyDescent="0.45">
      <c r="A598">
        <v>2.9549999999999601</v>
      </c>
      <c r="B598">
        <f t="shared" si="217"/>
        <v>0.16299995121503738</v>
      </c>
      <c r="C598" t="b">
        <f t="shared" si="230"/>
        <v>1</v>
      </c>
      <c r="D598" t="b">
        <f t="shared" si="218"/>
        <v>1</v>
      </c>
      <c r="E598">
        <f t="shared" si="226"/>
        <v>2.9549999999999601</v>
      </c>
      <c r="F598">
        <f t="shared" si="231"/>
        <v>0.16299995121503738</v>
      </c>
      <c r="G598">
        <f t="shared" si="219"/>
        <v>0.21169837375302547</v>
      </c>
      <c r="H598">
        <f t="shared" si="220"/>
        <v>3.4999981236552832E-2</v>
      </c>
      <c r="I598" t="b">
        <f t="shared" si="232"/>
        <v>1</v>
      </c>
      <c r="J598">
        <f t="shared" si="221"/>
        <v>2.9549999999999601</v>
      </c>
      <c r="K598">
        <f t="shared" si="233"/>
        <v>3.4999981236552832E-2</v>
      </c>
      <c r="L598">
        <f t="shared" si="222"/>
        <v>0.16743863675367701</v>
      </c>
      <c r="M598">
        <f t="shared" si="223"/>
        <v>0.18999996247310569</v>
      </c>
      <c r="N598">
        <f t="shared" si="224"/>
        <v>0.18799345547116525</v>
      </c>
      <c r="O598">
        <f t="shared" si="225"/>
        <v>0.15777777773256907</v>
      </c>
      <c r="P598">
        <f t="shared" si="238"/>
        <v>0.08</v>
      </c>
      <c r="Q598">
        <f t="shared" si="234"/>
        <v>0.08</v>
      </c>
      <c r="R598">
        <f t="shared" si="227"/>
        <v>0.08</v>
      </c>
      <c r="S598">
        <f t="shared" si="228"/>
        <v>0.06</v>
      </c>
      <c r="T598">
        <f t="shared" si="229"/>
        <v>0.1</v>
      </c>
      <c r="U598">
        <f t="shared" si="235"/>
        <v>0.08</v>
      </c>
      <c r="V598">
        <f t="shared" si="240"/>
        <v>0.18799345547116525</v>
      </c>
      <c r="W598">
        <f t="shared" si="236"/>
        <v>0.16738689378380603</v>
      </c>
      <c r="X598">
        <f t="shared" si="237"/>
        <v>0.21173268317870286</v>
      </c>
      <c r="Y598" t="b">
        <f t="shared" si="239"/>
        <v>0</v>
      </c>
    </row>
    <row xmlns:x14ac="http://schemas.microsoft.com/office/spreadsheetml/2009/9/ac" r="599" x14ac:dyDescent="0.45">
      <c r="A599">
        <v>2.95999999999996</v>
      </c>
      <c r="B599">
        <f t="shared" si="217"/>
        <v>0.16299995461747144</v>
      </c>
      <c r="C599" t="b">
        <f t="shared" si="230"/>
        <v>1</v>
      </c>
      <c r="D599" t="b">
        <f t="shared" si="218"/>
        <v>1</v>
      </c>
      <c r="E599">
        <f t="shared" si="226"/>
        <v>2.95999999999996</v>
      </c>
      <c r="F599">
        <f t="shared" si="231"/>
        <v>0.16299995461747144</v>
      </c>
      <c r="G599">
        <f t="shared" si="219"/>
        <v>0.2116899030785937</v>
      </c>
      <c r="H599">
        <f t="shared" si="220"/>
        <v>3.4999982545181316E-2</v>
      </c>
      <c r="I599" t="b">
        <f t="shared" si="232"/>
        <v>1</v>
      </c>
      <c r="J599">
        <f t="shared" si="221"/>
        <v>2.95999999999996</v>
      </c>
      <c r="K599">
        <f t="shared" si="233"/>
        <v>3.4999982545181316E-2</v>
      </c>
      <c r="L599">
        <f t="shared" si="222"/>
        <v>0.16745141160616314</v>
      </c>
      <c r="M599">
        <f t="shared" si="223"/>
        <v>0.18999996509036265</v>
      </c>
      <c r="N599">
        <f t="shared" si="224"/>
        <v>0.18799394237114558</v>
      </c>
      <c r="O599">
        <f t="shared" si="225"/>
        <v>0.15777777773573451</v>
      </c>
      <c r="P599">
        <f t="shared" si="238"/>
        <v>0.08</v>
      </c>
      <c r="Q599">
        <f t="shared" si="234"/>
        <v>0.08</v>
      </c>
      <c r="R599">
        <f t="shared" si="227"/>
        <v>0.08</v>
      </c>
      <c r="S599">
        <f t="shared" si="228"/>
        <v>0.06</v>
      </c>
      <c r="T599">
        <f t="shared" si="229"/>
        <v>0.1</v>
      </c>
      <c r="U599">
        <f t="shared" si="235"/>
        <v>0.08</v>
      </c>
      <c r="V599">
        <f t="shared" si="240"/>
        <v>0.18799394237114558</v>
      </c>
      <c r="W599">
        <f t="shared" si="236"/>
        <v>0.16739992670543102</v>
      </c>
      <c r="X599">
        <f t="shared" si="237"/>
        <v>0.2117240413852966</v>
      </c>
      <c r="Y599" t="b">
        <f t="shared" si="239"/>
        <v>0</v>
      </c>
    </row>
    <row xmlns:x14ac="http://schemas.microsoft.com/office/spreadsheetml/2009/9/ac" r="600" x14ac:dyDescent="0.45">
      <c r="A600">
        <v>2.9649999999999599</v>
      </c>
      <c r="B600">
        <f t="shared" si="217"/>
        <v>0.16299995807106121</v>
      </c>
      <c r="C600" t="b">
        <f t="shared" si="230"/>
        <v>1</v>
      </c>
      <c r="D600" t="b">
        <f t="shared" si="218"/>
        <v>1</v>
      </c>
      <c r="E600">
        <f t="shared" si="226"/>
        <v>2.9649999999999599</v>
      </c>
      <c r="F600">
        <f t="shared" si="231"/>
        <v>0.16299995807106121</v>
      </c>
      <c r="G600">
        <f t="shared" si="219"/>
        <v>0.21168147465182685</v>
      </c>
      <c r="H600">
        <f t="shared" si="220"/>
        <v>3.4999983873485088E-2</v>
      </c>
      <c r="I600" t="b">
        <f t="shared" si="232"/>
        <v>1</v>
      </c>
      <c r="J600">
        <f t="shared" si="221"/>
        <v>2.9649999999999599</v>
      </c>
      <c r="K600">
        <f t="shared" si="233"/>
        <v>3.4999983873485088E-2</v>
      </c>
      <c r="L600">
        <f t="shared" si="222"/>
        <v>0.16746412274380668</v>
      </c>
      <c r="M600">
        <f t="shared" si="223"/>
        <v>0.18999996774697017</v>
      </c>
      <c r="N600">
        <f t="shared" si="224"/>
        <v>0.18799444097662579</v>
      </c>
      <c r="O600">
        <f t="shared" si="225"/>
        <v>0.15777777773890617</v>
      </c>
      <c r="P600">
        <f t="shared" si="238"/>
        <v>0.08</v>
      </c>
      <c r="Q600">
        <f t="shared" si="234"/>
        <v>0.08</v>
      </c>
      <c r="R600">
        <f t="shared" si="227"/>
        <v>0.08</v>
      </c>
      <c r="S600">
        <f t="shared" si="228"/>
        <v>0.06</v>
      </c>
      <c r="T600">
        <f t="shared" si="229"/>
        <v>0.1</v>
      </c>
      <c r="U600">
        <f t="shared" si="235"/>
        <v>0.08</v>
      </c>
      <c r="V600">
        <f t="shared" si="240"/>
        <v>0.18799444097662579</v>
      </c>
      <c r="W600">
        <f t="shared" si="236"/>
        <v>0.16741289462508824</v>
      </c>
      <c r="X600">
        <f t="shared" si="237"/>
        <v>0.21171544269301473</v>
      </c>
      <c r="Y600" t="b">
        <f t="shared" si="239"/>
        <v>0</v>
      </c>
    </row>
    <row xmlns:x14ac="http://schemas.microsoft.com/office/spreadsheetml/2009/9/ac" r="601" x14ac:dyDescent="0.45">
      <c r="A601">
        <v>2.9699999999999598</v>
      </c>
      <c r="B601">
        <f t="shared" si="217"/>
        <v>0.16299996155679108</v>
      </c>
      <c r="C601" t="b">
        <f t="shared" si="230"/>
        <v>1</v>
      </c>
      <c r="D601" t="b">
        <f t="shared" si="218"/>
        <v>1</v>
      </c>
      <c r="E601">
        <f t="shared" si="226"/>
        <v>2.9699999999999598</v>
      </c>
      <c r="F601">
        <f t="shared" si="231"/>
        <v>0.16299996155679108</v>
      </c>
      <c r="G601">
        <f t="shared" si="219"/>
        <v>0.21167308826201386</v>
      </c>
      <c r="H601">
        <f t="shared" si="220"/>
        <v>3.4999985214150417E-2</v>
      </c>
      <c r="I601" t="b">
        <f t="shared" si="232"/>
        <v>1</v>
      </c>
      <c r="J601">
        <f t="shared" si="221"/>
        <v>2.9699999999999598</v>
      </c>
      <c r="K601">
        <f t="shared" si="233"/>
        <v>3.4999985214150417E-2</v>
      </c>
      <c r="L601">
        <f t="shared" si="222"/>
        <v>0.16747677048438675</v>
      </c>
      <c r="M601">
        <f t="shared" si="223"/>
        <v>0.18999997042830086</v>
      </c>
      <c r="N601">
        <f t="shared" si="224"/>
        <v>0.1879949486933174</v>
      </c>
      <c r="O601">
        <f t="shared" si="225"/>
        <v>0.15777777774206661</v>
      </c>
      <c r="P601">
        <f t="shared" si="238"/>
        <v>0.08</v>
      </c>
      <c r="Q601">
        <f t="shared" si="234"/>
        <v>0.08</v>
      </c>
      <c r="R601">
        <f t="shared" si="227"/>
        <v>0.08</v>
      </c>
      <c r="S601">
        <f t="shared" si="228"/>
        <v>0.06</v>
      </c>
      <c r="T601">
        <f t="shared" si="229"/>
        <v>0.1</v>
      </c>
      <c r="U601">
        <f t="shared" si="235"/>
        <v>0.08</v>
      </c>
      <c r="V601">
        <f t="shared" si="240"/>
        <v>0.1879949486933174</v>
      </c>
      <c r="W601">
        <f t="shared" si="236"/>
        <v>0.16742579786697634</v>
      </c>
      <c r="X601">
        <f t="shared" si="237"/>
        <v>0.2117068868868896</v>
      </c>
      <c r="Y601" t="b">
        <f t="shared" si="239"/>
        <v>0</v>
      </c>
    </row>
    <row xmlns:x14ac="http://schemas.microsoft.com/office/spreadsheetml/2009/9/ac" r="602" x14ac:dyDescent="0.45">
      <c r="A602">
        <v>2.9749999999999601</v>
      </c>
      <c r="B602">
        <f t="shared" si="217"/>
        <v>0.16299996505641903</v>
      </c>
      <c r="C602" t="b">
        <f t="shared" si="230"/>
        <v>1</v>
      </c>
      <c r="D602" t="b">
        <f t="shared" si="218"/>
        <v>1</v>
      </c>
      <c r="E602">
        <f t="shared" si="226"/>
        <v>2.9749999999999601</v>
      </c>
      <c r="F602">
        <f t="shared" si="231"/>
        <v>0.16299996505641903</v>
      </c>
      <c r="G602">
        <f t="shared" si="219"/>
        <v>0.21166474369949462</v>
      </c>
      <c r="H602">
        <f t="shared" si="220"/>
        <v>3.4999986560161164E-2</v>
      </c>
      <c r="I602" t="b">
        <f t="shared" si="232"/>
        <v>1</v>
      </c>
      <c r="J602">
        <f t="shared" si="221"/>
        <v>2.9749999999999601</v>
      </c>
      <c r="K602">
        <f t="shared" si="233"/>
        <v>3.4999986560161164E-2</v>
      </c>
      <c r="L602">
        <f t="shared" si="222"/>
        <v>0.16748935514409752</v>
      </c>
      <c r="M602">
        <f t="shared" si="223"/>
        <v>0.18999997312032235</v>
      </c>
      <c r="N602">
        <f t="shared" si="224"/>
        <v>0.18799546296796488</v>
      </c>
      <c r="O602">
        <f t="shared" si="225"/>
        <v>0.15777777774519955</v>
      </c>
      <c r="P602">
        <f t="shared" si="238"/>
        <v>0.08</v>
      </c>
      <c r="Q602">
        <f t="shared" si="234"/>
        <v>0.08</v>
      </c>
      <c r="R602">
        <f t="shared" si="227"/>
        <v>0.08</v>
      </c>
      <c r="S602">
        <f t="shared" si="228"/>
        <v>0.06</v>
      </c>
      <c r="T602">
        <f t="shared" si="229"/>
        <v>0.1</v>
      </c>
      <c r="U602">
        <f t="shared" si="235"/>
        <v>0.08</v>
      </c>
      <c r="V602">
        <f t="shared" si="240"/>
        <v>0.18799546296796488</v>
      </c>
      <c r="W602">
        <f t="shared" si="236"/>
        <v>0.16743863675367701</v>
      </c>
      <c r="X602">
        <f t="shared" si="237"/>
        <v>0.21169837375302547</v>
      </c>
      <c r="Y602" t="b">
        <f t="shared" si="239"/>
        <v>0</v>
      </c>
    </row>
    <row xmlns:x14ac="http://schemas.microsoft.com/office/spreadsheetml/2009/9/ac" r="603" x14ac:dyDescent="0.45">
      <c r="A603">
        <v>2.97999999999996</v>
      </c>
      <c r="B603">
        <f t="shared" si="217"/>
        <v>0.16299996855252619</v>
      </c>
      <c r="C603" t="b">
        <f t="shared" si="230"/>
        <v>1</v>
      </c>
      <c r="D603" t="b">
        <f t="shared" si="218"/>
        <v>1</v>
      </c>
      <c r="E603">
        <f t="shared" si="226"/>
        <v>2.97999999999996</v>
      </c>
      <c r="F603">
        <f t="shared" si="231"/>
        <v>0.16299996855252619</v>
      </c>
      <c r="G603">
        <f t="shared" si="219"/>
        <v>0.21165644075565454</v>
      </c>
      <c r="H603">
        <f t="shared" si="220"/>
        <v>3.4999987904817759E-2</v>
      </c>
      <c r="I603" t="b">
        <f t="shared" si="232"/>
        <v>1</v>
      </c>
      <c r="J603">
        <f t="shared" si="221"/>
        <v>2.97999999999996</v>
      </c>
      <c r="K603">
        <f t="shared" si="233"/>
        <v>3.4999987904817759E-2</v>
      </c>
      <c r="L603">
        <f t="shared" si="222"/>
        <v>0.16750187703755612</v>
      </c>
      <c r="M603">
        <f t="shared" si="223"/>
        <v>0.18999997580963551</v>
      </c>
      <c r="N603">
        <f t="shared" si="224"/>
        <v>0.18799598129845052</v>
      </c>
      <c r="O603">
        <f t="shared" si="225"/>
        <v>0.1577777777482901</v>
      </c>
      <c r="P603">
        <f t="shared" si="238"/>
        <v>0.08</v>
      </c>
      <c r="Q603">
        <f t="shared" si="234"/>
        <v>0.08</v>
      </c>
      <c r="R603">
        <f t="shared" si="227"/>
        <v>0.08</v>
      </c>
      <c r="S603">
        <f t="shared" si="228"/>
        <v>0.06</v>
      </c>
      <c r="T603">
        <f t="shared" si="229"/>
        <v>0.1</v>
      </c>
      <c r="U603">
        <f t="shared" si="235"/>
        <v>0.08</v>
      </c>
      <c r="V603">
        <f t="shared" si="240"/>
        <v>0.18799598129845052</v>
      </c>
      <c r="W603">
        <f t="shared" si="236"/>
        <v>0.16745141160616314</v>
      </c>
      <c r="X603">
        <f t="shared" si="237"/>
        <v>0.2116899030785937</v>
      </c>
      <c r="Y603" t="b">
        <f t="shared" si="239"/>
        <v>0</v>
      </c>
    </row>
    <row xmlns:x14ac="http://schemas.microsoft.com/office/spreadsheetml/2009/9/ac" r="604" x14ac:dyDescent="0.45">
      <c r="A604">
        <v>2.9849999999999599</v>
      </c>
      <c r="B604">
        <f t="shared" si="217"/>
        <v>0.16299997202856009</v>
      </c>
      <c r="C604" t="b">
        <f t="shared" si="230"/>
        <v>1</v>
      </c>
      <c r="D604" t="b">
        <f t="shared" si="218"/>
        <v>1</v>
      </c>
      <c r="E604">
        <f t="shared" si="226"/>
        <v>2.9849999999999599</v>
      </c>
      <c r="F604">
        <f t="shared" si="231"/>
        <v>0.16299997202856009</v>
      </c>
      <c r="G604">
        <f t="shared" si="219"/>
        <v>0.21164817922291962</v>
      </c>
      <c r="H604">
        <f t="shared" si="220"/>
        <v>3.499998924175389E-2</v>
      </c>
      <c r="I604" t="b">
        <f t="shared" si="232"/>
        <v>1</v>
      </c>
      <c r="J604">
        <f t="shared" si="221"/>
        <v>2.9849999999999599</v>
      </c>
      <c r="K604">
        <f t="shared" si="233"/>
        <v>3.499998924175389E-2</v>
      </c>
      <c r="L604">
        <f t="shared" si="222"/>
        <v>0.16751433647781055</v>
      </c>
      <c r="M604">
        <f t="shared" si="223"/>
        <v>0.18999997848350778</v>
      </c>
      <c r="N604">
        <f t="shared" si="224"/>
        <v>0.18799650124335265</v>
      </c>
      <c r="O604">
        <f t="shared" si="225"/>
        <v>0.15777777775132451</v>
      </c>
      <c r="P604">
        <f t="shared" si="238"/>
        <v>0.08</v>
      </c>
      <c r="Q604">
        <f t="shared" si="234"/>
        <v>0.08</v>
      </c>
      <c r="R604">
        <f t="shared" si="227"/>
        <v>0.08</v>
      </c>
      <c r="S604">
        <f t="shared" si="228"/>
        <v>0.06</v>
      </c>
      <c r="T604">
        <f t="shared" si="229"/>
        <v>0.1</v>
      </c>
      <c r="U604">
        <f t="shared" si="235"/>
        <v>0.08</v>
      </c>
      <c r="V604">
        <f t="shared" si="240"/>
        <v>0.18799650124335265</v>
      </c>
      <c r="W604">
        <f t="shared" si="236"/>
        <v>0.16746412274380668</v>
      </c>
      <c r="X604">
        <f t="shared" si="237"/>
        <v>0.21168147465182685</v>
      </c>
      <c r="Y604" t="b">
        <f t="shared" si="239"/>
        <v>0</v>
      </c>
    </row>
    <row xmlns:x14ac="http://schemas.microsoft.com/office/spreadsheetml/2009/9/ac" r="605" x14ac:dyDescent="0.45">
      <c r="A605">
        <v>2.9899999999999598</v>
      </c>
      <c r="B605">
        <f t="shared" si="217"/>
        <v>0.1629999754688716</v>
      </c>
      <c r="C605" t="b">
        <f t="shared" si="230"/>
        <v>1</v>
      </c>
      <c r="D605" t="b">
        <f t="shared" si="218"/>
        <v>1</v>
      </c>
      <c r="E605">
        <f t="shared" si="226"/>
        <v>2.9899999999999598</v>
      </c>
      <c r="F605">
        <f t="shared" si="231"/>
        <v>0.1629999754688716</v>
      </c>
      <c r="G605">
        <f t="shared" si="219"/>
        <v>0.21163995889475112</v>
      </c>
      <c r="H605">
        <f t="shared" si="220"/>
        <v>3.4999990564950609E-2</v>
      </c>
      <c r="I605" t="b">
        <f t="shared" si="232"/>
        <v>1</v>
      </c>
      <c r="J605">
        <f t="shared" si="221"/>
        <v>2.9899999999999598</v>
      </c>
      <c r="K605">
        <f t="shared" si="233"/>
        <v>3.4999990564950609E-2</v>
      </c>
      <c r="L605">
        <f t="shared" si="222"/>
        <v>0.16752673377634747</v>
      </c>
      <c r="M605">
        <f t="shared" si="223"/>
        <v>0.18999998112990124</v>
      </c>
      <c r="N605">
        <f t="shared" si="224"/>
        <v>0.18799702043093203</v>
      </c>
      <c r="O605">
        <f t="shared" si="225"/>
        <v>0.15777777775429047</v>
      </c>
      <c r="P605">
        <f t="shared" si="238"/>
        <v>0.08</v>
      </c>
      <c r="Q605">
        <f t="shared" si="234"/>
        <v>0.08</v>
      </c>
      <c r="R605">
        <f t="shared" si="227"/>
        <v>0.08</v>
      </c>
      <c r="S605">
        <f t="shared" si="228"/>
        <v>0.06</v>
      </c>
      <c r="T605">
        <f t="shared" si="229"/>
        <v>0.1</v>
      </c>
      <c r="U605">
        <f t="shared" si="235"/>
        <v>0.08</v>
      </c>
      <c r="V605">
        <f t="shared" si="240"/>
        <v>0.18799702043093203</v>
      </c>
      <c r="W605">
        <f t="shared" si="236"/>
        <v>0.16747677048438675</v>
      </c>
      <c r="X605">
        <f t="shared" si="237"/>
        <v>0.21167308826201386</v>
      </c>
      <c r="Y605" t="b">
        <f t="shared" si="239"/>
        <v>0</v>
      </c>
    </row>
    <row xmlns:x14ac="http://schemas.microsoft.com/office/spreadsheetml/2009/9/ac" r="606" x14ac:dyDescent="0.45">
      <c r="A606">
        <v>2.9949999999999601</v>
      </c>
      <c r="B606">
        <f t="shared" si="217"/>
        <v>0.16299997885874562</v>
      </c>
      <c r="C606" t="b">
        <f t="shared" si="230"/>
        <v>1</v>
      </c>
      <c r="D606" t="b">
        <f t="shared" si="218"/>
        <v>1</v>
      </c>
      <c r="E606">
        <f t="shared" si="226"/>
        <v>2.9949999999999601</v>
      </c>
      <c r="F606">
        <f t="shared" si="231"/>
        <v>0.16299997885874562</v>
      </c>
      <c r="G606">
        <f t="shared" si="219"/>
        <v>0.21163177956564039</v>
      </c>
      <c r="H606">
        <f t="shared" si="220"/>
        <v>3.4999991868748317E-2</v>
      </c>
      <c r="I606" t="b">
        <f t="shared" si="232"/>
        <v>1</v>
      </c>
      <c r="J606">
        <f t="shared" si="221"/>
        <v>2.9949999999999601</v>
      </c>
      <c r="K606">
        <f t="shared" si="233"/>
        <v>3.4999991868748317E-2</v>
      </c>
      <c r="L606">
        <f t="shared" si="222"/>
        <v>0.16753906924309997</v>
      </c>
      <c r="M606">
        <f t="shared" si="223"/>
        <v>0.18999998373749663</v>
      </c>
      <c r="N606">
        <f t="shared" si="224"/>
        <v>0.18799753656752402</v>
      </c>
      <c r="O606">
        <f t="shared" si="225"/>
        <v>0.15777777775717666</v>
      </c>
      <c r="P606">
        <f t="shared" si="238"/>
        <v>0.08</v>
      </c>
      <c r="Q606">
        <f t="shared" si="234"/>
        <v>0.08</v>
      </c>
      <c r="R606">
        <f t="shared" si="227"/>
        <v>0.08</v>
      </c>
      <c r="S606">
        <f t="shared" si="228"/>
        <v>0.06</v>
      </c>
      <c r="T606">
        <f t="shared" si="229"/>
        <v>0.1</v>
      </c>
      <c r="U606">
        <f t="shared" si="235"/>
        <v>0.08</v>
      </c>
      <c r="V606">
        <f t="shared" si="240"/>
        <v>0.18799753656752402</v>
      </c>
      <c r="W606">
        <f t="shared" si="236"/>
        <v>0.16748935514409752</v>
      </c>
      <c r="X606">
        <f t="shared" si="237"/>
        <v>0.21166474369949462</v>
      </c>
      <c r="Y606" t="b">
        <f t="shared" si="239"/>
        <v>0</v>
      </c>
    </row>
    <row xmlns:x14ac="http://schemas.microsoft.com/office/spreadsheetml/2009/9/ac" r="607" x14ac:dyDescent="0.45">
      <c r="A607">
        <v>2.99999999999996</v>
      </c>
      <c r="B607">
        <f t="shared" si="217"/>
        <v>0.16299998218442602</v>
      </c>
      <c r="C607" t="b">
        <f t="shared" si="230"/>
        <v>1</v>
      </c>
      <c r="D607" t="b">
        <f t="shared" si="218"/>
        <v>1</v>
      </c>
      <c r="E607">
        <f t="shared" si="226"/>
        <v>2.99999999999996</v>
      </c>
      <c r="F607">
        <f t="shared" si="231"/>
        <v>0.16299998218442602</v>
      </c>
      <c r="G607">
        <f t="shared" si="219"/>
        <v>0.21162364103110382</v>
      </c>
      <c r="H607">
        <f t="shared" si="220"/>
        <v>3.4999993147856165E-2</v>
      </c>
      <c r="I607" t="b">
        <f t="shared" si="232"/>
        <v>1</v>
      </c>
      <c r="J607">
        <f t="shared" si="221"/>
        <v>2.99999999999996</v>
      </c>
      <c r="K607">
        <f t="shared" si="233"/>
        <v>3.4999993147856165E-2</v>
      </c>
      <c r="L607">
        <f t="shared" si="222"/>
        <v>0.16755134318645537</v>
      </c>
      <c r="M607">
        <f t="shared" si="223"/>
        <v>0.18999998629571233</v>
      </c>
      <c r="N607">
        <f t="shared" si="224"/>
        <v>0.18799804744531814</v>
      </c>
      <c r="O607">
        <f t="shared" si="225"/>
        <v>0.1577777777599732</v>
      </c>
      <c r="P607">
        <f t="shared" si="238"/>
        <v>0.08</v>
      </c>
      <c r="Q607">
        <f t="shared" si="234"/>
        <v>0.08</v>
      </c>
      <c r="R607">
        <f t="shared" si="227"/>
        <v>0.08</v>
      </c>
      <c r="S607">
        <f t="shared" si="228"/>
        <v>0.06</v>
      </c>
      <c r="T607">
        <f t="shared" si="229"/>
        <v>0.1</v>
      </c>
      <c r="U607">
        <f t="shared" si="235"/>
        <v>0.08</v>
      </c>
      <c r="V607">
        <f t="shared" si="240"/>
        <v>0.18799804744531814</v>
      </c>
      <c r="W607">
        <f t="shared" si="236"/>
        <v>0.16750187703755612</v>
      </c>
      <c r="X607">
        <f t="shared" si="237"/>
        <v>0.21165644075565454</v>
      </c>
      <c r="Y607" t="b">
        <f t="shared" si="239"/>
        <v>0</v>
      </c>
    </row>
    <row xmlns:x14ac="http://schemas.microsoft.com/office/spreadsheetml/2009/9/ac" r="608" x14ac:dyDescent="0.45">
      <c r="A608">
        <v>3.0049999999999599</v>
      </c>
      <c r="B608">
        <f t="shared" si="217"/>
        <v>0.16299998543313465</v>
      </c>
      <c r="C608" t="b">
        <f t="shared" si="230"/>
        <v>1</v>
      </c>
      <c r="D608" t="b">
        <f t="shared" si="218"/>
        <v>1</v>
      </c>
      <c r="E608">
        <f t="shared" si="226"/>
        <v>3.0049999999999599</v>
      </c>
      <c r="F608">
        <f t="shared" si="231"/>
        <v>0.16299998543313465</v>
      </c>
      <c r="G608">
        <f t="shared" si="219"/>
        <v>0.21161554308767755</v>
      </c>
      <c r="H608">
        <f t="shared" si="220"/>
        <v>3.4999994397359485E-2</v>
      </c>
      <c r="I608" t="b">
        <f t="shared" si="232"/>
        <v>1</v>
      </c>
      <c r="J608">
        <f t="shared" si="221"/>
        <v>3.0049999999999599</v>
      </c>
      <c r="K608">
        <f t="shared" si="233"/>
        <v>3.4999994397359485E-2</v>
      </c>
      <c r="L608">
        <f t="shared" si="222"/>
        <v>0.16756355591326288</v>
      </c>
      <c r="M608">
        <f t="shared" si="223"/>
        <v>0.18999998879471897</v>
      </c>
      <c r="N608">
        <f t="shared" si="224"/>
        <v>0.18799855094950929</v>
      </c>
      <c r="O608">
        <f t="shared" si="225"/>
        <v>0.15777777776267121</v>
      </c>
      <c r="P608">
        <f t="shared" si="238"/>
        <v>0.08</v>
      </c>
      <c r="Q608">
        <f t="shared" si="234"/>
        <v>0.08</v>
      </c>
      <c r="R608">
        <f t="shared" si="227"/>
        <v>0.08</v>
      </c>
      <c r="S608">
        <f t="shared" si="228"/>
        <v>0.06</v>
      </c>
      <c r="T608">
        <f t="shared" si="229"/>
        <v>0.1</v>
      </c>
      <c r="U608">
        <f t="shared" si="235"/>
        <v>0.08</v>
      </c>
      <c r="V608">
        <f t="shared" si="240"/>
        <v>0.18799855094950929</v>
      </c>
      <c r="W608">
        <f t="shared" si="236"/>
        <v>0.16751433647781055</v>
      </c>
      <c r="X608">
        <f t="shared" si="237"/>
        <v>0.21164817922291962</v>
      </c>
      <c r="Y608" t="b">
        <f t="shared" si="239"/>
        <v>0</v>
      </c>
    </row>
    <row xmlns:x14ac="http://schemas.microsoft.com/office/spreadsheetml/2009/9/ac" r="609" x14ac:dyDescent="0.45">
      <c r="A609">
        <v>3.0099999999999598</v>
      </c>
      <c r="B609">
        <f t="shared" si="217"/>
        <v>0.16299998859308482</v>
      </c>
      <c r="C609" t="b">
        <f t="shared" si="230"/>
        <v>1</v>
      </c>
      <c r="D609" t="b">
        <f t="shared" si="218"/>
        <v>1</v>
      </c>
      <c r="E609">
        <f t="shared" si="226"/>
        <v>3.0099999999999598</v>
      </c>
      <c r="F609">
        <f t="shared" si="231"/>
        <v>0.16299998859308482</v>
      </c>
      <c r="G609">
        <f t="shared" si="219"/>
        <v>0.21160748553291264</v>
      </c>
      <c r="H609">
        <f t="shared" si="220"/>
        <v>3.4999995612724932E-2</v>
      </c>
      <c r="I609" t="b">
        <f t="shared" si="232"/>
        <v>1</v>
      </c>
      <c r="J609">
        <f t="shared" si="221"/>
        <v>3.0099999999999598</v>
      </c>
      <c r="K609">
        <f t="shared" si="233"/>
        <v>3.4999995612724932E-2</v>
      </c>
      <c r="L609">
        <f t="shared" si="222"/>
        <v>0.16757570772884137</v>
      </c>
      <c r="M609">
        <f t="shared" si="223"/>
        <v>0.18999999122544986</v>
      </c>
      <c r="N609">
        <f t="shared" si="224"/>
        <v>0.18799904506480858</v>
      </c>
      <c r="O609">
        <f t="shared" si="225"/>
        <v>0.15777777776526306</v>
      </c>
      <c r="P609">
        <f t="shared" si="238"/>
        <v>0.08</v>
      </c>
      <c r="Q609">
        <f t="shared" si="234"/>
        <v>0.08</v>
      </c>
      <c r="R609">
        <f t="shared" si="227"/>
        <v>0.08</v>
      </c>
      <c r="S609">
        <f t="shared" si="228"/>
        <v>0.06</v>
      </c>
      <c r="T609">
        <f t="shared" si="229"/>
        <v>0.1</v>
      </c>
      <c r="U609">
        <f t="shared" si="235"/>
        <v>0.08</v>
      </c>
      <c r="V609">
        <f t="shared" si="240"/>
        <v>0.18799904506480858</v>
      </c>
      <c r="W609">
        <f t="shared" si="236"/>
        <v>0.16752673377634747</v>
      </c>
      <c r="X609">
        <f t="shared" si="237"/>
        <v>0.21163995889475112</v>
      </c>
      <c r="Y609" t="b">
        <f t="shared" si="239"/>
        <v>0</v>
      </c>
    </row>
    <row xmlns:x14ac="http://schemas.microsoft.com/office/spreadsheetml/2009/9/ac" r="610" x14ac:dyDescent="0.45">
      <c r="A610">
        <v>3.0149999999999602</v>
      </c>
      <c r="B610">
        <f t="shared" si="217"/>
        <v>0.16299999165348911</v>
      </c>
      <c r="C610" t="b">
        <f t="shared" si="230"/>
        <v>1</v>
      </c>
      <c r="D610" t="b">
        <f t="shared" si="218"/>
        <v>1</v>
      </c>
      <c r="E610">
        <f t="shared" si="226"/>
        <v>3.0149999999999602</v>
      </c>
      <c r="F610">
        <f t="shared" si="231"/>
        <v>0.16299999165348911</v>
      </c>
      <c r="G610">
        <f t="shared" si="219"/>
        <v>0.21159946816536979</v>
      </c>
      <c r="H610">
        <f t="shared" si="220"/>
        <v>3.4999996789803506E-2</v>
      </c>
      <c r="I610" t="b">
        <f t="shared" si="232"/>
        <v>1</v>
      </c>
      <c r="J610">
        <f t="shared" si="221"/>
        <v>3.0149999999999602</v>
      </c>
      <c r="K610">
        <f t="shared" si="233"/>
        <v>3.4999996789803506E-2</v>
      </c>
      <c r="L610">
        <f t="shared" si="222"/>
        <v>0.16758779893698678</v>
      </c>
      <c r="M610">
        <f t="shared" si="223"/>
        <v>0.18999999357960701</v>
      </c>
      <c r="N610">
        <f t="shared" si="224"/>
        <v>0.18799952788130503</v>
      </c>
      <c r="O610">
        <f t="shared" si="225"/>
        <v>0.15777777776774216</v>
      </c>
      <c r="P610">
        <f t="shared" si="238"/>
        <v>0.08</v>
      </c>
      <c r="Q610">
        <f t="shared" si="234"/>
        <v>0.08</v>
      </c>
      <c r="R610">
        <f t="shared" si="227"/>
        <v>0.08</v>
      </c>
      <c r="S610">
        <f t="shared" si="228"/>
        <v>0.06</v>
      </c>
      <c r="T610">
        <f t="shared" si="229"/>
        <v>0.1</v>
      </c>
      <c r="U610">
        <f t="shared" si="235"/>
        <v>0.08</v>
      </c>
      <c r="V610">
        <f t="shared" si="240"/>
        <v>0.18799952788130503</v>
      </c>
      <c r="W610">
        <f t="shared" si="236"/>
        <v>0.16753906924309997</v>
      </c>
      <c r="X610">
        <f t="shared" si="237"/>
        <v>0.21163177956564039</v>
      </c>
      <c r="Y610" t="b">
        <f t="shared" si="239"/>
        <v>0</v>
      </c>
    </row>
    <row xmlns:x14ac="http://schemas.microsoft.com/office/spreadsheetml/2009/9/ac" r="611" x14ac:dyDescent="0.45">
      <c r="A611">
        <v>3.01999999999996</v>
      </c>
      <c r="B611">
        <f t="shared" si="217"/>
        <v>0.1629999946045626</v>
      </c>
      <c r="C611" t="b">
        <f t="shared" si="230"/>
        <v>1</v>
      </c>
      <c r="D611" t="b">
        <f t="shared" si="218"/>
        <v>1</v>
      </c>
      <c r="E611">
        <f t="shared" si="226"/>
        <v>3.01999999999996</v>
      </c>
      <c r="F611">
        <f t="shared" si="231"/>
        <v>0.1629999946045626</v>
      </c>
      <c r="G611">
        <f t="shared" si="219"/>
        <v>0.21159149078461437</v>
      </c>
      <c r="H611">
        <f t="shared" si="220"/>
        <v>3.4999997924831772E-2</v>
      </c>
      <c r="I611" t="b">
        <f t="shared" si="232"/>
        <v>1</v>
      </c>
      <c r="J611">
        <f t="shared" si="221"/>
        <v>3.01999999999996</v>
      </c>
      <c r="K611">
        <f t="shared" si="233"/>
        <v>3.4999997924831772E-2</v>
      </c>
      <c r="L611">
        <f t="shared" si="222"/>
        <v>0.16759982983998001</v>
      </c>
      <c r="M611">
        <f t="shared" si="223"/>
        <v>0.18999999584966354</v>
      </c>
      <c r="N611">
        <f t="shared" si="224"/>
        <v>0.18799999759967206</v>
      </c>
      <c r="O611">
        <f t="shared" si="225"/>
        <v>0.15777777777010302</v>
      </c>
      <c r="P611">
        <f t="shared" si="238"/>
        <v>0.08</v>
      </c>
      <c r="Q611">
        <f t="shared" si="234"/>
        <v>0.08</v>
      </c>
      <c r="R611">
        <f t="shared" si="227"/>
        <v>0.08</v>
      </c>
      <c r="S611">
        <f t="shared" si="228"/>
        <v>0.06</v>
      </c>
      <c r="T611">
        <f t="shared" si="229"/>
        <v>0.1</v>
      </c>
      <c r="U611">
        <f t="shared" si="235"/>
        <v>0.08</v>
      </c>
      <c r="V611">
        <f t="shared" si="240"/>
        <v>0.18799999759967206</v>
      </c>
      <c r="W611">
        <f t="shared" si="236"/>
        <v>0.16755134318645537</v>
      </c>
      <c r="X611">
        <f t="shared" si="237"/>
        <v>0.21162364103110382</v>
      </c>
      <c r="Y611" t="b">
        <f t="shared" si="239"/>
        <v>0</v>
      </c>
    </row>
    <row xmlns:x14ac="http://schemas.microsoft.com/office/spreadsheetml/2009/9/ac" r="612" x14ac:dyDescent="0.45">
      <c r="A612">
        <v>3.0249999999999599</v>
      </c>
      <c r="B612">
        <f t="shared" si="217"/>
        <v>0.16299999743752042</v>
      </c>
      <c r="C612" t="b">
        <f t="shared" si="230"/>
        <v>1</v>
      </c>
      <c r="D612" t="b">
        <f t="shared" si="218"/>
        <v>1</v>
      </c>
      <c r="E612">
        <f t="shared" si="226"/>
        <v>3.0249999999999599</v>
      </c>
      <c r="F612">
        <f t="shared" si="231"/>
        <v>0.16299999743752042</v>
      </c>
      <c r="G612">
        <f t="shared" si="219"/>
        <v>0.21158355319121147</v>
      </c>
      <c r="H612">
        <f t="shared" si="220"/>
        <v>3.4999999014430933E-2</v>
      </c>
      <c r="I612" t="b">
        <f t="shared" si="232"/>
        <v>1</v>
      </c>
      <c r="J612">
        <f t="shared" si="221"/>
        <v>3.0249999999999599</v>
      </c>
      <c r="K612">
        <f t="shared" si="233"/>
        <v>3.4999999014430933E-2</v>
      </c>
      <c r="L612">
        <f t="shared" si="222"/>
        <v>0.16761180073859422</v>
      </c>
      <c r="M612">
        <f t="shared" si="223"/>
        <v>0.18999999802886186</v>
      </c>
      <c r="N612">
        <f t="shared" si="224"/>
        <v>0.18800045253571673</v>
      </c>
      <c r="O612">
        <f t="shared" si="225"/>
        <v>0.15777777777234114</v>
      </c>
      <c r="P612">
        <f t="shared" si="238"/>
        <v>0.08</v>
      </c>
      <c r="Q612">
        <f t="shared" si="234"/>
        <v>0.08</v>
      </c>
      <c r="R612">
        <f t="shared" si="227"/>
        <v>0.08</v>
      </c>
      <c r="S612">
        <f t="shared" si="228"/>
        <v>0.06</v>
      </c>
      <c r="T612">
        <f t="shared" si="229"/>
        <v>0.1</v>
      </c>
      <c r="U612">
        <f t="shared" si="235"/>
        <v>0.08</v>
      </c>
      <c r="V612">
        <f t="shared" si="240"/>
        <v>0.18800045253571673</v>
      </c>
      <c r="W612">
        <f t="shared" si="236"/>
        <v>0.16756355591326288</v>
      </c>
      <c r="X612">
        <f t="shared" si="237"/>
        <v>0.21161554308767755</v>
      </c>
      <c r="Y612" t="b">
        <f t="shared" si="239"/>
        <v>0</v>
      </c>
    </row>
    <row xmlns:x14ac="http://schemas.microsoft.com/office/spreadsheetml/2009/9/ac" r="613" x14ac:dyDescent="0.45">
      <c r="A613">
        <v>3.0299999999999598</v>
      </c>
      <c r="B613">
        <f t="shared" si="217"/>
        <v>0.16300000014457131</v>
      </c>
      <c r="C613" t="b">
        <f t="shared" si="230"/>
        <v>1</v>
      </c>
      <c r="D613" t="b">
        <f t="shared" si="218"/>
        <v>1</v>
      </c>
      <c r="E613">
        <f t="shared" si="226"/>
        <v>3.0299999999999598</v>
      </c>
      <c r="F613">
        <f t="shared" si="231"/>
        <v>0.16300000014457131</v>
      </c>
      <c r="G613">
        <f t="shared" si="219"/>
        <v>0.21157565518672078</v>
      </c>
      <c r="H613">
        <f t="shared" si="220"/>
        <v>3.5000000055604358E-2</v>
      </c>
      <c r="I613" t="b">
        <f t="shared" si="232"/>
        <v>1</v>
      </c>
      <c r="J613">
        <f t="shared" si="221"/>
        <v>3.0299999999999598</v>
      </c>
      <c r="K613">
        <f t="shared" si="233"/>
        <v>3.5000000055604358E-2</v>
      </c>
      <c r="L613">
        <f t="shared" si="222"/>
        <v>0.16762371193210249</v>
      </c>
      <c r="M613">
        <f t="shared" si="223"/>
        <v>0.19000000011120871</v>
      </c>
      <c r="N613">
        <f t="shared" si="224"/>
        <v>0.18800089112427126</v>
      </c>
      <c r="O613">
        <f t="shared" si="225"/>
        <v>0.15777777777445304</v>
      </c>
      <c r="P613">
        <f t="shared" si="238"/>
        <v>0.08</v>
      </c>
      <c r="Q613">
        <f t="shared" si="234"/>
        <v>0.08</v>
      </c>
      <c r="R613">
        <f t="shared" si="227"/>
        <v>0.08</v>
      </c>
      <c r="S613">
        <f t="shared" si="228"/>
        <v>0.06</v>
      </c>
      <c r="T613">
        <f t="shared" si="229"/>
        <v>0.1</v>
      </c>
      <c r="U613">
        <f t="shared" si="235"/>
        <v>0.08</v>
      </c>
      <c r="V613">
        <f t="shared" si="240"/>
        <v>0.18800089112427126</v>
      </c>
      <c r="W613">
        <f t="shared" si="236"/>
        <v>0.16757570772884137</v>
      </c>
      <c r="X613">
        <f t="shared" si="237"/>
        <v>0.21160748553291264</v>
      </c>
      <c r="Y613" t="b">
        <f t="shared" si="239"/>
        <v>0</v>
      </c>
    </row>
    <row xmlns:x14ac="http://schemas.microsoft.com/office/spreadsheetml/2009/9/ac" r="614" x14ac:dyDescent="0.45">
      <c r="A614">
        <v>3.0349999999999602</v>
      </c>
      <c r="B614">
        <f t="shared" si="217"/>
        <v>0.16300000271890619</v>
      </c>
      <c r="C614" t="b">
        <f t="shared" si="230"/>
        <v>1</v>
      </c>
      <c r="D614" t="b">
        <f t="shared" si="218"/>
        <v>1</v>
      </c>
      <c r="E614">
        <f t="shared" si="226"/>
        <v>3.0349999999999602</v>
      </c>
      <c r="F614">
        <f t="shared" si="231"/>
        <v>0.16300000271890619</v>
      </c>
      <c r="G614">
        <f t="shared" si="219"/>
        <v>0.21156779657369185</v>
      </c>
      <c r="H614">
        <f t="shared" si="220"/>
        <v>3.5000001045733156E-2</v>
      </c>
      <c r="I614" t="b">
        <f t="shared" si="232"/>
        <v>1</v>
      </c>
      <c r="J614">
        <f t="shared" si="221"/>
        <v>3.0349999999999602</v>
      </c>
      <c r="K614">
        <f t="shared" si="233"/>
        <v>3.5000001045733156E-2</v>
      </c>
      <c r="L614">
        <f t="shared" si="222"/>
        <v>0.16763556371828531</v>
      </c>
      <c r="M614">
        <f t="shared" si="223"/>
        <v>0.19000000209146631</v>
      </c>
      <c r="N614">
        <f t="shared" si="224"/>
        <v>0.18800131192243141</v>
      </c>
      <c r="O614">
        <f t="shared" si="225"/>
        <v>0.15777777777643609</v>
      </c>
      <c r="P614">
        <f t="shared" si="238"/>
        <v>0.08</v>
      </c>
      <c r="Q614">
        <f t="shared" si="234"/>
        <v>0.08</v>
      </c>
      <c r="R614">
        <f t="shared" si="227"/>
        <v>0.08</v>
      </c>
      <c r="S614">
        <f t="shared" si="228"/>
        <v>0.06</v>
      </c>
      <c r="T614">
        <f t="shared" si="229"/>
        <v>0.1</v>
      </c>
      <c r="U614">
        <f t="shared" si="235"/>
        <v>0.08</v>
      </c>
      <c r="V614">
        <f t="shared" si="240"/>
        <v>0.18800131192243141</v>
      </c>
      <c r="W614">
        <f t="shared" si="236"/>
        <v>0.16758779893698678</v>
      </c>
      <c r="X614">
        <f t="shared" si="237"/>
        <v>0.21159946816536979</v>
      </c>
      <c r="Y614" t="b">
        <f t="shared" si="239"/>
        <v>0</v>
      </c>
    </row>
    <row xmlns:x14ac="http://schemas.microsoft.com/office/spreadsheetml/2009/9/ac" r="615" x14ac:dyDescent="0.45">
      <c r="A615">
        <v>3.0399999999999601</v>
      </c>
      <c r="B615">
        <f t="shared" si="217"/>
        <v>0.16300000515468296</v>
      </c>
      <c r="C615" t="b">
        <f t="shared" si="230"/>
        <v>1</v>
      </c>
      <c r="D615" t="b">
        <f t="shared" si="218"/>
        <v>1</v>
      </c>
      <c r="E615">
        <f t="shared" si="226"/>
        <v>3.0399999999999601</v>
      </c>
      <c r="F615">
        <f t="shared" si="231"/>
        <v>0.16300000515468296</v>
      </c>
      <c r="G615">
        <f t="shared" si="219"/>
        <v>0.21155997715565894</v>
      </c>
      <c r="H615">
        <f t="shared" si="220"/>
        <v>3.5000001982570375E-2</v>
      </c>
      <c r="I615" t="b">
        <f t="shared" si="232"/>
        <v>1</v>
      </c>
      <c r="J615">
        <f t="shared" si="221"/>
        <v>3.0399999999999601</v>
      </c>
      <c r="K615">
        <f t="shared" si="233"/>
        <v>3.5000001982570375E-2</v>
      </c>
      <c r="L615">
        <f t="shared" si="222"/>
        <v>0.16764735639343792</v>
      </c>
      <c r="M615">
        <f t="shared" si="223"/>
        <v>0.19000000396514075</v>
      </c>
      <c r="N615">
        <f t="shared" si="224"/>
        <v>0.18800171361214632</v>
      </c>
      <c r="O615">
        <f t="shared" si="225"/>
        <v>0.15777777777828861</v>
      </c>
      <c r="P615">
        <f t="shared" si="238"/>
        <v>0.08</v>
      </c>
      <c r="Q615">
        <f t="shared" si="234"/>
        <v>0.08</v>
      </c>
      <c r="R615">
        <f t="shared" si="227"/>
        <v>0.08</v>
      </c>
      <c r="S615">
        <f t="shared" si="228"/>
        <v>0.06</v>
      </c>
      <c r="T615">
        <f t="shared" si="229"/>
        <v>0.1</v>
      </c>
      <c r="U615">
        <f t="shared" si="235"/>
        <v>0.08</v>
      </c>
      <c r="V615">
        <f t="shared" si="240"/>
        <v>0.18800171361214632</v>
      </c>
      <c r="W615">
        <f t="shared" si="236"/>
        <v>0.16759982983998001</v>
      </c>
      <c r="X615">
        <f t="shared" si="237"/>
        <v>0.21159149078461437</v>
      </c>
      <c r="Y615" t="b">
        <f t="shared" si="239"/>
        <v>0</v>
      </c>
    </row>
    <row xmlns:x14ac="http://schemas.microsoft.com/office/spreadsheetml/2009/9/ac" r="616" x14ac:dyDescent="0.45">
      <c r="A616">
        <v>3.04499999999996</v>
      </c>
      <c r="B616">
        <f t="shared" si="217"/>
        <v>0.16300000744700724</v>
      </c>
      <c r="C616" t="b">
        <f t="shared" si="230"/>
        <v>1</v>
      </c>
      <c r="D616" t="b">
        <f t="shared" si="218"/>
        <v>1</v>
      </c>
      <c r="E616">
        <f t="shared" si="226"/>
        <v>3.04499999999996</v>
      </c>
      <c r="F616">
        <f t="shared" si="231"/>
        <v>0.16300000744700724</v>
      </c>
      <c r="G616">
        <f t="shared" si="219"/>
        <v>0.21155219673713616</v>
      </c>
      <c r="H616">
        <f t="shared" si="220"/>
        <v>3.5000002864233562E-2</v>
      </c>
      <c r="I616" t="b">
        <f t="shared" si="232"/>
        <v>1</v>
      </c>
      <c r="J616">
        <f t="shared" si="221"/>
        <v>3.04499999999996</v>
      </c>
      <c r="K616">
        <f t="shared" si="233"/>
        <v>3.5000002864233562E-2</v>
      </c>
      <c r="L616">
        <f t="shared" si="222"/>
        <v>0.16765909025237785</v>
      </c>
      <c r="M616">
        <f t="shared" si="223"/>
        <v>0.19000000572846712</v>
      </c>
      <c r="N616">
        <f t="shared" si="224"/>
        <v>0.18800209500217024</v>
      </c>
      <c r="O616">
        <f t="shared" si="225"/>
        <v>0.1577777777800097</v>
      </c>
      <c r="P616">
        <f t="shared" si="238"/>
        <v>0.08</v>
      </c>
      <c r="Q616">
        <f t="shared" si="234"/>
        <v>0.08</v>
      </c>
      <c r="R616">
        <f t="shared" si="227"/>
        <v>0.08</v>
      </c>
      <c r="S616">
        <f t="shared" si="228"/>
        <v>0.06</v>
      </c>
      <c r="T616">
        <f t="shared" si="229"/>
        <v>0.1</v>
      </c>
      <c r="U616">
        <f t="shared" si="235"/>
        <v>0.08</v>
      </c>
      <c r="V616">
        <f t="shared" si="240"/>
        <v>0.18800209500217024</v>
      </c>
      <c r="W616">
        <f t="shared" si="236"/>
        <v>0.16761180073859422</v>
      </c>
      <c r="X616">
        <f t="shared" si="237"/>
        <v>0.21158355319121147</v>
      </c>
      <c r="Y616" t="b">
        <f t="shared" si="239"/>
        <v>0</v>
      </c>
    </row>
    <row xmlns:x14ac="http://schemas.microsoft.com/office/spreadsheetml/2009/9/ac" r="617" x14ac:dyDescent="0.45">
      <c r="A617">
        <v>3.0499999999999599</v>
      </c>
      <c r="B617">
        <f t="shared" si="217"/>
        <v>0.16300000959190966</v>
      </c>
      <c r="C617" t="b">
        <f t="shared" si="230"/>
        <v>1</v>
      </c>
      <c r="D617" t="b">
        <f t="shared" si="218"/>
        <v>1</v>
      </c>
      <c r="E617">
        <f t="shared" si="226"/>
        <v>3.0499999999999599</v>
      </c>
      <c r="F617">
        <f t="shared" si="231"/>
        <v>0.16300000959190966</v>
      </c>
      <c r="G617">
        <f t="shared" si="219"/>
        <v>0.21154445512361264</v>
      </c>
      <c r="H617">
        <f t="shared" si="220"/>
        <v>3.5000003689196021E-2</v>
      </c>
      <c r="I617" t="b">
        <f t="shared" si="232"/>
        <v>1</v>
      </c>
      <c r="J617">
        <f t="shared" si="221"/>
        <v>3.0499999999999599</v>
      </c>
      <c r="K617">
        <f t="shared" si="233"/>
        <v>3.5000003689196021E-2</v>
      </c>
      <c r="L617">
        <f t="shared" si="222"/>
        <v>0.16767076558845218</v>
      </c>
      <c r="M617">
        <f t="shared" si="223"/>
        <v>0.19000000737839207</v>
      </c>
      <c r="N617">
        <f t="shared" si="224"/>
        <v>0.18800245502938612</v>
      </c>
      <c r="O617">
        <f t="shared" si="225"/>
        <v>0.15777777778159924</v>
      </c>
      <c r="P617">
        <f t="shared" si="238"/>
        <v>0.08</v>
      </c>
      <c r="Q617">
        <f t="shared" si="234"/>
        <v>0.08</v>
      </c>
      <c r="R617">
        <f t="shared" si="227"/>
        <v>0.08</v>
      </c>
      <c r="S617">
        <f t="shared" si="228"/>
        <v>0.06</v>
      </c>
      <c r="T617">
        <f t="shared" si="229"/>
        <v>0.1</v>
      </c>
      <c r="U617">
        <f t="shared" si="235"/>
        <v>0.08</v>
      </c>
      <c r="V617">
        <f t="shared" si="240"/>
        <v>0.18800245502938612</v>
      </c>
      <c r="W617">
        <f t="shared" si="236"/>
        <v>0.16762371193210249</v>
      </c>
      <c r="X617">
        <f t="shared" si="237"/>
        <v>0.21157565518672078</v>
      </c>
      <c r="Y617" t="b">
        <f t="shared" si="239"/>
        <v>0</v>
      </c>
    </row>
    <row xmlns:x14ac="http://schemas.microsoft.com/office/spreadsheetml/2009/9/ac" r="618" x14ac:dyDescent="0.45">
      <c r="A618">
        <v>3.0549999999999602</v>
      </c>
      <c r="B618">
        <f t="shared" si="217"/>
        <v>0.16300001158631952</v>
      </c>
      <c r="C618" t="b">
        <f t="shared" si="230"/>
        <v>1</v>
      </c>
      <c r="D618" t="b">
        <f t="shared" si="218"/>
        <v>1</v>
      </c>
      <c r="E618">
        <f t="shared" si="226"/>
        <v>3.0549999999999602</v>
      </c>
      <c r="F618">
        <f t="shared" si="231"/>
        <v>0.16300001158631952</v>
      </c>
      <c r="G618">
        <f t="shared" si="219"/>
        <v>0.21153675212154766</v>
      </c>
      <c r="H618">
        <f t="shared" si="220"/>
        <v>3.500000445627674E-2</v>
      </c>
      <c r="I618" t="b">
        <f t="shared" si="232"/>
        <v>1</v>
      </c>
      <c r="J618">
        <f t="shared" si="221"/>
        <v>3.0549999999999602</v>
      </c>
      <c r="K618">
        <f t="shared" si="233"/>
        <v>3.500000445627674E-2</v>
      </c>
      <c r="L618">
        <f t="shared" si="222"/>
        <v>0.16768238269354491</v>
      </c>
      <c r="M618">
        <f t="shared" si="223"/>
        <v>0.19000000891255348</v>
      </c>
      <c r="N618">
        <f t="shared" si="224"/>
        <v>0.18800279275951604</v>
      </c>
      <c r="O618">
        <f t="shared" si="225"/>
        <v>0.15777777778305774</v>
      </c>
      <c r="P618">
        <f t="shared" si="238"/>
        <v>0.08</v>
      </c>
      <c r="Q618">
        <f t="shared" si="234"/>
        <v>0.08</v>
      </c>
      <c r="R618">
        <f t="shared" si="227"/>
        <v>0.08</v>
      </c>
      <c r="S618">
        <f t="shared" si="228"/>
        <v>0.06</v>
      </c>
      <c r="T618">
        <f t="shared" si="229"/>
        <v>0.1</v>
      </c>
      <c r="U618">
        <f t="shared" si="235"/>
        <v>0.08</v>
      </c>
      <c r="V618">
        <f t="shared" si="240"/>
        <v>0.18800279275951604</v>
      </c>
      <c r="W618">
        <f t="shared" si="236"/>
        <v>0.16763556371828531</v>
      </c>
      <c r="X618">
        <f t="shared" si="237"/>
        <v>0.21156779657369185</v>
      </c>
      <c r="Y618" t="b">
        <f t="shared" si="239"/>
        <v>0</v>
      </c>
    </row>
    <row xmlns:x14ac="http://schemas.microsoft.com/office/spreadsheetml/2009/9/ac" r="619" x14ac:dyDescent="0.45">
      <c r="A619">
        <v>3.0599999999999601</v>
      </c>
      <c r="B619">
        <f t="shared" si="217"/>
        <v>0.16300001342803591</v>
      </c>
      <c r="C619" t="b">
        <f t="shared" si="230"/>
        <v>1</v>
      </c>
      <c r="D619" t="b">
        <f t="shared" si="218"/>
        <v>1</v>
      </c>
      <c r="E619">
        <f t="shared" si="226"/>
        <v>3.0599999999999601</v>
      </c>
      <c r="F619">
        <f t="shared" si="231"/>
        <v>0.16300001342803591</v>
      </c>
      <c r="G619">
        <f t="shared" si="219"/>
        <v>0.21152908753836575</v>
      </c>
      <c r="H619">
        <f t="shared" si="220"/>
        <v>3.50000051646292E-2</v>
      </c>
      <c r="I619" t="b">
        <f t="shared" si="232"/>
        <v>1</v>
      </c>
      <c r="J619">
        <f t="shared" si="221"/>
        <v>3.0599999999999601</v>
      </c>
      <c r="K619">
        <f t="shared" si="233"/>
        <v>3.50000051646292E-2</v>
      </c>
      <c r="L619">
        <f t="shared" si="222"/>
        <v>0.16769394185808423</v>
      </c>
      <c r="M619">
        <f t="shared" si="223"/>
        <v>0.1900000103292584</v>
      </c>
      <c r="N619">
        <f t="shared" si="224"/>
        <v>0.188003107387234</v>
      </c>
      <c r="O619">
        <f t="shared" si="225"/>
        <v>0.15777777778438656</v>
      </c>
      <c r="P619">
        <f t="shared" si="238"/>
        <v>0.08</v>
      </c>
      <c r="Q619">
        <f t="shared" si="234"/>
        <v>0.08</v>
      </c>
      <c r="R619">
        <f t="shared" si="227"/>
        <v>0.08</v>
      </c>
      <c r="S619">
        <f t="shared" si="228"/>
        <v>0.06</v>
      </c>
      <c r="T619">
        <f t="shared" si="229"/>
        <v>0.1</v>
      </c>
      <c r="U619">
        <f t="shared" si="235"/>
        <v>0.08</v>
      </c>
      <c r="V619">
        <f t="shared" si="240"/>
        <v>0.188003107387234</v>
      </c>
      <c r="W619">
        <f t="shared" si="236"/>
        <v>0.16764735639343792</v>
      </c>
      <c r="X619">
        <f t="shared" si="237"/>
        <v>0.21155997715565894</v>
      </c>
      <c r="Y619" t="b">
        <f t="shared" si="239"/>
        <v>0</v>
      </c>
    </row>
    <row xmlns:x14ac="http://schemas.microsoft.com/office/spreadsheetml/2009/9/ac" r="620" x14ac:dyDescent="0.45">
      <c r="A620">
        <v>3.06499999999996</v>
      </c>
      <c r="B620">
        <f t="shared" si="217"/>
        <v>0.16300001511569562</v>
      </c>
      <c r="C620" t="b">
        <f t="shared" si="230"/>
        <v>1</v>
      </c>
      <c r="D620" t="b">
        <f t="shared" si="218"/>
        <v>1</v>
      </c>
      <c r="E620">
        <f t="shared" si="226"/>
        <v>3.06499999999996</v>
      </c>
      <c r="F620">
        <f t="shared" si="231"/>
        <v>0.16300001511569562</v>
      </c>
      <c r="G620">
        <f t="shared" si="219"/>
        <v>0.21152146118245191</v>
      </c>
      <c r="H620">
        <f t="shared" si="220"/>
        <v>3.5000005813729085E-2</v>
      </c>
      <c r="I620" t="b">
        <f t="shared" si="232"/>
        <v>1</v>
      </c>
      <c r="J620">
        <f t="shared" si="221"/>
        <v>3.06499999999996</v>
      </c>
      <c r="K620">
        <f t="shared" si="233"/>
        <v>3.5000005813729085E-2</v>
      </c>
      <c r="L620">
        <f t="shared" si="222"/>
        <v>0.16770544337104992</v>
      </c>
      <c r="M620">
        <f t="shared" si="223"/>
        <v>0.19000001162745817</v>
      </c>
      <c r="N620">
        <f t="shared" si="224"/>
        <v>0.18800339823569939</v>
      </c>
      <c r="O620">
        <f t="shared" si="225"/>
        <v>0.15777777778558755</v>
      </c>
      <c r="P620">
        <f t="shared" si="238"/>
        <v>0.08</v>
      </c>
      <c r="Q620">
        <f t="shared" si="234"/>
        <v>0.08</v>
      </c>
      <c r="R620">
        <f t="shared" si="227"/>
        <v>0.08</v>
      </c>
      <c r="S620">
        <f t="shared" si="228"/>
        <v>0.06</v>
      </c>
      <c r="T620">
        <f t="shared" si="229"/>
        <v>0.1</v>
      </c>
      <c r="U620">
        <f t="shared" si="235"/>
        <v>0.08</v>
      </c>
      <c r="V620">
        <f t="shared" si="240"/>
        <v>0.18800339823569939</v>
      </c>
      <c r="W620">
        <f t="shared" si="236"/>
        <v>0.16765909025237785</v>
      </c>
      <c r="X620">
        <f t="shared" si="237"/>
        <v>0.21155219673713616</v>
      </c>
      <c r="Y620" t="b">
        <f t="shared" si="239"/>
        <v>0</v>
      </c>
    </row>
    <row xmlns:x14ac="http://schemas.microsoft.com/office/spreadsheetml/2009/9/ac" r="621" x14ac:dyDescent="0.45">
      <c r="A621">
        <v>3.0699999999999599</v>
      </c>
      <c r="B621">
        <f t="shared" si="217"/>
        <v>0.16300001664873889</v>
      </c>
      <c r="C621" t="b">
        <f t="shared" si="230"/>
        <v>1</v>
      </c>
      <c r="D621" t="b">
        <f t="shared" si="218"/>
        <v>1</v>
      </c>
      <c r="E621">
        <f t="shared" si="226"/>
        <v>3.0699999999999599</v>
      </c>
      <c r="F621">
        <f t="shared" si="231"/>
        <v>0.16300001664873889</v>
      </c>
      <c r="G621">
        <f t="shared" si="219"/>
        <v>0.21151387286314693</v>
      </c>
      <c r="H621">
        <f t="shared" si="220"/>
        <v>3.5000006403361122E-2</v>
      </c>
      <c r="I621" t="b">
        <f t="shared" si="232"/>
        <v>1</v>
      </c>
      <c r="J621">
        <f t="shared" si="221"/>
        <v>3.0699999999999599</v>
      </c>
      <c r="K621">
        <f t="shared" si="233"/>
        <v>3.5000006403361122E-2</v>
      </c>
      <c r="L621">
        <f t="shared" si="222"/>
        <v>0.16771688751998037</v>
      </c>
      <c r="M621">
        <f t="shared" si="223"/>
        <v>0.19000001280672224</v>
      </c>
      <c r="N621">
        <f t="shared" si="224"/>
        <v>0.18800366475553201</v>
      </c>
      <c r="O621">
        <f t="shared" si="225"/>
        <v>0.15777777778666305</v>
      </c>
      <c r="P621">
        <f t="shared" si="238"/>
        <v>0.08</v>
      </c>
      <c r="Q621">
        <f t="shared" si="234"/>
        <v>0.08</v>
      </c>
      <c r="R621">
        <f t="shared" si="227"/>
        <v>0.08</v>
      </c>
      <c r="S621">
        <f t="shared" si="228"/>
        <v>0.06</v>
      </c>
      <c r="T621">
        <f t="shared" si="229"/>
        <v>0.1</v>
      </c>
      <c r="U621">
        <f t="shared" si="235"/>
        <v>0.08</v>
      </c>
      <c r="V621">
        <f t="shared" si="240"/>
        <v>0.18800366475553201</v>
      </c>
      <c r="W621">
        <f t="shared" si="236"/>
        <v>0.16767076558845218</v>
      </c>
      <c r="X621">
        <f t="shared" si="237"/>
        <v>0.21154445512361264</v>
      </c>
      <c r="Y621" t="b">
        <f t="shared" si="239"/>
        <v>0</v>
      </c>
    </row>
    <row xmlns:x14ac="http://schemas.microsoft.com/office/spreadsheetml/2009/9/ac" r="622" x14ac:dyDescent="0.45">
      <c r="A622">
        <v>3.0749999999999602</v>
      </c>
      <c r="B622">
        <f t="shared" si="217"/>
        <v>0.16300001802737291</v>
      </c>
      <c r="C622" t="b">
        <f t="shared" si="230"/>
        <v>1</v>
      </c>
      <c r="D622" t="b">
        <f t="shared" si="218"/>
        <v>1</v>
      </c>
      <c r="E622">
        <f t="shared" si="226"/>
        <v>3.0749999999999602</v>
      </c>
      <c r="F622">
        <f t="shared" si="231"/>
        <v>0.16300001802737291</v>
      </c>
      <c r="G622">
        <f t="shared" si="219"/>
        <v>0.21150632239074235</v>
      </c>
      <c r="H622">
        <f t="shared" si="220"/>
        <v>3.5000006933604971E-2</v>
      </c>
      <c r="I622" t="b">
        <f t="shared" si="232"/>
        <v>1</v>
      </c>
      <c r="J622">
        <f t="shared" si="221"/>
        <v>3.0749999999999602</v>
      </c>
      <c r="K622">
        <f t="shared" si="233"/>
        <v>3.5000006933604971E-2</v>
      </c>
      <c r="L622">
        <f t="shared" si="222"/>
        <v>0.16772827459097994</v>
      </c>
      <c r="M622">
        <f t="shared" si="223"/>
        <v>0.19000001386720994</v>
      </c>
      <c r="N622">
        <f t="shared" si="224"/>
        <v>0.18800390652324994</v>
      </c>
      <c r="O622">
        <f t="shared" si="225"/>
        <v>0.15777777778761604</v>
      </c>
      <c r="P622">
        <f t="shared" si="238"/>
        <v>0.08</v>
      </c>
      <c r="Q622">
        <f t="shared" si="234"/>
        <v>0.08</v>
      </c>
      <c r="R622">
        <f t="shared" si="227"/>
        <v>0.08</v>
      </c>
      <c r="S622">
        <f t="shared" si="228"/>
        <v>0.06</v>
      </c>
      <c r="T622">
        <f t="shared" si="229"/>
        <v>0.1</v>
      </c>
      <c r="U622">
        <f t="shared" si="235"/>
        <v>0.08</v>
      </c>
      <c r="V622">
        <f t="shared" si="240"/>
        <v>0.18800390652324994</v>
      </c>
      <c r="W622">
        <f t="shared" si="236"/>
        <v>0.16768238269354491</v>
      </c>
      <c r="X622">
        <f t="shared" si="237"/>
        <v>0.21153675212154766</v>
      </c>
      <c r="Y622" t="b">
        <f t="shared" si="239"/>
        <v>0</v>
      </c>
    </row>
    <row xmlns:x14ac="http://schemas.microsoft.com/office/spreadsheetml/2009/9/ac" r="623" x14ac:dyDescent="0.45">
      <c r="A623">
        <v>3.0799999999999601</v>
      </c>
      <c r="B623">
        <f t="shared" si="217"/>
        <v>0.16300001925253338</v>
      </c>
      <c r="C623" t="b">
        <f t="shared" si="230"/>
        <v>1</v>
      </c>
      <c r="D623" t="b">
        <f t="shared" si="218"/>
        <v>1</v>
      </c>
      <c r="E623">
        <f t="shared" si="226"/>
        <v>3.0799999999999601</v>
      </c>
      <c r="F623">
        <f t="shared" si="231"/>
        <v>0.16300001925253338</v>
      </c>
      <c r="G623">
        <f t="shared" si="219"/>
        <v>0.21149880957647599</v>
      </c>
      <c r="H623">
        <f t="shared" si="220"/>
        <v>3.5000007404820538E-2</v>
      </c>
      <c r="I623" t="b">
        <f t="shared" si="232"/>
        <v>1</v>
      </c>
      <c r="J623">
        <f t="shared" si="221"/>
        <v>3.0799999999999601</v>
      </c>
      <c r="K623">
        <f t="shared" si="233"/>
        <v>3.5000007404820538E-2</v>
      </c>
      <c r="L623">
        <f t="shared" si="222"/>
        <v>0.16773960486872594</v>
      </c>
      <c r="M623">
        <f t="shared" si="223"/>
        <v>0.19000001480964107</v>
      </c>
      <c r="N623">
        <f t="shared" si="224"/>
        <v>0.18800412323919508</v>
      </c>
      <c r="O623">
        <f t="shared" si="225"/>
        <v>0.15777777778844995</v>
      </c>
      <c r="P623">
        <f t="shared" si="238"/>
        <v>0.08</v>
      </c>
      <c r="Q623">
        <f t="shared" si="234"/>
        <v>0.08</v>
      </c>
      <c r="R623">
        <f t="shared" si="227"/>
        <v>0.08</v>
      </c>
      <c r="S623">
        <f t="shared" si="228"/>
        <v>0.06</v>
      </c>
      <c r="T623">
        <f t="shared" si="229"/>
        <v>0.1</v>
      </c>
      <c r="U623">
        <f t="shared" si="235"/>
        <v>0.08</v>
      </c>
      <c r="V623">
        <f t="shared" si="240"/>
        <v>0.18800412323919508</v>
      </c>
      <c r="W623">
        <f t="shared" si="236"/>
        <v>0.16769394185808423</v>
      </c>
      <c r="X623">
        <f t="shared" si="237"/>
        <v>0.21152908753836575</v>
      </c>
      <c r="Y623" t="b">
        <f t="shared" si="239"/>
        <v>0</v>
      </c>
    </row>
    <row xmlns:x14ac="http://schemas.microsoft.com/office/spreadsheetml/2009/9/ac" r="624" x14ac:dyDescent="0.45">
      <c r="A624">
        <v>3.08499999999996</v>
      </c>
      <c r="B624">
        <f t="shared" si="217"/>
        <v>0.1630000203258446</v>
      </c>
      <c r="C624" t="b">
        <f t="shared" si="230"/>
        <v>1</v>
      </c>
      <c r="D624" t="b">
        <f t="shared" si="218"/>
        <v>1</v>
      </c>
      <c r="E624">
        <f t="shared" si="226"/>
        <v>3.08499999999996</v>
      </c>
      <c r="F624">
        <f t="shared" si="231"/>
        <v>0.1630000203258446</v>
      </c>
      <c r="G624">
        <f t="shared" si="219"/>
        <v>0.21149133423252708</v>
      </c>
      <c r="H624">
        <f t="shared" si="220"/>
        <v>3.5000007817632531E-2</v>
      </c>
      <c r="I624" t="b">
        <f t="shared" si="232"/>
        <v>1</v>
      </c>
      <c r="J624">
        <f t="shared" si="221"/>
        <v>3.08499999999996</v>
      </c>
      <c r="K624">
        <f t="shared" si="233"/>
        <v>3.5000007817632531E-2</v>
      </c>
      <c r="L624">
        <f t="shared" si="222"/>
        <v>0.16775087863647592</v>
      </c>
      <c r="M624">
        <f t="shared" si="223"/>
        <v>0.19000001563526508</v>
      </c>
      <c r="N624">
        <f t="shared" si="224"/>
        <v>0.18800431472497098</v>
      </c>
      <c r="O624">
        <f t="shared" si="225"/>
        <v>0.15777777778916852</v>
      </c>
      <c r="P624">
        <f t="shared" si="238"/>
        <v>0.08</v>
      </c>
      <c r="Q624">
        <f t="shared" si="234"/>
        <v>0.08</v>
      </c>
      <c r="R624">
        <f t="shared" si="227"/>
        <v>0.08</v>
      </c>
      <c r="S624">
        <f t="shared" si="228"/>
        <v>0.06</v>
      </c>
      <c r="T624">
        <f t="shared" si="229"/>
        <v>0.1</v>
      </c>
      <c r="U624">
        <f t="shared" si="235"/>
        <v>0.08</v>
      </c>
      <c r="V624">
        <f t="shared" si="240"/>
        <v>0.18800431472497098</v>
      </c>
      <c r="W624">
        <f t="shared" si="236"/>
        <v>0.16770544337104992</v>
      </c>
      <c r="X624">
        <f t="shared" si="237"/>
        <v>0.21152146118245191</v>
      </c>
      <c r="Y624" t="b">
        <f t="shared" si="239"/>
        <v>0</v>
      </c>
    </row>
    <row xmlns:x14ac="http://schemas.microsoft.com/office/spreadsheetml/2009/9/ac" r="625" x14ac:dyDescent="0.45">
      <c r="A625">
        <v>3.0899999999999599</v>
      </c>
      <c r="B625">
        <f t="shared" si="217"/>
        <v>0.16300002124957794</v>
      </c>
      <c r="C625" t="b">
        <f t="shared" si="230"/>
        <v>1</v>
      </c>
      <c r="D625" t="b">
        <f t="shared" si="218"/>
        <v>1</v>
      </c>
      <c r="E625">
        <f t="shared" si="226"/>
        <v>3.0899999999999599</v>
      </c>
      <c r="F625">
        <f t="shared" si="231"/>
        <v>0.16300002124957794</v>
      </c>
      <c r="G625">
        <f t="shared" si="219"/>
        <v>0.21148389617201169</v>
      </c>
      <c r="H625">
        <f t="shared" si="220"/>
        <v>3.5000008172914585E-2</v>
      </c>
      <c r="I625" t="b">
        <f t="shared" si="232"/>
        <v>1</v>
      </c>
      <c r="J625">
        <f t="shared" si="221"/>
        <v>3.0899999999999599</v>
      </c>
      <c r="K625">
        <f t="shared" si="233"/>
        <v>3.5000008172914585E-2</v>
      </c>
      <c r="L625">
        <f t="shared" si="222"/>
        <v>0.16776209617607468</v>
      </c>
      <c r="M625">
        <f t="shared" si="223"/>
        <v>0.19000001634582919</v>
      </c>
      <c r="N625">
        <f t="shared" si="224"/>
        <v>0.18800448092042041</v>
      </c>
      <c r="O625">
        <f t="shared" si="225"/>
        <v>0.15777777778977586</v>
      </c>
      <c r="P625">
        <f t="shared" si="238"/>
        <v>0.08</v>
      </c>
      <c r="Q625">
        <f t="shared" si="234"/>
        <v>0.08</v>
      </c>
      <c r="R625">
        <f t="shared" si="227"/>
        <v>0.08</v>
      </c>
      <c r="S625">
        <f t="shared" si="228"/>
        <v>0.06</v>
      </c>
      <c r="T625">
        <f t="shared" si="229"/>
        <v>0.1</v>
      </c>
      <c r="U625">
        <f t="shared" si="235"/>
        <v>0.08</v>
      </c>
      <c r="V625">
        <f t="shared" si="240"/>
        <v>0.18800448092042041</v>
      </c>
      <c r="W625">
        <f t="shared" si="236"/>
        <v>0.16771688751998037</v>
      </c>
      <c r="X625">
        <f t="shared" si="237"/>
        <v>0.21151387286314693</v>
      </c>
      <c r="Y625" t="b">
        <f t="shared" si="239"/>
        <v>0</v>
      </c>
    </row>
    <row xmlns:x14ac="http://schemas.microsoft.com/office/spreadsheetml/2009/9/ac" r="626" x14ac:dyDescent="0.45">
      <c r="A626">
        <v>3.0949999999999598</v>
      </c>
      <c r="B626">
        <f t="shared" si="217"/>
        <v>0.1630000220266096</v>
      </c>
      <c r="C626" t="b">
        <f t="shared" si="230"/>
        <v>1</v>
      </c>
      <c r="D626" t="b">
        <f t="shared" si="218"/>
        <v>1</v>
      </c>
      <c r="E626">
        <f t="shared" si="226"/>
        <v>3.0949999999999598</v>
      </c>
      <c r="F626">
        <f t="shared" si="231"/>
        <v>0.1630000220266096</v>
      </c>
      <c r="G626">
        <f t="shared" si="219"/>
        <v>0.21147649520897788</v>
      </c>
      <c r="H626">
        <f t="shared" si="220"/>
        <v>3.5000008471772925E-2</v>
      </c>
      <c r="I626" t="b">
        <f t="shared" si="232"/>
        <v>1</v>
      </c>
      <c r="J626">
        <f t="shared" si="221"/>
        <v>3.0949999999999598</v>
      </c>
      <c r="K626">
        <f t="shared" si="233"/>
        <v>3.5000008471772925E-2</v>
      </c>
      <c r="L626">
        <f t="shared" si="222"/>
        <v>0.16777325776796129</v>
      </c>
      <c r="M626">
        <f t="shared" si="223"/>
        <v>0.19000001694354585</v>
      </c>
      <c r="N626">
        <f t="shared" si="224"/>
        <v>0.18800462188016986</v>
      </c>
      <c r="O626">
        <f t="shared" si="225"/>
        <v>0.15777777779027652</v>
      </c>
      <c r="P626">
        <f t="shared" si="238"/>
        <v>0.08</v>
      </c>
      <c r="Q626">
        <f t="shared" si="234"/>
        <v>0.08</v>
      </c>
      <c r="R626">
        <f t="shared" si="227"/>
        <v>0.08</v>
      </c>
      <c r="S626">
        <f t="shared" si="228"/>
        <v>0.06</v>
      </c>
      <c r="T626">
        <f t="shared" si="229"/>
        <v>0.1</v>
      </c>
      <c r="U626">
        <f t="shared" si="235"/>
        <v>0.08</v>
      </c>
      <c r="V626">
        <f t="shared" si="240"/>
        <v>0.18800462188016986</v>
      </c>
      <c r="W626">
        <f t="shared" si="236"/>
        <v>0.16772827459097994</v>
      </c>
      <c r="X626">
        <f t="shared" si="237"/>
        <v>0.21150632239074235</v>
      </c>
      <c r="Y626" t="b">
        <f t="shared" si="239"/>
        <v>0</v>
      </c>
    </row>
    <row xmlns:x14ac="http://schemas.microsoft.com/office/spreadsheetml/2009/9/ac" r="627" x14ac:dyDescent="0.45">
      <c r="A627">
        <v>3.0999999999999601</v>
      </c>
      <c r="B627">
        <f t="shared" si="217"/>
        <v>0.16300002266037722</v>
      </c>
      <c r="C627" t="b">
        <f t="shared" si="230"/>
        <v>1</v>
      </c>
      <c r="D627" t="b">
        <f t="shared" si="218"/>
        <v>1</v>
      </c>
      <c r="E627">
        <f t="shared" si="226"/>
        <v>3.0999999999999601</v>
      </c>
      <c r="F627">
        <f t="shared" si="231"/>
        <v>0.16300002266037722</v>
      </c>
      <c r="G627">
        <f t="shared" si="219"/>
        <v>0.21146913115840121</v>
      </c>
      <c r="H627">
        <f t="shared" si="220"/>
        <v>3.5000008715529704E-2</v>
      </c>
      <c r="I627" t="b">
        <f t="shared" si="232"/>
        <v>1</v>
      </c>
      <c r="J627">
        <f t="shared" si="221"/>
        <v>3.0999999999999601</v>
      </c>
      <c r="K627">
        <f t="shared" si="233"/>
        <v>3.5000008715529704E-2</v>
      </c>
      <c r="L627">
        <f t="shared" si="222"/>
        <v>0.16778436369117611</v>
      </c>
      <c r="M627">
        <f t="shared" si="223"/>
        <v>0.1900000174310594</v>
      </c>
      <c r="N627">
        <f t="shared" si="224"/>
        <v>0.18800473776977089</v>
      </c>
      <c r="O627">
        <f t="shared" si="225"/>
        <v>0.15777777779067517</v>
      </c>
      <c r="P627">
        <f t="shared" si="238"/>
        <v>0.08</v>
      </c>
      <c r="Q627">
        <f t="shared" si="234"/>
        <v>0.08</v>
      </c>
      <c r="R627">
        <f t="shared" si="227"/>
        <v>0.08</v>
      </c>
      <c r="S627">
        <f t="shared" si="228"/>
        <v>0.06</v>
      </c>
      <c r="T627">
        <f t="shared" si="229"/>
        <v>0.1</v>
      </c>
      <c r="U627">
        <f t="shared" si="235"/>
        <v>0.08</v>
      </c>
      <c r="V627">
        <f t="shared" si="240"/>
        <v>0.18800473776977089</v>
      </c>
      <c r="W627">
        <f t="shared" si="236"/>
        <v>0.16773960486872594</v>
      </c>
      <c r="X627">
        <f t="shared" si="237"/>
        <v>0.21149880957647599</v>
      </c>
      <c r="Y627" t="b">
        <f t="shared" si="239"/>
        <v>0</v>
      </c>
    </row>
    <row xmlns:x14ac="http://schemas.microsoft.com/office/spreadsheetml/2009/9/ac" r="628" x14ac:dyDescent="0.45">
      <c r="A628">
        <v>3.10499999999996</v>
      </c>
      <c r="B628">
        <f t="shared" si="217"/>
        <v>0.16300002315483617</v>
      </c>
      <c r="C628" t="b">
        <f t="shared" si="230"/>
        <v>1</v>
      </c>
      <c r="D628" t="b">
        <f t="shared" si="218"/>
        <v>1</v>
      </c>
      <c r="E628">
        <f t="shared" si="226"/>
        <v>3.10499999999996</v>
      </c>
      <c r="F628">
        <f t="shared" si="231"/>
        <v>0.16300002315483617</v>
      </c>
      <c r="G628">
        <f t="shared" si="219"/>
        <v>0.21146180383618002</v>
      </c>
      <c r="H628">
        <f t="shared" si="220"/>
        <v>3.5000008905706217E-2</v>
      </c>
      <c r="I628" t="b">
        <f t="shared" si="232"/>
        <v>1</v>
      </c>
      <c r="J628">
        <f t="shared" si="221"/>
        <v>3.10499999999996</v>
      </c>
      <c r="K628">
        <f t="shared" si="233"/>
        <v>3.5000008905706217E-2</v>
      </c>
      <c r="L628">
        <f t="shared" si="222"/>
        <v>0.16779541422336783</v>
      </c>
      <c r="M628">
        <f t="shared" si="223"/>
        <v>0.19000001781141246</v>
      </c>
      <c r="N628">
        <f t="shared" si="224"/>
        <v>0.18800482886146788</v>
      </c>
      <c r="O628">
        <f t="shared" si="225"/>
        <v>0.15777777779097674</v>
      </c>
      <c r="P628">
        <f t="shared" si="238"/>
        <v>0.08</v>
      </c>
      <c r="Q628">
        <f t="shared" si="234"/>
        <v>0.08</v>
      </c>
      <c r="R628">
        <f t="shared" si="227"/>
        <v>0.08</v>
      </c>
      <c r="S628">
        <f t="shared" si="228"/>
        <v>0.06</v>
      </c>
      <c r="T628">
        <f t="shared" si="229"/>
        <v>0.1</v>
      </c>
      <c r="U628">
        <f t="shared" si="235"/>
        <v>0.08</v>
      </c>
      <c r="V628">
        <f t="shared" si="240"/>
        <v>0.18800482886146788</v>
      </c>
      <c r="W628">
        <f t="shared" si="236"/>
        <v>0.16775087863647592</v>
      </c>
      <c r="X628">
        <f t="shared" si="237"/>
        <v>0.21149133423252708</v>
      </c>
      <c r="Y628" t="b">
        <f t="shared" si="239"/>
        <v>0</v>
      </c>
    </row>
    <row xmlns:x14ac="http://schemas.microsoft.com/office/spreadsheetml/2009/9/ac" r="629" x14ac:dyDescent="0.45">
      <c r="A629">
        <v>3.1099999999999599</v>
      </c>
      <c r="B629">
        <f t="shared" si="217"/>
        <v>0.16300002351441528</v>
      </c>
      <c r="C629" t="b">
        <f t="shared" si="230"/>
        <v>1</v>
      </c>
      <c r="D629" t="b">
        <f t="shared" si="218"/>
        <v>1</v>
      </c>
      <c r="E629">
        <f t="shared" si="226"/>
        <v>3.1099999999999599</v>
      </c>
      <c r="F629">
        <f t="shared" si="231"/>
        <v>0.16300002351441528</v>
      </c>
      <c r="G629">
        <f t="shared" si="219"/>
        <v>0.21145451305913082</v>
      </c>
      <c r="H629">
        <f t="shared" si="220"/>
        <v>3.5000009044005881E-2</v>
      </c>
      <c r="I629" t="b">
        <f t="shared" si="232"/>
        <v>1</v>
      </c>
      <c r="J629">
        <f t="shared" si="221"/>
        <v>3.1099999999999599</v>
      </c>
      <c r="K629">
        <f t="shared" si="233"/>
        <v>3.5000009044005881E-2</v>
      </c>
      <c r="L629">
        <f t="shared" si="222"/>
        <v>0.16780640964080029</v>
      </c>
      <c r="M629">
        <f t="shared" si="223"/>
        <v>0.19000001808801176</v>
      </c>
      <c r="N629">
        <f t="shared" si="224"/>
        <v>0.18800489552962241</v>
      </c>
      <c r="O629">
        <f t="shared" si="225"/>
        <v>0.15777777779118637</v>
      </c>
      <c r="P629">
        <f t="shared" si="238"/>
        <v>0.08</v>
      </c>
      <c r="Q629">
        <f t="shared" si="234"/>
        <v>0.08</v>
      </c>
      <c r="R629">
        <f t="shared" si="227"/>
        <v>0.08</v>
      </c>
      <c r="S629">
        <f t="shared" si="228"/>
        <v>0.06</v>
      </c>
      <c r="T629">
        <f t="shared" si="229"/>
        <v>0.1</v>
      </c>
      <c r="U629">
        <f t="shared" si="235"/>
        <v>0.08</v>
      </c>
      <c r="V629">
        <f t="shared" si="240"/>
        <v>0.18800489552962241</v>
      </c>
      <c r="W629">
        <f t="shared" si="236"/>
        <v>0.16776209617607468</v>
      </c>
      <c r="X629">
        <f t="shared" si="237"/>
        <v>0.21148389617201169</v>
      </c>
      <c r="Y629" t="b">
        <f t="shared" si="239"/>
        <v>0</v>
      </c>
    </row>
    <row xmlns:x14ac="http://schemas.microsoft.com/office/spreadsheetml/2009/9/ac" r="630" x14ac:dyDescent="0.45">
      <c r="A630">
        <v>3.1149999999999598</v>
      </c>
      <c r="B630">
        <f t="shared" si="217"/>
        <v>0.16300002374397266</v>
      </c>
      <c r="C630" t="b">
        <f t="shared" si="230"/>
        <v>1</v>
      </c>
      <c r="D630" t="b">
        <f t="shared" si="218"/>
        <v>1</v>
      </c>
      <c r="E630">
        <f t="shared" si="226"/>
        <v>3.1149999999999598</v>
      </c>
      <c r="F630">
        <f t="shared" si="231"/>
        <v>0.16300002374397266</v>
      </c>
      <c r="G630">
        <f t="shared" si="219"/>
        <v>0.21144725864498393</v>
      </c>
      <c r="H630">
        <f t="shared" si="220"/>
        <v>3.5000009132297172E-2</v>
      </c>
      <c r="I630" t="b">
        <f t="shared" si="232"/>
        <v>1</v>
      </c>
      <c r="J630">
        <f t="shared" si="221"/>
        <v>3.1149999999999598</v>
      </c>
      <c r="K630">
        <f t="shared" si="233"/>
        <v>3.5000009132297172E-2</v>
      </c>
      <c r="L630">
        <f t="shared" si="222"/>
        <v>0.16781735021835953</v>
      </c>
      <c r="M630">
        <f t="shared" si="223"/>
        <v>0.19000001826459434</v>
      </c>
      <c r="N630">
        <f t="shared" si="224"/>
        <v>0.18800493824582643</v>
      </c>
      <c r="O630">
        <f t="shared" si="225"/>
        <v>0.1577777777913093</v>
      </c>
      <c r="P630">
        <f t="shared" si="238"/>
        <v>0.08</v>
      </c>
      <c r="Q630">
        <f t="shared" si="234"/>
        <v>0.08</v>
      </c>
      <c r="R630">
        <f t="shared" si="227"/>
        <v>0.08</v>
      </c>
      <c r="S630">
        <f t="shared" si="228"/>
        <v>0.06</v>
      </c>
      <c r="T630">
        <f t="shared" si="229"/>
        <v>0.1</v>
      </c>
      <c r="U630">
        <f t="shared" si="235"/>
        <v>0.08</v>
      </c>
      <c r="V630">
        <f t="shared" si="240"/>
        <v>0.18800493824582643</v>
      </c>
      <c r="W630">
        <f t="shared" si="236"/>
        <v>0.16777325776796129</v>
      </c>
      <c r="X630">
        <f t="shared" si="237"/>
        <v>0.21147649520897788</v>
      </c>
      <c r="Y630" t="b">
        <f t="shared" si="239"/>
        <v>0</v>
      </c>
    </row>
    <row xmlns:x14ac="http://schemas.microsoft.com/office/spreadsheetml/2009/9/ac" r="631" x14ac:dyDescent="0.45">
      <c r="A631">
        <v>3.1199999999999601</v>
      </c>
      <c r="B631">
        <f t="shared" si="217"/>
        <v>0.16300002384875137</v>
      </c>
      <c r="C631" t="b">
        <f t="shared" si="230"/>
        <v>1</v>
      </c>
      <c r="D631" t="b">
        <f t="shared" si="218"/>
        <v>1</v>
      </c>
      <c r="E631">
        <f t="shared" si="226"/>
        <v>3.1199999999999601</v>
      </c>
      <c r="F631">
        <f t="shared" si="231"/>
        <v>0.16300002384875137</v>
      </c>
      <c r="G631">
        <f t="shared" si="219"/>
        <v>0.21144004041237846</v>
      </c>
      <c r="H631">
        <f t="shared" si="220"/>
        <v>3.5000009172596686E-2</v>
      </c>
      <c r="I631" t="b">
        <f t="shared" si="232"/>
        <v>1</v>
      </c>
      <c r="J631">
        <f t="shared" si="221"/>
        <v>3.1199999999999601</v>
      </c>
      <c r="K631">
        <f t="shared" si="233"/>
        <v>3.5000009172596686E-2</v>
      </c>
      <c r="L631">
        <f t="shared" si="222"/>
        <v>0.16782823622956056</v>
      </c>
      <c r="M631">
        <f t="shared" si="223"/>
        <v>0.19000001834519337</v>
      </c>
      <c r="N631">
        <f t="shared" si="224"/>
        <v>0.18800495757373495</v>
      </c>
      <c r="O631">
        <f t="shared" si="225"/>
        <v>0.15777777779135094</v>
      </c>
      <c r="P631">
        <f t="shared" si="238"/>
        <v>0.08</v>
      </c>
      <c r="Q631">
        <f t="shared" si="234"/>
        <v>0.08</v>
      </c>
      <c r="R631">
        <f t="shared" si="227"/>
        <v>0.08</v>
      </c>
      <c r="S631">
        <f t="shared" si="228"/>
        <v>0.06</v>
      </c>
      <c r="T631">
        <f t="shared" si="229"/>
        <v>0.1</v>
      </c>
      <c r="U631">
        <f t="shared" si="235"/>
        <v>0.08</v>
      </c>
      <c r="V631">
        <f t="shared" si="240"/>
        <v>0.18800495757373495</v>
      </c>
      <c r="W631">
        <f t="shared" si="236"/>
        <v>0.16778436369117611</v>
      </c>
      <c r="X631">
        <f t="shared" si="237"/>
        <v>0.21146913115840121</v>
      </c>
      <c r="Y631" t="b">
        <f t="shared" si="239"/>
        <v>0</v>
      </c>
    </row>
    <row xmlns:x14ac="http://schemas.microsoft.com/office/spreadsheetml/2009/9/ac" r="632" x14ac:dyDescent="0.45">
      <c r="A632">
        <v>3.12499999999996</v>
      </c>
      <c r="B632">
        <f t="shared" si="217"/>
        <v>0.16300002383433571</v>
      </c>
      <c r="C632" t="b">
        <f t="shared" si="230"/>
        <v>1</v>
      </c>
      <c r="D632" t="b">
        <f t="shared" si="218"/>
        <v>1</v>
      </c>
      <c r="E632">
        <f t="shared" si="226"/>
        <v>3.12499999999996</v>
      </c>
      <c r="F632">
        <f t="shared" si="231"/>
        <v>0.16300002383433571</v>
      </c>
      <c r="G632">
        <f t="shared" si="219"/>
        <v>0.21143285818085839</v>
      </c>
      <c r="H632">
        <f t="shared" si="220"/>
        <v>3.5000009167052204E-2</v>
      </c>
      <c r="I632" t="b">
        <f t="shared" si="232"/>
        <v>1</v>
      </c>
      <c r="J632">
        <f t="shared" si="221"/>
        <v>3.12499999999996</v>
      </c>
      <c r="K632">
        <f t="shared" si="233"/>
        <v>3.5000009167052204E-2</v>
      </c>
      <c r="L632">
        <f t="shared" si="222"/>
        <v>0.16783906794655418</v>
      </c>
      <c r="M632">
        <f t="shared" si="223"/>
        <v>0.1900000183341044</v>
      </c>
      <c r="N632">
        <f t="shared" si="224"/>
        <v>0.18800495416365065</v>
      </c>
      <c r="O632">
        <f t="shared" si="225"/>
        <v>0.15777777779131669</v>
      </c>
      <c r="P632">
        <f t="shared" si="238"/>
        <v>0.08</v>
      </c>
      <c r="Q632">
        <f t="shared" si="234"/>
        <v>0.08</v>
      </c>
      <c r="R632">
        <f t="shared" si="227"/>
        <v>0.08</v>
      </c>
      <c r="S632">
        <f t="shared" si="228"/>
        <v>0.06</v>
      </c>
      <c r="T632">
        <f t="shared" si="229"/>
        <v>0.1</v>
      </c>
      <c r="U632">
        <f t="shared" si="235"/>
        <v>0.08</v>
      </c>
      <c r="V632">
        <f t="shared" si="240"/>
        <v>0.18800495416365065</v>
      </c>
      <c r="W632">
        <f t="shared" si="236"/>
        <v>0.16779541422336783</v>
      </c>
      <c r="X632">
        <f t="shared" si="237"/>
        <v>0.21146180383618002</v>
      </c>
      <c r="Y632" t="b">
        <f t="shared" si="239"/>
        <v>0</v>
      </c>
    </row>
    <row xmlns:x14ac="http://schemas.microsoft.com/office/spreadsheetml/2009/9/ac" r="633" x14ac:dyDescent="0.45">
      <c r="A633">
        <v>3.1299999999999599</v>
      </c>
      <c r="B633">
        <f t="shared" si="217"/>
        <v>0.16300002370660788</v>
      </c>
      <c r="C633" t="b">
        <f t="shared" si="230"/>
        <v>1</v>
      </c>
      <c r="D633" t="b">
        <f t="shared" si="218"/>
        <v>1</v>
      </c>
      <c r="E633">
        <f t="shared" si="226"/>
        <v>3.1299999999999599</v>
      </c>
      <c r="F633">
        <f t="shared" si="231"/>
        <v>0.16300002370660788</v>
      </c>
      <c r="G633">
        <f t="shared" si="219"/>
        <v>0.21142571177086739</v>
      </c>
      <c r="H633">
        <f t="shared" si="220"/>
        <v>3.5000009117926112E-2</v>
      </c>
      <c r="I633" t="b">
        <f t="shared" si="232"/>
        <v>1</v>
      </c>
      <c r="J633">
        <f t="shared" si="221"/>
        <v>3.1299999999999599</v>
      </c>
      <c r="K633">
        <f t="shared" si="233"/>
        <v>3.5000009117926112E-2</v>
      </c>
      <c r="L633">
        <f t="shared" si="222"/>
        <v>0.16784984564013394</v>
      </c>
      <c r="M633">
        <f t="shared" si="223"/>
        <v>0.19000001823585222</v>
      </c>
      <c r="N633">
        <f t="shared" si="224"/>
        <v>0.1880049287468924</v>
      </c>
      <c r="O633">
        <f t="shared" si="225"/>
        <v>0.15777777779121196</v>
      </c>
      <c r="P633">
        <f t="shared" si="238"/>
        <v>0.08</v>
      </c>
      <c r="Q633">
        <f t="shared" si="234"/>
        <v>0.08</v>
      </c>
      <c r="R633">
        <f t="shared" si="227"/>
        <v>0.08</v>
      </c>
      <c r="S633">
        <f t="shared" si="228"/>
        <v>0.06</v>
      </c>
      <c r="T633">
        <f t="shared" si="229"/>
        <v>0.1</v>
      </c>
      <c r="U633">
        <f t="shared" si="235"/>
        <v>0.08</v>
      </c>
      <c r="V633">
        <f t="shared" si="240"/>
        <v>0.1880049287468924</v>
      </c>
      <c r="W633">
        <f t="shared" si="236"/>
        <v>0.16780640964080029</v>
      </c>
      <c r="X633">
        <f t="shared" si="237"/>
        <v>0.21145451305913082</v>
      </c>
      <c r="Y633" t="b">
        <f t="shared" si="239"/>
        <v>0</v>
      </c>
    </row>
    <row xmlns:x14ac="http://schemas.microsoft.com/office/spreadsheetml/2009/9/ac" r="634" x14ac:dyDescent="0.45">
      <c r="A634">
        <v>3.1349999999999598</v>
      </c>
      <c r="B634">
        <f t="shared" si="217"/>
        <v>0.16300002347170509</v>
      </c>
      <c r="C634" t="b">
        <f t="shared" si="230"/>
        <v>1</v>
      </c>
      <c r="D634" t="b">
        <f t="shared" si="218"/>
        <v>1</v>
      </c>
      <c r="E634">
        <f t="shared" si="226"/>
        <v>3.1349999999999598</v>
      </c>
      <c r="F634">
        <f t="shared" si="231"/>
        <v>0.16300002347170509</v>
      </c>
      <c r="G634">
        <f t="shared" si="219"/>
        <v>0.21141860100374499</v>
      </c>
      <c r="H634">
        <f t="shared" si="220"/>
        <v>3.5000009027578882E-2</v>
      </c>
      <c r="I634" t="b">
        <f t="shared" si="232"/>
        <v>1</v>
      </c>
      <c r="J634">
        <f t="shared" si="221"/>
        <v>3.1349999999999598</v>
      </c>
      <c r="K634">
        <f t="shared" si="233"/>
        <v>3.5000009027578882E-2</v>
      </c>
      <c r="L634">
        <f t="shared" si="222"/>
        <v>0.16786056957974274</v>
      </c>
      <c r="M634">
        <f t="shared" si="223"/>
        <v>0.19000001805515776</v>
      </c>
      <c r="N634">
        <f t="shared" si="224"/>
        <v>0.18800488212997918</v>
      </c>
      <c r="O634">
        <f t="shared" si="225"/>
        <v>0.15777777779104224</v>
      </c>
      <c r="P634">
        <f t="shared" si="238"/>
        <v>0.08</v>
      </c>
      <c r="Q634">
        <f t="shared" si="234"/>
        <v>0.08</v>
      </c>
      <c r="R634">
        <f t="shared" si="227"/>
        <v>0.08</v>
      </c>
      <c r="S634">
        <f t="shared" si="228"/>
        <v>0.06</v>
      </c>
      <c r="T634">
        <f t="shared" si="229"/>
        <v>0.1</v>
      </c>
      <c r="U634">
        <f t="shared" si="235"/>
        <v>0.08</v>
      </c>
      <c r="V634">
        <f t="shared" si="240"/>
        <v>0.18800488212997918</v>
      </c>
      <c r="W634">
        <f t="shared" si="236"/>
        <v>0.16781735021835953</v>
      </c>
      <c r="X634">
        <f t="shared" si="237"/>
        <v>0.21144725864498393</v>
      </c>
      <c r="Y634" t="b">
        <f t="shared" si="239"/>
        <v>0</v>
      </c>
    </row>
    <row xmlns:x14ac="http://schemas.microsoft.com/office/spreadsheetml/2009/9/ac" r="635" x14ac:dyDescent="0.45">
      <c r="A635">
        <v>3.1399999999999602</v>
      </c>
      <c r="B635">
        <f t="shared" si="217"/>
        <v>0.16300002313597811</v>
      </c>
      <c r="C635" t="b">
        <f t="shared" si="230"/>
        <v>1</v>
      </c>
      <c r="D635" t="b">
        <f t="shared" si="218"/>
        <v>1</v>
      </c>
      <c r="E635">
        <f t="shared" si="226"/>
        <v>3.1399999999999602</v>
      </c>
      <c r="F635">
        <f t="shared" si="231"/>
        <v>0.16300002313597811</v>
      </c>
      <c r="G635">
        <f t="shared" si="219"/>
        <v>0.2114115257017215</v>
      </c>
      <c r="H635">
        <f t="shared" si="220"/>
        <v>3.5000008898453117E-2</v>
      </c>
      <c r="I635" t="b">
        <f t="shared" si="232"/>
        <v>1</v>
      </c>
      <c r="J635">
        <f t="shared" si="221"/>
        <v>3.1399999999999602</v>
      </c>
      <c r="K635">
        <f t="shared" si="233"/>
        <v>3.5000008898453117E-2</v>
      </c>
      <c r="L635">
        <f t="shared" si="222"/>
        <v>0.16787124003347959</v>
      </c>
      <c r="M635">
        <f t="shared" si="223"/>
        <v>0.19000001779690623</v>
      </c>
      <c r="N635">
        <f t="shared" si="224"/>
        <v>0.18800481518866191</v>
      </c>
      <c r="O635">
        <f t="shared" si="225"/>
        <v>0.15777777779081301</v>
      </c>
      <c r="P635">
        <f t="shared" si="238"/>
        <v>0.08</v>
      </c>
      <c r="Q635">
        <f t="shared" si="234"/>
        <v>0.08</v>
      </c>
      <c r="R635">
        <f t="shared" si="227"/>
        <v>0.08</v>
      </c>
      <c r="S635">
        <f t="shared" si="228"/>
        <v>0.06</v>
      </c>
      <c r="T635">
        <f t="shared" si="229"/>
        <v>0.1</v>
      </c>
      <c r="U635">
        <f t="shared" si="235"/>
        <v>0.08</v>
      </c>
      <c r="V635">
        <f t="shared" si="240"/>
        <v>0.18800481518866191</v>
      </c>
      <c r="W635">
        <f t="shared" si="236"/>
        <v>0.16782823622956056</v>
      </c>
      <c r="X635">
        <f t="shared" si="237"/>
        <v>0.21144004041237846</v>
      </c>
      <c r="Y635" t="b">
        <f t="shared" si="239"/>
        <v>0</v>
      </c>
    </row>
    <row xmlns:x14ac="http://schemas.microsoft.com/office/spreadsheetml/2009/9/ac" r="636" x14ac:dyDescent="0.45">
      <c r="A636">
        <v>3.14499999999996</v>
      </c>
      <c r="B636">
        <f t="shared" si="217"/>
        <v>0.16300002270595013</v>
      </c>
      <c r="C636" t="b">
        <f t="shared" si="230"/>
        <v>1</v>
      </c>
      <c r="D636" t="b">
        <f t="shared" si="218"/>
        <v>1</v>
      </c>
      <c r="E636">
        <f t="shared" si="226"/>
        <v>3.14499999999996</v>
      </c>
      <c r="F636">
        <f t="shared" si="231"/>
        <v>0.16300002270595013</v>
      </c>
      <c r="G636">
        <f t="shared" si="219"/>
        <v>0.21140448568791409</v>
      </c>
      <c r="H636">
        <f t="shared" si="220"/>
        <v>3.5000008733057739E-2</v>
      </c>
      <c r="I636" t="b">
        <f t="shared" si="232"/>
        <v>1</v>
      </c>
      <c r="J636">
        <f t="shared" si="221"/>
        <v>3.14499999999996</v>
      </c>
      <c r="K636">
        <f t="shared" si="233"/>
        <v>3.5000008733057739E-2</v>
      </c>
      <c r="L636">
        <f t="shared" si="222"/>
        <v>0.16788185726810639</v>
      </c>
      <c r="M636">
        <f t="shared" si="223"/>
        <v>0.1900000174661155</v>
      </c>
      <c r="N636">
        <f t="shared" si="224"/>
        <v>0.18800472886183367</v>
      </c>
      <c r="O636">
        <f t="shared" si="225"/>
        <v>0.15777777779052957</v>
      </c>
      <c r="P636">
        <f t="shared" si="238"/>
        <v>0.08</v>
      </c>
      <c r="Q636">
        <f t="shared" si="234"/>
        <v>0.08</v>
      </c>
      <c r="R636">
        <f t="shared" si="227"/>
        <v>0.08</v>
      </c>
      <c r="S636">
        <f t="shared" si="228"/>
        <v>0.06</v>
      </c>
      <c r="T636">
        <f t="shared" si="229"/>
        <v>0.1</v>
      </c>
      <c r="U636">
        <f t="shared" si="235"/>
        <v>0.08</v>
      </c>
      <c r="V636">
        <f t="shared" si="240"/>
        <v>0.18800472886183367</v>
      </c>
      <c r="W636">
        <f t="shared" si="236"/>
        <v>0.16783906794655418</v>
      </c>
      <c r="X636">
        <f t="shared" si="237"/>
        <v>0.21143285818085839</v>
      </c>
      <c r="Y636" t="b">
        <f t="shared" si="239"/>
        <v>0</v>
      </c>
    </row>
    <row xmlns:x14ac="http://schemas.microsoft.com/office/spreadsheetml/2009/9/ac" r="637" x14ac:dyDescent="0.45">
      <c r="A637">
        <v>3.1499999999999599</v>
      </c>
      <c r="B637">
        <f t="shared" si="217"/>
        <v>0.16300002218827742</v>
      </c>
      <c r="C637" t="b">
        <f t="shared" si="230"/>
        <v>1</v>
      </c>
      <c r="D637" t="b">
        <f t="shared" si="218"/>
        <v>1</v>
      </c>
      <c r="E637">
        <f t="shared" si="226"/>
        <v>3.1499999999999599</v>
      </c>
      <c r="F637">
        <f t="shared" si="231"/>
        <v>0.16300002218827742</v>
      </c>
      <c r="G637">
        <f t="shared" si="219"/>
        <v>0.21139748078632203</v>
      </c>
      <c r="H637">
        <f t="shared" si="220"/>
        <v>3.5000008533952853E-2</v>
      </c>
      <c r="I637" t="b">
        <f t="shared" si="232"/>
        <v>1</v>
      </c>
      <c r="J637">
        <f t="shared" si="221"/>
        <v>3.1499999999999599</v>
      </c>
      <c r="K637">
        <f t="shared" si="233"/>
        <v>3.5000008533952853E-2</v>
      </c>
      <c r="L637">
        <f t="shared" si="222"/>
        <v>0.16789242154905457</v>
      </c>
      <c r="M637">
        <f t="shared" si="223"/>
        <v>0.1900000170679057</v>
      </c>
      <c r="N637">
        <f t="shared" si="224"/>
        <v>0.18800462414535057</v>
      </c>
      <c r="O637">
        <f t="shared" si="225"/>
        <v>0.15777777779019722</v>
      </c>
      <c r="P637">
        <f t="shared" si="238"/>
        <v>0.08</v>
      </c>
      <c r="Q637">
        <f t="shared" si="234"/>
        <v>0.08</v>
      </c>
      <c r="R637">
        <f t="shared" si="227"/>
        <v>0.08</v>
      </c>
      <c r="S637">
        <f t="shared" si="228"/>
        <v>0.06</v>
      </c>
      <c r="T637">
        <f t="shared" si="229"/>
        <v>0.1</v>
      </c>
      <c r="U637">
        <f t="shared" si="235"/>
        <v>0.08</v>
      </c>
      <c r="V637">
        <f t="shared" si="240"/>
        <v>0.18800462414535057</v>
      </c>
      <c r="W637">
        <f t="shared" si="236"/>
        <v>0.16784984564013394</v>
      </c>
      <c r="X637">
        <f t="shared" si="237"/>
        <v>0.21142571177086739</v>
      </c>
      <c r="Y637" t="b">
        <f t="shared" si="239"/>
        <v>0</v>
      </c>
    </row>
    <row xmlns:x14ac="http://schemas.microsoft.com/office/spreadsheetml/2009/9/ac" r="638" x14ac:dyDescent="0.45">
      <c r="A638">
        <v>3.1549999999999598</v>
      </c>
      <c r="B638">
        <f t="shared" si="217"/>
        <v>0.16300002158971075</v>
      </c>
      <c r="C638" t="b">
        <f t="shared" si="230"/>
        <v>1</v>
      </c>
      <c r="D638" t="b">
        <f t="shared" si="218"/>
        <v>1</v>
      </c>
      <c r="E638">
        <f t="shared" si="226"/>
        <v>3.1549999999999598</v>
      </c>
      <c r="F638">
        <f t="shared" si="231"/>
        <v>0.16300002158971075</v>
      </c>
      <c r="G638">
        <f t="shared" si="219"/>
        <v>0.21139051082182242</v>
      </c>
      <c r="H638">
        <f t="shared" si="220"/>
        <v>3.5000008303734911E-2</v>
      </c>
      <c r="I638" t="b">
        <f t="shared" si="232"/>
        <v>1</v>
      </c>
      <c r="J638">
        <f t="shared" si="221"/>
        <v>3.1549999999999598</v>
      </c>
      <c r="K638">
        <f t="shared" si="233"/>
        <v>3.5000008303734911E-2</v>
      </c>
      <c r="L638">
        <f t="shared" si="222"/>
        <v>0.1679029331404317</v>
      </c>
      <c r="M638">
        <f t="shared" si="223"/>
        <v>0.19000001660746982</v>
      </c>
      <c r="N638">
        <f t="shared" si="224"/>
        <v>0.18800450208579222</v>
      </c>
      <c r="O638">
        <f t="shared" si="225"/>
        <v>0.15777777778982116</v>
      </c>
      <c r="P638">
        <f t="shared" si="238"/>
        <v>0.08</v>
      </c>
      <c r="Q638">
        <f t="shared" si="234"/>
        <v>0.08</v>
      </c>
      <c r="R638">
        <f t="shared" si="227"/>
        <v>0.08</v>
      </c>
      <c r="S638">
        <f t="shared" si="228"/>
        <v>0.06</v>
      </c>
      <c r="T638">
        <f t="shared" si="229"/>
        <v>0.1</v>
      </c>
      <c r="U638">
        <f t="shared" si="235"/>
        <v>0.08</v>
      </c>
      <c r="V638">
        <f t="shared" si="240"/>
        <v>0.18800450208579222</v>
      </c>
      <c r="W638">
        <f t="shared" si="236"/>
        <v>0.16786056957974274</v>
      </c>
      <c r="X638">
        <f t="shared" si="237"/>
        <v>0.21141860100374499</v>
      </c>
      <c r="Y638" t="b">
        <f t="shared" si="239"/>
        <v>0</v>
      </c>
    </row>
    <row xmlns:x14ac="http://schemas.microsoft.com/office/spreadsheetml/2009/9/ac" r="639" x14ac:dyDescent="0.45">
      <c r="A639">
        <v>3.1599999999999602</v>
      </c>
      <c r="B639">
        <f t="shared" si="217"/>
        <v>0.16300002091705881</v>
      </c>
      <c r="C639" t="b">
        <f t="shared" si="230"/>
        <v>1</v>
      </c>
      <c r="D639" t="b">
        <f t="shared" si="218"/>
        <v>1</v>
      </c>
      <c r="E639">
        <f t="shared" si="226"/>
        <v>3.1599999999999602</v>
      </c>
      <c r="F639">
        <f t="shared" si="231"/>
        <v>0.16300002091705881</v>
      </c>
      <c r="G639">
        <f t="shared" si="219"/>
        <v>0.2113835756201658</v>
      </c>
      <c r="H639">
        <f t="shared" si="220"/>
        <v>3.5000008045022624E-2</v>
      </c>
      <c r="I639" t="b">
        <f t="shared" si="232"/>
        <v>1</v>
      </c>
      <c r="J639">
        <f t="shared" si="221"/>
        <v>3.1599999999999602</v>
      </c>
      <c r="K639">
        <f t="shared" si="233"/>
        <v>3.5000008045022624E-2</v>
      </c>
      <c r="L639">
        <f t="shared" si="222"/>
        <v>0.16791339230502816</v>
      </c>
      <c r="M639">
        <f t="shared" si="223"/>
        <v>0.19000001609004524</v>
      </c>
      <c r="N639">
        <f t="shared" si="224"/>
        <v>0.18800436377419266</v>
      </c>
      <c r="O639">
        <f t="shared" si="225"/>
        <v>0.15777777778940646</v>
      </c>
      <c r="P639">
        <f t="shared" si="238"/>
        <v>0.08</v>
      </c>
      <c r="Q639">
        <f t="shared" si="234"/>
        <v>0.08</v>
      </c>
      <c r="R639">
        <f t="shared" si="227"/>
        <v>0.08</v>
      </c>
      <c r="S639">
        <f t="shared" si="228"/>
        <v>0.06</v>
      </c>
      <c r="T639">
        <f t="shared" si="229"/>
        <v>0.1</v>
      </c>
      <c r="U639">
        <f t="shared" si="235"/>
        <v>0.08</v>
      </c>
      <c r="V639">
        <f t="shared" si="240"/>
        <v>0.18800436377419266</v>
      </c>
      <c r="W639">
        <f t="shared" si="236"/>
        <v>0.16787124003347959</v>
      </c>
      <c r="X639">
        <f t="shared" si="237"/>
        <v>0.2114115257017215</v>
      </c>
      <c r="Y639" t="b">
        <f t="shared" si="239"/>
        <v>0</v>
      </c>
    </row>
    <row xmlns:x14ac="http://schemas.microsoft.com/office/spreadsheetml/2009/9/ac" r="640" x14ac:dyDescent="0.45">
      <c r="A640">
        <v>3.1649999999999601</v>
      </c>
      <c r="B640">
        <f t="shared" si="217"/>
        <v>0.16300002017715248</v>
      </c>
      <c r="C640" t="b">
        <f t="shared" si="230"/>
        <v>1</v>
      </c>
      <c r="D640" t="b">
        <f t="shared" si="218"/>
        <v>1</v>
      </c>
      <c r="E640">
        <f t="shared" si="226"/>
        <v>3.1649999999999601</v>
      </c>
      <c r="F640">
        <f t="shared" si="231"/>
        <v>0.16300002017715248</v>
      </c>
      <c r="G640">
        <f t="shared" si="219"/>
        <v>0.21137667500797175</v>
      </c>
      <c r="H640">
        <f t="shared" si="220"/>
        <v>3.5000007760443264E-2</v>
      </c>
      <c r="I640" t="b">
        <f t="shared" si="232"/>
        <v>1</v>
      </c>
      <c r="J640">
        <f t="shared" si="221"/>
        <v>3.1649999999999601</v>
      </c>
      <c r="K640">
        <f t="shared" si="233"/>
        <v>3.5000007760443264E-2</v>
      </c>
      <c r="L640">
        <f t="shared" si="222"/>
        <v>0.16792379930432352</v>
      </c>
      <c r="M640">
        <f t="shared" si="223"/>
        <v>0.19000001552088652</v>
      </c>
      <c r="N640">
        <f t="shared" si="224"/>
        <v>0.18800421033977052</v>
      </c>
      <c r="O640">
        <f t="shared" si="225"/>
        <v>0.15777777778895802</v>
      </c>
      <c r="P640">
        <f t="shared" si="238"/>
        <v>0.08</v>
      </c>
      <c r="Q640">
        <f t="shared" si="234"/>
        <v>0.08</v>
      </c>
      <c r="R640">
        <f t="shared" si="227"/>
        <v>0.08</v>
      </c>
      <c r="S640">
        <f t="shared" si="228"/>
        <v>0.06</v>
      </c>
      <c r="T640">
        <f t="shared" si="229"/>
        <v>0.1</v>
      </c>
      <c r="U640">
        <f t="shared" si="235"/>
        <v>0.08</v>
      </c>
      <c r="V640">
        <f t="shared" si="240"/>
        <v>0.18800421033977052</v>
      </c>
      <c r="W640">
        <f t="shared" si="236"/>
        <v>0.16788185726810639</v>
      </c>
      <c r="X640">
        <f t="shared" si="237"/>
        <v>0.21140448568791409</v>
      </c>
      <c r="Y640" t="b">
        <f t="shared" si="239"/>
        <v>0</v>
      </c>
    </row>
    <row xmlns:x14ac="http://schemas.microsoft.com/office/spreadsheetml/2009/9/ac" r="641" x14ac:dyDescent="0.45">
      <c r="A641">
        <v>3.16999999999996</v>
      </c>
      <c r="B641">
        <f t="shared" si="217"/>
        <v>0.16300001937681119</v>
      </c>
      <c r="C641" t="b">
        <f t="shared" si="230"/>
        <v>1</v>
      </c>
      <c r="D641" t="b">
        <f t="shared" si="218"/>
        <v>1</v>
      </c>
      <c r="E641">
        <f t="shared" si="226"/>
        <v>3.16999999999996</v>
      </c>
      <c r="F641">
        <f t="shared" si="231"/>
        <v>0.16300001937681119</v>
      </c>
      <c r="G641">
        <f t="shared" si="219"/>
        <v>0.21136980881272455</v>
      </c>
      <c r="H641">
        <f t="shared" si="220"/>
        <v>3.5000007452619691E-2</v>
      </c>
      <c r="I641" t="b">
        <f t="shared" si="232"/>
        <v>1</v>
      </c>
      <c r="J641">
        <f t="shared" si="221"/>
        <v>3.16999999999996</v>
      </c>
      <c r="K641">
        <f t="shared" si="233"/>
        <v>3.5000007452619691E-2</v>
      </c>
      <c r="L641">
        <f t="shared" si="222"/>
        <v>0.16793415439849338</v>
      </c>
      <c r="M641">
        <f t="shared" si="223"/>
        <v>0.19000001490523938</v>
      </c>
      <c r="N641">
        <f t="shared" si="224"/>
        <v>0.18800404294368558</v>
      </c>
      <c r="O641">
        <f t="shared" si="225"/>
        <v>0.15777777778848059</v>
      </c>
      <c r="P641">
        <f t="shared" si="238"/>
        <v>0.08</v>
      </c>
      <c r="Q641">
        <f t="shared" si="234"/>
        <v>0.08</v>
      </c>
      <c r="R641">
        <f t="shared" si="227"/>
        <v>0.08</v>
      </c>
      <c r="S641">
        <f t="shared" si="228"/>
        <v>0.06</v>
      </c>
      <c r="T641">
        <f t="shared" si="229"/>
        <v>0.1</v>
      </c>
      <c r="U641">
        <f t="shared" si="235"/>
        <v>0.08</v>
      </c>
      <c r="V641">
        <f t="shared" si="240"/>
        <v>0.18800404294368558</v>
      </c>
      <c r="W641">
        <f t="shared" si="236"/>
        <v>0.16789242154905457</v>
      </c>
      <c r="X641">
        <f t="shared" si="237"/>
        <v>0.21139748078632203</v>
      </c>
      <c r="Y641" t="b">
        <f t="shared" si="239"/>
        <v>0</v>
      </c>
    </row>
    <row xmlns:x14ac="http://schemas.microsoft.com/office/spreadsheetml/2009/9/ac" r="642" x14ac:dyDescent="0.45">
      <c r="A642">
        <v>3.1749999999999599</v>
      </c>
      <c r="B642">
        <f t="shared" si="217"/>
        <v>0.16300001852281104</v>
      </c>
      <c r="C642" t="b">
        <f t="shared" si="230"/>
        <v>1</v>
      </c>
      <c r="D642" t="b">
        <f t="shared" si="218"/>
        <v>1</v>
      </c>
      <c r="E642">
        <f t="shared" si="226"/>
        <v>3.1749999999999599</v>
      </c>
      <c r="F642">
        <f t="shared" si="231"/>
        <v>0.16300001852281104</v>
      </c>
      <c r="G642">
        <f t="shared" si="219"/>
        <v>0.21136297686276906</v>
      </c>
      <c r="H642">
        <f t="shared" si="220"/>
        <v>3.50000071241581E-2</v>
      </c>
      <c r="I642" t="b">
        <f t="shared" si="232"/>
        <v>1</v>
      </c>
      <c r="J642">
        <f t="shared" si="221"/>
        <v>3.1749999999999599</v>
      </c>
      <c r="K642">
        <f t="shared" si="233"/>
        <v>3.50000071241581E-2</v>
      </c>
      <c r="L642">
        <f t="shared" si="222"/>
        <v>0.1679444578464156</v>
      </c>
      <c r="M642">
        <f t="shared" si="223"/>
        <v>0.1900000142483162</v>
      </c>
      <c r="N642">
        <f t="shared" si="224"/>
        <v>0.18800386277284992</v>
      </c>
      <c r="O642">
        <f t="shared" si="225"/>
        <v>0.15777777778797877</v>
      </c>
      <c r="P642">
        <f t="shared" si="238"/>
        <v>0.08</v>
      </c>
      <c r="Q642">
        <f t="shared" si="234"/>
        <v>0.08</v>
      </c>
      <c r="R642">
        <f t="shared" si="227"/>
        <v>0.08</v>
      </c>
      <c r="S642">
        <f t="shared" si="228"/>
        <v>0.06</v>
      </c>
      <c r="T642">
        <f t="shared" si="229"/>
        <v>0.1</v>
      </c>
      <c r="U642">
        <f t="shared" si="235"/>
        <v>0.08</v>
      </c>
      <c r="V642">
        <f t="shared" si="240"/>
        <v>0.18800386277284992</v>
      </c>
      <c r="W642">
        <f t="shared" si="236"/>
        <v>0.1679029331404317</v>
      </c>
      <c r="X642">
        <f t="shared" si="237"/>
        <v>0.21139051082182242</v>
      </c>
      <c r="Y642" t="b">
        <f t="shared" si="239"/>
        <v>0</v>
      </c>
    </row>
    <row xmlns:x14ac="http://schemas.microsoft.com/office/spreadsheetml/2009/9/ac" r="643" x14ac:dyDescent="0.45">
      <c r="A643">
        <v>3.1799999999999602</v>
      </c>
      <c r="B643">
        <f t="shared" si="217"/>
        <v>0.1630000176218542</v>
      </c>
      <c r="C643" t="b">
        <f t="shared" si="230"/>
        <v>1</v>
      </c>
      <c r="D643" t="b">
        <f t="shared" si="218"/>
        <v>1</v>
      </c>
      <c r="E643">
        <f t="shared" si="226"/>
        <v>3.1799999999999602</v>
      </c>
      <c r="F643">
        <f t="shared" si="231"/>
        <v>0.1630000176218542</v>
      </c>
      <c r="G643">
        <f t="shared" si="219"/>
        <v>0.21135617898730608</v>
      </c>
      <c r="H643">
        <f t="shared" si="220"/>
        <v>3.5000006777636233E-2</v>
      </c>
      <c r="I643" t="b">
        <f t="shared" si="232"/>
        <v>1</v>
      </c>
      <c r="J643">
        <f t="shared" si="221"/>
        <v>3.1799999999999602</v>
      </c>
      <c r="K643">
        <f t="shared" si="233"/>
        <v>3.5000006777636233E-2</v>
      </c>
      <c r="L643">
        <f t="shared" si="222"/>
        <v>0.16795470990567693</v>
      </c>
      <c r="M643">
        <f t="shared" si="223"/>
        <v>0.19000001355527246</v>
      </c>
      <c r="N643">
        <f t="shared" si="224"/>
        <v>0.18800367103381885</v>
      </c>
      <c r="O643">
        <f t="shared" si="225"/>
        <v>0.15777777778745694</v>
      </c>
      <c r="P643">
        <f t="shared" si="238"/>
        <v>0.08</v>
      </c>
      <c r="Q643">
        <f t="shared" si="234"/>
        <v>0.08</v>
      </c>
      <c r="R643">
        <f t="shared" si="227"/>
        <v>0.08</v>
      </c>
      <c r="S643">
        <f t="shared" si="228"/>
        <v>0.06</v>
      </c>
      <c r="T643">
        <f t="shared" si="229"/>
        <v>0.1</v>
      </c>
      <c r="U643">
        <f t="shared" si="235"/>
        <v>0.08</v>
      </c>
      <c r="V643">
        <f t="shared" si="240"/>
        <v>0.18800367103381885</v>
      </c>
      <c r="W643">
        <f t="shared" si="236"/>
        <v>0.16791339230502816</v>
      </c>
      <c r="X643">
        <f t="shared" si="237"/>
        <v>0.2113835756201658</v>
      </c>
      <c r="Y643" t="b">
        <f t="shared" si="239"/>
        <v>0</v>
      </c>
    </row>
    <row xmlns:x14ac="http://schemas.microsoft.com/office/spreadsheetml/2009/9/ac" r="644" x14ac:dyDescent="0.45">
      <c r="A644">
        <v>3.1849999999999601</v>
      </c>
      <c r="B644">
        <f t="shared" si="217"/>
        <v>0.16300001668054062</v>
      </c>
      <c r="C644" t="b">
        <f t="shared" si="230"/>
        <v>1</v>
      </c>
      <c r="D644" t="b">
        <f t="shared" si="218"/>
        <v>1</v>
      </c>
      <c r="E644">
        <f t="shared" si="226"/>
        <v>3.1849999999999601</v>
      </c>
      <c r="F644">
        <f t="shared" si="231"/>
        <v>0.16300001668054062</v>
      </c>
      <c r="G644">
        <f t="shared" si="219"/>
        <v>0.21134941501638843</v>
      </c>
      <c r="H644">
        <f t="shared" si="220"/>
        <v>3.5000006415592547E-2</v>
      </c>
      <c r="I644" t="b">
        <f t="shared" si="232"/>
        <v>1</v>
      </c>
      <c r="J644">
        <f t="shared" si="221"/>
        <v>3.1849999999999601</v>
      </c>
      <c r="K644">
        <f t="shared" si="233"/>
        <v>3.5000006415592547E-2</v>
      </c>
      <c r="L644">
        <f t="shared" si="222"/>
        <v>0.16796491083257936</v>
      </c>
      <c r="M644">
        <f t="shared" si="223"/>
        <v>0.19000001283118512</v>
      </c>
      <c r="N644">
        <f t="shared" si="224"/>
        <v>0.18800346894678641</v>
      </c>
      <c r="O644">
        <f t="shared" si="225"/>
        <v>0.15777777778691929</v>
      </c>
      <c r="P644">
        <f t="shared" si="238"/>
        <v>0.08</v>
      </c>
      <c r="Q644">
        <f t="shared" si="234"/>
        <v>0.08</v>
      </c>
      <c r="R644">
        <f t="shared" si="227"/>
        <v>0.08</v>
      </c>
      <c r="S644">
        <f t="shared" si="228"/>
        <v>0.06</v>
      </c>
      <c r="T644">
        <f t="shared" si="229"/>
        <v>0.1</v>
      </c>
      <c r="U644">
        <f t="shared" si="235"/>
        <v>0.08</v>
      </c>
      <c r="V644">
        <f t="shared" si="240"/>
        <v>0.18800346894678641</v>
      </c>
      <c r="W644">
        <f t="shared" si="236"/>
        <v>0.16792379930432352</v>
      </c>
      <c r="X644">
        <f t="shared" si="237"/>
        <v>0.21137667500797175</v>
      </c>
      <c r="Y644" t="b">
        <f t="shared" si="239"/>
        <v>0</v>
      </c>
    </row>
    <row xmlns:x14ac="http://schemas.microsoft.com/office/spreadsheetml/2009/9/ac" r="645" x14ac:dyDescent="0.45">
      <c r="A645">
        <v>3.18999999999996</v>
      </c>
      <c r="B645">
        <f t="shared" si="217"/>
        <v>0.16300001570534151</v>
      </c>
      <c r="C645" t="b">
        <f t="shared" si="230"/>
        <v>1</v>
      </c>
      <c r="D645" t="b">
        <f t="shared" si="218"/>
        <v>1</v>
      </c>
      <c r="E645">
        <f t="shared" si="226"/>
        <v>3.18999999999996</v>
      </c>
      <c r="F645">
        <f t="shared" si="231"/>
        <v>0.16300001570534151</v>
      </c>
      <c r="G645">
        <f t="shared" si="219"/>
        <v>0.2113426847809165</v>
      </c>
      <c r="H645">
        <f t="shared" si="220"/>
        <v>3.5000006040515966E-2</v>
      </c>
      <c r="I645" t="b">
        <f t="shared" si="232"/>
        <v>1</v>
      </c>
      <c r="J645">
        <f t="shared" si="221"/>
        <v>3.18999999999996</v>
      </c>
      <c r="K645">
        <f t="shared" si="233"/>
        <v>3.5000006040515966E-2</v>
      </c>
      <c r="L645">
        <f t="shared" si="222"/>
        <v>0.16797506088214662</v>
      </c>
      <c r="M645">
        <f t="shared" si="223"/>
        <v>0.19000001208103193</v>
      </c>
      <c r="N645">
        <f t="shared" si="224"/>
        <v>0.1880032577397093</v>
      </c>
      <c r="O645">
        <f t="shared" si="225"/>
        <v>0.15777777778636984</v>
      </c>
      <c r="P645">
        <f t="shared" si="238"/>
        <v>0.08</v>
      </c>
      <c r="Q645">
        <f t="shared" si="234"/>
        <v>0.08</v>
      </c>
      <c r="R645">
        <f t="shared" si="227"/>
        <v>0.08</v>
      </c>
      <c r="S645">
        <f t="shared" si="228"/>
        <v>0.06</v>
      </c>
      <c r="T645">
        <f t="shared" si="229"/>
        <v>0.1</v>
      </c>
      <c r="U645">
        <f t="shared" si="235"/>
        <v>0.08</v>
      </c>
      <c r="V645">
        <f t="shared" si="240"/>
        <v>0.1880032577397093</v>
      </c>
      <c r="W645">
        <f t="shared" si="236"/>
        <v>0.16793415439849338</v>
      </c>
      <c r="X645">
        <f t="shared" si="237"/>
        <v>0.21136980881272455</v>
      </c>
      <c r="Y645" t="b">
        <f t="shared" si="239"/>
        <v>0</v>
      </c>
    </row>
    <row xmlns:x14ac="http://schemas.microsoft.com/office/spreadsheetml/2009/9/ac" r="646" x14ac:dyDescent="0.45">
      <c r="A646">
        <v>3.1949999999999599</v>
      </c>
      <c r="B646">
        <f t="shared" si="217"/>
        <v>0.16300001470257441</v>
      </c>
      <c r="C646" t="b">
        <f t="shared" si="230"/>
        <v>1</v>
      </c>
      <c r="D646" t="b">
        <f t="shared" si="218"/>
        <v>1</v>
      </c>
      <c r="E646">
        <f t="shared" si="226"/>
        <v>3.1949999999999599</v>
      </c>
      <c r="F646">
        <f t="shared" si="231"/>
        <v>0.16300001470257441</v>
      </c>
      <c r="G646">
        <f t="shared" si="219"/>
        <v>0.21133598811263404</v>
      </c>
      <c r="H646">
        <f t="shared" si="220"/>
        <v>3.5000005654836311E-2</v>
      </c>
      <c r="I646" t="b">
        <f t="shared" si="232"/>
        <v>1</v>
      </c>
      <c r="J646">
        <f t="shared" si="221"/>
        <v>3.1949999999999599</v>
      </c>
      <c r="K646">
        <f t="shared" si="233"/>
        <v>3.5000005654836311E-2</v>
      </c>
      <c r="L646">
        <f t="shared" si="222"/>
        <v>0.16798516030813046</v>
      </c>
      <c r="M646">
        <f t="shared" si="223"/>
        <v>0.19000001130967265</v>
      </c>
      <c r="N646">
        <f t="shared" si="224"/>
        <v>0.18800303864258114</v>
      </c>
      <c r="O646">
        <f t="shared" si="225"/>
        <v>0.15777777778581231</v>
      </c>
      <c r="P646">
        <f t="shared" si="238"/>
        <v>0.08</v>
      </c>
      <c r="Q646">
        <f t="shared" si="234"/>
        <v>0.08</v>
      </c>
      <c r="R646">
        <f t="shared" si="227"/>
        <v>0.08</v>
      </c>
      <c r="S646">
        <f t="shared" si="228"/>
        <v>0.06</v>
      </c>
      <c r="T646">
        <f t="shared" si="229"/>
        <v>0.1</v>
      </c>
      <c r="U646">
        <f t="shared" si="235"/>
        <v>0.08</v>
      </c>
      <c r="V646">
        <f t="shared" si="240"/>
        <v>0.18800303864258114</v>
      </c>
      <c r="W646">
        <f t="shared" si="236"/>
        <v>0.1679444578464156</v>
      </c>
      <c r="X646">
        <f t="shared" si="237"/>
        <v>0.21136297686276906</v>
      </c>
      <c r="Y646" t="b">
        <f t="shared" si="239"/>
        <v>0</v>
      </c>
    </row>
    <row xmlns:x14ac="http://schemas.microsoft.com/office/spreadsheetml/2009/9/ac" r="647" x14ac:dyDescent="0.45">
      <c r="A647">
        <v>3.1999999999999602</v>
      </c>
      <c r="B647">
        <f t="shared" ref="B647:B710" si="241">-(1+Marge_haute)*(A+B/Tpll*EXP(-$A647/Tpll)+C_*EXP(-epsilon*Wn*$A647)*COS(Wd*$A647)+C_*(D/C_-epsilon*Wn)/Wd*EXP(-epsilon*Wn*$A647)*SIN(Wd*$A647))+SIGN(DeltaPexpected)*Tunnel</f>
        <v>0.16300001367838082</v>
      </c>
      <c r="C647" t="b">
        <f t="shared" si="230"/>
        <v>1</v>
      </c>
      <c r="D647" t="b">
        <f t="shared" ref="D647:D710" si="242">IF(D646,D646,IF(C647,B647&gt;B646,C647))</f>
        <v>1</v>
      </c>
      <c r="E647">
        <f t="shared" si="226"/>
        <v>3.1999999999999602</v>
      </c>
      <c r="F647">
        <f t="shared" si="231"/>
        <v>0.16300001367838082</v>
      </c>
      <c r="G647">
        <f t="shared" ref="G647:G710" si="243">P0-SIGN(Rocof)*IF(D647,DeltaPexpected+SIGN(DeltaPexpected)*Tunnel+(MIN(F$7:F$1495)-DeltaPexpected-+SIGN(DeltaPexpected)*Tunnel)*EXP(-(A647-MIN(E$7:E$1495))/Texpodecrease),B647)</f>
        <v>0.21132932484412392</v>
      </c>
      <c r="H647">
        <f t="shared" ref="H647:H710" si="244">-(1-marge_basse)*(A+B/Tpll*EXP(-$A647/Tpll)+C_*EXP(-epsilon*Wn*$A647)*COS(Wd*$A647)+C_*(D/C_-epsilon*Wn)/Wd*EXP(-epsilon*Wn*$A647)*SIN(Wd*$A647))-Tunnel</f>
        <v>3.5000005260915706E-2</v>
      </c>
      <c r="I647" t="b">
        <f t="shared" si="232"/>
        <v>1</v>
      </c>
      <c r="J647">
        <f t="shared" ref="J647:J710" si="245">IF(I647,A647,I647)</f>
        <v>3.1999999999999602</v>
      </c>
      <c r="K647">
        <f t="shared" si="233"/>
        <v>3.5000005260915706E-2</v>
      </c>
      <c r="L647">
        <f t="shared" ref="L647:L710" si="246">P0-SIGN(Rocof)*IF(I647,AF$23-AF$13+(MAX(K$7:K$1495)-AF$23+AF$13)*EXP(-(A647-MIN(J$7:J$1495))/AB$21),H647)</f>
        <v>0.16799520936301707</v>
      </c>
      <c r="M647">
        <f t="shared" ref="M647:M710" si="247">P0-(1)*(A+B/Tpll*EXP(-$A647/Tpll)+C_*EXP(-epsilon*Wn*$A647)*COS(Wd*$A647)+C_*(D/C_-epsilon*Wn)/Wd*EXP(-epsilon*Wn*$A647)*SIN(Wd*$A647))</f>
        <v>0.19000001052183141</v>
      </c>
      <c r="N647">
        <f t="shared" ref="N647:N710" si="248">AB$6-(AG$17+AG$16/AC$18*EXP(-$A647/AC$18)+AG$18*EXP(-AG$6*AG$12*$A647)*COS(AG$5*$A647)+AG$18*(AG$19/AG$18-AG$6*AG$12)/AG$5*EXP(-AG$6*AG$12*$A647)*SIN(AG$5*$A647))</f>
        <v>0.18800281288187792</v>
      </c>
      <c r="O647">
        <f t="shared" ref="O647:O710" si="249">AB$6-(AH$17+AH$16/AD$18*EXP(-$A647/AD$18)+AH$18*EXP(-AH$6*AH$12*$A647)*COS(AH$5*$A647)+AH$18*(AH$19/AH$18-AH$6*AH$12)/AH$5*EXP(-AH$6*AH$12*$A647)*SIN(AH$5*$A647))</f>
        <v>0.15777777778525032</v>
      </c>
      <c r="P647">
        <f t="shared" si="238"/>
        <v>0.08</v>
      </c>
      <c r="Q647">
        <f t="shared" si="234"/>
        <v>0.08</v>
      </c>
      <c r="R647">
        <f t="shared" si="227"/>
        <v>0.08</v>
      </c>
      <c r="S647">
        <f t="shared" si="228"/>
        <v>0.06</v>
      </c>
      <c r="T647">
        <f t="shared" si="229"/>
        <v>0.1</v>
      </c>
      <c r="U647">
        <f t="shared" si="235"/>
        <v>0.08</v>
      </c>
      <c r="V647">
        <f t="shared" si="240"/>
        <v>0.18800281288187792</v>
      </c>
      <c r="W647">
        <f t="shared" si="236"/>
        <v>0.16795470990567693</v>
      </c>
      <c r="X647">
        <f t="shared" si="237"/>
        <v>0.21135617898730608</v>
      </c>
      <c r="Y647" t="b">
        <f t="shared" si="239"/>
        <v>0</v>
      </c>
    </row>
    <row xmlns:x14ac="http://schemas.microsoft.com/office/spreadsheetml/2009/9/ac" r="648" x14ac:dyDescent="0.45">
      <c r="A648">
        <v>3.2049999999999601</v>
      </c>
      <c r="B648">
        <f t="shared" si="241"/>
        <v>0.16300001263870503</v>
      </c>
      <c r="C648" t="b">
        <f t="shared" si="230"/>
        <v>1</v>
      </c>
      <c r="D648" t="b">
        <f t="shared" si="242"/>
        <v>1</v>
      </c>
      <c r="E648">
        <f t="shared" ref="E648:E711" si="250">IF(D648,A648,D648)</f>
        <v>3.2049999999999601</v>
      </c>
      <c r="F648">
        <f t="shared" si="231"/>
        <v>0.16300001263870503</v>
      </c>
      <c r="G648">
        <f t="shared" si="243"/>
        <v>0.21132269480880417</v>
      </c>
      <c r="H648">
        <f t="shared" si="244"/>
        <v>3.5000004861040407E-2</v>
      </c>
      <c r="I648" t="b">
        <f t="shared" si="232"/>
        <v>1</v>
      </c>
      <c r="J648">
        <f t="shared" si="245"/>
        <v>3.2049999999999601</v>
      </c>
      <c r="K648">
        <f t="shared" si="233"/>
        <v>3.5000004861040407E-2</v>
      </c>
      <c r="L648">
        <f t="shared" si="246"/>
        <v>0.16800520829803334</v>
      </c>
      <c r="M648">
        <f t="shared" si="247"/>
        <v>0.19000000972208081</v>
      </c>
      <c r="N648">
        <f t="shared" si="248"/>
        <v>0.18800258167519415</v>
      </c>
      <c r="O648">
        <f t="shared" si="249"/>
        <v>0.15777777778468718</v>
      </c>
      <c r="P648">
        <f t="shared" si="238"/>
        <v>0.08</v>
      </c>
      <c r="Q648">
        <f t="shared" si="234"/>
        <v>0.08</v>
      </c>
      <c r="R648">
        <f t="shared" ref="R648:R711" si="251">$AB$6-(1+AB$17)*EXP(-AF$6*AF$12*A648)*(COS(AF$5*A648)-(AF$6*AF$12-1)/(AF$5)*SIN(AF$5*A648))*AF$15</f>
        <v>0.08</v>
      </c>
      <c r="S648">
        <f t="shared" ref="S648:S711" si="252">R648-AF$13</f>
        <v>0.06</v>
      </c>
      <c r="T648">
        <f t="shared" ref="T648:T711" si="253">R648+AF$13</f>
        <v>0.1</v>
      </c>
      <c r="U648">
        <f t="shared" si="235"/>
        <v>0.08</v>
      </c>
      <c r="V648">
        <f t="shared" si="240"/>
        <v>0.18800258167519415</v>
      </c>
      <c r="W648">
        <f t="shared" si="236"/>
        <v>0.16796491083257936</v>
      </c>
      <c r="X648">
        <f t="shared" si="237"/>
        <v>0.21134941501638843</v>
      </c>
      <c r="Y648" t="b">
        <f t="shared" si="239"/>
        <v>0</v>
      </c>
    </row>
    <row xmlns:x14ac="http://schemas.microsoft.com/office/spreadsheetml/2009/9/ac" r="649" x14ac:dyDescent="0.45">
      <c r="A649">
        <v>3.20999999999996</v>
      </c>
      <c r="B649">
        <f t="shared" si="241"/>
        <v>0.16300001158927563</v>
      </c>
      <c r="C649" t="b">
        <f t="shared" ref="C649:C712" si="254">IF(C648,C648,(B649&lt;B648))</f>
        <v>1</v>
      </c>
      <c r="D649" t="b">
        <f t="shared" si="242"/>
        <v>1</v>
      </c>
      <c r="E649">
        <f t="shared" si="250"/>
        <v>3.20999999999996</v>
      </c>
      <c r="F649">
        <f t="shared" ref="F649:F712" si="255">IF(D649,B649,D649)</f>
        <v>0.16300001158927563</v>
      </c>
      <c r="G649">
        <f t="shared" si="243"/>
        <v>0.21131609784092353</v>
      </c>
      <c r="H649">
        <f t="shared" si="244"/>
        <v>3.5000004457413705E-2</v>
      </c>
      <c r="I649" t="b">
        <f t="shared" ref="I649:I712" si="256">IF(I648,I648,H648&gt;H649)</f>
        <v>1</v>
      </c>
      <c r="J649">
        <f t="shared" si="245"/>
        <v>3.20999999999996</v>
      </c>
      <c r="K649">
        <f t="shared" ref="K649:K712" si="257">IF(I649,H649,I649)</f>
        <v>3.5000004457413705E-2</v>
      </c>
      <c r="L649">
        <f t="shared" si="246"/>
        <v>0.16801515736315314</v>
      </c>
      <c r="M649">
        <f t="shared" si="247"/>
        <v>0.19000000891482743</v>
      </c>
      <c r="N649">
        <f t="shared" si="248"/>
        <v>0.18800234622608752</v>
      </c>
      <c r="O649">
        <f t="shared" si="249"/>
        <v>0.15777777778412599</v>
      </c>
      <c r="P649">
        <f t="shared" si="238"/>
        <v>0.08</v>
      </c>
      <c r="Q649">
        <f t="shared" ref="Q649:Q712" si="258">$AB$6-(1+AB$17)*EXP(-AF$6*AF$12*A647)*(COS(AF$5*A647)-(AF$6*AF$12-1)/(AF$5)*SIN(AF$5*A647))*AF$15</f>
        <v>0.08</v>
      </c>
      <c r="R649">
        <f t="shared" si="251"/>
        <v>0.08</v>
      </c>
      <c r="S649">
        <f t="shared" si="252"/>
        <v>0.06</v>
      </c>
      <c r="T649">
        <f t="shared" si="253"/>
        <v>0.1</v>
      </c>
      <c r="U649">
        <f t="shared" ref="U649:U712" si="259">$AB$6-AB$18*EXP(-AF$6*AF$12*A647)*(COS(AF$5*A647)-(AF$6*AF$12-1)/(AF$5)*SIN(AF$5*A647))*AF$15</f>
        <v>0.08</v>
      </c>
      <c r="V649">
        <f t="shared" si="240"/>
        <v>0.18800234622608752</v>
      </c>
      <c r="W649">
        <f t="shared" si="236"/>
        <v>0.16797506088214662</v>
      </c>
      <c r="X649">
        <f t="shared" si="237"/>
        <v>0.2113426847809165</v>
      </c>
      <c r="Y649" t="b">
        <f t="shared" si="239"/>
        <v>0</v>
      </c>
    </row>
    <row xmlns:x14ac="http://schemas.microsoft.com/office/spreadsheetml/2009/9/ac" r="650" x14ac:dyDescent="0.45">
      <c r="A650">
        <v>3.2149999999999599</v>
      </c>
      <c r="B650">
        <f t="shared" si="241"/>
        <v>0.16300001053558835</v>
      </c>
      <c r="C650" t="b">
        <f t="shared" si="254"/>
        <v>1</v>
      </c>
      <c r="D650" t="b">
        <f t="shared" si="242"/>
        <v>1</v>
      </c>
      <c r="E650">
        <f t="shared" si="250"/>
        <v>3.2149999999999599</v>
      </c>
      <c r="F650">
        <f t="shared" si="255"/>
        <v>0.16300001053558835</v>
      </c>
      <c r="G650">
        <f t="shared" si="243"/>
        <v>0.21130953377555745</v>
      </c>
      <c r="H650">
        <f t="shared" si="244"/>
        <v>3.5000004052149369E-2</v>
      </c>
      <c r="I650" t="b">
        <f t="shared" si="256"/>
        <v>1</v>
      </c>
      <c r="J650">
        <f t="shared" si="245"/>
        <v>3.2149999999999599</v>
      </c>
      <c r="K650">
        <f t="shared" si="257"/>
        <v>3.5000004052149369E-2</v>
      </c>
      <c r="L650">
        <f t="shared" si="246"/>
        <v>0.16802505680710367</v>
      </c>
      <c r="M650">
        <f t="shared" si="247"/>
        <v>0.19000000810429873</v>
      </c>
      <c r="N650">
        <f t="shared" si="248"/>
        <v>0.1880021077191486</v>
      </c>
      <c r="O650">
        <f t="shared" si="249"/>
        <v>0.15777777778356966</v>
      </c>
      <c r="P650">
        <f t="shared" si="238"/>
        <v>0.08</v>
      </c>
      <c r="Q650">
        <f t="shared" si="258"/>
        <v>0.08</v>
      </c>
      <c r="R650">
        <f t="shared" si="251"/>
        <v>0.08</v>
      </c>
      <c r="S650">
        <f t="shared" si="252"/>
        <v>0.06</v>
      </c>
      <c r="T650">
        <f t="shared" si="253"/>
        <v>0.1</v>
      </c>
      <c r="U650">
        <f t="shared" si="259"/>
        <v>0.08</v>
      </c>
      <c r="V650">
        <f t="shared" si="240"/>
        <v>0.1880021077191486</v>
      </c>
      <c r="W650">
        <f t="shared" si="236"/>
        <v>0.16798516030813046</v>
      </c>
      <c r="X650">
        <f t="shared" si="237"/>
        <v>0.21133598811263404</v>
      </c>
      <c r="Y650" t="b">
        <f t="shared" si="239"/>
        <v>0</v>
      </c>
    </row>
    <row xmlns:x14ac="http://schemas.microsoft.com/office/spreadsheetml/2009/9/ac" r="651" x14ac:dyDescent="0.45">
      <c r="A651">
        <v>3.2199999999999598</v>
      </c>
      <c r="B651">
        <f t="shared" si="241"/>
        <v>0.16300000948289142</v>
      </c>
      <c r="C651" t="b">
        <f t="shared" si="254"/>
        <v>1</v>
      </c>
      <c r="D651" t="b">
        <f t="shared" si="242"/>
        <v>1</v>
      </c>
      <c r="E651">
        <f t="shared" si="250"/>
        <v>3.2199999999999598</v>
      </c>
      <c r="F651">
        <f t="shared" si="255"/>
        <v>0.16300000948289142</v>
      </c>
      <c r="G651">
        <f t="shared" si="243"/>
        <v>0.211303002448604</v>
      </c>
      <c r="H651">
        <f t="shared" si="244"/>
        <v>3.5000003647265937E-2</v>
      </c>
      <c r="I651" t="b">
        <f t="shared" si="256"/>
        <v>1</v>
      </c>
      <c r="J651">
        <f t="shared" si="245"/>
        <v>3.2199999999999598</v>
      </c>
      <c r="K651">
        <f t="shared" si="257"/>
        <v>3.5000003647265937E-2</v>
      </c>
      <c r="L651">
        <f t="shared" si="246"/>
        <v>0.16803490687737155</v>
      </c>
      <c r="M651">
        <f t="shared" si="247"/>
        <v>0.19000000729453187</v>
      </c>
      <c r="N651">
        <f t="shared" si="248"/>
        <v>0.1880018673153106</v>
      </c>
      <c r="O651">
        <f t="shared" si="249"/>
        <v>0.15777777778302082</v>
      </c>
      <c r="P651">
        <f t="shared" si="238"/>
        <v>0.08</v>
      </c>
      <c r="Q651">
        <f t="shared" si="258"/>
        <v>0.08</v>
      </c>
      <c r="R651">
        <f t="shared" si="251"/>
        <v>0.08</v>
      </c>
      <c r="S651">
        <f t="shared" si="252"/>
        <v>0.06</v>
      </c>
      <c r="T651">
        <f t="shared" si="253"/>
        <v>0.1</v>
      </c>
      <c r="U651">
        <f t="shared" si="259"/>
        <v>0.08</v>
      </c>
      <c r="V651">
        <f t="shared" si="240"/>
        <v>0.1880018673153106</v>
      </c>
      <c r="W651">
        <f t="shared" ref="W651:W714" si="260">IF(EMT_Simulation,L647,L651)</f>
        <v>0.16799520936301707</v>
      </c>
      <c r="X651">
        <f t="shared" ref="X651:X714" si="261">IF(EMT_Simulation,G647,G651)</f>
        <v>0.21132932484412392</v>
      </c>
      <c r="Y651" t="b">
        <f t="shared" si="239"/>
        <v>0</v>
      </c>
    </row>
    <row xmlns:x14ac="http://schemas.microsoft.com/office/spreadsheetml/2009/9/ac" r="652" x14ac:dyDescent="0.45">
      <c r="A652">
        <v>3.2249999999999601</v>
      </c>
      <c r="B652">
        <f t="shared" si="241"/>
        <v>0.16300000843617224</v>
      </c>
      <c r="C652" t="b">
        <f t="shared" si="254"/>
        <v>1</v>
      </c>
      <c r="D652" t="b">
        <f t="shared" si="242"/>
        <v>1</v>
      </c>
      <c r="E652">
        <f t="shared" si="250"/>
        <v>3.2249999999999601</v>
      </c>
      <c r="F652">
        <f t="shared" si="255"/>
        <v>0.16300000843617224</v>
      </c>
      <c r="G652">
        <f t="shared" si="243"/>
        <v>0.2112965036967796</v>
      </c>
      <c r="H652">
        <f t="shared" si="244"/>
        <v>3.5000003244681624E-2</v>
      </c>
      <c r="I652" t="b">
        <f t="shared" si="256"/>
        <v>1</v>
      </c>
      <c r="J652">
        <f t="shared" si="245"/>
        <v>3.2249999999999601</v>
      </c>
      <c r="K652">
        <f t="shared" si="257"/>
        <v>3.5000003244681624E-2</v>
      </c>
      <c r="L652">
        <f t="shared" si="246"/>
        <v>0.16804470782020897</v>
      </c>
      <c r="M652">
        <f t="shared" si="247"/>
        <v>0.19000000648936327</v>
      </c>
      <c r="N652">
        <f t="shared" si="248"/>
        <v>0.18800162614741214</v>
      </c>
      <c r="O652">
        <f t="shared" si="249"/>
        <v>0.15777777778248187</v>
      </c>
      <c r="P652">
        <f t="shared" si="238"/>
        <v>0.08</v>
      </c>
      <c r="Q652">
        <f t="shared" si="258"/>
        <v>0.08</v>
      </c>
      <c r="R652">
        <f t="shared" si="251"/>
        <v>0.08</v>
      </c>
      <c r="S652">
        <f t="shared" si="252"/>
        <v>0.06</v>
      </c>
      <c r="T652">
        <f t="shared" si="253"/>
        <v>0.1</v>
      </c>
      <c r="U652">
        <f t="shared" si="259"/>
        <v>0.08</v>
      </c>
      <c r="V652">
        <f t="shared" si="240"/>
        <v>0.18800162614741214</v>
      </c>
      <c r="W652">
        <f t="shared" si="260"/>
        <v>0.16800520829803334</v>
      </c>
      <c r="X652">
        <f t="shared" si="261"/>
        <v>0.21132269480880417</v>
      </c>
      <c r="Y652" t="b">
        <f t="shared" si="239"/>
        <v>0</v>
      </c>
    </row>
    <row xmlns:x14ac="http://schemas.microsoft.com/office/spreadsheetml/2009/9/ac" r="653" x14ac:dyDescent="0.45">
      <c r="A653">
        <v>3.22999999999996</v>
      </c>
      <c r="B653">
        <f t="shared" si="241"/>
        <v>0.16300000740014634</v>
      </c>
      <c r="C653" t="b">
        <f t="shared" si="254"/>
        <v>1</v>
      </c>
      <c r="D653" t="b">
        <f t="shared" si="242"/>
        <v>1</v>
      </c>
      <c r="E653">
        <f t="shared" si="250"/>
        <v>3.22999999999996</v>
      </c>
      <c r="F653">
        <f t="shared" si="255"/>
        <v>0.16300000740014634</v>
      </c>
      <c r="G653">
        <f t="shared" si="243"/>
        <v>0.21129003735761515</v>
      </c>
      <c r="H653">
        <f t="shared" si="244"/>
        <v>3.5000002846210132E-2</v>
      </c>
      <c r="I653" t="b">
        <f t="shared" si="256"/>
        <v>1</v>
      </c>
      <c r="J653">
        <f t="shared" si="245"/>
        <v>3.22999999999996</v>
      </c>
      <c r="K653">
        <f t="shared" si="257"/>
        <v>3.5000002846210132E-2</v>
      </c>
      <c r="L653">
        <f t="shared" si="246"/>
        <v>0.16805445988064005</v>
      </c>
      <c r="M653">
        <f t="shared" si="247"/>
        <v>0.19000000569242026</v>
      </c>
      <c r="N653">
        <f t="shared" si="248"/>
        <v>0.18800138531602545</v>
      </c>
      <c r="O653">
        <f t="shared" si="249"/>
        <v>0.15777777778195509</v>
      </c>
      <c r="P653">
        <f t="shared" si="238"/>
        <v>0.08</v>
      </c>
      <c r="Q653">
        <f t="shared" si="258"/>
        <v>0.08</v>
      </c>
      <c r="R653">
        <f t="shared" si="251"/>
        <v>0.08</v>
      </c>
      <c r="S653">
        <f t="shared" si="252"/>
        <v>0.06</v>
      </c>
      <c r="T653">
        <f t="shared" si="253"/>
        <v>0.1</v>
      </c>
      <c r="U653">
        <f t="shared" si="259"/>
        <v>0.08</v>
      </c>
      <c r="V653">
        <f t="shared" si="240"/>
        <v>0.18800138531602545</v>
      </c>
      <c r="W653">
        <f t="shared" si="260"/>
        <v>0.16801515736315314</v>
      </c>
      <c r="X653">
        <f t="shared" si="261"/>
        <v>0.21131609784092353</v>
      </c>
      <c r="Y653" t="b">
        <f t="shared" si="239"/>
        <v>0</v>
      </c>
    </row>
    <row xmlns:x14ac="http://schemas.microsoft.com/office/spreadsheetml/2009/9/ac" r="654" x14ac:dyDescent="0.45">
      <c r="A654">
        <v>3.2349999999999599</v>
      </c>
      <c r="B654">
        <f t="shared" si="241"/>
        <v>0.1630000063792483</v>
      </c>
      <c r="C654" t="b">
        <f t="shared" si="254"/>
        <v>1</v>
      </c>
      <c r="D654" t="b">
        <f t="shared" si="242"/>
        <v>1</v>
      </c>
      <c r="E654">
        <f t="shared" si="250"/>
        <v>3.2349999999999599</v>
      </c>
      <c r="F654">
        <f t="shared" si="255"/>
        <v>0.1630000063792483</v>
      </c>
      <c r="G654">
        <f t="shared" si="243"/>
        <v>0.21128360326945184</v>
      </c>
      <c r="H654">
        <f t="shared" si="244"/>
        <v>3.5000002453557041E-2</v>
      </c>
      <c r="I654" t="b">
        <f t="shared" si="256"/>
        <v>1</v>
      </c>
      <c r="J654">
        <f t="shared" si="245"/>
        <v>3.2349999999999599</v>
      </c>
      <c r="K654">
        <f t="shared" si="257"/>
        <v>3.5000002453557041E-2</v>
      </c>
      <c r="L654">
        <f t="shared" si="246"/>
        <v>0.16806416330246682</v>
      </c>
      <c r="M654">
        <f t="shared" si="247"/>
        <v>0.19000000490711411</v>
      </c>
      <c r="N654">
        <f t="shared" si="248"/>
        <v>0.18800114588555988</v>
      </c>
      <c r="O654">
        <f t="shared" si="249"/>
        <v>0.15777777778144242</v>
      </c>
      <c r="P654">
        <f t="shared" ref="P654:P717" si="262">$AB$6-EXP(-AF$6*AF$12*A654)*(COS(AF$5*A654)-(AF$6*AF$12-1)/(AF$5)*SIN(AF$5*A654))*AF$15</f>
        <v>0.08</v>
      </c>
      <c r="Q654">
        <f t="shared" si="258"/>
        <v>0.08</v>
      </c>
      <c r="R654">
        <f t="shared" si="251"/>
        <v>0.08</v>
      </c>
      <c r="S654">
        <f t="shared" si="252"/>
        <v>0.06</v>
      </c>
      <c r="T654">
        <f t="shared" si="253"/>
        <v>0.1</v>
      </c>
      <c r="U654">
        <f t="shared" si="259"/>
        <v>0.08</v>
      </c>
      <c r="V654">
        <f t="shared" si="240"/>
        <v>0.18800114588555988</v>
      </c>
      <c r="W654">
        <f t="shared" si="260"/>
        <v>0.16802505680710367</v>
      </c>
      <c r="X654">
        <f t="shared" si="261"/>
        <v>0.21130953377555745</v>
      </c>
      <c r="Y654" t="b">
        <f t="shared" si="239"/>
        <v>0</v>
      </c>
    </row>
    <row xmlns:x14ac="http://schemas.microsoft.com/office/spreadsheetml/2009/9/ac" r="655" x14ac:dyDescent="0.45">
      <c r="A655">
        <v>3.2399999999999598</v>
      </c>
      <c r="B655">
        <f t="shared" si="241"/>
        <v>0.16300000537762391</v>
      </c>
      <c r="C655" t="b">
        <f t="shared" si="254"/>
        <v>1</v>
      </c>
      <c r="D655" t="b">
        <f t="shared" si="242"/>
        <v>1</v>
      </c>
      <c r="E655">
        <f t="shared" si="250"/>
        <v>3.2399999999999598</v>
      </c>
      <c r="F655">
        <f t="shared" si="255"/>
        <v>0.16300000537762391</v>
      </c>
      <c r="G655">
        <f t="shared" si="243"/>
        <v>0.21127720127143707</v>
      </c>
      <c r="H655">
        <f t="shared" si="244"/>
        <v>3.5000002068316896E-2</v>
      </c>
      <c r="I655" t="b">
        <f t="shared" si="256"/>
        <v>1</v>
      </c>
      <c r="J655">
        <f t="shared" si="245"/>
        <v>3.2399999999999598</v>
      </c>
      <c r="K655">
        <f t="shared" si="257"/>
        <v>3.5000002068316896E-2</v>
      </c>
      <c r="L655">
        <f t="shared" si="246"/>
        <v>0.16807381832827534</v>
      </c>
      <c r="M655">
        <f t="shared" si="247"/>
        <v>0.19000000413663379</v>
      </c>
      <c r="N655">
        <f t="shared" si="248"/>
        <v>0.18800090888064958</v>
      </c>
      <c r="O655">
        <f t="shared" si="249"/>
        <v>0.15777777778094568</v>
      </c>
      <c r="P655">
        <f t="shared" si="262"/>
        <v>0.08</v>
      </c>
      <c r="Q655">
        <f t="shared" si="258"/>
        <v>0.08</v>
      </c>
      <c r="R655">
        <f t="shared" si="251"/>
        <v>0.08</v>
      </c>
      <c r="S655">
        <f t="shared" si="252"/>
        <v>0.06</v>
      </c>
      <c r="T655">
        <f t="shared" si="253"/>
        <v>0.1</v>
      </c>
      <c r="U655">
        <f t="shared" si="259"/>
        <v>0.08</v>
      </c>
      <c r="V655">
        <f t="shared" si="240"/>
        <v>0.18800090888064958</v>
      </c>
      <c r="W655">
        <f t="shared" si="260"/>
        <v>0.16803490687737155</v>
      </c>
      <c r="X655">
        <f t="shared" si="261"/>
        <v>0.211303002448604</v>
      </c>
      <c r="Y655" t="b">
        <f t="shared" ref="Y655:Y718" si="263">IF(Y654,TRUE,IF(P655&lt;P654,TRUE))</f>
        <v>0</v>
      </c>
    </row>
    <row xmlns:x14ac="http://schemas.microsoft.com/office/spreadsheetml/2009/9/ac" r="656" x14ac:dyDescent="0.45">
      <c r="A656">
        <v>3.2449999999999601</v>
      </c>
      <c r="B656">
        <f t="shared" si="241"/>
        <v>0.16300000439912463</v>
      </c>
      <c r="C656" t="b">
        <f t="shared" si="254"/>
        <v>1</v>
      </c>
      <c r="D656" t="b">
        <f t="shared" si="242"/>
        <v>1</v>
      </c>
      <c r="E656">
        <f t="shared" si="250"/>
        <v>3.2449999999999601</v>
      </c>
      <c r="F656">
        <f t="shared" si="255"/>
        <v>0.16300000439912463</v>
      </c>
      <c r="G656">
        <f t="shared" si="243"/>
        <v>0.21127083120352064</v>
      </c>
      <c r="H656">
        <f t="shared" si="244"/>
        <v>3.5000001691971011E-2</v>
      </c>
      <c r="I656" t="b">
        <f t="shared" si="256"/>
        <v>1</v>
      </c>
      <c r="J656">
        <f t="shared" si="245"/>
        <v>3.2449999999999601</v>
      </c>
      <c r="K656">
        <f t="shared" si="257"/>
        <v>3.5000001691971011E-2</v>
      </c>
      <c r="L656">
        <f t="shared" si="246"/>
        <v>0.16808342519944175</v>
      </c>
      <c r="M656">
        <f t="shared" si="247"/>
        <v>0.19000000338394202</v>
      </c>
      <c r="N656">
        <f t="shared" si="248"/>
        <v>0.18800067528283243</v>
      </c>
      <c r="O656">
        <f t="shared" si="249"/>
        <v>0.15777777778046639</v>
      </c>
      <c r="P656">
        <f t="shared" si="262"/>
        <v>0.08</v>
      </c>
      <c r="Q656">
        <f t="shared" si="258"/>
        <v>0.08</v>
      </c>
      <c r="R656">
        <f t="shared" si="251"/>
        <v>0.08</v>
      </c>
      <c r="S656">
        <f t="shared" si="252"/>
        <v>0.06</v>
      </c>
      <c r="T656">
        <f t="shared" si="253"/>
        <v>0.1</v>
      </c>
      <c r="U656">
        <f t="shared" si="259"/>
        <v>0.08</v>
      </c>
      <c r="V656">
        <f t="shared" si="240"/>
        <v>0.18800067528283243</v>
      </c>
      <c r="W656">
        <f t="shared" si="260"/>
        <v>0.16804470782020897</v>
      </c>
      <c r="X656">
        <f t="shared" si="261"/>
        <v>0.2112965036967796</v>
      </c>
      <c r="Y656" t="b">
        <f t="shared" si="263"/>
        <v>0</v>
      </c>
    </row>
    <row xmlns:x14ac="http://schemas.microsoft.com/office/spreadsheetml/2009/9/ac" r="657" x14ac:dyDescent="0.45">
      <c r="A657">
        <v>3.24999999999996</v>
      </c>
      <c r="B657">
        <f t="shared" si="241"/>
        <v>0.16300000344730339</v>
      </c>
      <c r="C657" t="b">
        <f t="shared" si="254"/>
        <v>1</v>
      </c>
      <c r="D657" t="b">
        <f t="shared" si="242"/>
        <v>1</v>
      </c>
      <c r="E657">
        <f t="shared" si="250"/>
        <v>3.24999999999996</v>
      </c>
      <c r="F657">
        <f t="shared" si="255"/>
        <v>0.16300000344730339</v>
      </c>
      <c r="G657">
        <f t="shared" si="243"/>
        <v>0.2112644929064505</v>
      </c>
      <c r="H657">
        <f t="shared" si="244"/>
        <v>3.5000001325885918E-2</v>
      </c>
      <c r="I657" t="b">
        <f t="shared" si="256"/>
        <v>1</v>
      </c>
      <c r="J657">
        <f t="shared" si="245"/>
        <v>3.24999999999996</v>
      </c>
      <c r="K657">
        <f t="shared" si="257"/>
        <v>3.5000001325885918E-2</v>
      </c>
      <c r="L657">
        <f t="shared" si="246"/>
        <v>0.16809298415613833</v>
      </c>
      <c r="M657">
        <f t="shared" si="247"/>
        <v>0.19000000265177186</v>
      </c>
      <c r="N657">
        <f t="shared" si="248"/>
        <v>0.18800044602752597</v>
      </c>
      <c r="O657">
        <f t="shared" si="249"/>
        <v>0.15777777778000596</v>
      </c>
      <c r="P657">
        <f t="shared" si="262"/>
        <v>0.08</v>
      </c>
      <c r="Q657">
        <f t="shared" si="258"/>
        <v>0.08</v>
      </c>
      <c r="R657">
        <f t="shared" si="251"/>
        <v>0.08</v>
      </c>
      <c r="S657">
        <f t="shared" si="252"/>
        <v>0.06</v>
      </c>
      <c r="T657">
        <f t="shared" si="253"/>
        <v>0.1</v>
      </c>
      <c r="U657">
        <f t="shared" si="259"/>
        <v>0.08</v>
      </c>
      <c r="V657">
        <f t="shared" si="240"/>
        <v>0.18800044602752597</v>
      </c>
      <c r="W657">
        <f t="shared" si="260"/>
        <v>0.16805445988064005</v>
      </c>
      <c r="X657">
        <f t="shared" si="261"/>
        <v>0.21129003735761515</v>
      </c>
      <c r="Y657" t="b">
        <f t="shared" si="263"/>
        <v>0</v>
      </c>
    </row>
    <row xmlns:x14ac="http://schemas.microsoft.com/office/spreadsheetml/2009/9/ac" r="658" x14ac:dyDescent="0.45">
      <c r="A658">
        <v>3.2549999999999599</v>
      </c>
      <c r="B658">
        <f t="shared" si="241"/>
        <v>0.16300000252541233</v>
      </c>
      <c r="C658" t="b">
        <f t="shared" si="254"/>
        <v>1</v>
      </c>
      <c r="D658" t="b">
        <f t="shared" si="242"/>
        <v>1</v>
      </c>
      <c r="E658">
        <f t="shared" si="250"/>
        <v>3.2549999999999599</v>
      </c>
      <c r="F658">
        <f t="shared" si="255"/>
        <v>0.16300000252541233</v>
      </c>
      <c r="G658">
        <f t="shared" si="243"/>
        <v>0.2112581862217689</v>
      </c>
      <c r="H658">
        <f t="shared" si="244"/>
        <v>3.5000000971312437E-2</v>
      </c>
      <c r="I658" t="b">
        <f t="shared" si="256"/>
        <v>1</v>
      </c>
      <c r="J658">
        <f t="shared" si="245"/>
        <v>3.2549999999999599</v>
      </c>
      <c r="K658">
        <f t="shared" si="257"/>
        <v>3.5000000971312437E-2</v>
      </c>
      <c r="L658">
        <f t="shared" si="246"/>
        <v>0.16810249543733946</v>
      </c>
      <c r="M658">
        <f t="shared" si="247"/>
        <v>0.19000000194262487</v>
      </c>
      <c r="N658">
        <f t="shared" si="248"/>
        <v>0.18800022200130445</v>
      </c>
      <c r="O658">
        <f t="shared" si="249"/>
        <v>0.15777777777956548</v>
      </c>
      <c r="P658">
        <f t="shared" si="262"/>
        <v>0.08</v>
      </c>
      <c r="Q658">
        <f t="shared" si="258"/>
        <v>0.08</v>
      </c>
      <c r="R658">
        <f t="shared" si="251"/>
        <v>0.08</v>
      </c>
      <c r="S658">
        <f t="shared" si="252"/>
        <v>0.06</v>
      </c>
      <c r="T658">
        <f t="shared" si="253"/>
        <v>0.1</v>
      </c>
      <c r="U658">
        <f t="shared" si="259"/>
        <v>0.08</v>
      </c>
      <c r="V658">
        <f t="shared" si="240"/>
        <v>0.18800022200130445</v>
      </c>
      <c r="W658">
        <f t="shared" si="260"/>
        <v>0.16806416330246682</v>
      </c>
      <c r="X658">
        <f t="shared" si="261"/>
        <v>0.21128360326945184</v>
      </c>
      <c r="Y658" t="b">
        <f t="shared" si="263"/>
        <v>0</v>
      </c>
    </row>
    <row xmlns:x14ac="http://schemas.microsoft.com/office/spreadsheetml/2009/9/ac" r="659" x14ac:dyDescent="0.45">
      <c r="A659">
        <v>3.2599999999999598</v>
      </c>
      <c r="B659">
        <f t="shared" si="241"/>
        <v>0.16300000163640171</v>
      </c>
      <c r="C659" t="b">
        <f t="shared" si="254"/>
        <v>1</v>
      </c>
      <c r="D659" t="b">
        <f t="shared" si="242"/>
        <v>1</v>
      </c>
      <c r="E659">
        <f t="shared" si="250"/>
        <v>3.2599999999999598</v>
      </c>
      <c r="F659">
        <f t="shared" si="255"/>
        <v>0.16300000163640171</v>
      </c>
      <c r="G659">
        <f t="shared" si="243"/>
        <v>0.21125191099180834</v>
      </c>
      <c r="H659">
        <f t="shared" si="244"/>
        <v>3.5000000629385269E-2</v>
      </c>
      <c r="I659" t="b">
        <f t="shared" si="256"/>
        <v>1</v>
      </c>
      <c r="J659">
        <f t="shared" si="245"/>
        <v>3.2599999999999598</v>
      </c>
      <c r="K659">
        <f t="shared" si="257"/>
        <v>3.5000000629385269E-2</v>
      </c>
      <c r="L659">
        <f t="shared" si="246"/>
        <v>0.1681119592808277</v>
      </c>
      <c r="M659">
        <f t="shared" si="247"/>
        <v>0.19000000125877053</v>
      </c>
      <c r="N659">
        <f t="shared" si="248"/>
        <v>0.1880000040394795</v>
      </c>
      <c r="O659">
        <f t="shared" si="249"/>
        <v>0.15777777777914603</v>
      </c>
      <c r="P659">
        <f t="shared" si="262"/>
        <v>0.08</v>
      </c>
      <c r="Q659">
        <f t="shared" si="258"/>
        <v>0.08</v>
      </c>
      <c r="R659">
        <f t="shared" si="251"/>
        <v>0.08</v>
      </c>
      <c r="S659">
        <f t="shared" si="252"/>
        <v>0.06</v>
      </c>
      <c r="T659">
        <f t="shared" si="253"/>
        <v>0.1</v>
      </c>
      <c r="U659">
        <f t="shared" si="259"/>
        <v>0.08</v>
      </c>
      <c r="V659">
        <f t="shared" si="240"/>
        <v>0.1880000040394795</v>
      </c>
      <c r="W659">
        <f t="shared" si="260"/>
        <v>0.16807381832827534</v>
      </c>
      <c r="X659">
        <f t="shared" si="261"/>
        <v>0.21127720127143707</v>
      </c>
      <c r="Y659" t="b">
        <f t="shared" si="263"/>
        <v>0</v>
      </c>
    </row>
    <row xmlns:x14ac="http://schemas.microsoft.com/office/spreadsheetml/2009/9/ac" r="660" x14ac:dyDescent="0.45">
      <c r="A660">
        <v>3.2649999999999602</v>
      </c>
      <c r="B660">
        <f t="shared" si="241"/>
        <v>0.16300000078292068</v>
      </c>
      <c r="C660" t="b">
        <f t="shared" si="254"/>
        <v>1</v>
      </c>
      <c r="D660" t="b">
        <f t="shared" si="242"/>
        <v>1</v>
      </c>
      <c r="E660">
        <f t="shared" si="250"/>
        <v>3.2649999999999602</v>
      </c>
      <c r="F660">
        <f t="shared" si="255"/>
        <v>0.16300000078292068</v>
      </c>
      <c r="G660">
        <f t="shared" si="243"/>
        <v>0.21124566705968778</v>
      </c>
      <c r="H660">
        <f t="shared" si="244"/>
        <v>3.5000000301123338E-2</v>
      </c>
      <c r="I660" t="b">
        <f t="shared" si="256"/>
        <v>1</v>
      </c>
      <c r="J660">
        <f t="shared" si="245"/>
        <v>3.2649999999999602</v>
      </c>
      <c r="K660">
        <f t="shared" si="257"/>
        <v>3.5000000301123338E-2</v>
      </c>
      <c r="L660">
        <f t="shared" si="246"/>
        <v>0.16812137592319965</v>
      </c>
      <c r="M660">
        <f t="shared" si="247"/>
        <v>0.19000000060224667</v>
      </c>
      <c r="N660">
        <f t="shared" si="248"/>
        <v>0.18799979292398628</v>
      </c>
      <c r="O660">
        <f t="shared" si="249"/>
        <v>0.15777777777874835</v>
      </c>
      <c r="P660">
        <f t="shared" si="262"/>
        <v>0.08</v>
      </c>
      <c r="Q660">
        <f t="shared" si="258"/>
        <v>0.08</v>
      </c>
      <c r="R660">
        <f t="shared" si="251"/>
        <v>0.08</v>
      </c>
      <c r="S660">
        <f t="shared" si="252"/>
        <v>0.06</v>
      </c>
      <c r="T660">
        <f t="shared" si="253"/>
        <v>0.1</v>
      </c>
      <c r="U660">
        <f t="shared" si="259"/>
        <v>0.08</v>
      </c>
      <c r="V660">
        <f t="shared" si="240"/>
        <v>0.18799979292398628</v>
      </c>
      <c r="W660">
        <f t="shared" si="260"/>
        <v>0.16808342519944175</v>
      </c>
      <c r="X660">
        <f t="shared" si="261"/>
        <v>0.21127083120352064</v>
      </c>
      <c r="Y660" t="b">
        <f t="shared" si="263"/>
        <v>0</v>
      </c>
    </row>
    <row xmlns:x14ac="http://schemas.microsoft.com/office/spreadsheetml/2009/9/ac" r="661" x14ac:dyDescent="0.45">
      <c r="A661">
        <v>3.26999999999996</v>
      </c>
      <c r="B661">
        <f t="shared" si="241"/>
        <v>0.16299999996731915</v>
      </c>
      <c r="C661" t="b">
        <f t="shared" si="254"/>
        <v>1</v>
      </c>
      <c r="D661" t="b">
        <f t="shared" si="242"/>
        <v>1</v>
      </c>
      <c r="E661">
        <f t="shared" si="250"/>
        <v>3.26999999999996</v>
      </c>
      <c r="F661">
        <f t="shared" si="255"/>
        <v>0.16299999996731915</v>
      </c>
      <c r="G661">
        <f t="shared" si="243"/>
        <v>0.21123945426930857</v>
      </c>
      <c r="H661">
        <f t="shared" si="244"/>
        <v>3.4999999987430447E-2</v>
      </c>
      <c r="I661" t="b">
        <f t="shared" si="256"/>
        <v>1</v>
      </c>
      <c r="J661">
        <f t="shared" si="245"/>
        <v>3.26999999999996</v>
      </c>
      <c r="K661">
        <f t="shared" si="257"/>
        <v>3.4999999987430447E-2</v>
      </c>
      <c r="L661">
        <f t="shared" si="246"/>
        <v>0.16813074559987179</v>
      </c>
      <c r="M661">
        <f t="shared" si="247"/>
        <v>0.18999999997486089</v>
      </c>
      <c r="N661">
        <f t="shared" si="248"/>
        <v>0.18799958938157374</v>
      </c>
      <c r="O661">
        <f t="shared" si="249"/>
        <v>0.15777777777837304</v>
      </c>
      <c r="P661">
        <f t="shared" si="262"/>
        <v>0.08</v>
      </c>
      <c r="Q661">
        <f t="shared" si="258"/>
        <v>0.08</v>
      </c>
      <c r="R661">
        <f t="shared" si="251"/>
        <v>0.08</v>
      </c>
      <c r="S661">
        <f t="shared" si="252"/>
        <v>0.06</v>
      </c>
      <c r="T661">
        <f t="shared" si="253"/>
        <v>0.1</v>
      </c>
      <c r="U661">
        <f t="shared" si="259"/>
        <v>0.08</v>
      </c>
      <c r="V661">
        <f t="shared" ref="V661:V724" si="264">MAX(IF(Y661,MAX(H661,$AB$6+$AF$13),MAX(T661,$AB$6+$AF$13)),O661,N661)</f>
        <v>0.18799958938157374</v>
      </c>
      <c r="W661">
        <f t="shared" si="260"/>
        <v>0.16809298415613833</v>
      </c>
      <c r="X661">
        <f t="shared" si="261"/>
        <v>0.2112644929064505</v>
      </c>
      <c r="Y661" t="b">
        <f t="shared" si="263"/>
        <v>0</v>
      </c>
    </row>
    <row xmlns:x14ac="http://schemas.microsoft.com/office/spreadsheetml/2009/9/ac" r="662" x14ac:dyDescent="0.45">
      <c r="A662">
        <v>3.2749999999999599</v>
      </c>
      <c r="B662">
        <f t="shared" si="241"/>
        <v>0.16299999919165134</v>
      </c>
      <c r="C662" t="b">
        <f t="shared" si="254"/>
        <v>1</v>
      </c>
      <c r="D662" t="b">
        <f t="shared" si="242"/>
        <v>1</v>
      </c>
      <c r="E662">
        <f t="shared" si="250"/>
        <v>3.2749999999999599</v>
      </c>
      <c r="F662">
        <f t="shared" si="255"/>
        <v>0.16299999919165134</v>
      </c>
      <c r="G662">
        <f t="shared" si="243"/>
        <v>0.21123327246535067</v>
      </c>
      <c r="H662">
        <f t="shared" si="244"/>
        <v>3.4999999689096672E-2</v>
      </c>
      <c r="I662" t="b">
        <f t="shared" si="256"/>
        <v>1</v>
      </c>
      <c r="J662">
        <f t="shared" si="245"/>
        <v>3.2749999999999599</v>
      </c>
      <c r="K662">
        <f t="shared" si="257"/>
        <v>3.4999999689096672E-2</v>
      </c>
      <c r="L662">
        <f t="shared" si="246"/>
        <v>0.16814006854508662</v>
      </c>
      <c r="M662">
        <f t="shared" si="247"/>
        <v>0.18999999937819334</v>
      </c>
      <c r="N662">
        <f t="shared" si="248"/>
        <v>0.18799939408229893</v>
      </c>
      <c r="O662">
        <f t="shared" si="249"/>
        <v>0.15777777777802066</v>
      </c>
      <c r="P662">
        <f t="shared" si="262"/>
        <v>0.08</v>
      </c>
      <c r="Q662">
        <f t="shared" si="258"/>
        <v>0.08</v>
      </c>
      <c r="R662">
        <f t="shared" si="251"/>
        <v>0.08</v>
      </c>
      <c r="S662">
        <f t="shared" si="252"/>
        <v>0.06</v>
      </c>
      <c r="T662">
        <f t="shared" si="253"/>
        <v>0.1</v>
      </c>
      <c r="U662">
        <f t="shared" si="259"/>
        <v>0.08</v>
      </c>
      <c r="V662">
        <f t="shared" si="264"/>
        <v>0.18799939408229893</v>
      </c>
      <c r="W662">
        <f t="shared" si="260"/>
        <v>0.16810249543733946</v>
      </c>
      <c r="X662">
        <f t="shared" si="261"/>
        <v>0.2112581862217689</v>
      </c>
      <c r="Y662" t="b">
        <f t="shared" si="263"/>
        <v>0</v>
      </c>
    </row>
    <row xmlns:x14ac="http://schemas.microsoft.com/office/spreadsheetml/2009/9/ac" r="663" x14ac:dyDescent="0.45">
      <c r="A663">
        <v>3.2799999999999598</v>
      </c>
      <c r="B663">
        <f t="shared" si="241"/>
        <v>0.16299999845768015</v>
      </c>
      <c r="C663" t="b">
        <f t="shared" si="254"/>
        <v>1</v>
      </c>
      <c r="D663" t="b">
        <f t="shared" si="242"/>
        <v>1</v>
      </c>
      <c r="E663">
        <f t="shared" si="250"/>
        <v>3.2799999999999598</v>
      </c>
      <c r="F663">
        <f t="shared" si="255"/>
        <v>0.16299999845768015</v>
      </c>
      <c r="G663">
        <f t="shared" si="243"/>
        <v>0.21122712149326867</v>
      </c>
      <c r="H663">
        <f t="shared" si="244"/>
        <v>3.4999999406800056E-2</v>
      </c>
      <c r="I663" t="b">
        <f t="shared" si="256"/>
        <v>1</v>
      </c>
      <c r="J663">
        <f t="shared" si="245"/>
        <v>3.2799999999999598</v>
      </c>
      <c r="K663">
        <f t="shared" si="257"/>
        <v>3.4999999406800056E-2</v>
      </c>
      <c r="L663">
        <f t="shared" si="246"/>
        <v>0.16814934499191819</v>
      </c>
      <c r="M663">
        <f t="shared" si="247"/>
        <v>0.18999999881360013</v>
      </c>
      <c r="N663">
        <f t="shared" si="248"/>
        <v>0.18799920763832134</v>
      </c>
      <c r="O663">
        <f t="shared" si="249"/>
        <v>0.15777777777769142</v>
      </c>
      <c r="P663">
        <f t="shared" si="262"/>
        <v>0.08</v>
      </c>
      <c r="Q663">
        <f t="shared" si="258"/>
        <v>0.08</v>
      </c>
      <c r="R663">
        <f t="shared" si="251"/>
        <v>0.08</v>
      </c>
      <c r="S663">
        <f t="shared" si="252"/>
        <v>0.06</v>
      </c>
      <c r="T663">
        <f t="shared" si="253"/>
        <v>0.1</v>
      </c>
      <c r="U663">
        <f t="shared" si="259"/>
        <v>0.08</v>
      </c>
      <c r="V663">
        <f t="shared" si="264"/>
        <v>0.18799920763832134</v>
      </c>
      <c r="W663">
        <f t="shared" si="260"/>
        <v>0.1681119592808277</v>
      </c>
      <c r="X663">
        <f t="shared" si="261"/>
        <v>0.21125191099180834</v>
      </c>
      <c r="Y663" t="b">
        <f t="shared" si="263"/>
        <v>0</v>
      </c>
    </row>
    <row xmlns:x14ac="http://schemas.microsoft.com/office/spreadsheetml/2009/9/ac" r="664" x14ac:dyDescent="0.45">
      <c r="A664">
        <v>3.2849999999999602</v>
      </c>
      <c r="B664">
        <f t="shared" si="241"/>
        <v>0.16299999776688309</v>
      </c>
      <c r="C664" t="b">
        <f t="shared" si="254"/>
        <v>1</v>
      </c>
      <c r="D664" t="b">
        <f t="shared" si="242"/>
        <v>1</v>
      </c>
      <c r="E664">
        <f t="shared" si="250"/>
        <v>3.2849999999999602</v>
      </c>
      <c r="F664">
        <f t="shared" si="255"/>
        <v>0.16299999776688309</v>
      </c>
      <c r="G664">
        <f t="shared" si="243"/>
        <v>0.21122100119928788</v>
      </c>
      <c r="H664">
        <f t="shared" si="244"/>
        <v>3.4999999141108878E-2</v>
      </c>
      <c r="I664" t="b">
        <f t="shared" si="256"/>
        <v>1</v>
      </c>
      <c r="J664">
        <f t="shared" si="245"/>
        <v>3.2849999999999602</v>
      </c>
      <c r="K664">
        <f t="shared" si="257"/>
        <v>3.4999999141108878E-2</v>
      </c>
      <c r="L664">
        <f t="shared" si="246"/>
        <v>0.16815857517227817</v>
      </c>
      <c r="M664">
        <f t="shared" si="247"/>
        <v>0.18999999828221775</v>
      </c>
      <c r="N664">
        <f t="shared" si="248"/>
        <v>0.18799903060299367</v>
      </c>
      <c r="O664">
        <f t="shared" si="249"/>
        <v>0.1577777777773855</v>
      </c>
      <c r="P664">
        <f t="shared" si="262"/>
        <v>0.08</v>
      </c>
      <c r="Q664">
        <f t="shared" si="258"/>
        <v>0.08</v>
      </c>
      <c r="R664">
        <f t="shared" si="251"/>
        <v>0.08</v>
      </c>
      <c r="S664">
        <f t="shared" si="252"/>
        <v>0.06</v>
      </c>
      <c r="T664">
        <f t="shared" si="253"/>
        <v>0.1</v>
      </c>
      <c r="U664">
        <f t="shared" si="259"/>
        <v>0.08</v>
      </c>
      <c r="V664">
        <f t="shared" si="264"/>
        <v>0.18799903060299367</v>
      </c>
      <c r="W664">
        <f t="shared" si="260"/>
        <v>0.16812137592319965</v>
      </c>
      <c r="X664">
        <f t="shared" si="261"/>
        <v>0.21124566705968778</v>
      </c>
      <c r="Y664" t="b">
        <f t="shared" si="263"/>
        <v>0</v>
      </c>
    </row>
    <row xmlns:x14ac="http://schemas.microsoft.com/office/spreadsheetml/2009/9/ac" r="665" x14ac:dyDescent="0.45">
      <c r="A665">
        <v>3.2899999999999601</v>
      </c>
      <c r="B665">
        <f t="shared" si="241"/>
        <v>0.16299999712045907</v>
      </c>
      <c r="C665" t="b">
        <f t="shared" si="254"/>
        <v>1</v>
      </c>
      <c r="D665" t="b">
        <f t="shared" si="242"/>
        <v>1</v>
      </c>
      <c r="E665">
        <f t="shared" si="250"/>
        <v>3.2899999999999601</v>
      </c>
      <c r="F665">
        <f t="shared" si="255"/>
        <v>0.16299999712045907</v>
      </c>
      <c r="G665">
        <f t="shared" si="243"/>
        <v>0.21121491143040066</v>
      </c>
      <c r="H665">
        <f t="shared" si="244"/>
        <v>3.4999998892484258E-2</v>
      </c>
      <c r="I665" t="b">
        <f t="shared" si="256"/>
        <v>1</v>
      </c>
      <c r="J665">
        <f t="shared" si="245"/>
        <v>3.2899999999999601</v>
      </c>
      <c r="K665">
        <f t="shared" si="257"/>
        <v>3.4999998892484258E-2</v>
      </c>
      <c r="L665">
        <f t="shared" si="246"/>
        <v>0.16816775931692152</v>
      </c>
      <c r="M665">
        <f t="shared" si="247"/>
        <v>0.18999999778496851</v>
      </c>
      <c r="N665">
        <f t="shared" si="248"/>
        <v>0.18799886347024403</v>
      </c>
      <c r="O665">
        <f t="shared" si="249"/>
        <v>0.15777777777710295</v>
      </c>
      <c r="P665">
        <f t="shared" si="262"/>
        <v>0.08</v>
      </c>
      <c r="Q665">
        <f t="shared" si="258"/>
        <v>0.08</v>
      </c>
      <c r="R665">
        <f t="shared" si="251"/>
        <v>0.08</v>
      </c>
      <c r="S665">
        <f t="shared" si="252"/>
        <v>0.06</v>
      </c>
      <c r="T665">
        <f t="shared" si="253"/>
        <v>0.1</v>
      </c>
      <c r="U665">
        <f t="shared" si="259"/>
        <v>0.08</v>
      </c>
      <c r="V665">
        <f t="shared" si="264"/>
        <v>0.18799886347024403</v>
      </c>
      <c r="W665">
        <f t="shared" si="260"/>
        <v>0.16813074559987179</v>
      </c>
      <c r="X665">
        <f t="shared" si="261"/>
        <v>0.21123945426930857</v>
      </c>
      <c r="Y665" t="b">
        <f t="shared" si="263"/>
        <v>0</v>
      </c>
    </row>
    <row xmlns:x14ac="http://schemas.microsoft.com/office/spreadsheetml/2009/9/ac" r="666" x14ac:dyDescent="0.45">
      <c r="A666">
        <v>3.29499999999996</v>
      </c>
      <c r="B666">
        <f t="shared" si="241"/>
        <v>0.16299999651933622</v>
      </c>
      <c r="C666" t="b">
        <f t="shared" si="254"/>
        <v>1</v>
      </c>
      <c r="D666" t="b">
        <f t="shared" si="242"/>
        <v>1</v>
      </c>
      <c r="E666">
        <f t="shared" si="250"/>
        <v>3.29499999999996</v>
      </c>
      <c r="F666">
        <f t="shared" si="255"/>
        <v>0.16299999651933622</v>
      </c>
      <c r="G666">
        <f t="shared" si="243"/>
        <v>0.21120885203436252</v>
      </c>
      <c r="H666">
        <f t="shared" si="244"/>
        <v>3.4999998661283171E-2</v>
      </c>
      <c r="I666" t="b">
        <f t="shared" si="256"/>
        <v>1</v>
      </c>
      <c r="J666">
        <f t="shared" si="245"/>
        <v>3.29499999999996</v>
      </c>
      <c r="K666">
        <f t="shared" si="257"/>
        <v>3.4999998661283171E-2</v>
      </c>
      <c r="L666">
        <f t="shared" si="246"/>
        <v>0.16817689765545241</v>
      </c>
      <c r="M666">
        <f t="shared" si="247"/>
        <v>0.18999999732256634</v>
      </c>
      <c r="N666">
        <f t="shared" si="248"/>
        <v>0.18799870667424251</v>
      </c>
      <c r="O666">
        <f t="shared" si="249"/>
        <v>0.15777777777684368</v>
      </c>
      <c r="P666">
        <f t="shared" si="262"/>
        <v>0.08</v>
      </c>
      <c r="Q666">
        <f t="shared" si="258"/>
        <v>0.08</v>
      </c>
      <c r="R666">
        <f t="shared" si="251"/>
        <v>0.08</v>
      </c>
      <c r="S666">
        <f t="shared" si="252"/>
        <v>0.06</v>
      </c>
      <c r="T666">
        <f t="shared" si="253"/>
        <v>0.1</v>
      </c>
      <c r="U666">
        <f t="shared" si="259"/>
        <v>0.08</v>
      </c>
      <c r="V666">
        <f t="shared" si="264"/>
        <v>0.18799870667424251</v>
      </c>
      <c r="W666">
        <f t="shared" si="260"/>
        <v>0.16814006854508662</v>
      </c>
      <c r="X666">
        <f t="shared" si="261"/>
        <v>0.21123327246535067</v>
      </c>
      <c r="Y666" t="b">
        <f t="shared" si="263"/>
        <v>0</v>
      </c>
    </row>
    <row xmlns:x14ac="http://schemas.microsoft.com/office/spreadsheetml/2009/9/ac" r="667" x14ac:dyDescent="0.45">
      <c r="A667">
        <v>3.2999999999999599</v>
      </c>
      <c r="B667">
        <f t="shared" si="241"/>
        <v>0.1629999959641808</v>
      </c>
      <c r="C667" t="b">
        <f t="shared" si="254"/>
        <v>1</v>
      </c>
      <c r="D667" t="b">
        <f t="shared" si="242"/>
        <v>1</v>
      </c>
      <c r="E667">
        <f t="shared" si="250"/>
        <v>3.2999999999999599</v>
      </c>
      <c r="F667">
        <f t="shared" si="255"/>
        <v>0.1629999959641808</v>
      </c>
      <c r="G667">
        <f t="shared" si="243"/>
        <v>0.21120282285968817</v>
      </c>
      <c r="H667">
        <f t="shared" si="244"/>
        <v>3.4999998447761846E-2</v>
      </c>
      <c r="I667" t="b">
        <f t="shared" si="256"/>
        <v>1</v>
      </c>
      <c r="J667">
        <f t="shared" si="245"/>
        <v>3.2999999999999599</v>
      </c>
      <c r="K667">
        <f t="shared" si="257"/>
        <v>3.4999998447761846E-2</v>
      </c>
      <c r="L667">
        <f t="shared" si="246"/>
        <v>0.1681859904163297</v>
      </c>
      <c r="M667">
        <f t="shared" si="247"/>
        <v>0.18999999689552372</v>
      </c>
      <c r="N667">
        <f t="shared" si="248"/>
        <v>0.1879985605893453</v>
      </c>
      <c r="O667">
        <f t="shared" si="249"/>
        <v>0.15777777777660745</v>
      </c>
      <c r="P667">
        <f t="shared" si="262"/>
        <v>0.08</v>
      </c>
      <c r="Q667">
        <f t="shared" si="258"/>
        <v>0.08</v>
      </c>
      <c r="R667">
        <f t="shared" si="251"/>
        <v>0.08</v>
      </c>
      <c r="S667">
        <f t="shared" si="252"/>
        <v>0.06</v>
      </c>
      <c r="T667">
        <f t="shared" si="253"/>
        <v>0.1</v>
      </c>
      <c r="U667">
        <f t="shared" si="259"/>
        <v>0.08</v>
      </c>
      <c r="V667">
        <f t="shared" si="264"/>
        <v>0.1879985605893453</v>
      </c>
      <c r="W667">
        <f t="shared" si="260"/>
        <v>0.16814934499191819</v>
      </c>
      <c r="X667">
        <f t="shared" si="261"/>
        <v>0.21122712149326867</v>
      </c>
      <c r="Y667" t="b">
        <f t="shared" si="263"/>
        <v>0</v>
      </c>
    </row>
    <row xmlns:x14ac="http://schemas.microsoft.com/office/spreadsheetml/2009/9/ac" r="668" x14ac:dyDescent="0.45">
      <c r="A668">
        <v>3.3049999999999602</v>
      </c>
      <c r="B668">
        <f t="shared" si="241"/>
        <v>0.16299999545540661</v>
      </c>
      <c r="C668" t="b">
        <f t="shared" si="254"/>
        <v>1</v>
      </c>
      <c r="D668" t="b">
        <f t="shared" si="242"/>
        <v>1</v>
      </c>
      <c r="E668">
        <f t="shared" si="250"/>
        <v>3.3049999999999602</v>
      </c>
      <c r="F668">
        <f t="shared" si="255"/>
        <v>0.16299999545540661</v>
      </c>
      <c r="G668">
        <f t="shared" si="243"/>
        <v>0.21119682375564797</v>
      </c>
      <c r="H668">
        <f t="shared" si="244"/>
        <v>3.4999998252079473E-2</v>
      </c>
      <c r="I668" t="b">
        <f t="shared" si="256"/>
        <v>1</v>
      </c>
      <c r="J668">
        <f t="shared" si="245"/>
        <v>3.3049999999999602</v>
      </c>
      <c r="K668">
        <f t="shared" si="257"/>
        <v>3.4999998252079473E-2</v>
      </c>
      <c r="L668">
        <f t="shared" si="246"/>
        <v>0.16819503782687295</v>
      </c>
      <c r="M668">
        <f t="shared" si="247"/>
        <v>0.18999999650415894</v>
      </c>
      <c r="N668">
        <f t="shared" si="248"/>
        <v>0.18799842553030721</v>
      </c>
      <c r="O668">
        <f t="shared" si="249"/>
        <v>0.1577777777763939</v>
      </c>
      <c r="P668">
        <f t="shared" si="262"/>
        <v>0.08</v>
      </c>
      <c r="Q668">
        <f t="shared" si="258"/>
        <v>0.08</v>
      </c>
      <c r="R668">
        <f t="shared" si="251"/>
        <v>0.08</v>
      </c>
      <c r="S668">
        <f t="shared" si="252"/>
        <v>0.06</v>
      </c>
      <c r="T668">
        <f t="shared" si="253"/>
        <v>0.1</v>
      </c>
      <c r="U668">
        <f t="shared" si="259"/>
        <v>0.08</v>
      </c>
      <c r="V668">
        <f t="shared" si="264"/>
        <v>0.18799842553030721</v>
      </c>
      <c r="W668">
        <f t="shared" si="260"/>
        <v>0.16815857517227817</v>
      </c>
      <c r="X668">
        <f t="shared" si="261"/>
        <v>0.21122100119928788</v>
      </c>
      <c r="Y668" t="b">
        <f t="shared" si="263"/>
        <v>0</v>
      </c>
    </row>
    <row xmlns:x14ac="http://schemas.microsoft.com/office/spreadsheetml/2009/9/ac" r="669" x14ac:dyDescent="0.45">
      <c r="A669">
        <v>3.3099999999999601</v>
      </c>
      <c r="B669">
        <f t="shared" si="241"/>
        <v>0.1629999949931854</v>
      </c>
      <c r="C669" t="b">
        <f t="shared" si="254"/>
        <v>1</v>
      </c>
      <c r="D669" t="b">
        <f t="shared" si="242"/>
        <v>1</v>
      </c>
      <c r="E669">
        <f t="shared" si="250"/>
        <v>3.3099999999999601</v>
      </c>
      <c r="F669">
        <f t="shared" si="255"/>
        <v>0.1629999949931854</v>
      </c>
      <c r="G669">
        <f t="shared" si="243"/>
        <v>0.21119085457226394</v>
      </c>
      <c r="H669">
        <f t="shared" si="244"/>
        <v>3.4999998074302083E-2</v>
      </c>
      <c r="I669" t="b">
        <f t="shared" si="256"/>
        <v>1</v>
      </c>
      <c r="J669">
        <f t="shared" si="245"/>
        <v>3.3099999999999601</v>
      </c>
      <c r="K669">
        <f t="shared" si="257"/>
        <v>3.4999998074302083E-2</v>
      </c>
      <c r="L669">
        <f t="shared" si="246"/>
        <v>0.16820404011326784</v>
      </c>
      <c r="M669">
        <f t="shared" si="247"/>
        <v>0.18999999614860416</v>
      </c>
      <c r="N669">
        <f t="shared" si="248"/>
        <v>0.18799830175275389</v>
      </c>
      <c r="O669">
        <f t="shared" si="249"/>
        <v>0.15777777777620264</v>
      </c>
      <c r="P669">
        <f t="shared" si="262"/>
        <v>0.08</v>
      </c>
      <c r="Q669">
        <f t="shared" si="258"/>
        <v>0.08</v>
      </c>
      <c r="R669">
        <f t="shared" si="251"/>
        <v>0.08</v>
      </c>
      <c r="S669">
        <f t="shared" si="252"/>
        <v>0.06</v>
      </c>
      <c r="T669">
        <f t="shared" si="253"/>
        <v>0.1</v>
      </c>
      <c r="U669">
        <f t="shared" si="259"/>
        <v>0.08</v>
      </c>
      <c r="V669">
        <f t="shared" si="264"/>
        <v>0.18799830175275389</v>
      </c>
      <c r="W669">
        <f t="shared" si="260"/>
        <v>0.16816775931692152</v>
      </c>
      <c r="X669">
        <f t="shared" si="261"/>
        <v>0.21121491143040066</v>
      </c>
      <c r="Y669" t="b">
        <f t="shared" si="263"/>
        <v>0</v>
      </c>
    </row>
    <row xmlns:x14ac="http://schemas.microsoft.com/office/spreadsheetml/2009/9/ac" r="670" x14ac:dyDescent="0.45">
      <c r="A670">
        <v>3.31499999999996</v>
      </c>
      <c r="B670">
        <f t="shared" si="241"/>
        <v>0.16299999457745787</v>
      </c>
      <c r="C670" t="b">
        <f t="shared" si="254"/>
        <v>1</v>
      </c>
      <c r="D670" t="b">
        <f t="shared" si="242"/>
        <v>1</v>
      </c>
      <c r="E670">
        <f t="shared" si="250"/>
        <v>3.31499999999996</v>
      </c>
      <c r="F670">
        <f t="shared" si="255"/>
        <v>0.16299999457745787</v>
      </c>
      <c r="G670">
        <f t="shared" si="243"/>
        <v>0.2111849151603063</v>
      </c>
      <c r="H670">
        <f t="shared" si="244"/>
        <v>3.4999997914406875E-2</v>
      </c>
      <c r="I670" t="b">
        <f t="shared" si="256"/>
        <v>1</v>
      </c>
      <c r="J670">
        <f t="shared" si="245"/>
        <v>3.31499999999996</v>
      </c>
      <c r="K670">
        <f t="shared" si="257"/>
        <v>3.4999997914406875E-2</v>
      </c>
      <c r="L670">
        <f t="shared" si="246"/>
        <v>0.168212997500572</v>
      </c>
      <c r="M670">
        <f t="shared" si="247"/>
        <v>0.18999999582881377</v>
      </c>
      <c r="N670">
        <f t="shared" si="248"/>
        <v>0.18799818945390295</v>
      </c>
      <c r="O670">
        <f t="shared" si="249"/>
        <v>0.15777777777603313</v>
      </c>
      <c r="P670">
        <f t="shared" si="262"/>
        <v>0.08</v>
      </c>
      <c r="Q670">
        <f t="shared" si="258"/>
        <v>0.08</v>
      </c>
      <c r="R670">
        <f t="shared" si="251"/>
        <v>0.08</v>
      </c>
      <c r="S670">
        <f t="shared" si="252"/>
        <v>0.06</v>
      </c>
      <c r="T670">
        <f t="shared" si="253"/>
        <v>0.1</v>
      </c>
      <c r="U670">
        <f t="shared" si="259"/>
        <v>0.08</v>
      </c>
      <c r="V670">
        <f t="shared" si="264"/>
        <v>0.18799818945390295</v>
      </c>
      <c r="W670">
        <f t="shared" si="260"/>
        <v>0.16817689765545241</v>
      </c>
      <c r="X670">
        <f t="shared" si="261"/>
        <v>0.21120885203436252</v>
      </c>
      <c r="Y670" t="b">
        <f t="shared" si="263"/>
        <v>0</v>
      </c>
    </row>
    <row xmlns:x14ac="http://schemas.microsoft.com/office/spreadsheetml/2009/9/ac" r="671" x14ac:dyDescent="0.45">
      <c r="A671">
        <v>3.3199999999999599</v>
      </c>
      <c r="B671">
        <f t="shared" si="241"/>
        <v>0.1629999942079452</v>
      </c>
      <c r="C671" t="b">
        <f t="shared" si="254"/>
        <v>1</v>
      </c>
      <c r="D671" t="b">
        <f t="shared" si="242"/>
        <v>1</v>
      </c>
      <c r="E671">
        <f t="shared" si="250"/>
        <v>3.3199999999999599</v>
      </c>
      <c r="F671">
        <f t="shared" si="255"/>
        <v>0.1629999942079452</v>
      </c>
      <c r="G671">
        <f t="shared" si="243"/>
        <v>0.21117900537128936</v>
      </c>
      <c r="H671">
        <f t="shared" si="244"/>
        <v>3.4999997772286615E-2</v>
      </c>
      <c r="I671" t="b">
        <f t="shared" si="256"/>
        <v>1</v>
      </c>
      <c r="J671">
        <f t="shared" si="245"/>
        <v>3.3199999999999599</v>
      </c>
      <c r="K671">
        <f t="shared" si="257"/>
        <v>3.4999997772286615E-2</v>
      </c>
      <c r="L671">
        <f t="shared" si="246"/>
        <v>0.16822191021272065</v>
      </c>
      <c r="M671">
        <f t="shared" si="247"/>
        <v>0.18999999554457325</v>
      </c>
      <c r="N671">
        <f t="shared" si="248"/>
        <v>0.18799808877352298</v>
      </c>
      <c r="O671">
        <f t="shared" si="249"/>
        <v>0.15777777777588478</v>
      </c>
      <c r="P671">
        <f t="shared" si="262"/>
        <v>0.08</v>
      </c>
      <c r="Q671">
        <f t="shared" si="258"/>
        <v>0.08</v>
      </c>
      <c r="R671">
        <f t="shared" si="251"/>
        <v>0.08</v>
      </c>
      <c r="S671">
        <f t="shared" si="252"/>
        <v>0.06</v>
      </c>
      <c r="T671">
        <f t="shared" si="253"/>
        <v>0.1</v>
      </c>
      <c r="U671">
        <f t="shared" si="259"/>
        <v>0.08</v>
      </c>
      <c r="V671">
        <f t="shared" si="264"/>
        <v>0.18799808877352298</v>
      </c>
      <c r="W671">
        <f t="shared" si="260"/>
        <v>0.1681859904163297</v>
      </c>
      <c r="X671">
        <f t="shared" si="261"/>
        <v>0.21120282285968817</v>
      </c>
      <c r="Y671" t="b">
        <f t="shared" si="263"/>
        <v>0</v>
      </c>
    </row>
    <row xmlns:x14ac="http://schemas.microsoft.com/office/spreadsheetml/2009/9/ac" r="672" x14ac:dyDescent="0.45">
      <c r="A672">
        <v>3.3249999999999602</v>
      </c>
      <c r="B672">
        <f t="shared" si="241"/>
        <v>0.16299999388416106</v>
      </c>
      <c r="C672" t="b">
        <f t="shared" si="254"/>
        <v>1</v>
      </c>
      <c r="D672" t="b">
        <f t="shared" si="242"/>
        <v>1</v>
      </c>
      <c r="E672">
        <f t="shared" si="250"/>
        <v>3.3249999999999602</v>
      </c>
      <c r="F672">
        <f t="shared" si="255"/>
        <v>0.16299999388416106</v>
      </c>
      <c r="G672">
        <f t="shared" si="243"/>
        <v>0.2111731250574681</v>
      </c>
      <c r="H672">
        <f t="shared" si="244"/>
        <v>3.4999997647754258E-2</v>
      </c>
      <c r="I672" t="b">
        <f t="shared" si="256"/>
        <v>1</v>
      </c>
      <c r="J672">
        <f t="shared" si="245"/>
        <v>3.3249999999999602</v>
      </c>
      <c r="K672">
        <f t="shared" si="257"/>
        <v>3.4999997647754258E-2</v>
      </c>
      <c r="L672">
        <f t="shared" si="246"/>
        <v>0.16823077847253198</v>
      </c>
      <c r="M672">
        <f t="shared" si="247"/>
        <v>0.18999999529550851</v>
      </c>
      <c r="N672">
        <f t="shared" si="248"/>
        <v>0.18799799979511905</v>
      </c>
      <c r="O672">
        <f t="shared" si="249"/>
        <v>0.15777777777575694</v>
      </c>
      <c r="P672">
        <f t="shared" si="262"/>
        <v>0.08</v>
      </c>
      <c r="Q672">
        <f t="shared" si="258"/>
        <v>0.08</v>
      </c>
      <c r="R672">
        <f t="shared" si="251"/>
        <v>0.08</v>
      </c>
      <c r="S672">
        <f t="shared" si="252"/>
        <v>0.06</v>
      </c>
      <c r="T672">
        <f t="shared" si="253"/>
        <v>0.1</v>
      </c>
      <c r="U672">
        <f t="shared" si="259"/>
        <v>0.08</v>
      </c>
      <c r="V672">
        <f t="shared" si="264"/>
        <v>0.18799799979511905</v>
      </c>
      <c r="W672">
        <f t="shared" si="260"/>
        <v>0.16819503782687295</v>
      </c>
      <c r="X672">
        <f t="shared" si="261"/>
        <v>0.21119682375564797</v>
      </c>
      <c r="Y672" t="b">
        <f t="shared" si="263"/>
        <v>0</v>
      </c>
    </row>
    <row xmlns:x14ac="http://schemas.microsoft.com/office/spreadsheetml/2009/9/ac" r="673" x14ac:dyDescent="0.45">
      <c r="A673">
        <v>3.3299999999999601</v>
      </c>
      <c r="B673">
        <f t="shared" si="241"/>
        <v>0.16299999360542414</v>
      </c>
      <c r="C673" t="b">
        <f t="shared" si="254"/>
        <v>1</v>
      </c>
      <c r="D673" t="b">
        <f t="shared" si="242"/>
        <v>1</v>
      </c>
      <c r="E673">
        <f t="shared" si="250"/>
        <v>3.3299999999999601</v>
      </c>
      <c r="F673">
        <f t="shared" si="255"/>
        <v>0.16299999360542414</v>
      </c>
      <c r="G673">
        <f t="shared" si="243"/>
        <v>0.21116727407183439</v>
      </c>
      <c r="H673">
        <f t="shared" si="244"/>
        <v>3.499999754054775E-2</v>
      </c>
      <c r="I673" t="b">
        <f t="shared" si="256"/>
        <v>1</v>
      </c>
      <c r="J673">
        <f t="shared" si="245"/>
        <v>3.3299999999999601</v>
      </c>
      <c r="K673">
        <f t="shared" si="257"/>
        <v>3.499999754054775E-2</v>
      </c>
      <c r="L673">
        <f t="shared" si="246"/>
        <v>0.16823960250171296</v>
      </c>
      <c r="M673">
        <f t="shared" si="247"/>
        <v>0.1899999950810955</v>
      </c>
      <c r="N673">
        <f t="shared" si="248"/>
        <v>0.18799792254733189</v>
      </c>
      <c r="O673">
        <f t="shared" si="249"/>
        <v>0.15777777777564883</v>
      </c>
      <c r="P673">
        <f t="shared" si="262"/>
        <v>0.08</v>
      </c>
      <c r="Q673">
        <f t="shared" si="258"/>
        <v>0.08</v>
      </c>
      <c r="R673">
        <f t="shared" si="251"/>
        <v>0.08</v>
      </c>
      <c r="S673">
        <f t="shared" si="252"/>
        <v>0.06</v>
      </c>
      <c r="T673">
        <f t="shared" si="253"/>
        <v>0.1</v>
      </c>
      <c r="U673">
        <f t="shared" si="259"/>
        <v>0.08</v>
      </c>
      <c r="V673">
        <f t="shared" si="264"/>
        <v>0.18799792254733189</v>
      </c>
      <c r="W673">
        <f t="shared" si="260"/>
        <v>0.16820404011326784</v>
      </c>
      <c r="X673">
        <f t="shared" si="261"/>
        <v>0.21119085457226394</v>
      </c>
      <c r="Y673" t="b">
        <f t="shared" si="263"/>
        <v>0</v>
      </c>
    </row>
    <row xmlns:x14ac="http://schemas.microsoft.com/office/spreadsheetml/2009/9/ac" r="674" x14ac:dyDescent="0.45">
      <c r="A674">
        <v>3.33499999999996</v>
      </c>
      <c r="B674">
        <f t="shared" si="241"/>
        <v>0.16299999337087084</v>
      </c>
      <c r="C674" t="b">
        <f t="shared" si="254"/>
        <v>1</v>
      </c>
      <c r="D674" t="b">
        <f t="shared" si="242"/>
        <v>1</v>
      </c>
      <c r="E674">
        <f t="shared" si="250"/>
        <v>3.33499999999996</v>
      </c>
      <c r="F674">
        <f t="shared" si="255"/>
        <v>0.16299999337087084</v>
      </c>
      <c r="G674">
        <f t="shared" si="243"/>
        <v>0.21116145226811328</v>
      </c>
      <c r="H674">
        <f t="shared" si="244"/>
        <v>3.4999997450334941E-2</v>
      </c>
      <c r="I674" t="b">
        <f t="shared" si="256"/>
        <v>1</v>
      </c>
      <c r="J674">
        <f t="shared" si="245"/>
        <v>3.33499999999996</v>
      </c>
      <c r="K674">
        <f t="shared" si="257"/>
        <v>3.4999997450334941E-2</v>
      </c>
      <c r="L674">
        <f t="shared" si="246"/>
        <v>0.16824838252086483</v>
      </c>
      <c r="M674">
        <f t="shared" si="247"/>
        <v>0.18999999490066988</v>
      </c>
      <c r="N674">
        <f t="shared" si="248"/>
        <v>0.18799785700553789</v>
      </c>
      <c r="O674">
        <f t="shared" si="249"/>
        <v>0.15777777777555968</v>
      </c>
      <c r="P674">
        <f t="shared" si="262"/>
        <v>0.08</v>
      </c>
      <c r="Q674">
        <f t="shared" si="258"/>
        <v>0.08</v>
      </c>
      <c r="R674">
        <f t="shared" si="251"/>
        <v>0.08</v>
      </c>
      <c r="S674">
        <f t="shared" si="252"/>
        <v>0.06</v>
      </c>
      <c r="T674">
        <f t="shared" si="253"/>
        <v>0.1</v>
      </c>
      <c r="U674">
        <f t="shared" si="259"/>
        <v>0.08</v>
      </c>
      <c r="V674">
        <f t="shared" si="264"/>
        <v>0.18799785700553789</v>
      </c>
      <c r="W674">
        <f t="shared" si="260"/>
        <v>0.168212997500572</v>
      </c>
      <c r="X674">
        <f t="shared" si="261"/>
        <v>0.2111849151603063</v>
      </c>
      <c r="Y674" t="b">
        <f t="shared" si="263"/>
        <v>0</v>
      </c>
    </row>
    <row xmlns:x14ac="http://schemas.microsoft.com/office/spreadsheetml/2009/9/ac" r="675" x14ac:dyDescent="0.45">
      <c r="A675">
        <v>3.3399999999999599</v>
      </c>
      <c r="B675">
        <f t="shared" si="241"/>
        <v>0.16299999317946828</v>
      </c>
      <c r="C675" t="b">
        <f t="shared" si="254"/>
        <v>1</v>
      </c>
      <c r="D675" t="b">
        <f t="shared" si="242"/>
        <v>1</v>
      </c>
      <c r="E675">
        <f t="shared" si="250"/>
        <v>3.3399999999999599</v>
      </c>
      <c r="F675">
        <f t="shared" si="255"/>
        <v>0.16299999317946828</v>
      </c>
      <c r="G675">
        <f t="shared" si="243"/>
        <v>0.21115565950075937</v>
      </c>
      <c r="H675">
        <f t="shared" si="244"/>
        <v>3.4999997376718578E-2</v>
      </c>
      <c r="I675" t="b">
        <f t="shared" si="256"/>
        <v>1</v>
      </c>
      <c r="J675">
        <f t="shared" si="245"/>
        <v>3.3399999999999599</v>
      </c>
      <c r="K675">
        <f t="shared" si="257"/>
        <v>3.4999997376718578E-2</v>
      </c>
      <c r="L675">
        <f t="shared" si="246"/>
        <v>0.16825711874948845</v>
      </c>
      <c r="M675">
        <f t="shared" si="247"/>
        <v>0.18999999475343715</v>
      </c>
      <c r="N675">
        <f t="shared" si="248"/>
        <v>0.18799780309363645</v>
      </c>
      <c r="O675">
        <f t="shared" si="249"/>
        <v>0.15777777777548868</v>
      </c>
      <c r="P675">
        <f t="shared" si="262"/>
        <v>0.08</v>
      </c>
      <c r="Q675">
        <f t="shared" si="258"/>
        <v>0.08</v>
      </c>
      <c r="R675">
        <f t="shared" si="251"/>
        <v>0.08</v>
      </c>
      <c r="S675">
        <f t="shared" si="252"/>
        <v>0.06</v>
      </c>
      <c r="T675">
        <f t="shared" si="253"/>
        <v>0.1</v>
      </c>
      <c r="U675">
        <f t="shared" si="259"/>
        <v>0.08</v>
      </c>
      <c r="V675">
        <f t="shared" si="264"/>
        <v>0.18799780309363645</v>
      </c>
      <c r="W675">
        <f t="shared" si="260"/>
        <v>0.16822191021272065</v>
      </c>
      <c r="X675">
        <f t="shared" si="261"/>
        <v>0.21117900537128936</v>
      </c>
      <c r="Y675" t="b">
        <f t="shared" si="263"/>
        <v>0</v>
      </c>
    </row>
    <row xmlns:x14ac="http://schemas.microsoft.com/office/spreadsheetml/2009/9/ac" r="676" x14ac:dyDescent="0.45">
      <c r="A676">
        <v>3.3449999999999598</v>
      </c>
      <c r="B676">
        <f t="shared" si="241"/>
        <v>0.16299999303002766</v>
      </c>
      <c r="C676" t="b">
        <f t="shared" si="254"/>
        <v>1</v>
      </c>
      <c r="D676" t="b">
        <f t="shared" si="242"/>
        <v>1</v>
      </c>
      <c r="E676">
        <f t="shared" si="250"/>
        <v>3.3449999999999598</v>
      </c>
      <c r="F676">
        <f t="shared" si="255"/>
        <v>0.16299999303002766</v>
      </c>
      <c r="G676">
        <f t="shared" si="243"/>
        <v>0.21114989562495318</v>
      </c>
      <c r="H676">
        <f t="shared" si="244"/>
        <v>3.4999997319241402E-2</v>
      </c>
      <c r="I676" t="b">
        <f t="shared" si="256"/>
        <v>1</v>
      </c>
      <c r="J676">
        <f t="shared" si="245"/>
        <v>3.3449999999999598</v>
      </c>
      <c r="K676">
        <f t="shared" si="257"/>
        <v>3.4999997319241402E-2</v>
      </c>
      <c r="L676">
        <f t="shared" si="246"/>
        <v>0.16826581140599009</v>
      </c>
      <c r="M676">
        <f t="shared" si="247"/>
        <v>0.18999999463848283</v>
      </c>
      <c r="N676">
        <f t="shared" si="248"/>
        <v>0.18799776068601087</v>
      </c>
      <c r="O676">
        <f t="shared" si="249"/>
        <v>0.15777777777543489</v>
      </c>
      <c r="P676">
        <f t="shared" si="262"/>
        <v>0.08</v>
      </c>
      <c r="Q676">
        <f t="shared" si="258"/>
        <v>0.08</v>
      </c>
      <c r="R676">
        <f t="shared" si="251"/>
        <v>0.08</v>
      </c>
      <c r="S676">
        <f t="shared" si="252"/>
        <v>0.06</v>
      </c>
      <c r="T676">
        <f t="shared" si="253"/>
        <v>0.1</v>
      </c>
      <c r="U676">
        <f t="shared" si="259"/>
        <v>0.08</v>
      </c>
      <c r="V676">
        <f t="shared" si="264"/>
        <v>0.18799776068601087</v>
      </c>
      <c r="W676">
        <f t="shared" si="260"/>
        <v>0.16823077847253198</v>
      </c>
      <c r="X676">
        <f t="shared" si="261"/>
        <v>0.2111731250574681</v>
      </c>
      <c r="Y676" t="b">
        <f t="shared" si="263"/>
        <v>0</v>
      </c>
    </row>
    <row xmlns:x14ac="http://schemas.microsoft.com/office/spreadsheetml/2009/9/ac" r="677" x14ac:dyDescent="0.45">
      <c r="A677">
        <v>3.3499999999999601</v>
      </c>
      <c r="B677">
        <f t="shared" si="241"/>
        <v>0.16299999292121725</v>
      </c>
      <c r="C677" t="b">
        <f t="shared" si="254"/>
        <v>1</v>
      </c>
      <c r="D677" t="b">
        <f t="shared" si="242"/>
        <v>1</v>
      </c>
      <c r="E677">
        <f t="shared" si="250"/>
        <v>3.3499999999999601</v>
      </c>
      <c r="F677">
        <f t="shared" si="255"/>
        <v>0.16299999292121725</v>
      </c>
      <c r="G677">
        <f t="shared" si="243"/>
        <v>0.21114416049659746</v>
      </c>
      <c r="H677">
        <f t="shared" si="244"/>
        <v>3.4999997277391254E-2</v>
      </c>
      <c r="I677" t="b">
        <f t="shared" si="256"/>
        <v>1</v>
      </c>
      <c r="J677">
        <f t="shared" si="245"/>
        <v>3.3499999999999601</v>
      </c>
      <c r="K677">
        <f t="shared" si="257"/>
        <v>3.4999997277391254E-2</v>
      </c>
      <c r="L677">
        <f t="shared" si="246"/>
        <v>0.16827446070768654</v>
      </c>
      <c r="M677">
        <f t="shared" si="247"/>
        <v>0.1899999945547825</v>
      </c>
      <c r="N677">
        <f t="shared" si="248"/>
        <v>0.18799772960964856</v>
      </c>
      <c r="O677">
        <f t="shared" si="249"/>
        <v>0.15777777777539748</v>
      </c>
      <c r="P677">
        <f t="shared" si="262"/>
        <v>0.08</v>
      </c>
      <c r="Q677">
        <f t="shared" si="258"/>
        <v>0.08</v>
      </c>
      <c r="R677">
        <f t="shared" si="251"/>
        <v>0.08</v>
      </c>
      <c r="S677">
        <f t="shared" si="252"/>
        <v>0.06</v>
      </c>
      <c r="T677">
        <f t="shared" si="253"/>
        <v>0.1</v>
      </c>
      <c r="U677">
        <f t="shared" si="259"/>
        <v>0.08</v>
      </c>
      <c r="V677">
        <f t="shared" si="264"/>
        <v>0.18799772960964856</v>
      </c>
      <c r="W677">
        <f t="shared" si="260"/>
        <v>0.16823960250171296</v>
      </c>
      <c r="X677">
        <f t="shared" si="261"/>
        <v>0.21116727407183439</v>
      </c>
      <c r="Y677" t="b">
        <f t="shared" si="263"/>
        <v>0</v>
      </c>
    </row>
    <row xmlns:x14ac="http://schemas.microsoft.com/office/spreadsheetml/2009/9/ac" r="678" x14ac:dyDescent="0.45">
      <c r="A678">
        <v>3.35499999999996</v>
      </c>
      <c r="B678">
        <f t="shared" si="241"/>
        <v>0.1629999928515761</v>
      </c>
      <c r="C678" t="b">
        <f t="shared" si="254"/>
        <v>1</v>
      </c>
      <c r="D678" t="b">
        <f t="shared" si="242"/>
        <v>1</v>
      </c>
      <c r="E678">
        <f t="shared" si="250"/>
        <v>3.35499999999996</v>
      </c>
      <c r="F678">
        <f t="shared" si="255"/>
        <v>0.1629999928515761</v>
      </c>
      <c r="G678">
        <f t="shared" si="243"/>
        <v>0.21113845397231379</v>
      </c>
      <c r="H678">
        <f t="shared" si="244"/>
        <v>3.4999997250606193E-2</v>
      </c>
      <c r="I678" t="b">
        <f t="shared" si="256"/>
        <v>1</v>
      </c>
      <c r="J678">
        <f t="shared" si="245"/>
        <v>3.35499999999996</v>
      </c>
      <c r="K678">
        <f t="shared" si="257"/>
        <v>3.4999997250606193E-2</v>
      </c>
      <c r="L678">
        <f t="shared" si="246"/>
        <v>0.16828306687081079</v>
      </c>
      <c r="M678">
        <f t="shared" si="247"/>
        <v>0.18999999450121238</v>
      </c>
      <c r="N678">
        <f t="shared" si="248"/>
        <v>0.18799770964640591</v>
      </c>
      <c r="O678">
        <f t="shared" si="249"/>
        <v>0.15777777777537544</v>
      </c>
      <c r="P678">
        <f t="shared" si="262"/>
        <v>0.08</v>
      </c>
      <c r="Q678">
        <f t="shared" si="258"/>
        <v>0.08</v>
      </c>
      <c r="R678">
        <f t="shared" si="251"/>
        <v>0.08</v>
      </c>
      <c r="S678">
        <f t="shared" si="252"/>
        <v>0.06</v>
      </c>
      <c r="T678">
        <f t="shared" si="253"/>
        <v>0.1</v>
      </c>
      <c r="U678">
        <f t="shared" si="259"/>
        <v>0.08</v>
      </c>
      <c r="V678">
        <f t="shared" si="264"/>
        <v>0.18799770964640591</v>
      </c>
      <c r="W678">
        <f t="shared" si="260"/>
        <v>0.16824838252086483</v>
      </c>
      <c r="X678">
        <f t="shared" si="261"/>
        <v>0.21116145226811328</v>
      </c>
      <c r="Y678" t="b">
        <f t="shared" si="263"/>
        <v>0</v>
      </c>
    </row>
    <row xmlns:x14ac="http://schemas.microsoft.com/office/spreadsheetml/2009/9/ac" r="679" x14ac:dyDescent="0.45">
      <c r="A679">
        <v>3.3599999999999599</v>
      </c>
      <c r="B679">
        <f t="shared" si="241"/>
        <v>0.16299999281952698</v>
      </c>
      <c r="C679" t="b">
        <f t="shared" si="254"/>
        <v>1</v>
      </c>
      <c r="D679" t="b">
        <f t="shared" si="242"/>
        <v>1</v>
      </c>
      <c r="E679">
        <f t="shared" si="250"/>
        <v>3.3599999999999599</v>
      </c>
      <c r="F679">
        <f t="shared" si="255"/>
        <v>0.16299999281952698</v>
      </c>
      <c r="G679">
        <f t="shared" si="243"/>
        <v>0.21113277590943869</v>
      </c>
      <c r="H679">
        <f t="shared" si="244"/>
        <v>3.4999997238279609E-2</v>
      </c>
      <c r="I679" t="b">
        <f t="shared" si="256"/>
        <v>1</v>
      </c>
      <c r="J679">
        <f t="shared" si="245"/>
        <v>3.3599999999999599</v>
      </c>
      <c r="K679">
        <f t="shared" si="257"/>
        <v>3.4999997238279609E-2</v>
      </c>
      <c r="L679">
        <f t="shared" si="246"/>
        <v>0.1682916301105174</v>
      </c>
      <c r="M679">
        <f t="shared" si="247"/>
        <v>0.18999999447655921</v>
      </c>
      <c r="N679">
        <f t="shared" si="248"/>
        <v>0.18799770053540346</v>
      </c>
      <c r="O679">
        <f t="shared" si="249"/>
        <v>0.15777777777536783</v>
      </c>
      <c r="P679">
        <f t="shared" si="262"/>
        <v>0.08</v>
      </c>
      <c r="Q679">
        <f t="shared" si="258"/>
        <v>0.08</v>
      </c>
      <c r="R679">
        <f t="shared" si="251"/>
        <v>0.08</v>
      </c>
      <c r="S679">
        <f t="shared" si="252"/>
        <v>0.06</v>
      </c>
      <c r="T679">
        <f t="shared" si="253"/>
        <v>0.1</v>
      </c>
      <c r="U679">
        <f t="shared" si="259"/>
        <v>0.08</v>
      </c>
      <c r="V679">
        <f t="shared" si="264"/>
        <v>0.18799770053540346</v>
      </c>
      <c r="W679">
        <f t="shared" si="260"/>
        <v>0.16825711874948845</v>
      </c>
      <c r="X679">
        <f t="shared" si="261"/>
        <v>0.21115565950075937</v>
      </c>
      <c r="Y679" t="b">
        <f t="shared" si="263"/>
        <v>0</v>
      </c>
    </row>
    <row xmlns:x14ac="http://schemas.microsoft.com/office/spreadsheetml/2009/9/ac" r="680" x14ac:dyDescent="0.45">
      <c r="A680">
        <v>3.3649999999999598</v>
      </c>
      <c r="B680">
        <f t="shared" si="241"/>
        <v>0.16299999282338981</v>
      </c>
      <c r="C680" t="b">
        <f t="shared" si="254"/>
        <v>1</v>
      </c>
      <c r="D680" t="b">
        <f t="shared" si="242"/>
        <v>1</v>
      </c>
      <c r="E680">
        <f t="shared" si="250"/>
        <v>3.3649999999999598</v>
      </c>
      <c r="F680">
        <f t="shared" si="255"/>
        <v>0.16299999282338981</v>
      </c>
      <c r="G680">
        <f t="shared" si="243"/>
        <v>0.21112712616602031</v>
      </c>
      <c r="H680">
        <f t="shared" si="244"/>
        <v>3.499999723976531E-2</v>
      </c>
      <c r="I680" t="b">
        <f t="shared" si="256"/>
        <v>1</v>
      </c>
      <c r="J680">
        <f t="shared" si="245"/>
        <v>3.3649999999999598</v>
      </c>
      <c r="K680">
        <f t="shared" si="257"/>
        <v>3.499999723976531E-2</v>
      </c>
      <c r="L680">
        <f t="shared" si="246"/>
        <v>0.16830015064088777</v>
      </c>
      <c r="M680">
        <f t="shared" si="247"/>
        <v>0.18999999447953064</v>
      </c>
      <c r="N680">
        <f t="shared" si="248"/>
        <v>0.18799770197553611</v>
      </c>
      <c r="O680">
        <f t="shared" si="249"/>
        <v>0.15777777777537375</v>
      </c>
      <c r="P680">
        <f t="shared" si="262"/>
        <v>0.08</v>
      </c>
      <c r="Q680">
        <f t="shared" si="258"/>
        <v>0.08</v>
      </c>
      <c r="R680">
        <f t="shared" si="251"/>
        <v>0.08</v>
      </c>
      <c r="S680">
        <f t="shared" si="252"/>
        <v>0.06</v>
      </c>
      <c r="T680">
        <f t="shared" si="253"/>
        <v>0.1</v>
      </c>
      <c r="U680">
        <f t="shared" si="259"/>
        <v>0.08</v>
      </c>
      <c r="V680">
        <f t="shared" si="264"/>
        <v>0.18799770197553611</v>
      </c>
      <c r="W680">
        <f t="shared" si="260"/>
        <v>0.16826581140599009</v>
      </c>
      <c r="X680">
        <f t="shared" si="261"/>
        <v>0.21114989562495318</v>
      </c>
      <c r="Y680" t="b">
        <f t="shared" si="263"/>
        <v>0</v>
      </c>
    </row>
    <row xmlns:x14ac="http://schemas.microsoft.com/office/spreadsheetml/2009/9/ac" r="681" x14ac:dyDescent="0.45">
      <c r="A681">
        <v>3.3699999999999601</v>
      </c>
      <c r="B681">
        <f t="shared" si="241"/>
        <v>0.16299999286139469</v>
      </c>
      <c r="C681" t="b">
        <f t="shared" si="254"/>
        <v>1</v>
      </c>
      <c r="D681" t="b">
        <f t="shared" si="242"/>
        <v>1</v>
      </c>
      <c r="E681">
        <f t="shared" si="250"/>
        <v>3.3699999999999601</v>
      </c>
      <c r="F681">
        <f t="shared" si="255"/>
        <v>0.16299999286139469</v>
      </c>
      <c r="G681">
        <f t="shared" si="243"/>
        <v>0.21112150460081486</v>
      </c>
      <c r="H681">
        <f t="shared" si="244"/>
        <v>3.4999997254382575E-2</v>
      </c>
      <c r="I681" t="b">
        <f t="shared" si="256"/>
        <v>1</v>
      </c>
      <c r="J681">
        <f t="shared" si="245"/>
        <v>3.3699999999999601</v>
      </c>
      <c r="K681">
        <f t="shared" si="257"/>
        <v>3.4999997254382575E-2</v>
      </c>
      <c r="L681">
        <f t="shared" si="246"/>
        <v>0.16830862867493565</v>
      </c>
      <c r="M681">
        <f t="shared" si="247"/>
        <v>0.18999999450876515</v>
      </c>
      <c r="N681">
        <f t="shared" si="248"/>
        <v>0.18799771362808421</v>
      </c>
      <c r="O681">
        <f t="shared" si="249"/>
        <v>0.1577777777753922</v>
      </c>
      <c r="P681">
        <f t="shared" si="262"/>
        <v>0.08</v>
      </c>
      <c r="Q681">
        <f t="shared" si="258"/>
        <v>0.08</v>
      </c>
      <c r="R681">
        <f t="shared" si="251"/>
        <v>0.08</v>
      </c>
      <c r="S681">
        <f t="shared" si="252"/>
        <v>0.06</v>
      </c>
      <c r="T681">
        <f t="shared" si="253"/>
        <v>0.1</v>
      </c>
      <c r="U681">
        <f t="shared" si="259"/>
        <v>0.08</v>
      </c>
      <c r="V681">
        <f t="shared" si="264"/>
        <v>0.18799771362808421</v>
      </c>
      <c r="W681">
        <f t="shared" si="260"/>
        <v>0.16827446070768654</v>
      </c>
      <c r="X681">
        <f t="shared" si="261"/>
        <v>0.21114416049659746</v>
      </c>
      <c r="Y681" t="b">
        <f t="shared" si="263"/>
        <v>0</v>
      </c>
    </row>
    <row xmlns:x14ac="http://schemas.microsoft.com/office/spreadsheetml/2009/9/ac" r="682" x14ac:dyDescent="0.45">
      <c r="A682">
        <v>3.37499999999996</v>
      </c>
      <c r="B682">
        <f t="shared" si="241"/>
        <v>0.16299999293169468</v>
      </c>
      <c r="C682" t="b">
        <f t="shared" si="254"/>
        <v>1</v>
      </c>
      <c r="D682" t="b">
        <f t="shared" si="242"/>
        <v>1</v>
      </c>
      <c r="E682">
        <f t="shared" si="250"/>
        <v>3.37499999999996</v>
      </c>
      <c r="F682">
        <f t="shared" si="255"/>
        <v>0.16299999293169468</v>
      </c>
      <c r="G682">
        <f t="shared" si="243"/>
        <v>0.21111591107328276</v>
      </c>
      <c r="H682">
        <f t="shared" si="244"/>
        <v>3.499999728142103E-2</v>
      </c>
      <c r="I682" t="b">
        <f t="shared" si="256"/>
        <v>1</v>
      </c>
      <c r="J682">
        <f t="shared" si="245"/>
        <v>3.37499999999996</v>
      </c>
      <c r="K682">
        <f t="shared" si="257"/>
        <v>3.499999728142103E-2</v>
      </c>
      <c r="L682">
        <f t="shared" si="246"/>
        <v>0.16831706442461231</v>
      </c>
      <c r="M682">
        <f t="shared" si="247"/>
        <v>0.18999999456284206</v>
      </c>
      <c r="N682">
        <f t="shared" si="248"/>
        <v>0.18799773511940998</v>
      </c>
      <c r="O682">
        <f t="shared" si="249"/>
        <v>0.15777777777542218</v>
      </c>
      <c r="P682">
        <f t="shared" si="262"/>
        <v>0.08</v>
      </c>
      <c r="Q682">
        <f t="shared" si="258"/>
        <v>0.08</v>
      </c>
      <c r="R682">
        <f t="shared" si="251"/>
        <v>0.08</v>
      </c>
      <c r="S682">
        <f t="shared" si="252"/>
        <v>0.06</v>
      </c>
      <c r="T682">
        <f t="shared" si="253"/>
        <v>0.1</v>
      </c>
      <c r="U682">
        <f t="shared" si="259"/>
        <v>0.08</v>
      </c>
      <c r="V682">
        <f t="shared" si="264"/>
        <v>0.18799773511940998</v>
      </c>
      <c r="W682">
        <f t="shared" si="260"/>
        <v>0.16828306687081079</v>
      </c>
      <c r="X682">
        <f t="shared" si="261"/>
        <v>0.21113845397231379</v>
      </c>
      <c r="Y682" t="b">
        <f t="shared" si="263"/>
        <v>0</v>
      </c>
    </row>
    <row xmlns:x14ac="http://schemas.microsoft.com/office/spreadsheetml/2009/9/ac" r="683" x14ac:dyDescent="0.45">
      <c r="A683">
        <v>3.3799999999999599</v>
      </c>
      <c r="B683">
        <f t="shared" si="241"/>
        <v>0.16299999303237847</v>
      </c>
      <c r="C683" t="b">
        <f t="shared" si="254"/>
        <v>1</v>
      </c>
      <c r="D683" t="b">
        <f t="shared" si="242"/>
        <v>1</v>
      </c>
      <c r="E683">
        <f t="shared" si="250"/>
        <v>3.3799999999999599</v>
      </c>
      <c r="F683">
        <f t="shared" si="255"/>
        <v>0.16299999303237847</v>
      </c>
      <c r="G683">
        <f t="shared" si="243"/>
        <v>0.21111034544358565</v>
      </c>
      <c r="H683">
        <f t="shared" si="244"/>
        <v>3.4999997320145568E-2</v>
      </c>
      <c r="I683" t="b">
        <f t="shared" si="256"/>
        <v>1</v>
      </c>
      <c r="J683">
        <f t="shared" si="245"/>
        <v>3.3799999999999599</v>
      </c>
      <c r="K683">
        <f t="shared" si="257"/>
        <v>3.4999997320145568E-2</v>
      </c>
      <c r="L683">
        <f t="shared" si="246"/>
        <v>0.16832545810081193</v>
      </c>
      <c r="M683">
        <f t="shared" si="247"/>
        <v>0.18999999464029116</v>
      </c>
      <c r="N683">
        <f t="shared" si="248"/>
        <v>0.1879977660437252</v>
      </c>
      <c r="O683">
        <f t="shared" si="249"/>
        <v>0.1577777777754627</v>
      </c>
      <c r="P683">
        <f t="shared" si="262"/>
        <v>0.08</v>
      </c>
      <c r="Q683">
        <f t="shared" si="258"/>
        <v>0.08</v>
      </c>
      <c r="R683">
        <f t="shared" si="251"/>
        <v>0.08</v>
      </c>
      <c r="S683">
        <f t="shared" si="252"/>
        <v>0.06</v>
      </c>
      <c r="T683">
        <f t="shared" si="253"/>
        <v>0.1</v>
      </c>
      <c r="U683">
        <f t="shared" si="259"/>
        <v>0.08</v>
      </c>
      <c r="V683">
        <f t="shared" si="264"/>
        <v>0.1879977660437252</v>
      </c>
      <c r="W683">
        <f t="shared" si="260"/>
        <v>0.1682916301105174</v>
      </c>
      <c r="X683">
        <f t="shared" si="261"/>
        <v>0.21113277590943869</v>
      </c>
      <c r="Y683" t="b">
        <f t="shared" si="263"/>
        <v>0</v>
      </c>
    </row>
    <row xmlns:x14ac="http://schemas.microsoft.com/office/spreadsheetml/2009/9/ac" r="684" x14ac:dyDescent="0.45">
      <c r="A684">
        <v>3.3849999999999598</v>
      </c>
      <c r="B684">
        <f t="shared" si="241"/>
        <v>0.16299999316148256</v>
      </c>
      <c r="C684" t="b">
        <f t="shared" si="254"/>
        <v>1</v>
      </c>
      <c r="D684" t="b">
        <f t="shared" si="242"/>
        <v>1</v>
      </c>
      <c r="E684">
        <f t="shared" si="250"/>
        <v>3.3849999999999598</v>
      </c>
      <c r="F684">
        <f t="shared" si="255"/>
        <v>0.16299999316148256</v>
      </c>
      <c r="G684">
        <f t="shared" si="243"/>
        <v>0.21110480757258249</v>
      </c>
      <c r="H684">
        <f t="shared" si="244"/>
        <v>3.4999997369800986E-2</v>
      </c>
      <c r="I684" t="b">
        <f t="shared" si="256"/>
        <v>1</v>
      </c>
      <c r="J684">
        <f t="shared" si="245"/>
        <v>3.3849999999999598</v>
      </c>
      <c r="K684">
        <f t="shared" si="257"/>
        <v>3.4999997369800986E-2</v>
      </c>
      <c r="L684">
        <f t="shared" si="246"/>
        <v>0.16833380991337688</v>
      </c>
      <c r="M684">
        <f t="shared" si="247"/>
        <v>0.18999999473960197</v>
      </c>
      <c r="N684">
        <f t="shared" si="248"/>
        <v>0.18799780596591475</v>
      </c>
      <c r="O684">
        <f t="shared" si="249"/>
        <v>0.15777777777551294</v>
      </c>
      <c r="P684">
        <f t="shared" si="262"/>
        <v>0.08</v>
      </c>
      <c r="Q684">
        <f t="shared" si="258"/>
        <v>0.08</v>
      </c>
      <c r="R684">
        <f t="shared" si="251"/>
        <v>0.08</v>
      </c>
      <c r="S684">
        <f t="shared" si="252"/>
        <v>0.06</v>
      </c>
      <c r="T684">
        <f t="shared" si="253"/>
        <v>0.1</v>
      </c>
      <c r="U684">
        <f t="shared" si="259"/>
        <v>0.08</v>
      </c>
      <c r="V684">
        <f t="shared" si="264"/>
        <v>0.18799780596591475</v>
      </c>
      <c r="W684">
        <f t="shared" si="260"/>
        <v>0.16830015064088777</v>
      </c>
      <c r="X684">
        <f t="shared" si="261"/>
        <v>0.21112712616602031</v>
      </c>
      <c r="Y684" t="b">
        <f t="shared" si="263"/>
        <v>0</v>
      </c>
    </row>
    <row xmlns:x14ac="http://schemas.microsoft.com/office/spreadsheetml/2009/9/ac" r="685" x14ac:dyDescent="0.45">
      <c r="A685">
        <v>3.3899999999999602</v>
      </c>
      <c r="B685">
        <f t="shared" si="241"/>
        <v>0.16299999331700327</v>
      </c>
      <c r="C685" t="b">
        <f t="shared" si="254"/>
        <v>1</v>
      </c>
      <c r="D685" t="b">
        <f t="shared" si="242"/>
        <v>1</v>
      </c>
      <c r="E685">
        <f t="shared" si="250"/>
        <v>3.3899999999999602</v>
      </c>
      <c r="F685">
        <f t="shared" si="255"/>
        <v>0.16299999331700327</v>
      </c>
      <c r="G685">
        <f t="shared" si="243"/>
        <v>0.21109929732182614</v>
      </c>
      <c r="H685">
        <f t="shared" si="244"/>
        <v>3.4999997429616639E-2</v>
      </c>
      <c r="I685" t="b">
        <f t="shared" si="256"/>
        <v>1</v>
      </c>
      <c r="J685">
        <f t="shared" si="245"/>
        <v>3.3899999999999602</v>
      </c>
      <c r="K685">
        <f t="shared" si="257"/>
        <v>3.4999997429616639E-2</v>
      </c>
      <c r="L685">
        <f t="shared" si="246"/>
        <v>0.16834212007110283</v>
      </c>
      <c r="M685">
        <f t="shared" si="247"/>
        <v>0.1899999948592333</v>
      </c>
      <c r="N685">
        <f t="shared" si="248"/>
        <v>0.18799785442440292</v>
      </c>
      <c r="O685">
        <f t="shared" si="249"/>
        <v>0.15777777777557184</v>
      </c>
      <c r="P685">
        <f t="shared" si="262"/>
        <v>0.08</v>
      </c>
      <c r="Q685">
        <f t="shared" si="258"/>
        <v>0.08</v>
      </c>
      <c r="R685">
        <f t="shared" si="251"/>
        <v>0.08</v>
      </c>
      <c r="S685">
        <f t="shared" si="252"/>
        <v>0.06</v>
      </c>
      <c r="T685">
        <f t="shared" si="253"/>
        <v>0.1</v>
      </c>
      <c r="U685">
        <f t="shared" si="259"/>
        <v>0.08</v>
      </c>
      <c r="V685">
        <f t="shared" si="264"/>
        <v>0.18799785442440292</v>
      </c>
      <c r="W685">
        <f t="shared" si="260"/>
        <v>0.16830862867493565</v>
      </c>
      <c r="X685">
        <f t="shared" si="261"/>
        <v>0.21112150460081486</v>
      </c>
      <c r="Y685" t="b">
        <f t="shared" si="263"/>
        <v>0</v>
      </c>
    </row>
    <row xmlns:x14ac="http://schemas.microsoft.com/office/spreadsheetml/2009/9/ac" r="686" x14ac:dyDescent="0.45">
      <c r="A686">
        <v>3.39499999999996</v>
      </c>
      <c r="B686">
        <f t="shared" si="241"/>
        <v>0.1629999934969083</v>
      </c>
      <c r="C686" t="b">
        <f t="shared" si="254"/>
        <v>1</v>
      </c>
      <c r="D686" t="b">
        <f t="shared" si="242"/>
        <v>1</v>
      </c>
      <c r="E686">
        <f t="shared" si="250"/>
        <v>3.39499999999996</v>
      </c>
      <c r="F686">
        <f t="shared" si="255"/>
        <v>0.1629999934969083</v>
      </c>
      <c r="G686">
        <f t="shared" si="243"/>
        <v>0.21109381455356008</v>
      </c>
      <c r="H686">
        <f t="shared" si="244"/>
        <v>3.4999997498810886E-2</v>
      </c>
      <c r="I686" t="b">
        <f t="shared" si="256"/>
        <v>1</v>
      </c>
      <c r="J686">
        <f t="shared" si="245"/>
        <v>3.39499999999996</v>
      </c>
      <c r="K686">
        <f t="shared" si="257"/>
        <v>3.4999997498810886E-2</v>
      </c>
      <c r="L686">
        <f t="shared" si="246"/>
        <v>0.16835038878174424</v>
      </c>
      <c r="M686">
        <f t="shared" si="247"/>
        <v>0.18999999499762177</v>
      </c>
      <c r="N686">
        <f t="shared" si="248"/>
        <v>0.18799791093404655</v>
      </c>
      <c r="O686">
        <f t="shared" si="249"/>
        <v>0.15777777777563851</v>
      </c>
      <c r="P686">
        <f t="shared" si="262"/>
        <v>0.08</v>
      </c>
      <c r="Q686">
        <f t="shared" si="258"/>
        <v>0.08</v>
      </c>
      <c r="R686">
        <f t="shared" si="251"/>
        <v>0.08</v>
      </c>
      <c r="S686">
        <f t="shared" si="252"/>
        <v>0.06</v>
      </c>
      <c r="T686">
        <f t="shared" si="253"/>
        <v>0.1</v>
      </c>
      <c r="U686">
        <f t="shared" si="259"/>
        <v>0.08</v>
      </c>
      <c r="V686">
        <f t="shared" si="264"/>
        <v>0.18799791093404655</v>
      </c>
      <c r="W686">
        <f t="shared" si="260"/>
        <v>0.16831706442461231</v>
      </c>
      <c r="X686">
        <f t="shared" si="261"/>
        <v>0.21111591107328276</v>
      </c>
      <c r="Y686" t="b">
        <f t="shared" si="263"/>
        <v>0</v>
      </c>
    </row>
    <row xmlns:x14ac="http://schemas.microsoft.com/office/spreadsheetml/2009/9/ac" r="687" x14ac:dyDescent="0.45">
      <c r="A687">
        <v>3.3999999999999599</v>
      </c>
      <c r="B687">
        <f t="shared" si="241"/>
        <v>0.16299999369914783</v>
      </c>
      <c r="C687" t="b">
        <f t="shared" si="254"/>
        <v>1</v>
      </c>
      <c r="D687" t="b">
        <f t="shared" si="242"/>
        <v>1</v>
      </c>
      <c r="E687">
        <f t="shared" si="250"/>
        <v>3.3999999999999599</v>
      </c>
      <c r="F687">
        <f t="shared" si="255"/>
        <v>0.16299999369914783</v>
      </c>
      <c r="G687">
        <f t="shared" si="243"/>
        <v>0.21108835913071483</v>
      </c>
      <c r="H687">
        <f t="shared" si="244"/>
        <v>3.4999997576595318E-2</v>
      </c>
      <c r="I687" t="b">
        <f t="shared" si="256"/>
        <v>1</v>
      </c>
      <c r="J687">
        <f t="shared" si="245"/>
        <v>3.3999999999999599</v>
      </c>
      <c r="K687">
        <f t="shared" si="257"/>
        <v>3.4999997576595318E-2</v>
      </c>
      <c r="L687">
        <f t="shared" si="246"/>
        <v>0.16835861625201928</v>
      </c>
      <c r="M687">
        <f t="shared" si="247"/>
        <v>0.18999999515319066</v>
      </c>
      <c r="N687">
        <f t="shared" si="248"/>
        <v>0.1879979749890433</v>
      </c>
      <c r="O687">
        <f t="shared" si="249"/>
        <v>0.15777777777571206</v>
      </c>
      <c r="P687">
        <f t="shared" si="262"/>
        <v>0.08</v>
      </c>
      <c r="Q687">
        <f t="shared" si="258"/>
        <v>0.08</v>
      </c>
      <c r="R687">
        <f t="shared" si="251"/>
        <v>0.08</v>
      </c>
      <c r="S687">
        <f t="shared" si="252"/>
        <v>0.06</v>
      </c>
      <c r="T687">
        <f t="shared" si="253"/>
        <v>0.1</v>
      </c>
      <c r="U687">
        <f t="shared" si="259"/>
        <v>0.08</v>
      </c>
      <c r="V687">
        <f t="shared" si="264"/>
        <v>0.1879979749890433</v>
      </c>
      <c r="W687">
        <f t="shared" si="260"/>
        <v>0.16832545810081193</v>
      </c>
      <c r="X687">
        <f t="shared" si="261"/>
        <v>0.21111034544358565</v>
      </c>
      <c r="Y687" t="b">
        <f t="shared" si="263"/>
        <v>0</v>
      </c>
    </row>
    <row xmlns:x14ac="http://schemas.microsoft.com/office/spreadsheetml/2009/9/ac" r="688" x14ac:dyDescent="0.45">
      <c r="A688">
        <v>3.4049999999999598</v>
      </c>
      <c r="B688">
        <f t="shared" si="241"/>
        <v>0.16299999392166514</v>
      </c>
      <c r="C688" t="b">
        <f t="shared" si="254"/>
        <v>1</v>
      </c>
      <c r="D688" t="b">
        <f t="shared" si="242"/>
        <v>1</v>
      </c>
      <c r="E688">
        <f t="shared" si="250"/>
        <v>3.4049999999999598</v>
      </c>
      <c r="F688">
        <f t="shared" si="255"/>
        <v>0.16299999392166514</v>
      </c>
      <c r="G688">
        <f t="shared" si="243"/>
        <v>0.21108293091690461</v>
      </c>
      <c r="H688">
        <f t="shared" si="244"/>
        <v>3.49999976621789E-2</v>
      </c>
      <c r="I688" t="b">
        <f t="shared" si="256"/>
        <v>1</v>
      </c>
      <c r="J688">
        <f t="shared" si="245"/>
        <v>3.4049999999999598</v>
      </c>
      <c r="K688">
        <f t="shared" si="257"/>
        <v>3.49999976621789E-2</v>
      </c>
      <c r="L688">
        <f t="shared" si="246"/>
        <v>0.16836680268761511</v>
      </c>
      <c r="M688">
        <f t="shared" si="247"/>
        <v>0.1899999953243578</v>
      </c>
      <c r="N688">
        <f t="shared" si="248"/>
        <v>0.1879980460658397</v>
      </c>
      <c r="O688">
        <f t="shared" si="249"/>
        <v>0.15777777777579158</v>
      </c>
      <c r="P688">
        <f t="shared" si="262"/>
        <v>0.08</v>
      </c>
      <c r="Q688">
        <f t="shared" si="258"/>
        <v>0.08</v>
      </c>
      <c r="R688">
        <f t="shared" si="251"/>
        <v>0.08</v>
      </c>
      <c r="S688">
        <f t="shared" si="252"/>
        <v>0.06</v>
      </c>
      <c r="T688">
        <f t="shared" si="253"/>
        <v>0.1</v>
      </c>
      <c r="U688">
        <f t="shared" si="259"/>
        <v>0.08</v>
      </c>
      <c r="V688">
        <f t="shared" si="264"/>
        <v>0.1879980460658397</v>
      </c>
      <c r="W688">
        <f t="shared" si="260"/>
        <v>0.16833380991337688</v>
      </c>
      <c r="X688">
        <f t="shared" si="261"/>
        <v>0.21110480757258249</v>
      </c>
      <c r="Y688" t="b">
        <f t="shared" si="263"/>
        <v>0</v>
      </c>
    </row>
    <row xmlns:x14ac="http://schemas.microsoft.com/office/spreadsheetml/2009/9/ac" r="689" x14ac:dyDescent="0.45">
      <c r="A689">
        <v>3.4099999999999602</v>
      </c>
      <c r="B689">
        <f t="shared" si="241"/>
        <v>0.16299999416240682</v>
      </c>
      <c r="C689" t="b">
        <f t="shared" si="254"/>
        <v>1</v>
      </c>
      <c r="D689" t="b">
        <f t="shared" si="242"/>
        <v>1</v>
      </c>
      <c r="E689">
        <f t="shared" si="250"/>
        <v>3.4099999999999602</v>
      </c>
      <c r="F689">
        <f t="shared" si="255"/>
        <v>0.16299999416240682</v>
      </c>
      <c r="G689">
        <f t="shared" si="243"/>
        <v>0.21107752977642363</v>
      </c>
      <c r="H689">
        <f t="shared" si="244"/>
        <v>3.4999997754771861E-2</v>
      </c>
      <c r="I689" t="b">
        <f t="shared" si="256"/>
        <v>1</v>
      </c>
      <c r="J689">
        <f t="shared" si="245"/>
        <v>3.4099999999999602</v>
      </c>
      <c r="K689">
        <f t="shared" si="257"/>
        <v>3.4999997754771861E-2</v>
      </c>
      <c r="L689">
        <f t="shared" si="246"/>
        <v>0.16837494829319311</v>
      </c>
      <c r="M689">
        <f t="shared" si="247"/>
        <v>0.18999999550954372</v>
      </c>
      <c r="N689">
        <f t="shared" si="248"/>
        <v>0.18799812362602739</v>
      </c>
      <c r="O689">
        <f t="shared" si="249"/>
        <v>0.15777777777587629</v>
      </c>
      <c r="P689">
        <f t="shared" si="262"/>
        <v>0.08</v>
      </c>
      <c r="Q689">
        <f t="shared" si="258"/>
        <v>0.08</v>
      </c>
      <c r="R689">
        <f t="shared" si="251"/>
        <v>0.08</v>
      </c>
      <c r="S689">
        <f t="shared" si="252"/>
        <v>0.06</v>
      </c>
      <c r="T689">
        <f t="shared" si="253"/>
        <v>0.1</v>
      </c>
      <c r="U689">
        <f t="shared" si="259"/>
        <v>0.08</v>
      </c>
      <c r="V689">
        <f t="shared" si="264"/>
        <v>0.18799812362602739</v>
      </c>
      <c r="W689">
        <f t="shared" si="260"/>
        <v>0.16834212007110283</v>
      </c>
      <c r="X689">
        <f t="shared" si="261"/>
        <v>0.21109929732182614</v>
      </c>
      <c r="Y689" t="b">
        <f t="shared" si="263"/>
        <v>0</v>
      </c>
    </row>
    <row xmlns:x14ac="http://schemas.microsoft.com/office/spreadsheetml/2009/9/ac" r="690" x14ac:dyDescent="0.45">
      <c r="A690">
        <v>3.4149999999999601</v>
      </c>
      <c r="B690">
        <f t="shared" si="241"/>
        <v>0.16299999441933241</v>
      </c>
      <c r="C690" t="b">
        <f t="shared" si="254"/>
        <v>1</v>
      </c>
      <c r="D690" t="b">
        <f t="shared" si="242"/>
        <v>1</v>
      </c>
      <c r="E690">
        <f t="shared" si="250"/>
        <v>3.4149999999999601</v>
      </c>
      <c r="F690">
        <f t="shared" si="255"/>
        <v>0.16299999441933241</v>
      </c>
      <c r="G690">
        <f t="shared" si="243"/>
        <v>0.21107215557424319</v>
      </c>
      <c r="H690">
        <f t="shared" si="244"/>
        <v>3.4999997853589385E-2</v>
      </c>
      <c r="I690" t="b">
        <f t="shared" si="256"/>
        <v>1</v>
      </c>
      <c r="J690">
        <f t="shared" si="245"/>
        <v>3.4149999999999601</v>
      </c>
      <c r="K690">
        <f t="shared" si="257"/>
        <v>3.4999997853589385E-2</v>
      </c>
      <c r="L690">
        <f t="shared" si="246"/>
        <v>0.16838305327239378</v>
      </c>
      <c r="M690">
        <f t="shared" si="247"/>
        <v>0.18999999570717879</v>
      </c>
      <c r="N690">
        <f t="shared" si="248"/>
        <v>0.18799820711921411</v>
      </c>
      <c r="O690">
        <f t="shared" si="249"/>
        <v>0.15777777777596536</v>
      </c>
      <c r="P690">
        <f t="shared" si="262"/>
        <v>0.08</v>
      </c>
      <c r="Q690">
        <f t="shared" si="258"/>
        <v>0.08</v>
      </c>
      <c r="R690">
        <f t="shared" si="251"/>
        <v>0.08</v>
      </c>
      <c r="S690">
        <f t="shared" si="252"/>
        <v>0.06</v>
      </c>
      <c r="T690">
        <f t="shared" si="253"/>
        <v>0.1</v>
      </c>
      <c r="U690">
        <f t="shared" si="259"/>
        <v>0.08</v>
      </c>
      <c r="V690">
        <f t="shared" si="264"/>
        <v>0.18799820711921411</v>
      </c>
      <c r="W690">
        <f t="shared" si="260"/>
        <v>0.16835038878174424</v>
      </c>
      <c r="X690">
        <f t="shared" si="261"/>
        <v>0.21109381455356008</v>
      </c>
      <c r="Y690" t="b">
        <f t="shared" si="263"/>
        <v>0</v>
      </c>
    </row>
    <row xmlns:x14ac="http://schemas.microsoft.com/office/spreadsheetml/2009/9/ac" r="691" x14ac:dyDescent="0.45">
      <c r="A691">
        <v>3.41999999999996</v>
      </c>
      <c r="B691">
        <f t="shared" si="241"/>
        <v>0.16299999469042362</v>
      </c>
      <c r="C691" t="b">
        <f t="shared" si="254"/>
        <v>1</v>
      </c>
      <c r="D691" t="b">
        <f t="shared" si="242"/>
        <v>1</v>
      </c>
      <c r="E691">
        <f t="shared" si="250"/>
        <v>3.41999999999996</v>
      </c>
      <c r="F691">
        <f t="shared" si="255"/>
        <v>0.16299999469042362</v>
      </c>
      <c r="G691">
        <f t="shared" si="243"/>
        <v>0.21106680817600798</v>
      </c>
      <c r="H691">
        <f t="shared" si="244"/>
        <v>3.4999997957855231E-2</v>
      </c>
      <c r="I691" t="b">
        <f t="shared" si="256"/>
        <v>1</v>
      </c>
      <c r="J691">
        <f t="shared" si="245"/>
        <v>3.41999999999996</v>
      </c>
      <c r="K691">
        <f t="shared" si="257"/>
        <v>3.4999997957855231E-2</v>
      </c>
      <c r="L691">
        <f t="shared" si="246"/>
        <v>0.16839111782784202</v>
      </c>
      <c r="M691">
        <f t="shared" si="247"/>
        <v>0.18999999591571048</v>
      </c>
      <c r="N691">
        <f t="shared" si="248"/>
        <v>0.18799829598585815</v>
      </c>
      <c r="O691">
        <f t="shared" si="249"/>
        <v>0.15777777777605795</v>
      </c>
      <c r="P691">
        <f t="shared" si="262"/>
        <v>0.08</v>
      </c>
      <c r="Q691">
        <f t="shared" si="258"/>
        <v>0.08</v>
      </c>
      <c r="R691">
        <f t="shared" si="251"/>
        <v>0.08</v>
      </c>
      <c r="S691">
        <f t="shared" si="252"/>
        <v>0.06</v>
      </c>
      <c r="T691">
        <f t="shared" si="253"/>
        <v>0.1</v>
      </c>
      <c r="U691">
        <f t="shared" si="259"/>
        <v>0.08</v>
      </c>
      <c r="V691">
        <f t="shared" si="264"/>
        <v>0.18799829598585815</v>
      </c>
      <c r="W691">
        <f t="shared" si="260"/>
        <v>0.16835861625201928</v>
      </c>
      <c r="X691">
        <f t="shared" si="261"/>
        <v>0.21108835913071483</v>
      </c>
      <c r="Y691" t="b">
        <f t="shared" si="263"/>
        <v>0</v>
      </c>
    </row>
    <row xmlns:x14ac="http://schemas.microsoft.com/office/spreadsheetml/2009/9/ac" r="692" x14ac:dyDescent="0.45">
      <c r="A692">
        <v>3.4249999999999501</v>
      </c>
      <c r="B692">
        <f t="shared" si="241"/>
        <v>0.16299999497369272</v>
      </c>
      <c r="C692" t="b">
        <f t="shared" si="254"/>
        <v>1</v>
      </c>
      <c r="D692" t="b">
        <f t="shared" si="242"/>
        <v>1</v>
      </c>
      <c r="E692">
        <f t="shared" si="250"/>
        <v>3.4249999999999501</v>
      </c>
      <c r="F692">
        <f t="shared" si="255"/>
        <v>0.16299999497369272</v>
      </c>
      <c r="G692">
        <f t="shared" si="243"/>
        <v>0.21106148744803277</v>
      </c>
      <c r="H692">
        <f t="shared" si="244"/>
        <v>3.4999998066804885E-2</v>
      </c>
      <c r="I692" t="b">
        <f t="shared" si="256"/>
        <v>1</v>
      </c>
      <c r="J692">
        <f t="shared" si="245"/>
        <v>3.4249999999999501</v>
      </c>
      <c r="K692">
        <f t="shared" si="257"/>
        <v>3.4999998066804885E-2</v>
      </c>
      <c r="L692">
        <f t="shared" si="246"/>
        <v>0.16839914216115218</v>
      </c>
      <c r="M692">
        <f t="shared" si="247"/>
        <v>0.18999999613360979</v>
      </c>
      <c r="N692">
        <f t="shared" si="248"/>
        <v>0.18799838966005378</v>
      </c>
      <c r="O692">
        <f t="shared" si="249"/>
        <v>0.15777777777615337</v>
      </c>
      <c r="P692">
        <f t="shared" si="262"/>
        <v>0.08</v>
      </c>
      <c r="Q692">
        <f t="shared" si="258"/>
        <v>0.08</v>
      </c>
      <c r="R692">
        <f t="shared" si="251"/>
        <v>0.08</v>
      </c>
      <c r="S692">
        <f t="shared" si="252"/>
        <v>0.06</v>
      </c>
      <c r="T692">
        <f t="shared" si="253"/>
        <v>0.1</v>
      </c>
      <c r="U692">
        <f t="shared" si="259"/>
        <v>0.08</v>
      </c>
      <c r="V692">
        <f t="shared" si="264"/>
        <v>0.18799838966005378</v>
      </c>
      <c r="W692">
        <f t="shared" si="260"/>
        <v>0.16836680268761511</v>
      </c>
      <c r="X692">
        <f t="shared" si="261"/>
        <v>0.21108293091690461</v>
      </c>
      <c r="Y692" t="b">
        <f t="shared" si="263"/>
        <v>0</v>
      </c>
    </row>
    <row xmlns:x14ac="http://schemas.microsoft.com/office/spreadsheetml/2009/9/ac" r="693" x14ac:dyDescent="0.45">
      <c r="A693">
        <v>3.42999999999995</v>
      </c>
      <c r="B693">
        <f t="shared" si="241"/>
        <v>0.16299999526719072</v>
      </c>
      <c r="C693" t="b">
        <f t="shared" si="254"/>
        <v>1</v>
      </c>
      <c r="D693" t="b">
        <f t="shared" si="242"/>
        <v>1</v>
      </c>
      <c r="E693">
        <f t="shared" si="250"/>
        <v>3.42999999999995</v>
      </c>
      <c r="F693">
        <f t="shared" si="255"/>
        <v>0.16299999526719072</v>
      </c>
      <c r="G693">
        <f t="shared" si="243"/>
        <v>0.21105619325729896</v>
      </c>
      <c r="H693">
        <f t="shared" si="244"/>
        <v>3.499999817968874E-2</v>
      </c>
      <c r="I693" t="b">
        <f t="shared" si="256"/>
        <v>1</v>
      </c>
      <c r="J693">
        <f t="shared" si="245"/>
        <v>3.42999999999995</v>
      </c>
      <c r="K693">
        <f t="shared" si="257"/>
        <v>3.499999817968874E-2</v>
      </c>
      <c r="L693">
        <f t="shared" si="246"/>
        <v>0.16840712647293299</v>
      </c>
      <c r="M693">
        <f t="shared" si="247"/>
        <v>0.18999999635937748</v>
      </c>
      <c r="N693">
        <f t="shared" si="248"/>
        <v>0.18799848757225818</v>
      </c>
      <c r="O693">
        <f t="shared" si="249"/>
        <v>0.1577777777762509</v>
      </c>
      <c r="P693">
        <f t="shared" si="262"/>
        <v>0.08</v>
      </c>
      <c r="Q693">
        <f t="shared" si="258"/>
        <v>0.08</v>
      </c>
      <c r="R693">
        <f t="shared" si="251"/>
        <v>0.08</v>
      </c>
      <c r="S693">
        <f t="shared" si="252"/>
        <v>0.06</v>
      </c>
      <c r="T693">
        <f t="shared" si="253"/>
        <v>0.1</v>
      </c>
      <c r="U693">
        <f t="shared" si="259"/>
        <v>0.08</v>
      </c>
      <c r="V693">
        <f t="shared" si="264"/>
        <v>0.18799848757225818</v>
      </c>
      <c r="W693">
        <f t="shared" si="260"/>
        <v>0.16837494829319311</v>
      </c>
      <c r="X693">
        <f t="shared" si="261"/>
        <v>0.21107752977642363</v>
      </c>
      <c r="Y693" t="b">
        <f t="shared" si="263"/>
        <v>0</v>
      </c>
    </row>
    <row xmlns:x14ac="http://schemas.microsoft.com/office/spreadsheetml/2009/9/ac" r="694" x14ac:dyDescent="0.45">
      <c r="A694">
        <v>3.4349999999999499</v>
      </c>
      <c r="B694">
        <f t="shared" si="241"/>
        <v>0.16299999556901487</v>
      </c>
      <c r="C694" t="b">
        <f t="shared" si="254"/>
        <v>1</v>
      </c>
      <c r="D694" t="b">
        <f t="shared" si="242"/>
        <v>1</v>
      </c>
      <c r="E694">
        <f t="shared" si="250"/>
        <v>3.4349999999999499</v>
      </c>
      <c r="F694">
        <f t="shared" si="255"/>
        <v>0.16299999556901487</v>
      </c>
      <c r="G694">
        <f t="shared" si="243"/>
        <v>0.21105092547145166</v>
      </c>
      <c r="H694">
        <f t="shared" si="244"/>
        <v>3.4999998295774951E-2</v>
      </c>
      <c r="I694" t="b">
        <f t="shared" si="256"/>
        <v>1</v>
      </c>
      <c r="J694">
        <f t="shared" si="245"/>
        <v>3.4349999999999499</v>
      </c>
      <c r="K694">
        <f t="shared" si="257"/>
        <v>3.4999998295774951E-2</v>
      </c>
      <c r="L694">
        <f t="shared" si="246"/>
        <v>0.16841507096279265</v>
      </c>
      <c r="M694">
        <f t="shared" si="247"/>
        <v>0.1899999965915499</v>
      </c>
      <c r="N694">
        <f t="shared" si="248"/>
        <v>0.18799858915194786</v>
      </c>
      <c r="O694">
        <f t="shared" si="249"/>
        <v>0.15777777777634988</v>
      </c>
      <c r="P694">
        <f t="shared" si="262"/>
        <v>0.08</v>
      </c>
      <c r="Q694">
        <f t="shared" si="258"/>
        <v>0.08</v>
      </c>
      <c r="R694">
        <f t="shared" si="251"/>
        <v>0.08</v>
      </c>
      <c r="S694">
        <f t="shared" si="252"/>
        <v>0.06</v>
      </c>
      <c r="T694">
        <f t="shared" si="253"/>
        <v>0.1</v>
      </c>
      <c r="U694">
        <f t="shared" si="259"/>
        <v>0.08</v>
      </c>
      <c r="V694">
        <f t="shared" si="264"/>
        <v>0.18799858915194786</v>
      </c>
      <c r="W694">
        <f t="shared" si="260"/>
        <v>0.16838305327239378</v>
      </c>
      <c r="X694">
        <f t="shared" si="261"/>
        <v>0.21107215557424319</v>
      </c>
      <c r="Y694" t="b">
        <f t="shared" si="263"/>
        <v>0</v>
      </c>
    </row>
    <row xmlns:x14ac="http://schemas.microsoft.com/office/spreadsheetml/2009/9/ac" r="695" x14ac:dyDescent="0.45">
      <c r="A695">
        <v>3.4399999999999502</v>
      </c>
      <c r="B695">
        <f t="shared" si="241"/>
        <v>0.16299999587731515</v>
      </c>
      <c r="C695" t="b">
        <f t="shared" si="254"/>
        <v>1</v>
      </c>
      <c r="D695" t="b">
        <f t="shared" si="242"/>
        <v>1</v>
      </c>
      <c r="E695">
        <f t="shared" si="250"/>
        <v>3.4399999999999502</v>
      </c>
      <c r="F695">
        <f t="shared" si="255"/>
        <v>0.16299999587731515</v>
      </c>
      <c r="G695">
        <f t="shared" si="243"/>
        <v>0.21104568395879586</v>
      </c>
      <c r="H695">
        <f t="shared" si="244"/>
        <v>3.4999998414351974E-2</v>
      </c>
      <c r="I695" t="b">
        <f t="shared" si="256"/>
        <v>1</v>
      </c>
      <c r="J695">
        <f t="shared" si="245"/>
        <v>3.4399999999999502</v>
      </c>
      <c r="K695">
        <f t="shared" si="257"/>
        <v>3.4999998414351974E-2</v>
      </c>
      <c r="L695">
        <f t="shared" si="246"/>
        <v>0.16842297582934385</v>
      </c>
      <c r="M695">
        <f t="shared" si="247"/>
        <v>0.18999999682870394</v>
      </c>
      <c r="N695">
        <f t="shared" si="248"/>
        <v>0.18799869383019646</v>
      </c>
      <c r="O695">
        <f t="shared" si="249"/>
        <v>0.15777777777644963</v>
      </c>
      <c r="P695">
        <f t="shared" si="262"/>
        <v>0.08</v>
      </c>
      <c r="Q695">
        <f t="shared" si="258"/>
        <v>0.08</v>
      </c>
      <c r="R695">
        <f t="shared" si="251"/>
        <v>0.08</v>
      </c>
      <c r="S695">
        <f t="shared" si="252"/>
        <v>0.06</v>
      </c>
      <c r="T695">
        <f t="shared" si="253"/>
        <v>0.1</v>
      </c>
      <c r="U695">
        <f t="shared" si="259"/>
        <v>0.08</v>
      </c>
      <c r="V695">
        <f t="shared" si="264"/>
        <v>0.18799869383019646</v>
      </c>
      <c r="W695">
        <f t="shared" si="260"/>
        <v>0.16839111782784202</v>
      </c>
      <c r="X695">
        <f t="shared" si="261"/>
        <v>0.21106680817600798</v>
      </c>
      <c r="Y695" t="b">
        <f t="shared" si="263"/>
        <v>0</v>
      </c>
    </row>
    <row xmlns:x14ac="http://schemas.microsoft.com/office/spreadsheetml/2009/9/ac" r="696" x14ac:dyDescent="0.45">
      <c r="A696">
        <v>3.4449999999999501</v>
      </c>
      <c r="B696">
        <f t="shared" si="241"/>
        <v>0.16299999619030092</v>
      </c>
      <c r="C696" t="b">
        <f t="shared" si="254"/>
        <v>1</v>
      </c>
      <c r="D696" t="b">
        <f t="shared" si="242"/>
        <v>1</v>
      </c>
      <c r="E696">
        <f t="shared" si="250"/>
        <v>3.4449999999999501</v>
      </c>
      <c r="F696">
        <f t="shared" si="255"/>
        <v>0.16299999619030092</v>
      </c>
      <c r="G696">
        <f t="shared" si="243"/>
        <v>0.21104046858829345</v>
      </c>
      <c r="H696">
        <f t="shared" si="244"/>
        <v>3.4999998534731125E-2</v>
      </c>
      <c r="I696" t="b">
        <f t="shared" si="256"/>
        <v>1</v>
      </c>
      <c r="J696">
        <f t="shared" si="245"/>
        <v>3.4449999999999501</v>
      </c>
      <c r="K696">
        <f t="shared" si="257"/>
        <v>3.4999998534731125E-2</v>
      </c>
      <c r="L696">
        <f t="shared" si="246"/>
        <v>0.16843084127020863</v>
      </c>
      <c r="M696">
        <f t="shared" si="247"/>
        <v>0.18999999706946225</v>
      </c>
      <c r="N696">
        <f t="shared" si="248"/>
        <v>0.18799880104216393</v>
      </c>
      <c r="O696">
        <f t="shared" si="249"/>
        <v>0.15777777777654964</v>
      </c>
      <c r="P696">
        <f t="shared" si="262"/>
        <v>0.08</v>
      </c>
      <c r="Q696">
        <f t="shared" si="258"/>
        <v>0.08</v>
      </c>
      <c r="R696">
        <f t="shared" si="251"/>
        <v>0.08</v>
      </c>
      <c r="S696">
        <f t="shared" si="252"/>
        <v>0.06</v>
      </c>
      <c r="T696">
        <f t="shared" si="253"/>
        <v>0.1</v>
      </c>
      <c r="U696">
        <f t="shared" si="259"/>
        <v>0.08</v>
      </c>
      <c r="V696">
        <f t="shared" si="264"/>
        <v>0.18799880104216393</v>
      </c>
      <c r="W696">
        <f t="shared" si="260"/>
        <v>0.16839914216115218</v>
      </c>
      <c r="X696">
        <f t="shared" si="261"/>
        <v>0.21106148744803277</v>
      </c>
      <c r="Y696" t="b">
        <f t="shared" si="263"/>
        <v>0</v>
      </c>
    </row>
    <row xmlns:x14ac="http://schemas.microsoft.com/office/spreadsheetml/2009/9/ac" r="697" x14ac:dyDescent="0.45">
      <c r="A697">
        <v>3.44999999999995</v>
      </c>
      <c r="B697">
        <f t="shared" si="241"/>
        <v>0.16299999650624653</v>
      </c>
      <c r="C697" t="b">
        <f t="shared" si="254"/>
        <v>1</v>
      </c>
      <c r="D697" t="b">
        <f t="shared" si="242"/>
        <v>1</v>
      </c>
      <c r="E697">
        <f t="shared" si="250"/>
        <v>3.44999999999995</v>
      </c>
      <c r="F697">
        <f t="shared" si="255"/>
        <v>0.16299999650624653</v>
      </c>
      <c r="G697">
        <f t="shared" si="243"/>
        <v>0.21103527922956</v>
      </c>
      <c r="H697">
        <f t="shared" si="244"/>
        <v>3.4999998656248657E-2</v>
      </c>
      <c r="I697" t="b">
        <f t="shared" si="256"/>
        <v>1</v>
      </c>
      <c r="J697">
        <f t="shared" si="245"/>
        <v>3.44999999999995</v>
      </c>
      <c r="K697">
        <f t="shared" si="257"/>
        <v>3.4999998656248657E-2</v>
      </c>
      <c r="L697">
        <f t="shared" si="246"/>
        <v>0.16843866748202346</v>
      </c>
      <c r="M697">
        <f t="shared" si="247"/>
        <v>0.18999999731249734</v>
      </c>
      <c r="N697">
        <f t="shared" si="248"/>
        <v>0.18799891022948906</v>
      </c>
      <c r="O697">
        <f t="shared" si="249"/>
        <v>0.15777777777664931</v>
      </c>
      <c r="P697">
        <f t="shared" si="262"/>
        <v>0.08</v>
      </c>
      <c r="Q697">
        <f t="shared" si="258"/>
        <v>0.08</v>
      </c>
      <c r="R697">
        <f t="shared" si="251"/>
        <v>0.08</v>
      </c>
      <c r="S697">
        <f t="shared" si="252"/>
        <v>0.06</v>
      </c>
      <c r="T697">
        <f t="shared" si="253"/>
        <v>0.1</v>
      </c>
      <c r="U697">
        <f t="shared" si="259"/>
        <v>0.08</v>
      </c>
      <c r="V697">
        <f t="shared" si="264"/>
        <v>0.18799891022948906</v>
      </c>
      <c r="W697">
        <f t="shared" si="260"/>
        <v>0.16840712647293299</v>
      </c>
      <c r="X697">
        <f t="shared" si="261"/>
        <v>0.21105619325729896</v>
      </c>
      <c r="Y697" t="b">
        <f t="shared" si="263"/>
        <v>0</v>
      </c>
    </row>
    <row xmlns:x14ac="http://schemas.microsoft.com/office/spreadsheetml/2009/9/ac" r="698" x14ac:dyDescent="0.45">
      <c r="A698">
        <v>3.4549999999999499</v>
      </c>
      <c r="B698">
        <f t="shared" si="241"/>
        <v>0.16299999682349617</v>
      </c>
      <c r="C698" t="b">
        <f t="shared" si="254"/>
        <v>1</v>
      </c>
      <c r="D698" t="b">
        <f t="shared" si="242"/>
        <v>1</v>
      </c>
      <c r="E698">
        <f t="shared" si="250"/>
        <v>3.4549999999999499</v>
      </c>
      <c r="F698">
        <f t="shared" si="255"/>
        <v>0.16299999682349617</v>
      </c>
      <c r="G698">
        <f t="shared" si="243"/>
        <v>0.21103011575286118</v>
      </c>
      <c r="H698">
        <f t="shared" si="244"/>
        <v>3.499999877826776E-2</v>
      </c>
      <c r="I698" t="b">
        <f t="shared" si="256"/>
        <v>1</v>
      </c>
      <c r="J698">
        <f t="shared" si="245"/>
        <v>3.4549999999999499</v>
      </c>
      <c r="K698">
        <f t="shared" si="257"/>
        <v>3.499999877826776E-2</v>
      </c>
      <c r="L698">
        <f t="shared" si="246"/>
        <v>0.168446454660444</v>
      </c>
      <c r="M698">
        <f t="shared" si="247"/>
        <v>0.18999999755653552</v>
      </c>
      <c r="N698">
        <f t="shared" si="248"/>
        <v>0.18799902084257791</v>
      </c>
      <c r="O698">
        <f t="shared" si="249"/>
        <v>0.15777777777674806</v>
      </c>
      <c r="P698">
        <f t="shared" si="262"/>
        <v>0.08</v>
      </c>
      <c r="Q698">
        <f t="shared" si="258"/>
        <v>0.08</v>
      </c>
      <c r="R698">
        <f t="shared" si="251"/>
        <v>0.08</v>
      </c>
      <c r="S698">
        <f t="shared" si="252"/>
        <v>0.06</v>
      </c>
      <c r="T698">
        <f t="shared" si="253"/>
        <v>0.1</v>
      </c>
      <c r="U698">
        <f t="shared" si="259"/>
        <v>0.08</v>
      </c>
      <c r="V698">
        <f t="shared" si="264"/>
        <v>0.18799902084257791</v>
      </c>
      <c r="W698">
        <f t="shared" si="260"/>
        <v>0.16841507096279265</v>
      </c>
      <c r="X698">
        <f t="shared" si="261"/>
        <v>0.21105092547145166</v>
      </c>
      <c r="Y698" t="b">
        <f t="shared" si="263"/>
        <v>0</v>
      </c>
    </row>
    <row xmlns:x14ac="http://schemas.microsoft.com/office/spreadsheetml/2009/9/ac" r="699" x14ac:dyDescent="0.45">
      <c r="A699">
        <v>3.4599999999999498</v>
      </c>
      <c r="B699">
        <f t="shared" si="241"/>
        <v>0.1629999971404687</v>
      </c>
      <c r="C699" t="b">
        <f t="shared" si="254"/>
        <v>1</v>
      </c>
      <c r="D699" t="b">
        <f t="shared" si="242"/>
        <v>1</v>
      </c>
      <c r="E699">
        <f t="shared" si="250"/>
        <v>3.4599999999999498</v>
      </c>
      <c r="F699">
        <f t="shared" si="255"/>
        <v>0.1629999971404687</v>
      </c>
      <c r="G699">
        <f t="shared" si="243"/>
        <v>0.21102497802910986</v>
      </c>
      <c r="H699">
        <f t="shared" si="244"/>
        <v>3.4999998900180268E-2</v>
      </c>
      <c r="I699" t="b">
        <f t="shared" si="256"/>
        <v>1</v>
      </c>
      <c r="J699">
        <f t="shared" si="245"/>
        <v>3.4599999999999498</v>
      </c>
      <c r="K699">
        <f t="shared" si="257"/>
        <v>3.4999998900180268E-2</v>
      </c>
      <c r="L699">
        <f t="shared" si="246"/>
        <v>0.16845420300015015</v>
      </c>
      <c r="M699">
        <f t="shared" si="247"/>
        <v>0.18999999780036053</v>
      </c>
      <c r="N699">
        <f t="shared" si="248"/>
        <v>0.18799913234278093</v>
      </c>
      <c r="O699">
        <f t="shared" si="249"/>
        <v>0.15777777777684554</v>
      </c>
      <c r="P699">
        <f t="shared" si="262"/>
        <v>0.08</v>
      </c>
      <c r="Q699">
        <f t="shared" si="258"/>
        <v>0.08</v>
      </c>
      <c r="R699">
        <f t="shared" si="251"/>
        <v>0.08</v>
      </c>
      <c r="S699">
        <f t="shared" si="252"/>
        <v>0.06</v>
      </c>
      <c r="T699">
        <f t="shared" si="253"/>
        <v>0.1</v>
      </c>
      <c r="U699">
        <f t="shared" si="259"/>
        <v>0.08</v>
      </c>
      <c r="V699">
        <f t="shared" si="264"/>
        <v>0.18799913234278093</v>
      </c>
      <c r="W699">
        <f t="shared" si="260"/>
        <v>0.16842297582934385</v>
      </c>
      <c r="X699">
        <f t="shared" si="261"/>
        <v>0.21104568395879586</v>
      </c>
      <c r="Y699" t="b">
        <f t="shared" si="263"/>
        <v>0</v>
      </c>
    </row>
    <row xmlns:x14ac="http://schemas.microsoft.com/office/spreadsheetml/2009/9/ac" r="700" x14ac:dyDescent="0.45">
      <c r="A700">
        <v>3.4649999999999501</v>
      </c>
      <c r="B700">
        <f t="shared" si="241"/>
        <v>0.16299999745566129</v>
      </c>
      <c r="C700" t="b">
        <f t="shared" si="254"/>
        <v>1</v>
      </c>
      <c r="D700" t="b">
        <f t="shared" si="242"/>
        <v>1</v>
      </c>
      <c r="E700">
        <f t="shared" si="250"/>
        <v>3.4649999999999501</v>
      </c>
      <c r="F700">
        <f t="shared" si="255"/>
        <v>0.16299999745566129</v>
      </c>
      <c r="G700">
        <f t="shared" si="243"/>
        <v>0.2110198659298626</v>
      </c>
      <c r="H700">
        <f t="shared" si="244"/>
        <v>3.4999999021408199E-2</v>
      </c>
      <c r="I700" t="b">
        <f t="shared" si="256"/>
        <v>1</v>
      </c>
      <c r="J700">
        <f t="shared" si="245"/>
        <v>3.4649999999999501</v>
      </c>
      <c r="K700">
        <f t="shared" si="257"/>
        <v>3.4999999021408199E-2</v>
      </c>
      <c r="L700">
        <f t="shared" si="246"/>
        <v>0.16846191269485078</v>
      </c>
      <c r="M700">
        <f t="shared" si="247"/>
        <v>0.18999999804281639</v>
      </c>
      <c r="N700">
        <f t="shared" si="248"/>
        <v>0.18799924420445252</v>
      </c>
      <c r="O700">
        <f t="shared" si="249"/>
        <v>0.15777777777694127</v>
      </c>
      <c r="P700">
        <f t="shared" si="262"/>
        <v>0.08</v>
      </c>
      <c r="Q700">
        <f t="shared" si="258"/>
        <v>0.08</v>
      </c>
      <c r="R700">
        <f t="shared" si="251"/>
        <v>0.08</v>
      </c>
      <c r="S700">
        <f t="shared" si="252"/>
        <v>0.06</v>
      </c>
      <c r="T700">
        <f t="shared" si="253"/>
        <v>0.1</v>
      </c>
      <c r="U700">
        <f t="shared" si="259"/>
        <v>0.08</v>
      </c>
      <c r="V700">
        <f t="shared" si="264"/>
        <v>0.18799924420445252</v>
      </c>
      <c r="W700">
        <f t="shared" si="260"/>
        <v>0.16843084127020863</v>
      </c>
      <c r="X700">
        <f t="shared" si="261"/>
        <v>0.21104046858829345</v>
      </c>
      <c r="Y700" t="b">
        <f t="shared" si="263"/>
        <v>0</v>
      </c>
    </row>
    <row xmlns:x14ac="http://schemas.microsoft.com/office/spreadsheetml/2009/9/ac" r="701" x14ac:dyDescent="0.45">
      <c r="A701">
        <v>3.46999999999995</v>
      </c>
      <c r="B701">
        <f t="shared" si="241"/>
        <v>0.16299999776765303</v>
      </c>
      <c r="C701" t="b">
        <f t="shared" si="254"/>
        <v>1</v>
      </c>
      <c r="D701" t="b">
        <f t="shared" si="242"/>
        <v>1</v>
      </c>
      <c r="E701">
        <f t="shared" si="250"/>
        <v>3.46999999999995</v>
      </c>
      <c r="F701">
        <f t="shared" si="255"/>
        <v>0.16299999776765303</v>
      </c>
      <c r="G701">
        <f t="shared" si="243"/>
        <v>0.21101477932731677</v>
      </c>
      <c r="H701">
        <f t="shared" si="244"/>
        <v>3.4999999141405017E-2</v>
      </c>
      <c r="I701" t="b">
        <f t="shared" si="256"/>
        <v>1</v>
      </c>
      <c r="J701">
        <f t="shared" si="245"/>
        <v>3.46999999999995</v>
      </c>
      <c r="K701">
        <f t="shared" si="257"/>
        <v>3.4999999141405017E-2</v>
      </c>
      <c r="L701">
        <f t="shared" si="246"/>
        <v>0.1684695839372887</v>
      </c>
      <c r="M701">
        <f t="shared" si="247"/>
        <v>0.18999999828281003</v>
      </c>
      <c r="N701">
        <f t="shared" si="248"/>
        <v>0.1879993559168881</v>
      </c>
      <c r="O701">
        <f t="shared" si="249"/>
        <v>0.15777777777703483</v>
      </c>
      <c r="P701">
        <f t="shared" si="262"/>
        <v>0.08</v>
      </c>
      <c r="Q701">
        <f t="shared" si="258"/>
        <v>0.08</v>
      </c>
      <c r="R701">
        <f t="shared" si="251"/>
        <v>0.08</v>
      </c>
      <c r="S701">
        <f t="shared" si="252"/>
        <v>0.06</v>
      </c>
      <c r="T701">
        <f t="shared" si="253"/>
        <v>0.1</v>
      </c>
      <c r="U701">
        <f t="shared" si="259"/>
        <v>0.08</v>
      </c>
      <c r="V701">
        <f t="shared" si="264"/>
        <v>0.1879993559168881</v>
      </c>
      <c r="W701">
        <f t="shared" si="260"/>
        <v>0.16843866748202346</v>
      </c>
      <c r="X701">
        <f t="shared" si="261"/>
        <v>0.21103527922956</v>
      </c>
      <c r="Y701" t="b">
        <f t="shared" si="263"/>
        <v>0</v>
      </c>
    </row>
    <row xmlns:x14ac="http://schemas.microsoft.com/office/spreadsheetml/2009/9/ac" r="702" x14ac:dyDescent="0.45">
      <c r="A702">
        <v>3.4749999999999499</v>
      </c>
      <c r="B702">
        <f t="shared" si="241"/>
        <v>0.16299999807510751</v>
      </c>
      <c r="C702" t="b">
        <f t="shared" si="254"/>
        <v>1</v>
      </c>
      <c r="D702" t="b">
        <f t="shared" si="242"/>
        <v>1</v>
      </c>
      <c r="E702">
        <f t="shared" si="250"/>
        <v>3.4749999999999499</v>
      </c>
      <c r="F702">
        <f t="shared" si="255"/>
        <v>0.16299999807510751</v>
      </c>
      <c r="G702">
        <f t="shared" si="243"/>
        <v>0.21100971809430691</v>
      </c>
      <c r="H702">
        <f t="shared" si="244"/>
        <v>3.4999999259656731E-2</v>
      </c>
      <c r="I702" t="b">
        <f t="shared" si="256"/>
        <v>1</v>
      </c>
      <c r="J702">
        <f t="shared" si="245"/>
        <v>3.4749999999999499</v>
      </c>
      <c r="K702">
        <f t="shared" si="257"/>
        <v>3.4999999259656731E-2</v>
      </c>
      <c r="L702">
        <f t="shared" si="246"/>
        <v>0.16847721691924533</v>
      </c>
      <c r="M702">
        <f t="shared" si="247"/>
        <v>0.18999999851931348</v>
      </c>
      <c r="N702">
        <f t="shared" si="248"/>
        <v>0.18799946698613298</v>
      </c>
      <c r="O702">
        <f t="shared" si="249"/>
        <v>0.15777777777712587</v>
      </c>
      <c r="P702">
        <f t="shared" si="262"/>
        <v>0.08</v>
      </c>
      <c r="Q702">
        <f t="shared" si="258"/>
        <v>0.08</v>
      </c>
      <c r="R702">
        <f t="shared" si="251"/>
        <v>0.08</v>
      </c>
      <c r="S702">
        <f t="shared" si="252"/>
        <v>0.06</v>
      </c>
      <c r="T702">
        <f t="shared" si="253"/>
        <v>0.1</v>
      </c>
      <c r="U702">
        <f t="shared" si="259"/>
        <v>0.08</v>
      </c>
      <c r="V702">
        <f t="shared" si="264"/>
        <v>0.18799946698613298</v>
      </c>
      <c r="W702">
        <f t="shared" si="260"/>
        <v>0.168446454660444</v>
      </c>
      <c r="X702">
        <f t="shared" si="261"/>
        <v>0.21103011575286118</v>
      </c>
      <c r="Y702" t="b">
        <f t="shared" si="263"/>
        <v>0</v>
      </c>
    </row>
    <row xmlns:x14ac="http://schemas.microsoft.com/office/spreadsheetml/2009/9/ac" r="703" x14ac:dyDescent="0.45">
      <c r="A703">
        <v>3.4799999999999498</v>
      </c>
      <c r="B703">
        <f t="shared" si="241"/>
        <v>0.16299999837677528</v>
      </c>
      <c r="C703" t="b">
        <f t="shared" si="254"/>
        <v>1</v>
      </c>
      <c r="D703" t="b">
        <f t="shared" si="242"/>
        <v>1</v>
      </c>
      <c r="E703">
        <f t="shared" si="250"/>
        <v>3.4799999999999498</v>
      </c>
      <c r="F703">
        <f t="shared" si="255"/>
        <v>0.16299999837677528</v>
      </c>
      <c r="G703">
        <f t="shared" si="243"/>
        <v>0.21100468210430207</v>
      </c>
      <c r="H703">
        <f t="shared" si="244"/>
        <v>3.4999999375682808E-2</v>
      </c>
      <c r="I703" t="b">
        <f t="shared" si="256"/>
        <v>1</v>
      </c>
      <c r="J703">
        <f t="shared" si="245"/>
        <v>3.4799999999999498</v>
      </c>
      <c r="K703">
        <f t="shared" si="257"/>
        <v>3.4999999375682808E-2</v>
      </c>
      <c r="L703">
        <f t="shared" si="246"/>
        <v>0.16848481183154562</v>
      </c>
      <c r="M703">
        <f t="shared" si="247"/>
        <v>0.18999999875136561</v>
      </c>
      <c r="N703">
        <f t="shared" si="248"/>
        <v>0.18799957693665992</v>
      </c>
      <c r="O703">
        <f t="shared" si="249"/>
        <v>0.15777777777721413</v>
      </c>
      <c r="P703">
        <f t="shared" si="262"/>
        <v>0.08</v>
      </c>
      <c r="Q703">
        <f t="shared" si="258"/>
        <v>0.08</v>
      </c>
      <c r="R703">
        <f t="shared" si="251"/>
        <v>0.08</v>
      </c>
      <c r="S703">
        <f t="shared" si="252"/>
        <v>0.06</v>
      </c>
      <c r="T703">
        <f t="shared" si="253"/>
        <v>0.1</v>
      </c>
      <c r="U703">
        <f t="shared" si="259"/>
        <v>0.08</v>
      </c>
      <c r="V703">
        <f t="shared" si="264"/>
        <v>0.18799957693665992</v>
      </c>
      <c r="W703">
        <f t="shared" si="260"/>
        <v>0.16845420300015015</v>
      </c>
      <c r="X703">
        <f t="shared" si="261"/>
        <v>0.21102497802910986</v>
      </c>
      <c r="Y703" t="b">
        <f t="shared" si="263"/>
        <v>0</v>
      </c>
    </row>
    <row xmlns:x14ac="http://schemas.microsoft.com/office/spreadsheetml/2009/9/ac" r="704" x14ac:dyDescent="0.45">
      <c r="A704">
        <v>3.4849999999999501</v>
      </c>
      <c r="B704">
        <f t="shared" si="241"/>
        <v>0.16299999867149553</v>
      </c>
      <c r="C704" t="b">
        <f t="shared" si="254"/>
        <v>1</v>
      </c>
      <c r="D704" t="b">
        <f t="shared" si="242"/>
        <v>1</v>
      </c>
      <c r="E704">
        <f t="shared" si="250"/>
        <v>3.4849999999999501</v>
      </c>
      <c r="F704">
        <f t="shared" si="255"/>
        <v>0.16299999867149553</v>
      </c>
      <c r="G704">
        <f t="shared" si="243"/>
        <v>0.21099967123140212</v>
      </c>
      <c r="H704">
        <f t="shared" si="244"/>
        <v>3.4999999489036746E-2</v>
      </c>
      <c r="I704" t="b">
        <f t="shared" si="256"/>
        <v>1</v>
      </c>
      <c r="J704">
        <f t="shared" si="245"/>
        <v>3.4849999999999501</v>
      </c>
      <c r="K704">
        <f t="shared" si="257"/>
        <v>3.4999999489036746E-2</v>
      </c>
      <c r="L704">
        <f t="shared" si="246"/>
        <v>0.16849236886406277</v>
      </c>
      <c r="M704">
        <f t="shared" si="247"/>
        <v>0.18999999897807349</v>
      </c>
      <c r="N704">
        <f t="shared" si="248"/>
        <v>0.1879996853129112</v>
      </c>
      <c r="O704">
        <f t="shared" si="249"/>
        <v>0.15777777777729929</v>
      </c>
      <c r="P704">
        <f t="shared" si="262"/>
        <v>0.08</v>
      </c>
      <c r="Q704">
        <f t="shared" si="258"/>
        <v>0.08</v>
      </c>
      <c r="R704">
        <f t="shared" si="251"/>
        <v>0.08</v>
      </c>
      <c r="S704">
        <f t="shared" si="252"/>
        <v>0.06</v>
      </c>
      <c r="T704">
        <f t="shared" si="253"/>
        <v>0.1</v>
      </c>
      <c r="U704">
        <f t="shared" si="259"/>
        <v>0.08</v>
      </c>
      <c r="V704">
        <f t="shared" si="264"/>
        <v>0.1879996853129112</v>
      </c>
      <c r="W704">
        <f t="shared" si="260"/>
        <v>0.16846191269485078</v>
      </c>
      <c r="X704">
        <f t="shared" si="261"/>
        <v>0.2110198659298626</v>
      </c>
      <c r="Y704" t="b">
        <f t="shared" si="263"/>
        <v>0</v>
      </c>
    </row>
    <row xmlns:x14ac="http://schemas.microsoft.com/office/spreadsheetml/2009/9/ac" r="705" x14ac:dyDescent="0.45">
      <c r="A705">
        <v>3.48999999999995</v>
      </c>
      <c r="B705">
        <f t="shared" si="241"/>
        <v>0.16299999895819717</v>
      </c>
      <c r="C705" t="b">
        <f t="shared" si="254"/>
        <v>1</v>
      </c>
      <c r="D705" t="b">
        <f t="shared" si="242"/>
        <v>1</v>
      </c>
      <c r="E705">
        <f t="shared" si="250"/>
        <v>3.48999999999995</v>
      </c>
      <c r="F705">
        <f t="shared" si="255"/>
        <v>0.16299999895819717</v>
      </c>
      <c r="G705">
        <f t="shared" si="243"/>
        <v>0.210994685350335</v>
      </c>
      <c r="H705">
        <f t="shared" si="244"/>
        <v>3.4999999599306608E-2</v>
      </c>
      <c r="I705" t="b">
        <f t="shared" si="256"/>
        <v>1</v>
      </c>
      <c r="J705">
        <f t="shared" si="245"/>
        <v>3.48999999999995</v>
      </c>
      <c r="K705">
        <f t="shared" si="257"/>
        <v>3.4999999599306608E-2</v>
      </c>
      <c r="L705">
        <f t="shared" si="246"/>
        <v>0.16849988820572304</v>
      </c>
      <c r="M705">
        <f t="shared" si="247"/>
        <v>0.18999999919861321</v>
      </c>
      <c r="N705">
        <f t="shared" si="248"/>
        <v>0.18799979168070338</v>
      </c>
      <c r="O705">
        <f t="shared" si="249"/>
        <v>0.15777777777738108</v>
      </c>
      <c r="P705">
        <f t="shared" si="262"/>
        <v>0.08</v>
      </c>
      <c r="Q705">
        <f t="shared" si="258"/>
        <v>0.08</v>
      </c>
      <c r="R705">
        <f t="shared" si="251"/>
        <v>0.08</v>
      </c>
      <c r="S705">
        <f t="shared" si="252"/>
        <v>0.06</v>
      </c>
      <c r="T705">
        <f t="shared" si="253"/>
        <v>0.1</v>
      </c>
      <c r="U705">
        <f t="shared" si="259"/>
        <v>0.08</v>
      </c>
      <c r="V705">
        <f t="shared" si="264"/>
        <v>0.18799979168070338</v>
      </c>
      <c r="W705">
        <f t="shared" si="260"/>
        <v>0.1684695839372887</v>
      </c>
      <c r="X705">
        <f t="shared" si="261"/>
        <v>0.21101477932731677</v>
      </c>
      <c r="Y705" t="b">
        <f t="shared" si="263"/>
        <v>0</v>
      </c>
    </row>
    <row xmlns:x14ac="http://schemas.microsoft.com/office/spreadsheetml/2009/9/ac" r="706" x14ac:dyDescent="0.45">
      <c r="A706">
        <v>3.4949999999999499</v>
      </c>
      <c r="B706">
        <f t="shared" si="241"/>
        <v>0.16299999923589983</v>
      </c>
      <c r="C706" t="b">
        <f t="shared" si="254"/>
        <v>1</v>
      </c>
      <c r="D706" t="b">
        <f t="shared" si="242"/>
        <v>1</v>
      </c>
      <c r="E706">
        <f t="shared" si="250"/>
        <v>3.4949999999999499</v>
      </c>
      <c r="F706">
        <f t="shared" si="255"/>
        <v>0.16299999923589983</v>
      </c>
      <c r="G706">
        <f t="shared" si="243"/>
        <v>0.21098972433645347</v>
      </c>
      <c r="H706">
        <f t="shared" si="244"/>
        <v>3.4999999706115323E-2</v>
      </c>
      <c r="I706" t="b">
        <f t="shared" si="256"/>
        <v>1</v>
      </c>
      <c r="J706">
        <f t="shared" si="245"/>
        <v>3.4949999999999499</v>
      </c>
      <c r="K706">
        <f t="shared" si="257"/>
        <v>3.4999999706115323E-2</v>
      </c>
      <c r="L706">
        <f t="shared" si="246"/>
        <v>0.16850737004451027</v>
      </c>
      <c r="M706">
        <f t="shared" si="247"/>
        <v>0.18999999941223064</v>
      </c>
      <c r="N706">
        <f t="shared" si="248"/>
        <v>0.1879998956284922</v>
      </c>
      <c r="O706">
        <f t="shared" si="249"/>
        <v>0.15777777777745933</v>
      </c>
      <c r="P706">
        <f t="shared" si="262"/>
        <v>0.08</v>
      </c>
      <c r="Q706">
        <f t="shared" si="258"/>
        <v>0.08</v>
      </c>
      <c r="R706">
        <f t="shared" si="251"/>
        <v>0.08</v>
      </c>
      <c r="S706">
        <f t="shared" si="252"/>
        <v>0.06</v>
      </c>
      <c r="T706">
        <f t="shared" si="253"/>
        <v>0.1</v>
      </c>
      <c r="U706">
        <f t="shared" si="259"/>
        <v>0.08</v>
      </c>
      <c r="V706">
        <f t="shared" si="264"/>
        <v>0.1879998956284922</v>
      </c>
      <c r="W706">
        <f t="shared" si="260"/>
        <v>0.16847721691924533</v>
      </c>
      <c r="X706">
        <f t="shared" si="261"/>
        <v>0.21100971809430691</v>
      </c>
      <c r="Y706" t="b">
        <f t="shared" si="263"/>
        <v>0</v>
      </c>
    </row>
    <row xmlns:x14ac="http://schemas.microsoft.com/office/spreadsheetml/2009/9/ac" r="707" x14ac:dyDescent="0.45">
      <c r="A707">
        <v>3.4999999999999498</v>
      </c>
      <c r="B707">
        <f t="shared" si="241"/>
        <v>0.16299999950371399</v>
      </c>
      <c r="C707" t="b">
        <f t="shared" si="254"/>
        <v>1</v>
      </c>
      <c r="D707" t="b">
        <f t="shared" si="242"/>
        <v>1</v>
      </c>
      <c r="E707">
        <f t="shared" si="250"/>
        <v>3.4999999999999498</v>
      </c>
      <c r="F707">
        <f t="shared" si="255"/>
        <v>0.16299999950371399</v>
      </c>
      <c r="G707">
        <f t="shared" si="243"/>
        <v>0.2109847880657319</v>
      </c>
      <c r="H707">
        <f t="shared" si="244"/>
        <v>3.499999980912076E-2</v>
      </c>
      <c r="I707" t="b">
        <f t="shared" si="256"/>
        <v>1</v>
      </c>
      <c r="J707">
        <f t="shared" si="245"/>
        <v>3.4999999999999498</v>
      </c>
      <c r="K707">
        <f t="shared" si="257"/>
        <v>3.499999980912076E-2</v>
      </c>
      <c r="L707">
        <f t="shared" si="246"/>
        <v>0.16851481456747092</v>
      </c>
      <c r="M707">
        <f t="shared" si="247"/>
        <v>0.18999999961824154</v>
      </c>
      <c r="N707">
        <f t="shared" si="248"/>
        <v>0.18799999676849652</v>
      </c>
      <c r="O707">
        <f t="shared" si="249"/>
        <v>0.15777777777753388</v>
      </c>
      <c r="P707">
        <f t="shared" si="262"/>
        <v>0.08</v>
      </c>
      <c r="Q707">
        <f t="shared" si="258"/>
        <v>0.08</v>
      </c>
      <c r="R707">
        <f t="shared" si="251"/>
        <v>0.08</v>
      </c>
      <c r="S707">
        <f t="shared" si="252"/>
        <v>0.06</v>
      </c>
      <c r="T707">
        <f t="shared" si="253"/>
        <v>0.1</v>
      </c>
      <c r="U707">
        <f t="shared" si="259"/>
        <v>0.08</v>
      </c>
      <c r="V707">
        <f t="shared" si="264"/>
        <v>0.18799999676849652</v>
      </c>
      <c r="W707">
        <f t="shared" si="260"/>
        <v>0.16848481183154562</v>
      </c>
      <c r="X707">
        <f t="shared" si="261"/>
        <v>0.21100468210430207</v>
      </c>
      <c r="Y707" t="b">
        <f t="shared" si="263"/>
        <v>0</v>
      </c>
    </row>
    <row xmlns:x14ac="http://schemas.microsoft.com/office/spreadsheetml/2009/9/ac" r="708" x14ac:dyDescent="0.45">
      <c r="A708">
        <v>3.5049999999999502</v>
      </c>
      <c r="B708">
        <f t="shared" si="241"/>
        <v>0.16299999976084073</v>
      </c>
      <c r="C708" t="b">
        <f t="shared" si="254"/>
        <v>1</v>
      </c>
      <c r="D708" t="b">
        <f t="shared" si="242"/>
        <v>1</v>
      </c>
      <c r="E708">
        <f t="shared" si="250"/>
        <v>3.5049999999999502</v>
      </c>
      <c r="F708">
        <f t="shared" si="255"/>
        <v>0.16299999976084073</v>
      </c>
      <c r="G708">
        <f t="shared" si="243"/>
        <v>0.21097987641476329</v>
      </c>
      <c r="H708">
        <f t="shared" si="244"/>
        <v>3.4999999908015667E-2</v>
      </c>
      <c r="I708" t="b">
        <f t="shared" si="256"/>
        <v>1</v>
      </c>
      <c r="J708">
        <f t="shared" si="245"/>
        <v>3.5049999999999502</v>
      </c>
      <c r="K708">
        <f t="shared" si="257"/>
        <v>3.4999999908015667E-2</v>
      </c>
      <c r="L708">
        <f t="shared" si="246"/>
        <v>0.16852222196071839</v>
      </c>
      <c r="M708">
        <f t="shared" si="247"/>
        <v>0.18999999981603133</v>
      </c>
      <c r="N708">
        <f t="shared" si="248"/>
        <v>0.18800009473768098</v>
      </c>
      <c r="O708">
        <f t="shared" si="249"/>
        <v>0.15777777777760452</v>
      </c>
      <c r="P708">
        <f t="shared" si="262"/>
        <v>0.08</v>
      </c>
      <c r="Q708">
        <f t="shared" si="258"/>
        <v>0.08</v>
      </c>
      <c r="R708">
        <f t="shared" si="251"/>
        <v>0.08</v>
      </c>
      <c r="S708">
        <f t="shared" si="252"/>
        <v>0.06</v>
      </c>
      <c r="T708">
        <f t="shared" si="253"/>
        <v>0.1</v>
      </c>
      <c r="U708">
        <f t="shared" si="259"/>
        <v>0.08</v>
      </c>
      <c r="V708">
        <f t="shared" si="264"/>
        <v>0.18800009473768098</v>
      </c>
      <c r="W708">
        <f t="shared" si="260"/>
        <v>0.16849236886406277</v>
      </c>
      <c r="X708">
        <f t="shared" si="261"/>
        <v>0.21099967123140212</v>
      </c>
      <c r="Y708" t="b">
        <f t="shared" si="263"/>
        <v>0</v>
      </c>
    </row>
    <row xmlns:x14ac="http://schemas.microsoft.com/office/spreadsheetml/2009/9/ac" r="709" x14ac:dyDescent="0.45">
      <c r="A709">
        <v>3.50999999999995</v>
      </c>
      <c r="B709">
        <f t="shared" si="241"/>
        <v>0.16300000000657133</v>
      </c>
      <c r="C709" t="b">
        <f t="shared" si="254"/>
        <v>1</v>
      </c>
      <c r="D709" t="b">
        <f t="shared" si="242"/>
        <v>1</v>
      </c>
      <c r="E709">
        <f t="shared" si="250"/>
        <v>3.50999999999995</v>
      </c>
      <c r="F709">
        <f t="shared" si="255"/>
        <v>0.16300000000657133</v>
      </c>
      <c r="G709">
        <f t="shared" si="243"/>
        <v>0.21097498926075603</v>
      </c>
      <c r="H709">
        <f t="shared" si="244"/>
        <v>3.500000000252744E-2</v>
      </c>
      <c r="I709" t="b">
        <f t="shared" si="256"/>
        <v>1</v>
      </c>
      <c r="J709">
        <f t="shared" si="245"/>
        <v>3.50999999999995</v>
      </c>
      <c r="K709">
        <f t="shared" si="257"/>
        <v>3.500000000252744E-2</v>
      </c>
      <c r="L709">
        <f t="shared" si="246"/>
        <v>0.16852959240943791</v>
      </c>
      <c r="M709">
        <f t="shared" si="247"/>
        <v>0.19000000000505488</v>
      </c>
      <c r="N709">
        <f t="shared" si="248"/>
        <v>0.18800018919859715</v>
      </c>
      <c r="O709">
        <f t="shared" si="249"/>
        <v>0.15777777777767121</v>
      </c>
      <c r="P709">
        <f t="shared" si="262"/>
        <v>0.08</v>
      </c>
      <c r="Q709">
        <f t="shared" si="258"/>
        <v>0.08</v>
      </c>
      <c r="R709">
        <f t="shared" si="251"/>
        <v>0.08</v>
      </c>
      <c r="S709">
        <f t="shared" si="252"/>
        <v>0.06</v>
      </c>
      <c r="T709">
        <f t="shared" si="253"/>
        <v>0.1</v>
      </c>
      <c r="U709">
        <f t="shared" si="259"/>
        <v>0.08</v>
      </c>
      <c r="V709">
        <f t="shared" si="264"/>
        <v>0.18800018919859715</v>
      </c>
      <c r="W709">
        <f t="shared" si="260"/>
        <v>0.16849988820572304</v>
      </c>
      <c r="X709">
        <f t="shared" si="261"/>
        <v>0.210994685350335</v>
      </c>
      <c r="Y709" t="b">
        <f t="shared" si="263"/>
        <v>0</v>
      </c>
    </row>
    <row xmlns:x14ac="http://schemas.microsoft.com/office/spreadsheetml/2009/9/ac" r="710" x14ac:dyDescent="0.45">
      <c r="A710">
        <v>3.5149999999999499</v>
      </c>
      <c r="B710">
        <f t="shared" si="241"/>
        <v>0.16300000024028607</v>
      </c>
      <c r="C710" t="b">
        <f t="shared" si="254"/>
        <v>1</v>
      </c>
      <c r="D710" t="b">
        <f t="shared" si="242"/>
        <v>1</v>
      </c>
      <c r="E710">
        <f t="shared" si="250"/>
        <v>3.5149999999999499</v>
      </c>
      <c r="F710">
        <f t="shared" si="255"/>
        <v>0.16300000024028607</v>
      </c>
      <c r="G710">
        <f t="shared" si="243"/>
        <v>0.21097012648153113</v>
      </c>
      <c r="H710">
        <f t="shared" si="244"/>
        <v>3.500000009241773E-2</v>
      </c>
      <c r="I710" t="b">
        <f t="shared" si="256"/>
        <v>1</v>
      </c>
      <c r="J710">
        <f t="shared" si="245"/>
        <v>3.5149999999999499</v>
      </c>
      <c r="K710">
        <f t="shared" si="257"/>
        <v>3.500000009241773E-2</v>
      </c>
      <c r="L710">
        <f t="shared" si="246"/>
        <v>0.16853692609789106</v>
      </c>
      <c r="M710">
        <f t="shared" si="247"/>
        <v>0.19000000018483545</v>
      </c>
      <c r="N710">
        <f t="shared" si="248"/>
        <v>0.18800027984008399</v>
      </c>
      <c r="O710">
        <f t="shared" si="249"/>
        <v>0.15777777777773383</v>
      </c>
      <c r="P710">
        <f t="shared" si="262"/>
        <v>0.08</v>
      </c>
      <c r="Q710">
        <f t="shared" si="258"/>
        <v>0.08</v>
      </c>
      <c r="R710">
        <f t="shared" si="251"/>
        <v>0.08</v>
      </c>
      <c r="S710">
        <f t="shared" si="252"/>
        <v>0.06</v>
      </c>
      <c r="T710">
        <f t="shared" si="253"/>
        <v>0.1</v>
      </c>
      <c r="U710">
        <f t="shared" si="259"/>
        <v>0.08</v>
      </c>
      <c r="V710">
        <f t="shared" si="264"/>
        <v>0.18800027984008399</v>
      </c>
      <c r="W710">
        <f t="shared" si="260"/>
        <v>0.16850737004451027</v>
      </c>
      <c r="X710">
        <f t="shared" si="261"/>
        <v>0.21098972433645347</v>
      </c>
      <c r="Y710" t="b">
        <f t="shared" si="263"/>
        <v>0</v>
      </c>
    </row>
    <row xmlns:x14ac="http://schemas.microsoft.com/office/spreadsheetml/2009/9/ac" r="711" x14ac:dyDescent="0.45">
      <c r="A711">
        <v>3.5199999999999498</v>
      </c>
      <c r="B711">
        <f t="shared" ref="B711:B774" si="265">-(1+Marge_haute)*(A+B/Tpll*EXP(-$A711/Tpll)+C_*EXP(-epsilon*Wn*$A711)*COS(Wd*$A711)+C_*(D/C_-epsilon*Wn)/Wd*EXP(-epsilon*Wn*$A711)*SIN(Wd*$A711))+SIGN(DeltaPexpected)*Tunnel</f>
        <v>0.16300000046145294</v>
      </c>
      <c r="C711" t="b">
        <f t="shared" si="254"/>
        <v>1</v>
      </c>
      <c r="D711" t="b">
        <f t="shared" ref="D711:D774" si="266">IF(D710,D710,IF(C711,B711&gt;B710,C711))</f>
        <v>1</v>
      </c>
      <c r="E711">
        <f t="shared" si="250"/>
        <v>3.5199999999999498</v>
      </c>
      <c r="F711">
        <f t="shared" si="255"/>
        <v>0.16300000046145294</v>
      </c>
      <c r="G711">
        <f t="shared" ref="G711:G774" si="267">P0-SIGN(Rocof)*IF(D711,DeltaPexpected+SIGN(DeltaPexpected)*Tunnel+(MIN(F$7:F$1495)-DeltaPexpected-+SIGN(DeltaPexpected)*Tunnel)*EXP(-(A711-MIN(E$7:E$1495))/Texpodecrease),B711)</f>
        <v>0.21096528795551872</v>
      </c>
      <c r="H711">
        <f t="shared" ref="H711:H774" si="268">-(1-marge_basse)*(A+B/Tpll*EXP(-$A711/Tpll)+C_*EXP(-epsilon*Wn*$A711)*COS(Wd*$A711)+C_*(D/C_-epsilon*Wn)/Wd*EXP(-epsilon*Wn*$A711)*SIN(Wd*$A711))-Tunnel</f>
        <v>3.5000000177481908E-2</v>
      </c>
      <c r="I711" t="b">
        <f t="shared" si="256"/>
        <v>1</v>
      </c>
      <c r="J711">
        <f t="shared" ref="J711:J774" si="269">IF(I711,A711,I711)</f>
        <v>3.5199999999999498</v>
      </c>
      <c r="K711">
        <f t="shared" si="257"/>
        <v>3.5000000177481908E-2</v>
      </c>
      <c r="L711">
        <f t="shared" ref="L711:L774" si="270">P0-SIGN(Rocof)*IF(I711,AF$23-AF$13+(MAX(K$7:K$1495)-AF$23+AF$13)*EXP(-(A711-MIN(J$7:J$1495))/AB$21),H711)</f>
        <v>0.16854422320942047</v>
      </c>
      <c r="M711">
        <f t="shared" ref="M711:M774" si="271">P0-(1)*(A+B/Tpll*EXP(-$A711/Tpll)+C_*EXP(-epsilon*Wn*$A711)*COS(Wd*$A711)+C_*(D/C_-epsilon*Wn)/Wd*EXP(-epsilon*Wn*$A711)*SIN(Wd*$A711))</f>
        <v>0.19000000035496381</v>
      </c>
      <c r="N711">
        <f t="shared" ref="N711:N774" si="272">AB$6-(AG$17+AG$16/AC$18*EXP(-$A711/AC$18)+AG$18*EXP(-AG$6*AG$12*$A711)*COS(AG$5*$A711)+AG$18*(AG$19/AG$18-AG$6*AG$12)/AG$5*EXP(-AG$6*AG$12*$A711)*SIN(AG$5*$A711))</f>
        <v>0.18800036637782885</v>
      </c>
      <c r="O711">
        <f t="shared" ref="O711:O774" si="273">AB$6-(AH$17+AH$16/AD$18*EXP(-$A711/AD$18)+AH$18*EXP(-AH$6*AH$12*$A711)*COS(AH$5*$A711)+AH$18*(AH$19/AH$18-AH$6*AH$12)/AH$5*EXP(-AH$6*AH$12*$A711)*SIN(AH$5*$A711))</f>
        <v>0.15777777777779234</v>
      </c>
      <c r="P711">
        <f t="shared" si="262"/>
        <v>0.08</v>
      </c>
      <c r="Q711">
        <f t="shared" si="258"/>
        <v>0.08</v>
      </c>
      <c r="R711">
        <f t="shared" si="251"/>
        <v>0.08</v>
      </c>
      <c r="S711">
        <f t="shared" si="252"/>
        <v>0.06</v>
      </c>
      <c r="T711">
        <f t="shared" si="253"/>
        <v>0.1</v>
      </c>
      <c r="U711">
        <f t="shared" si="259"/>
        <v>0.08</v>
      </c>
      <c r="V711">
        <f t="shared" si="264"/>
        <v>0.18800036637782885</v>
      </c>
      <c r="W711">
        <f t="shared" si="260"/>
        <v>0.16851481456747092</v>
      </c>
      <c r="X711">
        <f t="shared" si="261"/>
        <v>0.2109847880657319</v>
      </c>
      <c r="Y711" t="b">
        <f t="shared" si="263"/>
        <v>0</v>
      </c>
    </row>
    <row xmlns:x14ac="http://schemas.microsoft.com/office/spreadsheetml/2009/9/ac" r="712" x14ac:dyDescent="0.45">
      <c r="A712">
        <v>3.5249999999999502</v>
      </c>
      <c r="B712">
        <f t="shared" si="265"/>
        <v>0.16300000066962597</v>
      </c>
      <c r="C712" t="b">
        <f t="shared" si="254"/>
        <v>1</v>
      </c>
      <c r="D712" t="b">
        <f t="shared" si="266"/>
        <v>1</v>
      </c>
      <c r="E712">
        <f t="shared" ref="E712:E775" si="274">IF(D712,A712,D712)</f>
        <v>3.5249999999999502</v>
      </c>
      <c r="F712">
        <f t="shared" si="255"/>
        <v>0.16300000066962597</v>
      </c>
      <c r="G712">
        <f t="shared" si="267"/>
        <v>0.21096047356175551</v>
      </c>
      <c r="H712">
        <f t="shared" si="268"/>
        <v>3.5000000257548458E-2</v>
      </c>
      <c r="I712" t="b">
        <f t="shared" si="256"/>
        <v>1</v>
      </c>
      <c r="J712">
        <f t="shared" si="269"/>
        <v>3.5249999999999502</v>
      </c>
      <c r="K712">
        <f t="shared" si="257"/>
        <v>3.5000000257548458E-2</v>
      </c>
      <c r="L712">
        <f t="shared" si="270"/>
        <v>0.1685514839264543</v>
      </c>
      <c r="M712">
        <f t="shared" si="271"/>
        <v>0.19000000051509691</v>
      </c>
      <c r="N712">
        <f t="shared" si="272"/>
        <v>0.1880004485547912</v>
      </c>
      <c r="O712">
        <f t="shared" si="273"/>
        <v>0.15777777777784671</v>
      </c>
      <c r="P712">
        <f t="shared" si="262"/>
        <v>0.08</v>
      </c>
      <c r="Q712">
        <f t="shared" si="258"/>
        <v>0.08</v>
      </c>
      <c r="R712">
        <f t="shared" ref="R712:R775" si="275">$AB$6-(1+AB$17)*EXP(-AF$6*AF$12*A712)*(COS(AF$5*A712)-(AF$6*AF$12-1)/(AF$5)*SIN(AF$5*A712))*AF$15</f>
        <v>0.08</v>
      </c>
      <c r="S712">
        <f t="shared" ref="S712:S775" si="276">R712-AF$13</f>
        <v>0.06</v>
      </c>
      <c r="T712">
        <f t="shared" ref="T712:T775" si="277">R712+AF$13</f>
        <v>0.1</v>
      </c>
      <c r="U712">
        <f t="shared" si="259"/>
        <v>0.08</v>
      </c>
      <c r="V712">
        <f t="shared" si="264"/>
        <v>0.1880004485547912</v>
      </c>
      <c r="W712">
        <f t="shared" si="260"/>
        <v>0.16852222196071839</v>
      </c>
      <c r="X712">
        <f t="shared" si="261"/>
        <v>0.21097987641476329</v>
      </c>
      <c r="Y712" t="b">
        <f t="shared" si="263"/>
        <v>0</v>
      </c>
    </row>
    <row xmlns:x14ac="http://schemas.microsoft.com/office/spreadsheetml/2009/9/ac" r="713" x14ac:dyDescent="0.45">
      <c r="A713">
        <v>3.5299999999999501</v>
      </c>
      <c r="B713">
        <f t="shared" si="265"/>
        <v>0.16300000086444302</v>
      </c>
      <c r="C713" t="b">
        <f t="shared" ref="C713:C776" si="278">IF(C712,C712,(B713&lt;B712))</f>
        <v>1</v>
      </c>
      <c r="D713" t="b">
        <f t="shared" si="266"/>
        <v>1</v>
      </c>
      <c r="E713">
        <f t="shared" si="274"/>
        <v>3.5299999999999501</v>
      </c>
      <c r="F713">
        <f t="shared" ref="F713:F776" si="279">IF(D713,B713,D713)</f>
        <v>0.16300000086444302</v>
      </c>
      <c r="G713">
        <f t="shared" si="267"/>
        <v>0.21095568317988139</v>
      </c>
      <c r="H713">
        <f t="shared" si="268"/>
        <v>3.500000033247809E-2</v>
      </c>
      <c r="I713" t="b">
        <f t="shared" ref="I713:I776" si="280">IF(I712,I712,H712&gt;H713)</f>
        <v>1</v>
      </c>
      <c r="J713">
        <f t="shared" si="269"/>
        <v>3.5299999999999501</v>
      </c>
      <c r="K713">
        <f t="shared" ref="K713:K776" si="281">IF(I713,H713,I713)</f>
        <v>3.500000033247809E-2</v>
      </c>
      <c r="L713">
        <f t="shared" si="270"/>
        <v>0.16855870843051085</v>
      </c>
      <c r="M713">
        <f t="shared" si="271"/>
        <v>0.19000000066495618</v>
      </c>
      <c r="N713">
        <f t="shared" si="272"/>
        <v>0.18800052614149076</v>
      </c>
      <c r="O713">
        <f t="shared" si="273"/>
        <v>0.15777777777789692</v>
      </c>
      <c r="P713">
        <f t="shared" si="262"/>
        <v>0.08</v>
      </c>
      <c r="Q713">
        <f t="shared" ref="Q713:Q776" si="282">$AB$6-(1+AB$17)*EXP(-AF$6*AF$12*A711)*(COS(AF$5*A711)-(AF$6*AF$12-1)/(AF$5)*SIN(AF$5*A711))*AF$15</f>
        <v>0.08</v>
      </c>
      <c r="R713">
        <f t="shared" si="275"/>
        <v>0.08</v>
      </c>
      <c r="S713">
        <f t="shared" si="276"/>
        <v>0.06</v>
      </c>
      <c r="T713">
        <f t="shared" si="277"/>
        <v>0.1</v>
      </c>
      <c r="U713">
        <f t="shared" ref="U713:U776" si="283">$AB$6-AB$18*EXP(-AF$6*AF$12*A711)*(COS(AF$5*A711)-(AF$6*AF$12-1)/(AF$5)*SIN(AF$5*A711))*AF$15</f>
        <v>0.08</v>
      </c>
      <c r="V713">
        <f t="shared" si="264"/>
        <v>0.18800052614149076</v>
      </c>
      <c r="W713">
        <f t="shared" si="260"/>
        <v>0.16852959240943791</v>
      </c>
      <c r="X713">
        <f t="shared" si="261"/>
        <v>0.21097498926075603</v>
      </c>
      <c r="Y713" t="b">
        <f t="shared" si="263"/>
        <v>0</v>
      </c>
    </row>
    <row xmlns:x14ac="http://schemas.microsoft.com/office/spreadsheetml/2009/9/ac" r="714" x14ac:dyDescent="0.45">
      <c r="A714">
        <v>3.53499999999995</v>
      </c>
      <c r="B714">
        <f t="shared" si="265"/>
        <v>0.16300000104562351</v>
      </c>
      <c r="C714" t="b">
        <f t="shared" si="278"/>
        <v>1</v>
      </c>
      <c r="D714" t="b">
        <f t="shared" si="266"/>
        <v>1</v>
      </c>
      <c r="E714">
        <f t="shared" si="274"/>
        <v>3.53499999999995</v>
      </c>
      <c r="F714">
        <f t="shared" si="279"/>
        <v>0.16300000104562351</v>
      </c>
      <c r="G714">
        <f t="shared" si="267"/>
        <v>0.21095091669013655</v>
      </c>
      <c r="H714">
        <f t="shared" si="268"/>
        <v>3.500000040216289E-2</v>
      </c>
      <c r="I714" t="b">
        <f t="shared" si="280"/>
        <v>1</v>
      </c>
      <c r="J714">
        <f t="shared" si="269"/>
        <v>3.53499999999995</v>
      </c>
      <c r="K714">
        <f t="shared" si="281"/>
        <v>3.500000040216289E-2</v>
      </c>
      <c r="L714">
        <f t="shared" si="270"/>
        <v>0.16856589690220308</v>
      </c>
      <c r="M714">
        <f t="shared" si="271"/>
        <v>0.19000000080432577</v>
      </c>
      <c r="N714">
        <f t="shared" si="272"/>
        <v>0.18800059893616428</v>
      </c>
      <c r="O714">
        <f t="shared" si="273"/>
        <v>0.15777777777794302</v>
      </c>
      <c r="P714">
        <f t="shared" si="262"/>
        <v>0.08</v>
      </c>
      <c r="Q714">
        <f t="shared" si="282"/>
        <v>0.08</v>
      </c>
      <c r="R714">
        <f t="shared" si="275"/>
        <v>0.08</v>
      </c>
      <c r="S714">
        <f t="shared" si="276"/>
        <v>0.06</v>
      </c>
      <c r="T714">
        <f t="shared" si="277"/>
        <v>0.1</v>
      </c>
      <c r="U714">
        <f t="shared" si="283"/>
        <v>0.08</v>
      </c>
      <c r="V714">
        <f t="shared" si="264"/>
        <v>0.18800059893616428</v>
      </c>
      <c r="W714">
        <f t="shared" si="260"/>
        <v>0.16853692609789106</v>
      </c>
      <c r="X714">
        <f t="shared" si="261"/>
        <v>0.21097012648153113</v>
      </c>
      <c r="Y714" t="b">
        <f t="shared" si="263"/>
        <v>0</v>
      </c>
    </row>
    <row xmlns:x14ac="http://schemas.microsoft.com/office/spreadsheetml/2009/9/ac" r="715" x14ac:dyDescent="0.45">
      <c r="A715">
        <v>3.5399999999999499</v>
      </c>
      <c r="B715">
        <f t="shared" si="265"/>
        <v>0.16300000121296587</v>
      </c>
      <c r="C715" t="b">
        <f t="shared" si="278"/>
        <v>1</v>
      </c>
      <c r="D715" t="b">
        <f t="shared" si="266"/>
        <v>1</v>
      </c>
      <c r="E715">
        <f t="shared" si="274"/>
        <v>3.5399999999999499</v>
      </c>
      <c r="F715">
        <f t="shared" si="279"/>
        <v>0.16300000121296587</v>
      </c>
      <c r="G715">
        <f t="shared" si="267"/>
        <v>0.21094617397335846</v>
      </c>
      <c r="H715">
        <f t="shared" si="268"/>
        <v>3.5000000466525336E-2</v>
      </c>
      <c r="I715" t="b">
        <f t="shared" si="280"/>
        <v>1</v>
      </c>
      <c r="J715">
        <f t="shared" si="269"/>
        <v>3.5399999999999499</v>
      </c>
      <c r="K715">
        <f t="shared" si="281"/>
        <v>3.5000000466525336E-2</v>
      </c>
      <c r="L715">
        <f t="shared" si="270"/>
        <v>0.16857304952124319</v>
      </c>
      <c r="M715">
        <f t="shared" si="271"/>
        <v>0.19000000093305067</v>
      </c>
      <c r="N715">
        <f t="shared" si="272"/>
        <v>0.18800066676479296</v>
      </c>
      <c r="O715">
        <f t="shared" si="273"/>
        <v>0.15777777777798502</v>
      </c>
      <c r="P715">
        <f t="shared" si="262"/>
        <v>0.08</v>
      </c>
      <c r="Q715">
        <f t="shared" si="282"/>
        <v>0.08</v>
      </c>
      <c r="R715">
        <f t="shared" si="275"/>
        <v>0.08</v>
      </c>
      <c r="S715">
        <f t="shared" si="276"/>
        <v>0.06</v>
      </c>
      <c r="T715">
        <f t="shared" si="277"/>
        <v>0.1</v>
      </c>
      <c r="U715">
        <f t="shared" si="283"/>
        <v>0.08</v>
      </c>
      <c r="V715">
        <f t="shared" si="264"/>
        <v>0.18800066676479296</v>
      </c>
      <c r="W715">
        <f t="shared" ref="W715:W778" si="284">IF(EMT_Simulation,L711,L715)</f>
        <v>0.16854422320942047</v>
      </c>
      <c r="X715">
        <f t="shared" ref="X715:X778" si="285">IF(EMT_Simulation,G711,G715)</f>
        <v>0.21096528795551872</v>
      </c>
      <c r="Y715" t="b">
        <f t="shared" si="263"/>
        <v>0</v>
      </c>
    </row>
    <row xmlns:x14ac="http://schemas.microsoft.com/office/spreadsheetml/2009/9/ac" r="716" x14ac:dyDescent="0.45">
      <c r="A716">
        <v>3.5449999999999502</v>
      </c>
      <c r="B716">
        <f t="shared" si="265"/>
        <v>0.16300000136634438</v>
      </c>
      <c r="C716" t="b">
        <f t="shared" si="278"/>
        <v>1</v>
      </c>
      <c r="D716" t="b">
        <f t="shared" si="266"/>
        <v>1</v>
      </c>
      <c r="E716">
        <f t="shared" si="274"/>
        <v>3.5449999999999502</v>
      </c>
      <c r="F716">
        <f t="shared" si="279"/>
        <v>0.16300000136634438</v>
      </c>
      <c r="G716">
        <f t="shared" si="267"/>
        <v>0.21094145491097899</v>
      </c>
      <c r="H716">
        <f t="shared" si="268"/>
        <v>3.5000000525517064E-2</v>
      </c>
      <c r="I716" t="b">
        <f t="shared" si="280"/>
        <v>1</v>
      </c>
      <c r="J716">
        <f t="shared" si="269"/>
        <v>3.5449999999999502</v>
      </c>
      <c r="K716">
        <f t="shared" si="281"/>
        <v>3.5000000525517064E-2</v>
      </c>
      <c r="L716">
        <f t="shared" si="270"/>
        <v>0.168580166466447</v>
      </c>
      <c r="M716">
        <f t="shared" si="271"/>
        <v>0.19000000105103415</v>
      </c>
      <c r="N716">
        <f t="shared" si="272"/>
        <v>0.18800072948100555</v>
      </c>
      <c r="O716">
        <f t="shared" si="273"/>
        <v>0.15777777777802299</v>
      </c>
      <c r="P716">
        <f t="shared" si="262"/>
        <v>0.08</v>
      </c>
      <c r="Q716">
        <f t="shared" si="282"/>
        <v>0.08</v>
      </c>
      <c r="R716">
        <f t="shared" si="275"/>
        <v>0.08</v>
      </c>
      <c r="S716">
        <f t="shared" si="276"/>
        <v>0.06</v>
      </c>
      <c r="T716">
        <f t="shared" si="277"/>
        <v>0.1</v>
      </c>
      <c r="U716">
        <f t="shared" si="283"/>
        <v>0.08</v>
      </c>
      <c r="V716">
        <f t="shared" si="264"/>
        <v>0.18800072948100555</v>
      </c>
      <c r="W716">
        <f t="shared" si="284"/>
        <v>0.1685514839264543</v>
      </c>
      <c r="X716">
        <f t="shared" si="285"/>
        <v>0.21096047356175551</v>
      </c>
      <c r="Y716" t="b">
        <f t="shared" si="263"/>
        <v>0</v>
      </c>
    </row>
    <row xmlns:x14ac="http://schemas.microsoft.com/office/spreadsheetml/2009/9/ac" r="717" x14ac:dyDescent="0.45">
      <c r="A717">
        <v>3.5499999999999501</v>
      </c>
      <c r="B717">
        <f t="shared" si="265"/>
        <v>0.16300000150570643</v>
      </c>
      <c r="C717" t="b">
        <f t="shared" si="278"/>
        <v>1</v>
      </c>
      <c r="D717" t="b">
        <f t="shared" si="266"/>
        <v>1</v>
      </c>
      <c r="E717">
        <f t="shared" si="274"/>
        <v>3.5499999999999501</v>
      </c>
      <c r="F717">
        <f t="shared" si="279"/>
        <v>0.16300000150570643</v>
      </c>
      <c r="G717">
        <f t="shared" si="267"/>
        <v>0.21093675938502132</v>
      </c>
      <c r="H717">
        <f t="shared" si="268"/>
        <v>3.5000000579117854E-2</v>
      </c>
      <c r="I717" t="b">
        <f t="shared" si="280"/>
        <v>1</v>
      </c>
      <c r="J717">
        <f t="shared" si="269"/>
        <v>3.5499999999999501</v>
      </c>
      <c r="K717">
        <f t="shared" si="281"/>
        <v>3.5000000579117854E-2</v>
      </c>
      <c r="L717">
        <f t="shared" si="270"/>
        <v>0.16858724791573854</v>
      </c>
      <c r="M717">
        <f t="shared" si="271"/>
        <v>0.19000000115823573</v>
      </c>
      <c r="N717">
        <f t="shared" si="272"/>
        <v>0.18800078696586101</v>
      </c>
      <c r="O717">
        <f t="shared" si="273"/>
        <v>0.15777777777805702</v>
      </c>
      <c r="P717">
        <f t="shared" si="262"/>
        <v>0.08</v>
      </c>
      <c r="Q717">
        <f t="shared" si="282"/>
        <v>0.08</v>
      </c>
      <c r="R717">
        <f t="shared" si="275"/>
        <v>0.08</v>
      </c>
      <c r="S717">
        <f t="shared" si="276"/>
        <v>0.06</v>
      </c>
      <c r="T717">
        <f t="shared" si="277"/>
        <v>0.1</v>
      </c>
      <c r="U717">
        <f t="shared" si="283"/>
        <v>0.08</v>
      </c>
      <c r="V717">
        <f t="shared" si="264"/>
        <v>0.18800078696586101</v>
      </c>
      <c r="W717">
        <f t="shared" si="284"/>
        <v>0.16855870843051085</v>
      </c>
      <c r="X717">
        <f t="shared" si="285"/>
        <v>0.21095568317988139</v>
      </c>
      <c r="Y717" t="b">
        <f t="shared" si="263"/>
        <v>0</v>
      </c>
    </row>
    <row xmlns:x14ac="http://schemas.microsoft.com/office/spreadsheetml/2009/9/ac" r="718" x14ac:dyDescent="0.45">
      <c r="A718">
        <v>3.55499999999995</v>
      </c>
      <c r="B718">
        <f t="shared" si="265"/>
        <v>0.16300000163106892</v>
      </c>
      <c r="C718" t="b">
        <f t="shared" si="278"/>
        <v>1</v>
      </c>
      <c r="D718" t="b">
        <f t="shared" si="266"/>
        <v>1</v>
      </c>
      <c r="E718">
        <f t="shared" si="274"/>
        <v>3.55499999999995</v>
      </c>
      <c r="F718">
        <f t="shared" si="279"/>
        <v>0.16300000163106892</v>
      </c>
      <c r="G718">
        <f t="shared" si="267"/>
        <v>0.21093208727809709</v>
      </c>
      <c r="H718">
        <f t="shared" si="268"/>
        <v>3.5000000627334202E-2</v>
      </c>
      <c r="I718" t="b">
        <f t="shared" si="280"/>
        <v>1</v>
      </c>
      <c r="J718">
        <f t="shared" si="269"/>
        <v>3.55499999999995</v>
      </c>
      <c r="K718">
        <f t="shared" si="281"/>
        <v>3.5000000627334202E-2</v>
      </c>
      <c r="L718">
        <f t="shared" si="270"/>
        <v>0.16859429404615436</v>
      </c>
      <c r="M718">
        <f t="shared" si="271"/>
        <v>0.1900000012546684</v>
      </c>
      <c r="N718">
        <f t="shared" si="272"/>
        <v>0.18800083912751553</v>
      </c>
      <c r="O718">
        <f t="shared" si="273"/>
        <v>0.15777777777808716</v>
      </c>
      <c r="P718">
        <f t="shared" ref="P718:P781" si="286">$AB$6-EXP(-AF$6*AF$12*A718)*(COS(AF$5*A718)-(AF$6*AF$12-1)/(AF$5)*SIN(AF$5*A718))*AF$15</f>
        <v>0.08</v>
      </c>
      <c r="Q718">
        <f t="shared" si="282"/>
        <v>0.08</v>
      </c>
      <c r="R718">
        <f t="shared" si="275"/>
        <v>0.08</v>
      </c>
      <c r="S718">
        <f t="shared" si="276"/>
        <v>0.06</v>
      </c>
      <c r="T718">
        <f t="shared" si="277"/>
        <v>0.1</v>
      </c>
      <c r="U718">
        <f t="shared" si="283"/>
        <v>0.08</v>
      </c>
      <c r="V718">
        <f t="shared" si="264"/>
        <v>0.18800083912751553</v>
      </c>
      <c r="W718">
        <f t="shared" si="284"/>
        <v>0.16856589690220308</v>
      </c>
      <c r="X718">
        <f t="shared" si="285"/>
        <v>0.21095091669013655</v>
      </c>
      <c r="Y718" t="b">
        <f t="shared" si="263"/>
        <v>0</v>
      </c>
    </row>
    <row xmlns:x14ac="http://schemas.microsoft.com/office/spreadsheetml/2009/9/ac" r="719" x14ac:dyDescent="0.45">
      <c r="A719">
        <v>3.5599999999999499</v>
      </c>
      <c r="B719">
        <f t="shared" si="265"/>
        <v>0.16300000174251494</v>
      </c>
      <c r="C719" t="b">
        <f t="shared" si="278"/>
        <v>1</v>
      </c>
      <c r="D719" t="b">
        <f t="shared" si="266"/>
        <v>1</v>
      </c>
      <c r="E719">
        <f t="shared" si="274"/>
        <v>3.5599999999999499</v>
      </c>
      <c r="F719">
        <f t="shared" si="279"/>
        <v>0.16300000174251494</v>
      </c>
      <c r="G719">
        <f t="shared" si="267"/>
        <v>0.21092743847340334</v>
      </c>
      <c r="H719">
        <f t="shared" si="268"/>
        <v>3.5000000670198053E-2</v>
      </c>
      <c r="I719" t="b">
        <f t="shared" si="280"/>
        <v>1</v>
      </c>
      <c r="J719">
        <f t="shared" si="269"/>
        <v>3.5599999999999499</v>
      </c>
      <c r="K719">
        <f t="shared" si="281"/>
        <v>3.5000000670198053E-2</v>
      </c>
      <c r="L719">
        <f t="shared" si="270"/>
        <v>0.16860130503384813</v>
      </c>
      <c r="M719">
        <f t="shared" si="271"/>
        <v>0.19000000134039613</v>
      </c>
      <c r="N719">
        <f t="shared" si="272"/>
        <v>0.18800088590077918</v>
      </c>
      <c r="O719">
        <f t="shared" si="273"/>
        <v>0.15777777777811355</v>
      </c>
      <c r="P719">
        <f t="shared" si="286"/>
        <v>0.08</v>
      </c>
      <c r="Q719">
        <f t="shared" si="282"/>
        <v>0.08</v>
      </c>
      <c r="R719">
        <f t="shared" si="275"/>
        <v>0.08</v>
      </c>
      <c r="S719">
        <f t="shared" si="276"/>
        <v>0.06</v>
      </c>
      <c r="T719">
        <f t="shared" si="277"/>
        <v>0.1</v>
      </c>
      <c r="U719">
        <f t="shared" si="283"/>
        <v>0.08</v>
      </c>
      <c r="V719">
        <f t="shared" si="264"/>
        <v>0.18800088590077918</v>
      </c>
      <c r="W719">
        <f t="shared" si="284"/>
        <v>0.16857304952124319</v>
      </c>
      <c r="X719">
        <f t="shared" si="285"/>
        <v>0.21094617397335846</v>
      </c>
      <c r="Y719" t="b">
        <f t="shared" ref="Y719:Y782" si="287">IF(Y718,TRUE,IF(P719&lt;P718,TRUE))</f>
        <v>0</v>
      </c>
    </row>
    <row xmlns:x14ac="http://schemas.microsoft.com/office/spreadsheetml/2009/9/ac" r="720" x14ac:dyDescent="0.45">
      <c r="A720">
        <v>3.5649999999999502</v>
      </c>
      <c r="B720">
        <f t="shared" si="265"/>
        <v>0.16300000184019009</v>
      </c>
      <c r="C720" t="b">
        <f t="shared" si="278"/>
        <v>1</v>
      </c>
      <c r="D720" t="b">
        <f t="shared" si="266"/>
        <v>1</v>
      </c>
      <c r="E720">
        <f t="shared" si="274"/>
        <v>3.5649999999999502</v>
      </c>
      <c r="F720">
        <f t="shared" si="279"/>
        <v>0.16300000184019009</v>
      </c>
      <c r="G720">
        <f t="shared" si="267"/>
        <v>0.21092281285471975</v>
      </c>
      <c r="H720">
        <f t="shared" si="268"/>
        <v>3.5000000707765419E-2</v>
      </c>
      <c r="I720" t="b">
        <f t="shared" si="280"/>
        <v>1</v>
      </c>
      <c r="J720">
        <f t="shared" si="269"/>
        <v>3.5649999999999502</v>
      </c>
      <c r="K720">
        <f t="shared" si="281"/>
        <v>3.5000000707765419E-2</v>
      </c>
      <c r="L720">
        <f t="shared" si="270"/>
        <v>0.16860828105409492</v>
      </c>
      <c r="M720">
        <f t="shared" si="271"/>
        <v>0.19000000141553083</v>
      </c>
      <c r="N720">
        <f t="shared" si="272"/>
        <v>0.18800092724656742</v>
      </c>
      <c r="O720">
        <f t="shared" si="273"/>
        <v>0.15777777777813629</v>
      </c>
      <c r="P720">
        <f t="shared" si="286"/>
        <v>0.08</v>
      </c>
      <c r="Q720">
        <f t="shared" si="282"/>
        <v>0.08</v>
      </c>
      <c r="R720">
        <f t="shared" si="275"/>
        <v>0.08</v>
      </c>
      <c r="S720">
        <f t="shared" si="276"/>
        <v>0.06</v>
      </c>
      <c r="T720">
        <f t="shared" si="277"/>
        <v>0.1</v>
      </c>
      <c r="U720">
        <f t="shared" si="283"/>
        <v>0.08</v>
      </c>
      <c r="V720">
        <f t="shared" si="264"/>
        <v>0.18800092724656742</v>
      </c>
      <c r="W720">
        <f t="shared" si="284"/>
        <v>0.168580166466447</v>
      </c>
      <c r="X720">
        <f t="shared" si="285"/>
        <v>0.21094145491097899</v>
      </c>
      <c r="Y720" t="b">
        <f t="shared" si="287"/>
        <v>0</v>
      </c>
    </row>
    <row xmlns:x14ac="http://schemas.microsoft.com/office/spreadsheetml/2009/9/ac" r="721" x14ac:dyDescent="0.45">
      <c r="A721">
        <v>3.5699999999999501</v>
      </c>
      <c r="B721">
        <f t="shared" si="265"/>
        <v>0.16300000192429873</v>
      </c>
      <c r="C721" t="b">
        <f t="shared" si="278"/>
        <v>1</v>
      </c>
      <c r="D721" t="b">
        <f t="shared" si="266"/>
        <v>1</v>
      </c>
      <c r="E721">
        <f t="shared" si="274"/>
        <v>3.5699999999999501</v>
      </c>
      <c r="F721">
        <f t="shared" si="279"/>
        <v>0.16300000192429873</v>
      </c>
      <c r="G721">
        <f t="shared" si="267"/>
        <v>0.21091821030640556</v>
      </c>
      <c r="H721">
        <f t="shared" si="268"/>
        <v>3.5000000740114889E-2</v>
      </c>
      <c r="I721" t="b">
        <f t="shared" si="280"/>
        <v>1</v>
      </c>
      <c r="J721">
        <f t="shared" si="269"/>
        <v>3.5699999999999501</v>
      </c>
      <c r="K721">
        <f t="shared" si="281"/>
        <v>3.5000000740114889E-2</v>
      </c>
      <c r="L721">
        <f t="shared" si="270"/>
        <v>0.16861522228129555</v>
      </c>
      <c r="M721">
        <f t="shared" si="271"/>
        <v>0.19000000148022977</v>
      </c>
      <c r="N721">
        <f t="shared" si="272"/>
        <v>0.18800096315125331</v>
      </c>
      <c r="O721">
        <f t="shared" si="273"/>
        <v>0.15777777777815555</v>
      </c>
      <c r="P721">
        <f t="shared" si="286"/>
        <v>0.08</v>
      </c>
      <c r="Q721">
        <f t="shared" si="282"/>
        <v>0.08</v>
      </c>
      <c r="R721">
        <f t="shared" si="275"/>
        <v>0.08</v>
      </c>
      <c r="S721">
        <f t="shared" si="276"/>
        <v>0.06</v>
      </c>
      <c r="T721">
        <f t="shared" si="277"/>
        <v>0.1</v>
      </c>
      <c r="U721">
        <f t="shared" si="283"/>
        <v>0.08</v>
      </c>
      <c r="V721">
        <f t="shared" si="264"/>
        <v>0.18800096315125331</v>
      </c>
      <c r="W721">
        <f t="shared" si="284"/>
        <v>0.16858724791573854</v>
      </c>
      <c r="X721">
        <f t="shared" si="285"/>
        <v>0.21093675938502132</v>
      </c>
      <c r="Y721" t="b">
        <f t="shared" si="287"/>
        <v>0</v>
      </c>
    </row>
    <row xmlns:x14ac="http://schemas.microsoft.com/office/spreadsheetml/2009/9/ac" r="722" x14ac:dyDescent="0.45">
      <c r="A722">
        <v>3.57499999999995</v>
      </c>
      <c r="B722">
        <f t="shared" si="265"/>
        <v>0.16300000199510015</v>
      </c>
      <c r="C722" t="b">
        <f t="shared" si="278"/>
        <v>1</v>
      </c>
      <c r="D722" t="b">
        <f t="shared" si="266"/>
        <v>1</v>
      </c>
      <c r="E722">
        <f t="shared" si="274"/>
        <v>3.57499999999995</v>
      </c>
      <c r="F722">
        <f t="shared" si="279"/>
        <v>0.16300000199510015</v>
      </c>
      <c r="G722">
        <f t="shared" si="267"/>
        <v>0.21091363071339686</v>
      </c>
      <c r="H722">
        <f t="shared" si="268"/>
        <v>3.5000000767346218E-2</v>
      </c>
      <c r="I722" t="b">
        <f t="shared" si="280"/>
        <v>1</v>
      </c>
      <c r="J722">
        <f t="shared" si="269"/>
        <v>3.57499999999995</v>
      </c>
      <c r="K722">
        <f t="shared" si="281"/>
        <v>3.5000000767346218E-2</v>
      </c>
      <c r="L722">
        <f t="shared" si="270"/>
        <v>0.16862212888898109</v>
      </c>
      <c r="M722">
        <f t="shared" si="271"/>
        <v>0.19000000153469243</v>
      </c>
      <c r="N722">
        <f t="shared" si="272"/>
        <v>0.18800099362592682</v>
      </c>
      <c r="O722">
        <f t="shared" si="273"/>
        <v>0.15777777777817142</v>
      </c>
      <c r="P722">
        <f t="shared" si="286"/>
        <v>0.08</v>
      </c>
      <c r="Q722">
        <f t="shared" si="282"/>
        <v>0.08</v>
      </c>
      <c r="R722">
        <f t="shared" si="275"/>
        <v>0.08</v>
      </c>
      <c r="S722">
        <f t="shared" si="276"/>
        <v>0.06</v>
      </c>
      <c r="T722">
        <f t="shared" si="277"/>
        <v>0.1</v>
      </c>
      <c r="U722">
        <f t="shared" si="283"/>
        <v>0.08</v>
      </c>
      <c r="V722">
        <f t="shared" si="264"/>
        <v>0.18800099362592682</v>
      </c>
      <c r="W722">
        <f t="shared" si="284"/>
        <v>0.16859429404615436</v>
      </c>
      <c r="X722">
        <f t="shared" si="285"/>
        <v>0.21093208727809709</v>
      </c>
      <c r="Y722" t="b">
        <f t="shared" si="287"/>
        <v>0</v>
      </c>
    </row>
    <row xmlns:x14ac="http://schemas.microsoft.com/office/spreadsheetml/2009/9/ac" r="723" x14ac:dyDescent="0.45">
      <c r="A723">
        <v>3.5799999999999499</v>
      </c>
      <c r="B723">
        <f t="shared" si="265"/>
        <v>0.16300000205290469</v>
      </c>
      <c r="C723" t="b">
        <f t="shared" si="278"/>
        <v>1</v>
      </c>
      <c r="D723" t="b">
        <f t="shared" si="266"/>
        <v>1</v>
      </c>
      <c r="E723">
        <f t="shared" si="274"/>
        <v>3.5799999999999499</v>
      </c>
      <c r="F723">
        <f t="shared" si="279"/>
        <v>0.16300000205290469</v>
      </c>
      <c r="G723">
        <f t="shared" si="267"/>
        <v>0.21090907396120362</v>
      </c>
      <c r="H723">
        <f t="shared" si="268"/>
        <v>3.5000000789578725E-2</v>
      </c>
      <c r="I723" t="b">
        <f t="shared" si="280"/>
        <v>1</v>
      </c>
      <c r="J723">
        <f t="shared" si="269"/>
        <v>3.5799999999999499</v>
      </c>
      <c r="K723">
        <f t="shared" si="281"/>
        <v>3.5000000789578725E-2</v>
      </c>
      <c r="L723">
        <f t="shared" si="270"/>
        <v>0.1686290010498171</v>
      </c>
      <c r="M723">
        <f t="shared" si="271"/>
        <v>0.19000000157915745</v>
      </c>
      <c r="N723">
        <f t="shared" si="272"/>
        <v>0.18800101870556682</v>
      </c>
      <c r="O723">
        <f t="shared" si="273"/>
        <v>0.15777777777818408</v>
      </c>
      <c r="P723">
        <f t="shared" si="286"/>
        <v>0.08</v>
      </c>
      <c r="Q723">
        <f t="shared" si="282"/>
        <v>0.08</v>
      </c>
      <c r="R723">
        <f t="shared" si="275"/>
        <v>0.08</v>
      </c>
      <c r="S723">
        <f t="shared" si="276"/>
        <v>0.06</v>
      </c>
      <c r="T723">
        <f t="shared" si="277"/>
        <v>0.1</v>
      </c>
      <c r="U723">
        <f t="shared" si="283"/>
        <v>0.08</v>
      </c>
      <c r="V723">
        <f t="shared" si="264"/>
        <v>0.18800101870556682</v>
      </c>
      <c r="W723">
        <f t="shared" si="284"/>
        <v>0.16860130503384813</v>
      </c>
      <c r="X723">
        <f t="shared" si="285"/>
        <v>0.21092743847340334</v>
      </c>
      <c r="Y723" t="b">
        <f t="shared" si="287"/>
        <v>0</v>
      </c>
    </row>
    <row xmlns:x14ac="http://schemas.microsoft.com/office/spreadsheetml/2009/9/ac" r="724" x14ac:dyDescent="0.45">
      <c r="A724">
        <v>3.5849999999999498</v>
      </c>
      <c r="B724">
        <f t="shared" si="265"/>
        <v>0.16300000209806964</v>
      </c>
      <c r="C724" t="b">
        <f t="shared" si="278"/>
        <v>1</v>
      </c>
      <c r="D724" t="b">
        <f t="shared" si="266"/>
        <v>1</v>
      </c>
      <c r="E724">
        <f t="shared" si="274"/>
        <v>3.5849999999999498</v>
      </c>
      <c r="F724">
        <f t="shared" si="279"/>
        <v>0.16300000209806964</v>
      </c>
      <c r="G724">
        <f t="shared" si="267"/>
        <v>0.21090453993590669</v>
      </c>
      <c r="H724">
        <f t="shared" si="268"/>
        <v>3.5000000806949871E-2</v>
      </c>
      <c r="I724" t="b">
        <f t="shared" si="280"/>
        <v>1</v>
      </c>
      <c r="J724">
        <f t="shared" si="269"/>
        <v>3.5849999999999498</v>
      </c>
      <c r="K724">
        <f t="shared" si="281"/>
        <v>3.5000000806949871E-2</v>
      </c>
      <c r="L724">
        <f t="shared" si="270"/>
        <v>0.16863583893560796</v>
      </c>
      <c r="M724">
        <f t="shared" si="271"/>
        <v>0.19000000161389974</v>
      </c>
      <c r="N724">
        <f t="shared" si="272"/>
        <v>0.18800103844813246</v>
      </c>
      <c r="O724">
        <f t="shared" si="273"/>
        <v>0.15777777777819363</v>
      </c>
      <c r="P724">
        <f t="shared" si="286"/>
        <v>0.08</v>
      </c>
      <c r="Q724">
        <f t="shared" si="282"/>
        <v>0.08</v>
      </c>
      <c r="R724">
        <f t="shared" si="275"/>
        <v>0.08</v>
      </c>
      <c r="S724">
        <f t="shared" si="276"/>
        <v>0.06</v>
      </c>
      <c r="T724">
        <f t="shared" si="277"/>
        <v>0.1</v>
      </c>
      <c r="U724">
        <f t="shared" si="283"/>
        <v>0.08</v>
      </c>
      <c r="V724">
        <f t="shared" si="264"/>
        <v>0.18800103844813246</v>
      </c>
      <c r="W724">
        <f t="shared" si="284"/>
        <v>0.16860828105409492</v>
      </c>
      <c r="X724">
        <f t="shared" si="285"/>
        <v>0.21092281285471975</v>
      </c>
      <c r="Y724" t="b">
        <f t="shared" si="287"/>
        <v>0</v>
      </c>
    </row>
    <row xmlns:x14ac="http://schemas.microsoft.com/office/spreadsheetml/2009/9/ac" r="725" x14ac:dyDescent="0.45">
      <c r="A725">
        <v>3.5899999999999501</v>
      </c>
      <c r="B725">
        <f t="shared" si="265"/>
        <v>0.16300000213099544</v>
      </c>
      <c r="C725" t="b">
        <f t="shared" si="278"/>
        <v>1</v>
      </c>
      <c r="D725" t="b">
        <f t="shared" si="266"/>
        <v>1</v>
      </c>
      <c r="E725">
        <f t="shared" si="274"/>
        <v>3.5899999999999501</v>
      </c>
      <c r="F725">
        <f t="shared" si="279"/>
        <v>0.16300000213099544</v>
      </c>
      <c r="G725">
        <f t="shared" si="267"/>
        <v>0.21090002852415535</v>
      </c>
      <c r="H725">
        <f t="shared" si="268"/>
        <v>3.500000081961363E-2</v>
      </c>
      <c r="I725" t="b">
        <f t="shared" si="280"/>
        <v>1</v>
      </c>
      <c r="J725">
        <f t="shared" si="269"/>
        <v>3.5899999999999501</v>
      </c>
      <c r="K725">
        <f t="shared" si="281"/>
        <v>3.500000081961363E-2</v>
      </c>
      <c r="L725">
        <f t="shared" si="270"/>
        <v>0.16864264271730114</v>
      </c>
      <c r="M725">
        <f t="shared" si="271"/>
        <v>0.19000000163922726</v>
      </c>
      <c r="N725">
        <f t="shared" si="272"/>
        <v>0.18800105293358091</v>
      </c>
      <c r="O725">
        <f t="shared" si="273"/>
        <v>0.15777777777820035</v>
      </c>
      <c r="P725">
        <f t="shared" si="286"/>
        <v>0.08</v>
      </c>
      <c r="Q725">
        <f t="shared" si="282"/>
        <v>0.08</v>
      </c>
      <c r="R725">
        <f t="shared" si="275"/>
        <v>0.08</v>
      </c>
      <c r="S725">
        <f t="shared" si="276"/>
        <v>0.06</v>
      </c>
      <c r="T725">
        <f t="shared" si="277"/>
        <v>0.1</v>
      </c>
      <c r="U725">
        <f t="shared" si="283"/>
        <v>0.08</v>
      </c>
      <c r="V725">
        <f t="shared" ref="V725:V788" si="288">MAX(IF(Y725,MAX(H725,$AB$6+$AF$13),MAX(T725,$AB$6+$AF$13)),O725,N725)</f>
        <v>0.18800105293358091</v>
      </c>
      <c r="W725">
        <f t="shared" si="284"/>
        <v>0.16861522228129555</v>
      </c>
      <c r="X725">
        <f t="shared" si="285"/>
        <v>0.21091821030640556</v>
      </c>
      <c r="Y725" t="b">
        <f t="shared" si="287"/>
        <v>0</v>
      </c>
    </row>
    <row xmlns:x14ac="http://schemas.microsoft.com/office/spreadsheetml/2009/9/ac" r="726" x14ac:dyDescent="0.45">
      <c r="A726">
        <v>3.59499999999995</v>
      </c>
      <c r="B726">
        <f t="shared" si="265"/>
        <v>0.16300000215212149</v>
      </c>
      <c r="C726" t="b">
        <f t="shared" si="278"/>
        <v>1</v>
      </c>
      <c r="D726" t="b">
        <f t="shared" si="266"/>
        <v>1</v>
      </c>
      <c r="E726">
        <f t="shared" si="274"/>
        <v>3.59499999999995</v>
      </c>
      <c r="F726">
        <f t="shared" si="279"/>
        <v>0.16300000215212149</v>
      </c>
      <c r="G726">
        <f t="shared" si="267"/>
        <v>0.21089553961316393</v>
      </c>
      <c r="H726">
        <f t="shared" si="268"/>
        <v>3.5000000827739033E-2</v>
      </c>
      <c r="I726" t="b">
        <f t="shared" si="280"/>
        <v>1</v>
      </c>
      <c r="J726">
        <f t="shared" si="269"/>
        <v>3.59499999999995</v>
      </c>
      <c r="K726">
        <f t="shared" si="281"/>
        <v>3.5000000827739033E-2</v>
      </c>
      <c r="L726">
        <f t="shared" si="270"/>
        <v>0.16864941256499155</v>
      </c>
      <c r="M726">
        <f t="shared" si="271"/>
        <v>0.19000000165547809</v>
      </c>
      <c r="N726">
        <f t="shared" si="272"/>
        <v>0.18800106226281754</v>
      </c>
      <c r="O726">
        <f t="shared" si="273"/>
        <v>0.15777777777820429</v>
      </c>
      <c r="P726">
        <f t="shared" si="286"/>
        <v>0.08</v>
      </c>
      <c r="Q726">
        <f t="shared" si="282"/>
        <v>0.08</v>
      </c>
      <c r="R726">
        <f t="shared" si="275"/>
        <v>0.08</v>
      </c>
      <c r="S726">
        <f t="shared" si="276"/>
        <v>0.06</v>
      </c>
      <c r="T726">
        <f t="shared" si="277"/>
        <v>0.1</v>
      </c>
      <c r="U726">
        <f t="shared" si="283"/>
        <v>0.08</v>
      </c>
      <c r="V726">
        <f t="shared" si="288"/>
        <v>0.18800106226281754</v>
      </c>
      <c r="W726">
        <f t="shared" si="284"/>
        <v>0.16862212888898109</v>
      </c>
      <c r="X726">
        <f t="shared" si="285"/>
        <v>0.21091363071339686</v>
      </c>
      <c r="Y726" t="b">
        <f t="shared" si="287"/>
        <v>0</v>
      </c>
    </row>
    <row xmlns:x14ac="http://schemas.microsoft.com/office/spreadsheetml/2009/9/ac" r="727" x14ac:dyDescent="0.45">
      <c r="A727">
        <v>3.5999999999999499</v>
      </c>
      <c r="B727">
        <f t="shared" si="265"/>
        <v>0.1630000021619222</v>
      </c>
      <c r="C727" t="b">
        <f t="shared" si="278"/>
        <v>1</v>
      </c>
      <c r="D727" t="b">
        <f t="shared" si="266"/>
        <v>1</v>
      </c>
      <c r="E727">
        <f t="shared" si="274"/>
        <v>3.5999999999999499</v>
      </c>
      <c r="F727">
        <f t="shared" si="279"/>
        <v>0.1630000021619222</v>
      </c>
      <c r="G727">
        <f t="shared" si="267"/>
        <v>0.21089107309070948</v>
      </c>
      <c r="H727">
        <f t="shared" si="268"/>
        <v>3.5000000831508546E-2</v>
      </c>
      <c r="I727" t="b">
        <f t="shared" si="280"/>
        <v>1</v>
      </c>
      <c r="J727">
        <f t="shared" si="269"/>
        <v>3.5999999999999499</v>
      </c>
      <c r="K727">
        <f t="shared" si="281"/>
        <v>3.5000000831508546E-2</v>
      </c>
      <c r="L727">
        <f t="shared" si="270"/>
        <v>0.16865614864792577</v>
      </c>
      <c r="M727">
        <f t="shared" si="271"/>
        <v>0.19000000166301709</v>
      </c>
      <c r="N727">
        <f t="shared" si="272"/>
        <v>0.18800106655658586</v>
      </c>
      <c r="O727">
        <f t="shared" si="273"/>
        <v>0.15777777777820567</v>
      </c>
      <c r="P727">
        <f t="shared" si="286"/>
        <v>0.08</v>
      </c>
      <c r="Q727">
        <f t="shared" si="282"/>
        <v>0.08</v>
      </c>
      <c r="R727">
        <f t="shared" si="275"/>
        <v>0.08</v>
      </c>
      <c r="S727">
        <f t="shared" si="276"/>
        <v>0.06</v>
      </c>
      <c r="T727">
        <f t="shared" si="277"/>
        <v>0.1</v>
      </c>
      <c r="U727">
        <f t="shared" si="283"/>
        <v>0.08</v>
      </c>
      <c r="V727">
        <f t="shared" si="288"/>
        <v>0.18800106655658586</v>
      </c>
      <c r="W727">
        <f t="shared" si="284"/>
        <v>0.1686290010498171</v>
      </c>
      <c r="X727">
        <f t="shared" si="285"/>
        <v>0.21090907396120362</v>
      </c>
      <c r="Y727" t="b">
        <f t="shared" si="287"/>
        <v>0</v>
      </c>
    </row>
    <row xmlns:x14ac="http://schemas.microsoft.com/office/spreadsheetml/2009/9/ac" r="728" x14ac:dyDescent="0.45">
      <c r="A728">
        <v>3.6049999999999498</v>
      </c>
      <c r="B728">
        <f t="shared" si="265"/>
        <v>0.16300000216090302</v>
      </c>
      <c r="C728" t="b">
        <f t="shared" si="278"/>
        <v>1</v>
      </c>
      <c r="D728" t="b">
        <f t="shared" si="266"/>
        <v>1</v>
      </c>
      <c r="E728">
        <f t="shared" si="274"/>
        <v>3.6049999999999498</v>
      </c>
      <c r="F728">
        <f t="shared" si="279"/>
        <v>0.16300000216090302</v>
      </c>
      <c r="G728">
        <f t="shared" si="267"/>
        <v>0.21088662884512871</v>
      </c>
      <c r="H728">
        <f t="shared" si="268"/>
        <v>3.5000000831116554E-2</v>
      </c>
      <c r="I728" t="b">
        <f t="shared" si="280"/>
        <v>1</v>
      </c>
      <c r="J728">
        <f t="shared" si="269"/>
        <v>3.6049999999999498</v>
      </c>
      <c r="K728">
        <f t="shared" si="281"/>
        <v>3.5000000831116554E-2</v>
      </c>
      <c r="L728">
        <f t="shared" si="270"/>
        <v>0.16866285113450619</v>
      </c>
      <c r="M728">
        <f t="shared" si="271"/>
        <v>0.1900000016622331</v>
      </c>
      <c r="N728">
        <f t="shared" si="272"/>
        <v>0.18800106595430377</v>
      </c>
      <c r="O728">
        <f t="shared" si="273"/>
        <v>0.15777777777820465</v>
      </c>
      <c r="P728">
        <f t="shared" si="286"/>
        <v>0.08</v>
      </c>
      <c r="Q728">
        <f t="shared" si="282"/>
        <v>0.08</v>
      </c>
      <c r="R728">
        <f t="shared" si="275"/>
        <v>0.08</v>
      </c>
      <c r="S728">
        <f t="shared" si="276"/>
        <v>0.06</v>
      </c>
      <c r="T728">
        <f t="shared" si="277"/>
        <v>0.1</v>
      </c>
      <c r="U728">
        <f t="shared" si="283"/>
        <v>0.08</v>
      </c>
      <c r="V728">
        <f t="shared" si="288"/>
        <v>0.18800106595430377</v>
      </c>
      <c r="W728">
        <f t="shared" si="284"/>
        <v>0.16863583893560796</v>
      </c>
      <c r="X728">
        <f t="shared" si="285"/>
        <v>0.21090453993590669</v>
      </c>
      <c r="Y728" t="b">
        <f t="shared" si="287"/>
        <v>0</v>
      </c>
    </row>
    <row xmlns:x14ac="http://schemas.microsoft.com/office/spreadsheetml/2009/9/ac" r="729" x14ac:dyDescent="0.45">
      <c r="A729">
        <v>3.6099999999999501</v>
      </c>
      <c r="B729">
        <f t="shared" si="265"/>
        <v>0.16300000214959653</v>
      </c>
      <c r="C729" t="b">
        <f t="shared" si="278"/>
        <v>1</v>
      </c>
      <c r="D729" t="b">
        <f t="shared" si="266"/>
        <v>1</v>
      </c>
      <c r="E729">
        <f t="shared" si="274"/>
        <v>3.6099999999999501</v>
      </c>
      <c r="F729">
        <f t="shared" si="279"/>
        <v>0.16300000214959653</v>
      </c>
      <c r="G729">
        <f t="shared" si="267"/>
        <v>0.21088220676531527</v>
      </c>
      <c r="H729">
        <f t="shared" si="268"/>
        <v>3.5000000826767894E-2</v>
      </c>
      <c r="I729" t="b">
        <f t="shared" si="280"/>
        <v>1</v>
      </c>
      <c r="J729">
        <f t="shared" si="269"/>
        <v>3.6099999999999501</v>
      </c>
      <c r="K729">
        <f t="shared" si="281"/>
        <v>3.5000000826767894E-2</v>
      </c>
      <c r="L729">
        <f t="shared" si="270"/>
        <v>0.16866952019229531</v>
      </c>
      <c r="M729">
        <f t="shared" si="271"/>
        <v>0.19000000165353581</v>
      </c>
      <c r="N729">
        <f t="shared" si="272"/>
        <v>0.18800106061285302</v>
      </c>
      <c r="O729">
        <f t="shared" si="273"/>
        <v>0.1577777777782014</v>
      </c>
      <c r="P729">
        <f t="shared" si="286"/>
        <v>0.08</v>
      </c>
      <c r="Q729">
        <f t="shared" si="282"/>
        <v>0.08</v>
      </c>
      <c r="R729">
        <f t="shared" si="275"/>
        <v>0.08</v>
      </c>
      <c r="S729">
        <f t="shared" si="276"/>
        <v>0.06</v>
      </c>
      <c r="T729">
        <f t="shared" si="277"/>
        <v>0.1</v>
      </c>
      <c r="U729">
        <f t="shared" si="283"/>
        <v>0.08</v>
      </c>
      <c r="V729">
        <f t="shared" si="288"/>
        <v>0.18800106061285302</v>
      </c>
      <c r="W729">
        <f t="shared" si="284"/>
        <v>0.16864264271730114</v>
      </c>
      <c r="X729">
        <f t="shared" si="285"/>
        <v>0.21090002852415535</v>
      </c>
      <c r="Y729" t="b">
        <f t="shared" si="287"/>
        <v>0</v>
      </c>
    </row>
    <row xmlns:x14ac="http://schemas.microsoft.com/office/spreadsheetml/2009/9/ac" r="730" x14ac:dyDescent="0.45">
      <c r="A730">
        <v>3.61499999999995</v>
      </c>
      <c r="B730">
        <f t="shared" si="265"/>
        <v>0.16300000212855853</v>
      </c>
      <c r="C730" t="b">
        <f t="shared" si="278"/>
        <v>1</v>
      </c>
      <c r="D730" t="b">
        <f t="shared" si="266"/>
        <v>1</v>
      </c>
      <c r="E730">
        <f t="shared" si="274"/>
        <v>3.61499999999995</v>
      </c>
      <c r="F730">
        <f t="shared" si="279"/>
        <v>0.16300000212855853</v>
      </c>
      <c r="G730">
        <f t="shared" si="267"/>
        <v>0.21087780674071693</v>
      </c>
      <c r="H730">
        <f t="shared" si="268"/>
        <v>3.5000000818676366E-2</v>
      </c>
      <c r="I730" t="b">
        <f t="shared" si="280"/>
        <v>1</v>
      </c>
      <c r="J730">
        <f t="shared" si="269"/>
        <v>3.61499999999995</v>
      </c>
      <c r="K730">
        <f t="shared" si="281"/>
        <v>3.5000000818676366E-2</v>
      </c>
      <c r="L730">
        <f t="shared" si="270"/>
        <v>0.16867615598801994</v>
      </c>
      <c r="M730">
        <f t="shared" si="271"/>
        <v>0.19000000163735273</v>
      </c>
      <c r="N730">
        <f t="shared" si="272"/>
        <v>0.18800105070532908</v>
      </c>
      <c r="O730">
        <f t="shared" si="273"/>
        <v>0.15777777777819613</v>
      </c>
      <c r="P730">
        <f t="shared" si="286"/>
        <v>0.08</v>
      </c>
      <c r="Q730">
        <f t="shared" si="282"/>
        <v>0.08</v>
      </c>
      <c r="R730">
        <f t="shared" si="275"/>
        <v>0.08</v>
      </c>
      <c r="S730">
        <f t="shared" si="276"/>
        <v>0.06</v>
      </c>
      <c r="T730">
        <f t="shared" si="277"/>
        <v>0.1</v>
      </c>
      <c r="U730">
        <f t="shared" si="283"/>
        <v>0.08</v>
      </c>
      <c r="V730">
        <f t="shared" si="288"/>
        <v>0.18800105070532908</v>
      </c>
      <c r="W730">
        <f t="shared" si="284"/>
        <v>0.16864941256499155</v>
      </c>
      <c r="X730">
        <f t="shared" si="285"/>
        <v>0.21089553961316393</v>
      </c>
      <c r="Y730" t="b">
        <f t="shared" si="287"/>
        <v>0</v>
      </c>
    </row>
    <row xmlns:x14ac="http://schemas.microsoft.com/office/spreadsheetml/2009/9/ac" r="731" x14ac:dyDescent="0.45">
      <c r="A731">
        <v>3.6199999999999499</v>
      </c>
      <c r="B731">
        <f t="shared" si="265"/>
        <v>0.16300000209836429</v>
      </c>
      <c r="C731" t="b">
        <f t="shared" si="278"/>
        <v>1</v>
      </c>
      <c r="D731" t="b">
        <f t="shared" si="266"/>
        <v>1</v>
      </c>
      <c r="E731">
        <f t="shared" si="274"/>
        <v>3.6199999999999499</v>
      </c>
      <c r="F731">
        <f t="shared" si="279"/>
        <v>0.16300000209836429</v>
      </c>
      <c r="G731">
        <f t="shared" si="267"/>
        <v>0.2108734286613328</v>
      </c>
      <c r="H731">
        <f t="shared" si="268"/>
        <v>3.5000000807063184E-2</v>
      </c>
      <c r="I731" t="b">
        <f t="shared" si="280"/>
        <v>1</v>
      </c>
      <c r="J731">
        <f t="shared" si="269"/>
        <v>3.6199999999999499</v>
      </c>
      <c r="K731">
        <f t="shared" si="281"/>
        <v>3.5000000807063184E-2</v>
      </c>
      <c r="L731">
        <f t="shared" si="270"/>
        <v>0.16868275868757535</v>
      </c>
      <c r="M731">
        <f t="shared" si="271"/>
        <v>0.19000000161412639</v>
      </c>
      <c r="N731">
        <f t="shared" si="272"/>
        <v>0.18800103641975771</v>
      </c>
      <c r="O731">
        <f t="shared" si="273"/>
        <v>0.15777777777818894</v>
      </c>
      <c r="P731">
        <f t="shared" si="286"/>
        <v>0.08</v>
      </c>
      <c r="Q731">
        <f t="shared" si="282"/>
        <v>0.08</v>
      </c>
      <c r="R731">
        <f t="shared" si="275"/>
        <v>0.08</v>
      </c>
      <c r="S731">
        <f t="shared" si="276"/>
        <v>0.06</v>
      </c>
      <c r="T731">
        <f t="shared" si="277"/>
        <v>0.1</v>
      </c>
      <c r="U731">
        <f t="shared" si="283"/>
        <v>0.08</v>
      </c>
      <c r="V731">
        <f t="shared" si="288"/>
        <v>0.18800103641975771</v>
      </c>
      <c r="W731">
        <f t="shared" si="284"/>
        <v>0.16865614864792577</v>
      </c>
      <c r="X731">
        <f t="shared" si="285"/>
        <v>0.21089107309070948</v>
      </c>
      <c r="Y731" t="b">
        <f t="shared" si="287"/>
        <v>0</v>
      </c>
    </row>
    <row xmlns:x14ac="http://schemas.microsoft.com/office/spreadsheetml/2009/9/ac" r="732" x14ac:dyDescent="0.45">
      <c r="A732">
        <v>3.6249999999999498</v>
      </c>
      <c r="B732">
        <f t="shared" si="265"/>
        <v>0.1630000020596048</v>
      </c>
      <c r="C732" t="b">
        <f t="shared" si="278"/>
        <v>1</v>
      </c>
      <c r="D732" t="b">
        <f t="shared" si="266"/>
        <v>1</v>
      </c>
      <c r="E732">
        <f t="shared" si="274"/>
        <v>3.6249999999999498</v>
      </c>
      <c r="F732">
        <f t="shared" si="279"/>
        <v>0.1630000020596048</v>
      </c>
      <c r="G732">
        <f t="shared" si="267"/>
        <v>0.21086907241771069</v>
      </c>
      <c r="H732">
        <f t="shared" si="268"/>
        <v>3.5000000792155692E-2</v>
      </c>
      <c r="I732" t="b">
        <f t="shared" si="280"/>
        <v>1</v>
      </c>
      <c r="J732">
        <f t="shared" si="269"/>
        <v>3.6249999999999498</v>
      </c>
      <c r="K732">
        <f t="shared" si="281"/>
        <v>3.5000000792155692E-2</v>
      </c>
      <c r="L732">
        <f t="shared" si="270"/>
        <v>0.16868932845602932</v>
      </c>
      <c r="M732">
        <f t="shared" si="271"/>
        <v>0.19000000158431138</v>
      </c>
      <c r="N732">
        <f t="shared" si="272"/>
        <v>0.18800101795778562</v>
      </c>
      <c r="O732">
        <f t="shared" si="273"/>
        <v>0.15777777777818003</v>
      </c>
      <c r="P732">
        <f t="shared" si="286"/>
        <v>0.08</v>
      </c>
      <c r="Q732">
        <f t="shared" si="282"/>
        <v>0.08</v>
      </c>
      <c r="R732">
        <f t="shared" si="275"/>
        <v>0.08</v>
      </c>
      <c r="S732">
        <f t="shared" si="276"/>
        <v>0.06</v>
      </c>
      <c r="T732">
        <f t="shared" si="277"/>
        <v>0.1</v>
      </c>
      <c r="U732">
        <f t="shared" si="283"/>
        <v>0.08</v>
      </c>
      <c r="V732">
        <f t="shared" si="288"/>
        <v>0.18800101795778562</v>
      </c>
      <c r="W732">
        <f t="shared" si="284"/>
        <v>0.16866285113450619</v>
      </c>
      <c r="X732">
        <f t="shared" si="285"/>
        <v>0.21088662884512871</v>
      </c>
      <c r="Y732" t="b">
        <f t="shared" si="287"/>
        <v>0</v>
      </c>
    </row>
    <row xmlns:x14ac="http://schemas.microsoft.com/office/spreadsheetml/2009/9/ac" r="733" x14ac:dyDescent="0.45">
      <c r="A733">
        <v>3.6299999999999502</v>
      </c>
      <c r="B733">
        <f t="shared" si="265"/>
        <v>0.16300000201288314</v>
      </c>
      <c r="C733" t="b">
        <f t="shared" si="278"/>
        <v>1</v>
      </c>
      <c r="D733" t="b">
        <f t="shared" si="266"/>
        <v>1</v>
      </c>
      <c r="E733">
        <f t="shared" si="274"/>
        <v>3.6299999999999502</v>
      </c>
      <c r="F733">
        <f t="shared" si="279"/>
        <v>0.16300000201288314</v>
      </c>
      <c r="G733">
        <f t="shared" si="267"/>
        <v>0.21086473790094429</v>
      </c>
      <c r="H733">
        <f t="shared" si="268"/>
        <v>3.500000077418583E-2</v>
      </c>
      <c r="I733" t="b">
        <f t="shared" si="280"/>
        <v>1</v>
      </c>
      <c r="J733">
        <f t="shared" si="269"/>
        <v>3.6299999999999502</v>
      </c>
      <c r="K733">
        <f t="shared" si="281"/>
        <v>3.500000077418583E-2</v>
      </c>
      <c r="L733">
        <f t="shared" si="270"/>
        <v>0.16869586545762644</v>
      </c>
      <c r="M733">
        <f t="shared" si="271"/>
        <v>0.19000000154837166</v>
      </c>
      <c r="N733">
        <f t="shared" si="272"/>
        <v>0.18800099553335126</v>
      </c>
      <c r="O733">
        <f t="shared" si="273"/>
        <v>0.15777777777816959</v>
      </c>
      <c r="P733">
        <f t="shared" si="286"/>
        <v>0.08</v>
      </c>
      <c r="Q733">
        <f t="shared" si="282"/>
        <v>0.08</v>
      </c>
      <c r="R733">
        <f t="shared" si="275"/>
        <v>0.08</v>
      </c>
      <c r="S733">
        <f t="shared" si="276"/>
        <v>0.06</v>
      </c>
      <c r="T733">
        <f t="shared" si="277"/>
        <v>0.1</v>
      </c>
      <c r="U733">
        <f t="shared" si="283"/>
        <v>0.08</v>
      </c>
      <c r="V733">
        <f t="shared" si="288"/>
        <v>0.18800099553335126</v>
      </c>
      <c r="W733">
        <f t="shared" si="284"/>
        <v>0.16866952019229531</v>
      </c>
      <c r="X733">
        <f t="shared" si="285"/>
        <v>0.21088220676531527</v>
      </c>
      <c r="Y733" t="b">
        <f t="shared" si="287"/>
        <v>0</v>
      </c>
    </row>
    <row xmlns:x14ac="http://schemas.microsoft.com/office/spreadsheetml/2009/9/ac" r="734" x14ac:dyDescent="0.45">
      <c r="A734">
        <v>3.63499999999995</v>
      </c>
      <c r="B734">
        <f t="shared" si="265"/>
        <v>0.1630000019588112</v>
      </c>
      <c r="C734" t="b">
        <f t="shared" si="278"/>
        <v>1</v>
      </c>
      <c r="D734" t="b">
        <f t="shared" si="266"/>
        <v>1</v>
      </c>
      <c r="E734">
        <f t="shared" si="274"/>
        <v>3.63499999999995</v>
      </c>
      <c r="F734">
        <f t="shared" si="279"/>
        <v>0.1630000019588112</v>
      </c>
      <c r="G734">
        <f t="shared" si="267"/>
        <v>0.21086042500267044</v>
      </c>
      <c r="H734">
        <f t="shared" si="268"/>
        <v>3.5000000753388924E-2</v>
      </c>
      <c r="I734" t="b">
        <f t="shared" si="280"/>
        <v>1</v>
      </c>
      <c r="J734">
        <f t="shared" si="269"/>
        <v>3.63499999999995</v>
      </c>
      <c r="K734">
        <f t="shared" si="281"/>
        <v>3.5000000753388924E-2</v>
      </c>
      <c r="L734">
        <f t="shared" si="270"/>
        <v>0.16870236985579207</v>
      </c>
      <c r="M734">
        <f t="shared" si="271"/>
        <v>0.19000000150677787</v>
      </c>
      <c r="N734">
        <f t="shared" si="272"/>
        <v>0.18800096937134281</v>
      </c>
      <c r="O734">
        <f t="shared" si="273"/>
        <v>0.15777777777815777</v>
      </c>
      <c r="P734">
        <f t="shared" si="286"/>
        <v>0.08</v>
      </c>
      <c r="Q734">
        <f t="shared" si="282"/>
        <v>0.08</v>
      </c>
      <c r="R734">
        <f t="shared" si="275"/>
        <v>0.08</v>
      </c>
      <c r="S734">
        <f t="shared" si="276"/>
        <v>0.06</v>
      </c>
      <c r="T734">
        <f t="shared" si="277"/>
        <v>0.1</v>
      </c>
      <c r="U734">
        <f t="shared" si="283"/>
        <v>0.08</v>
      </c>
      <c r="V734">
        <f t="shared" si="288"/>
        <v>0.18800096937134281</v>
      </c>
      <c r="W734">
        <f t="shared" si="284"/>
        <v>0.16867615598801994</v>
      </c>
      <c r="X734">
        <f t="shared" si="285"/>
        <v>0.21087780674071693</v>
      </c>
      <c r="Y734" t="b">
        <f t="shared" si="287"/>
        <v>0</v>
      </c>
    </row>
    <row xmlns:x14ac="http://schemas.microsoft.com/office/spreadsheetml/2009/9/ac" r="735" x14ac:dyDescent="0.45">
      <c r="A735">
        <v>3.6399999999999499</v>
      </c>
      <c r="B735">
        <f t="shared" si="265"/>
        <v>0.16300000189800612</v>
      </c>
      <c r="C735" t="b">
        <f t="shared" si="278"/>
        <v>1</v>
      </c>
      <c r="D735" t="b">
        <f t="shared" si="266"/>
        <v>1</v>
      </c>
      <c r="E735">
        <f t="shared" si="274"/>
        <v>3.6399999999999499</v>
      </c>
      <c r="F735">
        <f t="shared" si="279"/>
        <v>0.16300000189800612</v>
      </c>
      <c r="G735">
        <f t="shared" si="267"/>
        <v>0.2108561336150665</v>
      </c>
      <c r="H735">
        <f t="shared" si="268"/>
        <v>3.5000000730002354E-2</v>
      </c>
      <c r="I735" t="b">
        <f t="shared" si="280"/>
        <v>1</v>
      </c>
      <c r="J735">
        <f t="shared" si="269"/>
        <v>3.6399999999999499</v>
      </c>
      <c r="K735">
        <f t="shared" si="281"/>
        <v>3.5000000730002354E-2</v>
      </c>
      <c r="L735">
        <f t="shared" si="270"/>
        <v>0.1687088418131365</v>
      </c>
      <c r="M735">
        <f t="shared" si="271"/>
        <v>0.19000000146000473</v>
      </c>
      <c r="N735">
        <f t="shared" si="272"/>
        <v>0.18800093970624954</v>
      </c>
      <c r="O735">
        <f t="shared" si="273"/>
        <v>0.15777777777814475</v>
      </c>
      <c r="P735">
        <f t="shared" si="286"/>
        <v>0.08</v>
      </c>
      <c r="Q735">
        <f t="shared" si="282"/>
        <v>0.08</v>
      </c>
      <c r="R735">
        <f t="shared" si="275"/>
        <v>0.08</v>
      </c>
      <c r="S735">
        <f t="shared" si="276"/>
        <v>0.06</v>
      </c>
      <c r="T735">
        <f t="shared" si="277"/>
        <v>0.1</v>
      </c>
      <c r="U735">
        <f t="shared" si="283"/>
        <v>0.08</v>
      </c>
      <c r="V735">
        <f t="shared" si="288"/>
        <v>0.18800093970624954</v>
      </c>
      <c r="W735">
        <f t="shared" si="284"/>
        <v>0.16868275868757535</v>
      </c>
      <c r="X735">
        <f t="shared" si="285"/>
        <v>0.2108734286613328</v>
      </c>
      <c r="Y735" t="b">
        <f t="shared" si="287"/>
        <v>0</v>
      </c>
    </row>
    <row xmlns:x14ac="http://schemas.microsoft.com/office/spreadsheetml/2009/9/ac" r="736" x14ac:dyDescent="0.45">
      <c r="A736">
        <v>3.6449999999999498</v>
      </c>
      <c r="B736">
        <f t="shared" si="265"/>
        <v>0.16300000183108712</v>
      </c>
      <c r="C736" t="b">
        <f t="shared" si="278"/>
        <v>1</v>
      </c>
      <c r="D736" t="b">
        <f t="shared" si="266"/>
        <v>1</v>
      </c>
      <c r="E736">
        <f t="shared" si="274"/>
        <v>3.6449999999999498</v>
      </c>
      <c r="F736">
        <f t="shared" si="279"/>
        <v>0.16300000183108712</v>
      </c>
      <c r="G736">
        <f t="shared" si="267"/>
        <v>0.21085186363084751</v>
      </c>
      <c r="H736">
        <f t="shared" si="268"/>
        <v>3.5000000704264275E-2</v>
      </c>
      <c r="I736" t="b">
        <f t="shared" si="280"/>
        <v>1</v>
      </c>
      <c r="J736">
        <f t="shared" si="269"/>
        <v>3.6449999999999498</v>
      </c>
      <c r="K736">
        <f t="shared" si="281"/>
        <v>3.5000000704264275E-2</v>
      </c>
      <c r="L736">
        <f t="shared" si="270"/>
        <v>0.16871528149145903</v>
      </c>
      <c r="M736">
        <f t="shared" si="271"/>
        <v>0.19000000140852857</v>
      </c>
      <c r="N736">
        <f t="shared" si="272"/>
        <v>0.1880009067808126</v>
      </c>
      <c r="O736">
        <f t="shared" si="273"/>
        <v>0.15777777777813062</v>
      </c>
      <c r="P736">
        <f t="shared" si="286"/>
        <v>0.08</v>
      </c>
      <c r="Q736">
        <f t="shared" si="282"/>
        <v>0.08</v>
      </c>
      <c r="R736">
        <f t="shared" si="275"/>
        <v>0.08</v>
      </c>
      <c r="S736">
        <f t="shared" si="276"/>
        <v>0.06</v>
      </c>
      <c r="T736">
        <f t="shared" si="277"/>
        <v>0.1</v>
      </c>
      <c r="U736">
        <f t="shared" si="283"/>
        <v>0.08</v>
      </c>
      <c r="V736">
        <f t="shared" si="288"/>
        <v>0.1880009067808126</v>
      </c>
      <c r="W736">
        <f t="shared" si="284"/>
        <v>0.16868932845602932</v>
      </c>
      <c r="X736">
        <f t="shared" si="285"/>
        <v>0.21086907241771069</v>
      </c>
      <c r="Y736" t="b">
        <f t="shared" si="287"/>
        <v>0</v>
      </c>
    </row>
    <row xmlns:x14ac="http://schemas.microsoft.com/office/spreadsheetml/2009/9/ac" r="737" x14ac:dyDescent="0.45">
      <c r="A737">
        <v>3.6499999999999502</v>
      </c>
      <c r="B737">
        <f t="shared" si="265"/>
        <v>0.16300000175867249</v>
      </c>
      <c r="C737" t="b">
        <f t="shared" si="278"/>
        <v>1</v>
      </c>
      <c r="D737" t="b">
        <f t="shared" si="266"/>
        <v>1</v>
      </c>
      <c r="E737">
        <f t="shared" si="274"/>
        <v>3.6499999999999502</v>
      </c>
      <c r="F737">
        <f t="shared" si="279"/>
        <v>0.16300000175867249</v>
      </c>
      <c r="G737">
        <f t="shared" si="267"/>
        <v>0.21084761494326365</v>
      </c>
      <c r="H737">
        <f t="shared" si="268"/>
        <v>3.5000000676412499E-2</v>
      </c>
      <c r="I737" t="b">
        <f t="shared" si="280"/>
        <v>1</v>
      </c>
      <c r="J737">
        <f t="shared" si="269"/>
        <v>3.6499999999999502</v>
      </c>
      <c r="K737">
        <f t="shared" si="281"/>
        <v>3.5000000676412499E-2</v>
      </c>
      <c r="L737">
        <f t="shared" si="270"/>
        <v>0.16872168905175194</v>
      </c>
      <c r="M737">
        <f t="shared" si="271"/>
        <v>0.19000000135282502</v>
      </c>
      <c r="N737">
        <f t="shared" si="272"/>
        <v>0.18800087084468181</v>
      </c>
      <c r="O737">
        <f t="shared" si="273"/>
        <v>0.15777777777811561</v>
      </c>
      <c r="P737">
        <f t="shared" si="286"/>
        <v>0.08</v>
      </c>
      <c r="Q737">
        <f t="shared" si="282"/>
        <v>0.08</v>
      </c>
      <c r="R737">
        <f t="shared" si="275"/>
        <v>0.08</v>
      </c>
      <c r="S737">
        <f t="shared" si="276"/>
        <v>0.06</v>
      </c>
      <c r="T737">
        <f t="shared" si="277"/>
        <v>0.1</v>
      </c>
      <c r="U737">
        <f t="shared" si="283"/>
        <v>0.08</v>
      </c>
      <c r="V737">
        <f t="shared" si="288"/>
        <v>0.18800087084468181</v>
      </c>
      <c r="W737">
        <f t="shared" si="284"/>
        <v>0.16869586545762644</v>
      </c>
      <c r="X737">
        <f t="shared" si="285"/>
        <v>0.21086473790094429</v>
      </c>
      <c r="Y737" t="b">
        <f t="shared" si="287"/>
        <v>0</v>
      </c>
    </row>
    <row xmlns:x14ac="http://schemas.microsoft.com/office/spreadsheetml/2009/9/ac" r="738" x14ac:dyDescent="0.45">
      <c r="A738">
        <v>3.6549999999999501</v>
      </c>
      <c r="B738">
        <f t="shared" si="265"/>
        <v>0.16300000168137668</v>
      </c>
      <c r="C738" t="b">
        <f t="shared" si="278"/>
        <v>1</v>
      </c>
      <c r="D738" t="b">
        <f t="shared" si="266"/>
        <v>1</v>
      </c>
      <c r="E738">
        <f t="shared" si="274"/>
        <v>3.6549999999999501</v>
      </c>
      <c r="F738">
        <f t="shared" si="279"/>
        <v>0.16300000168137668</v>
      </c>
      <c r="G738">
        <f t="shared" si="267"/>
        <v>0.21084338744609754</v>
      </c>
      <c r="H738">
        <f t="shared" si="268"/>
        <v>3.5000000646683349E-2</v>
      </c>
      <c r="I738" t="b">
        <f t="shared" si="280"/>
        <v>1</v>
      </c>
      <c r="J738">
        <f t="shared" si="269"/>
        <v>3.6549999999999501</v>
      </c>
      <c r="K738">
        <f t="shared" si="281"/>
        <v>3.5000000646683349E-2</v>
      </c>
      <c r="L738">
        <f t="shared" si="270"/>
        <v>0.16872806465420453</v>
      </c>
      <c r="M738">
        <f t="shared" si="271"/>
        <v>0.19000000129336669</v>
      </c>
      <c r="N738">
        <f t="shared" si="272"/>
        <v>0.18800083215308347</v>
      </c>
      <c r="O738">
        <f t="shared" si="273"/>
        <v>0.15777777777809981</v>
      </c>
      <c r="P738">
        <f t="shared" si="286"/>
        <v>0.08</v>
      </c>
      <c r="Q738">
        <f t="shared" si="282"/>
        <v>0.08</v>
      </c>
      <c r="R738">
        <f t="shared" si="275"/>
        <v>0.08</v>
      </c>
      <c r="S738">
        <f t="shared" si="276"/>
        <v>0.06</v>
      </c>
      <c r="T738">
        <f t="shared" si="277"/>
        <v>0.1</v>
      </c>
      <c r="U738">
        <f t="shared" si="283"/>
        <v>0.08</v>
      </c>
      <c r="V738">
        <f t="shared" si="288"/>
        <v>0.18800083215308347</v>
      </c>
      <c r="W738">
        <f t="shared" si="284"/>
        <v>0.16870236985579207</v>
      </c>
      <c r="X738">
        <f t="shared" si="285"/>
        <v>0.21086042500267044</v>
      </c>
      <c r="Y738" t="b">
        <f t="shared" si="287"/>
        <v>0</v>
      </c>
    </row>
    <row xmlns:x14ac="http://schemas.microsoft.com/office/spreadsheetml/2009/9/ac" r="739" x14ac:dyDescent="0.45">
      <c r="A739">
        <v>3.65999999999995</v>
      </c>
      <c r="B739">
        <f t="shared" si="265"/>
        <v>0.16300000159980754</v>
      </c>
      <c r="C739" t="b">
        <f t="shared" si="278"/>
        <v>1</v>
      </c>
      <c r="D739" t="b">
        <f t="shared" si="266"/>
        <v>1</v>
      </c>
      <c r="E739">
        <f t="shared" si="274"/>
        <v>3.65999999999995</v>
      </c>
      <c r="F739">
        <f t="shared" si="279"/>
        <v>0.16300000159980754</v>
      </c>
      <c r="G739">
        <f t="shared" si="267"/>
        <v>0.2108391810336615</v>
      </c>
      <c r="H739">
        <f t="shared" si="268"/>
        <v>3.5000000615310597E-2</v>
      </c>
      <c r="I739" t="b">
        <f t="shared" si="280"/>
        <v>1</v>
      </c>
      <c r="J739">
        <f t="shared" si="269"/>
        <v>3.65999999999995</v>
      </c>
      <c r="K739">
        <f t="shared" si="281"/>
        <v>3.5000000615310597E-2</v>
      </c>
      <c r="L739">
        <f t="shared" si="270"/>
        <v>0.16873440845820725</v>
      </c>
      <c r="M739">
        <f t="shared" si="271"/>
        <v>0.19000000123062119</v>
      </c>
      <c r="N739">
        <f t="shared" si="272"/>
        <v>0.18800079096550576</v>
      </c>
      <c r="O739">
        <f t="shared" si="273"/>
        <v>0.15777777777808338</v>
      </c>
      <c r="P739">
        <f t="shared" si="286"/>
        <v>0.08</v>
      </c>
      <c r="Q739">
        <f t="shared" si="282"/>
        <v>0.08</v>
      </c>
      <c r="R739">
        <f t="shared" si="275"/>
        <v>0.08</v>
      </c>
      <c r="S739">
        <f t="shared" si="276"/>
        <v>0.06</v>
      </c>
      <c r="T739">
        <f t="shared" si="277"/>
        <v>0.1</v>
      </c>
      <c r="U739">
        <f t="shared" si="283"/>
        <v>0.08</v>
      </c>
      <c r="V739">
        <f t="shared" si="288"/>
        <v>0.18800079096550576</v>
      </c>
      <c r="W739">
        <f t="shared" si="284"/>
        <v>0.1687088418131365</v>
      </c>
      <c r="X739">
        <f t="shared" si="285"/>
        <v>0.2108561336150665</v>
      </c>
      <c r="Y739" t="b">
        <f t="shared" si="287"/>
        <v>0</v>
      </c>
    </row>
    <row xmlns:x14ac="http://schemas.microsoft.com/office/spreadsheetml/2009/9/ac" r="740" x14ac:dyDescent="0.45">
      <c r="A740">
        <v>3.6649999999999499</v>
      </c>
      <c r="B740">
        <f t="shared" si="265"/>
        <v>0.16300000151456362</v>
      </c>
      <c r="C740" t="b">
        <f t="shared" si="278"/>
        <v>1</v>
      </c>
      <c r="D740" t="b">
        <f t="shared" si="266"/>
        <v>1</v>
      </c>
      <c r="E740">
        <f t="shared" si="274"/>
        <v>3.6649999999999499</v>
      </c>
      <c r="F740">
        <f t="shared" si="279"/>
        <v>0.16300000151456362</v>
      </c>
      <c r="G740">
        <f t="shared" si="267"/>
        <v>0.21083499560079499</v>
      </c>
      <c r="H740">
        <f t="shared" si="268"/>
        <v>3.5000000582524463E-2</v>
      </c>
      <c r="I740" t="b">
        <f t="shared" si="280"/>
        <v>1</v>
      </c>
      <c r="J740">
        <f t="shared" si="269"/>
        <v>3.6649999999999499</v>
      </c>
      <c r="K740">
        <f t="shared" si="281"/>
        <v>3.5000000582524463E-2</v>
      </c>
      <c r="L740">
        <f t="shared" si="270"/>
        <v>0.16874072062235551</v>
      </c>
      <c r="M740">
        <f t="shared" si="271"/>
        <v>0.19000000116504895</v>
      </c>
      <c r="N740">
        <f t="shared" si="272"/>
        <v>0.18800074754440593</v>
      </c>
      <c r="O740">
        <f t="shared" si="273"/>
        <v>0.15777777777806645</v>
      </c>
      <c r="P740">
        <f t="shared" si="286"/>
        <v>0.08</v>
      </c>
      <c r="Q740">
        <f t="shared" si="282"/>
        <v>0.08</v>
      </c>
      <c r="R740">
        <f t="shared" si="275"/>
        <v>0.08</v>
      </c>
      <c r="S740">
        <f t="shared" si="276"/>
        <v>0.06</v>
      </c>
      <c r="T740">
        <f t="shared" si="277"/>
        <v>0.1</v>
      </c>
      <c r="U740">
        <f t="shared" si="283"/>
        <v>0.08</v>
      </c>
      <c r="V740">
        <f t="shared" si="288"/>
        <v>0.18800074754440593</v>
      </c>
      <c r="W740">
        <f t="shared" si="284"/>
        <v>0.16871528149145903</v>
      </c>
      <c r="X740">
        <f t="shared" si="285"/>
        <v>0.21085186363084751</v>
      </c>
      <c r="Y740" t="b">
        <f t="shared" si="287"/>
        <v>0</v>
      </c>
    </row>
    <row xmlns:x14ac="http://schemas.microsoft.com/office/spreadsheetml/2009/9/ac" r="741" x14ac:dyDescent="0.45">
      <c r="A741">
        <v>3.6699999999999502</v>
      </c>
      <c r="B741">
        <f t="shared" si="265"/>
        <v>0.16300000142623192</v>
      </c>
      <c r="C741" t="b">
        <f t="shared" si="278"/>
        <v>1</v>
      </c>
      <c r="D741" t="b">
        <f t="shared" si="266"/>
        <v>1</v>
      </c>
      <c r="E741">
        <f t="shared" si="274"/>
        <v>3.6699999999999502</v>
      </c>
      <c r="F741">
        <f t="shared" si="279"/>
        <v>0.16300000142623192</v>
      </c>
      <c r="G741">
        <f t="shared" si="267"/>
        <v>0.21083083104286199</v>
      </c>
      <c r="H741">
        <f t="shared" si="268"/>
        <v>3.5000000548550736E-2</v>
      </c>
      <c r="I741" t="b">
        <f t="shared" si="280"/>
        <v>1</v>
      </c>
      <c r="J741">
        <f t="shared" si="269"/>
        <v>3.6699999999999502</v>
      </c>
      <c r="K741">
        <f t="shared" si="281"/>
        <v>3.5000000548550736E-2</v>
      </c>
      <c r="L741">
        <f t="shared" si="270"/>
        <v>0.16874700130445375</v>
      </c>
      <c r="M741">
        <f t="shared" si="271"/>
        <v>0.19000000109710147</v>
      </c>
      <c r="N741">
        <f t="shared" si="272"/>
        <v>0.18800070215394551</v>
      </c>
      <c r="O741">
        <f t="shared" si="273"/>
        <v>0.15777777777804913</v>
      </c>
      <c r="P741">
        <f t="shared" si="286"/>
        <v>0.08</v>
      </c>
      <c r="Q741">
        <f t="shared" si="282"/>
        <v>0.08</v>
      </c>
      <c r="R741">
        <f t="shared" si="275"/>
        <v>0.08</v>
      </c>
      <c r="S741">
        <f t="shared" si="276"/>
        <v>0.06</v>
      </c>
      <c r="T741">
        <f t="shared" si="277"/>
        <v>0.1</v>
      </c>
      <c r="U741">
        <f t="shared" si="283"/>
        <v>0.08</v>
      </c>
      <c r="V741">
        <f t="shared" si="288"/>
        <v>0.18800070215394551</v>
      </c>
      <c r="W741">
        <f t="shared" si="284"/>
        <v>0.16872168905175194</v>
      </c>
      <c r="X741">
        <f t="shared" si="285"/>
        <v>0.21084761494326365</v>
      </c>
      <c r="Y741" t="b">
        <f t="shared" si="287"/>
        <v>0</v>
      </c>
    </row>
    <row xmlns:x14ac="http://schemas.microsoft.com/office/spreadsheetml/2009/9/ac" r="742" x14ac:dyDescent="0.45">
      <c r="A742">
        <v>3.6749999999999501</v>
      </c>
      <c r="B742">
        <f t="shared" si="265"/>
        <v>0.16300000133538564</v>
      </c>
      <c r="C742" t="b">
        <f t="shared" si="278"/>
        <v>1</v>
      </c>
      <c r="D742" t="b">
        <f t="shared" si="266"/>
        <v>1</v>
      </c>
      <c r="E742">
        <f t="shared" si="274"/>
        <v>3.6749999999999501</v>
      </c>
      <c r="F742">
        <f t="shared" si="279"/>
        <v>0.16300000133538564</v>
      </c>
      <c r="G742">
        <f t="shared" si="267"/>
        <v>0.21082668725574838</v>
      </c>
      <c r="H742">
        <f t="shared" si="268"/>
        <v>3.5000000513609866E-2</v>
      </c>
      <c r="I742" t="b">
        <f t="shared" si="280"/>
        <v>1</v>
      </c>
      <c r="J742">
        <f t="shared" si="269"/>
        <v>3.6749999999999501</v>
      </c>
      <c r="K742">
        <f t="shared" si="281"/>
        <v>3.5000000513609866E-2</v>
      </c>
      <c r="L742">
        <f t="shared" si="270"/>
        <v>0.16875325066151931</v>
      </c>
      <c r="M742">
        <f t="shared" si="271"/>
        <v>0.19000000102721973</v>
      </c>
      <c r="N742">
        <f t="shared" si="272"/>
        <v>0.18800065505875732</v>
      </c>
      <c r="O742">
        <f t="shared" si="273"/>
        <v>0.15777777777803154</v>
      </c>
      <c r="P742">
        <f t="shared" si="286"/>
        <v>0.08</v>
      </c>
      <c r="Q742">
        <f t="shared" si="282"/>
        <v>0.08</v>
      </c>
      <c r="R742">
        <f t="shared" si="275"/>
        <v>0.08</v>
      </c>
      <c r="S742">
        <f t="shared" si="276"/>
        <v>0.06</v>
      </c>
      <c r="T742">
        <f t="shared" si="277"/>
        <v>0.1</v>
      </c>
      <c r="U742">
        <f t="shared" si="283"/>
        <v>0.08</v>
      </c>
      <c r="V742">
        <f t="shared" si="288"/>
        <v>0.18800065505875732</v>
      </c>
      <c r="W742">
        <f t="shared" si="284"/>
        <v>0.16872806465420453</v>
      </c>
      <c r="X742">
        <f t="shared" si="285"/>
        <v>0.21084338744609754</v>
      </c>
      <c r="Y742" t="b">
        <f t="shared" si="287"/>
        <v>0</v>
      </c>
    </row>
    <row xmlns:x14ac="http://schemas.microsoft.com/office/spreadsheetml/2009/9/ac" r="743" x14ac:dyDescent="0.45">
      <c r="A743">
        <v>3.67999999999995</v>
      </c>
      <c r="B743">
        <f t="shared" si="265"/>
        <v>0.16300000124258193</v>
      </c>
      <c r="C743" t="b">
        <f t="shared" si="278"/>
        <v>1</v>
      </c>
      <c r="D743" t="b">
        <f t="shared" si="266"/>
        <v>1</v>
      </c>
      <c r="E743">
        <f t="shared" si="274"/>
        <v>3.67999999999995</v>
      </c>
      <c r="F743">
        <f t="shared" si="279"/>
        <v>0.16300000124258193</v>
      </c>
      <c r="G743">
        <f t="shared" si="267"/>
        <v>0.2108225641358592</v>
      </c>
      <c r="H743">
        <f t="shared" si="268"/>
        <v>3.5000000477916127E-2</v>
      </c>
      <c r="I743" t="b">
        <f t="shared" si="280"/>
        <v>1</v>
      </c>
      <c r="J743">
        <f t="shared" si="269"/>
        <v>3.67999999999995</v>
      </c>
      <c r="K743">
        <f t="shared" si="281"/>
        <v>3.5000000477916127E-2</v>
      </c>
      <c r="L743">
        <f t="shared" si="270"/>
        <v>0.16875946884978649</v>
      </c>
      <c r="M743">
        <f t="shared" si="271"/>
        <v>0.19000000095583225</v>
      </c>
      <c r="N743">
        <f t="shared" si="272"/>
        <v>0.18800060652274947</v>
      </c>
      <c r="O743">
        <f t="shared" si="273"/>
        <v>0.15777777777801383</v>
      </c>
      <c r="P743">
        <f t="shared" si="286"/>
        <v>0.08</v>
      </c>
      <c r="Q743">
        <f t="shared" si="282"/>
        <v>0.08</v>
      </c>
      <c r="R743">
        <f t="shared" si="275"/>
        <v>0.08</v>
      </c>
      <c r="S743">
        <f t="shared" si="276"/>
        <v>0.06</v>
      </c>
      <c r="T743">
        <f t="shared" si="277"/>
        <v>0.1</v>
      </c>
      <c r="U743">
        <f t="shared" si="283"/>
        <v>0.08</v>
      </c>
      <c r="V743">
        <f t="shared" si="288"/>
        <v>0.18800060652274947</v>
      </c>
      <c r="W743">
        <f t="shared" si="284"/>
        <v>0.16873440845820725</v>
      </c>
      <c r="X743">
        <f t="shared" si="285"/>
        <v>0.2108391810336615</v>
      </c>
      <c r="Y743" t="b">
        <f t="shared" si="287"/>
        <v>0</v>
      </c>
    </row>
    <row xmlns:x14ac="http://schemas.microsoft.com/office/spreadsheetml/2009/9/ac" r="744" x14ac:dyDescent="0.45">
      <c r="A744">
        <v>3.6849999999999499</v>
      </c>
      <c r="B744">
        <f t="shared" si="265"/>
        <v>0.16300000114836025</v>
      </c>
      <c r="C744" t="b">
        <f t="shared" si="278"/>
        <v>1</v>
      </c>
      <c r="D744" t="b">
        <f t="shared" si="266"/>
        <v>1</v>
      </c>
      <c r="E744">
        <f t="shared" si="274"/>
        <v>3.6849999999999499</v>
      </c>
      <c r="F744">
        <f t="shared" si="279"/>
        <v>0.16300000114836025</v>
      </c>
      <c r="G744">
        <f t="shared" si="267"/>
        <v>0.21081846158011625</v>
      </c>
      <c r="H744">
        <f t="shared" si="268"/>
        <v>3.5000000441677018E-2</v>
      </c>
      <c r="I744" t="b">
        <f t="shared" si="280"/>
        <v>1</v>
      </c>
      <c r="J744">
        <f t="shared" si="269"/>
        <v>3.6849999999999499</v>
      </c>
      <c r="K744">
        <f t="shared" si="281"/>
        <v>3.5000000441677018E-2</v>
      </c>
      <c r="L744">
        <f t="shared" si="270"/>
        <v>0.16876565602471033</v>
      </c>
      <c r="M744">
        <f t="shared" si="271"/>
        <v>0.19000000088335406</v>
      </c>
      <c r="N744">
        <f t="shared" si="272"/>
        <v>0.18800055680795011</v>
      </c>
      <c r="O744">
        <f t="shared" si="273"/>
        <v>0.15777777777799606</v>
      </c>
      <c r="P744">
        <f t="shared" si="286"/>
        <v>0.08</v>
      </c>
      <c r="Q744">
        <f t="shared" si="282"/>
        <v>0.08</v>
      </c>
      <c r="R744">
        <f t="shared" si="275"/>
        <v>0.08</v>
      </c>
      <c r="S744">
        <f t="shared" si="276"/>
        <v>0.06</v>
      </c>
      <c r="T744">
        <f t="shared" si="277"/>
        <v>0.1</v>
      </c>
      <c r="U744">
        <f t="shared" si="283"/>
        <v>0.08</v>
      </c>
      <c r="V744">
        <f t="shared" si="288"/>
        <v>0.18800055680795011</v>
      </c>
      <c r="W744">
        <f t="shared" si="284"/>
        <v>0.16874072062235551</v>
      </c>
      <c r="X744">
        <f t="shared" si="285"/>
        <v>0.21083499560079499</v>
      </c>
      <c r="Y744" t="b">
        <f t="shared" si="287"/>
        <v>0</v>
      </c>
    </row>
    <row xmlns:x14ac="http://schemas.microsoft.com/office/spreadsheetml/2009/9/ac" r="745" x14ac:dyDescent="0.45">
      <c r="A745">
        <v>3.6899999999999502</v>
      </c>
      <c r="B745">
        <f t="shared" si="265"/>
        <v>0.16300000105324045</v>
      </c>
      <c r="C745" t="b">
        <f t="shared" si="278"/>
        <v>1</v>
      </c>
      <c r="D745" t="b">
        <f t="shared" si="266"/>
        <v>1</v>
      </c>
      <c r="E745">
        <f t="shared" si="274"/>
        <v>3.6899999999999502</v>
      </c>
      <c r="F745">
        <f t="shared" si="279"/>
        <v>0.16300000105324045</v>
      </c>
      <c r="G745">
        <f t="shared" si="267"/>
        <v>0.21081437948595544</v>
      </c>
      <c r="H745">
        <f t="shared" si="268"/>
        <v>3.5000000405092477E-2</v>
      </c>
      <c r="I745" t="b">
        <f t="shared" si="280"/>
        <v>1</v>
      </c>
      <c r="J745">
        <f t="shared" si="269"/>
        <v>3.6899999999999502</v>
      </c>
      <c r="K745">
        <f t="shared" si="281"/>
        <v>3.5000000405092477E-2</v>
      </c>
      <c r="L745">
        <f t="shared" si="270"/>
        <v>0.16877181234097044</v>
      </c>
      <c r="M745">
        <f t="shared" si="271"/>
        <v>0.19000000081018498</v>
      </c>
      <c r="N745">
        <f t="shared" si="272"/>
        <v>0.18800050617339709</v>
      </c>
      <c r="O745">
        <f t="shared" si="273"/>
        <v>0.15777777777797841</v>
      </c>
      <c r="P745">
        <f t="shared" si="286"/>
        <v>0.08</v>
      </c>
      <c r="Q745">
        <f t="shared" si="282"/>
        <v>0.08</v>
      </c>
      <c r="R745">
        <f t="shared" si="275"/>
        <v>0.08</v>
      </c>
      <c r="S745">
        <f t="shared" si="276"/>
        <v>0.06</v>
      </c>
      <c r="T745">
        <f t="shared" si="277"/>
        <v>0.1</v>
      </c>
      <c r="U745">
        <f t="shared" si="283"/>
        <v>0.08</v>
      </c>
      <c r="V745">
        <f t="shared" si="288"/>
        <v>0.18800050617339709</v>
      </c>
      <c r="W745">
        <f t="shared" si="284"/>
        <v>0.16874700130445375</v>
      </c>
      <c r="X745">
        <f t="shared" si="285"/>
        <v>0.21083083104286199</v>
      </c>
      <c r="Y745" t="b">
        <f t="shared" si="287"/>
        <v>0</v>
      </c>
    </row>
    <row xmlns:x14ac="http://schemas.microsoft.com/office/spreadsheetml/2009/9/ac" r="746" x14ac:dyDescent="0.45">
      <c r="A746">
        <v>3.6949999999999501</v>
      </c>
      <c r="B746">
        <f t="shared" si="265"/>
        <v>0.16300000095772135</v>
      </c>
      <c r="C746" t="b">
        <f t="shared" si="278"/>
        <v>1</v>
      </c>
      <c r="D746" t="b">
        <f t="shared" si="266"/>
        <v>1</v>
      </c>
      <c r="E746">
        <f t="shared" si="274"/>
        <v>3.6949999999999501</v>
      </c>
      <c r="F746">
        <f t="shared" si="279"/>
        <v>0.16300000095772135</v>
      </c>
      <c r="G746">
        <f t="shared" si="267"/>
        <v>0.21081031775132414</v>
      </c>
      <c r="H746">
        <f t="shared" si="268"/>
        <v>3.5000000368354364E-2</v>
      </c>
      <c r="I746" t="b">
        <f t="shared" si="280"/>
        <v>1</v>
      </c>
      <c r="J746">
        <f t="shared" si="269"/>
        <v>3.6949999999999501</v>
      </c>
      <c r="K746">
        <f t="shared" si="281"/>
        <v>3.5000000368354364E-2</v>
      </c>
      <c r="L746">
        <f t="shared" si="270"/>
        <v>0.16877793795247514</v>
      </c>
      <c r="M746">
        <f t="shared" si="271"/>
        <v>0.19000000073670875</v>
      </c>
      <c r="N746">
        <f t="shared" si="272"/>
        <v>0.18800045487407574</v>
      </c>
      <c r="O746">
        <f t="shared" si="273"/>
        <v>0.15777777777796084</v>
      </c>
      <c r="P746">
        <f t="shared" si="286"/>
        <v>0.08</v>
      </c>
      <c r="Q746">
        <f t="shared" si="282"/>
        <v>0.08</v>
      </c>
      <c r="R746">
        <f t="shared" si="275"/>
        <v>0.08</v>
      </c>
      <c r="S746">
        <f t="shared" si="276"/>
        <v>0.06</v>
      </c>
      <c r="T746">
        <f t="shared" si="277"/>
        <v>0.1</v>
      </c>
      <c r="U746">
        <f t="shared" si="283"/>
        <v>0.08</v>
      </c>
      <c r="V746">
        <f t="shared" si="288"/>
        <v>0.18800045487407574</v>
      </c>
      <c r="W746">
        <f t="shared" si="284"/>
        <v>0.16875325066151931</v>
      </c>
      <c r="X746">
        <f t="shared" si="285"/>
        <v>0.21082668725574838</v>
      </c>
      <c r="Y746" t="b">
        <f t="shared" si="287"/>
        <v>0</v>
      </c>
    </row>
    <row xmlns:x14ac="http://schemas.microsoft.com/office/spreadsheetml/2009/9/ac" r="747" x14ac:dyDescent="0.45">
      <c r="A747">
        <v>3.69999999999995</v>
      </c>
      <c r="B747">
        <f t="shared" si="265"/>
        <v>0.16300000086227937</v>
      </c>
      <c r="C747" t="b">
        <f t="shared" si="278"/>
        <v>1</v>
      </c>
      <c r="D747" t="b">
        <f t="shared" si="266"/>
        <v>1</v>
      </c>
      <c r="E747">
        <f t="shared" si="274"/>
        <v>3.69999999999995</v>
      </c>
      <c r="F747">
        <f t="shared" si="279"/>
        <v>0.16300000086227937</v>
      </c>
      <c r="G747">
        <f t="shared" si="267"/>
        <v>0.21080627627467891</v>
      </c>
      <c r="H747">
        <f t="shared" si="268"/>
        <v>3.5000000331645909E-2</v>
      </c>
      <c r="I747" t="b">
        <f t="shared" si="280"/>
        <v>1</v>
      </c>
      <c r="J747">
        <f t="shared" si="269"/>
        <v>3.69999999999995</v>
      </c>
      <c r="K747">
        <f t="shared" si="281"/>
        <v>3.5000000331645909E-2</v>
      </c>
      <c r="L747">
        <f t="shared" si="270"/>
        <v>0.16878403301236503</v>
      </c>
      <c r="M747">
        <f t="shared" si="271"/>
        <v>0.19000000066329181</v>
      </c>
      <c r="N747">
        <f t="shared" si="272"/>
        <v>0.18800040315990846</v>
      </c>
      <c r="O747">
        <f t="shared" si="273"/>
        <v>0.15777777777794352</v>
      </c>
      <c r="P747">
        <f t="shared" si="286"/>
        <v>0.08</v>
      </c>
      <c r="Q747">
        <f t="shared" si="282"/>
        <v>0.08</v>
      </c>
      <c r="R747">
        <f t="shared" si="275"/>
        <v>0.08</v>
      </c>
      <c r="S747">
        <f t="shared" si="276"/>
        <v>0.06</v>
      </c>
      <c r="T747">
        <f t="shared" si="277"/>
        <v>0.1</v>
      </c>
      <c r="U747">
        <f t="shared" si="283"/>
        <v>0.08</v>
      </c>
      <c r="V747">
        <f t="shared" si="288"/>
        <v>0.18800040315990846</v>
      </c>
      <c r="W747">
        <f t="shared" si="284"/>
        <v>0.16875946884978649</v>
      </c>
      <c r="X747">
        <f t="shared" si="285"/>
        <v>0.2108225641358592</v>
      </c>
      <c r="Y747" t="b">
        <f t="shared" si="287"/>
        <v>0</v>
      </c>
    </row>
    <row xmlns:x14ac="http://schemas.microsoft.com/office/spreadsheetml/2009/9/ac" r="748" x14ac:dyDescent="0.45">
      <c r="A748">
        <v>3.7049999999999499</v>
      </c>
      <c r="B748">
        <f t="shared" si="265"/>
        <v>0.16300000076736726</v>
      </c>
      <c r="C748" t="b">
        <f t="shared" si="278"/>
        <v>1</v>
      </c>
      <c r="D748" t="b">
        <f t="shared" si="266"/>
        <v>1</v>
      </c>
      <c r="E748">
        <f t="shared" si="274"/>
        <v>3.7049999999999499</v>
      </c>
      <c r="F748">
        <f t="shared" si="279"/>
        <v>0.16300000076736726</v>
      </c>
      <c r="G748">
        <f t="shared" si="267"/>
        <v>0.2108022549549825</v>
      </c>
      <c r="H748">
        <f t="shared" si="268"/>
        <v>3.5000000295141262E-2</v>
      </c>
      <c r="I748" t="b">
        <f t="shared" si="280"/>
        <v>1</v>
      </c>
      <c r="J748">
        <f t="shared" si="269"/>
        <v>3.7049999999999499</v>
      </c>
      <c r="K748">
        <f t="shared" si="281"/>
        <v>3.5000000295141262E-2</v>
      </c>
      <c r="L748">
        <f t="shared" si="270"/>
        <v>0.16879009767301686</v>
      </c>
      <c r="M748">
        <f t="shared" si="271"/>
        <v>0.19000000059028252</v>
      </c>
      <c r="N748">
        <f t="shared" si="272"/>
        <v>0.18800035127479842</v>
      </c>
      <c r="O748">
        <f t="shared" si="273"/>
        <v>0.15777777777792654</v>
      </c>
      <c r="P748">
        <f t="shared" si="286"/>
        <v>0.08</v>
      </c>
      <c r="Q748">
        <f t="shared" si="282"/>
        <v>0.08</v>
      </c>
      <c r="R748">
        <f t="shared" si="275"/>
        <v>0.08</v>
      </c>
      <c r="S748">
        <f t="shared" si="276"/>
        <v>0.06</v>
      </c>
      <c r="T748">
        <f t="shared" si="277"/>
        <v>0.1</v>
      </c>
      <c r="U748">
        <f t="shared" si="283"/>
        <v>0.08</v>
      </c>
      <c r="V748">
        <f t="shared" si="288"/>
        <v>0.18800035127479842</v>
      </c>
      <c r="W748">
        <f t="shared" si="284"/>
        <v>0.16876565602471033</v>
      </c>
      <c r="X748">
        <f t="shared" si="285"/>
        <v>0.21081846158011625</v>
      </c>
      <c r="Y748" t="b">
        <f t="shared" si="287"/>
        <v>0</v>
      </c>
    </row>
    <row xmlns:x14ac="http://schemas.microsoft.com/office/spreadsheetml/2009/9/ac" r="749" x14ac:dyDescent="0.45">
      <c r="A749">
        <v>3.7099999999999498</v>
      </c>
      <c r="B749">
        <f t="shared" si="265"/>
        <v>0.1630000006734133</v>
      </c>
      <c r="C749" t="b">
        <f t="shared" si="278"/>
        <v>1</v>
      </c>
      <c r="D749" t="b">
        <f t="shared" si="266"/>
        <v>1</v>
      </c>
      <c r="E749">
        <f t="shared" si="274"/>
        <v>3.7099999999999498</v>
      </c>
      <c r="F749">
        <f t="shared" si="279"/>
        <v>0.1630000006734133</v>
      </c>
      <c r="G749">
        <f t="shared" si="267"/>
        <v>0.21079825369170174</v>
      </c>
      <c r="H749">
        <f t="shared" si="268"/>
        <v>3.5000000259005112E-2</v>
      </c>
      <c r="I749" t="b">
        <f t="shared" si="280"/>
        <v>1</v>
      </c>
      <c r="J749">
        <f t="shared" si="269"/>
        <v>3.7099999999999498</v>
      </c>
      <c r="K749">
        <f t="shared" si="281"/>
        <v>3.5000000259005112E-2</v>
      </c>
      <c r="L749">
        <f t="shared" si="270"/>
        <v>0.16879613208604752</v>
      </c>
      <c r="M749">
        <f t="shared" si="271"/>
        <v>0.19000000051801025</v>
      </c>
      <c r="N749">
        <f t="shared" si="272"/>
        <v>0.18800029945573055</v>
      </c>
      <c r="O749">
        <f t="shared" si="273"/>
        <v>0.15777777777790991</v>
      </c>
      <c r="P749">
        <f t="shared" si="286"/>
        <v>0.08</v>
      </c>
      <c r="Q749">
        <f t="shared" si="282"/>
        <v>0.08</v>
      </c>
      <c r="R749">
        <f t="shared" si="275"/>
        <v>0.08</v>
      </c>
      <c r="S749">
        <f t="shared" si="276"/>
        <v>0.06</v>
      </c>
      <c r="T749">
        <f t="shared" si="277"/>
        <v>0.1</v>
      </c>
      <c r="U749">
        <f t="shared" si="283"/>
        <v>0.08</v>
      </c>
      <c r="V749">
        <f t="shared" si="288"/>
        <v>0.18800029945573055</v>
      </c>
      <c r="W749">
        <f t="shared" si="284"/>
        <v>0.16877181234097044</v>
      </c>
      <c r="X749">
        <f t="shared" si="285"/>
        <v>0.21081437948595544</v>
      </c>
      <c r="Y749" t="b">
        <f t="shared" si="287"/>
        <v>0</v>
      </c>
    </row>
    <row xmlns:x14ac="http://schemas.microsoft.com/office/spreadsheetml/2009/9/ac" r="750" x14ac:dyDescent="0.45">
      <c r="A750">
        <v>3.7149999999999501</v>
      </c>
      <c r="B750">
        <f t="shared" si="265"/>
        <v>0.16300000058082012</v>
      </c>
      <c r="C750" t="b">
        <f t="shared" si="278"/>
        <v>1</v>
      </c>
      <c r="D750" t="b">
        <f t="shared" si="266"/>
        <v>1</v>
      </c>
      <c r="E750">
        <f t="shared" si="274"/>
        <v>3.7149999999999501</v>
      </c>
      <c r="F750">
        <f t="shared" si="279"/>
        <v>0.16300000058082012</v>
      </c>
      <c r="G750">
        <f t="shared" si="267"/>
        <v>0.21079427238480486</v>
      </c>
      <c r="H750">
        <f t="shared" si="268"/>
        <v>3.5000000223392363E-2</v>
      </c>
      <c r="I750" t="b">
        <f t="shared" si="280"/>
        <v>1</v>
      </c>
      <c r="J750">
        <f t="shared" si="269"/>
        <v>3.7149999999999501</v>
      </c>
      <c r="K750">
        <f t="shared" si="281"/>
        <v>3.5000000223392363E-2</v>
      </c>
      <c r="L750">
        <f t="shared" si="270"/>
        <v>0.16880213640231762</v>
      </c>
      <c r="M750">
        <f t="shared" si="271"/>
        <v>0.19000000044678472</v>
      </c>
      <c r="N750">
        <f t="shared" si="272"/>
        <v>0.18800024793193149</v>
      </c>
      <c r="O750">
        <f t="shared" si="273"/>
        <v>0.15777777777789373</v>
      </c>
      <c r="P750">
        <f t="shared" si="286"/>
        <v>0.08</v>
      </c>
      <c r="Q750">
        <f t="shared" si="282"/>
        <v>0.08</v>
      </c>
      <c r="R750">
        <f t="shared" si="275"/>
        <v>0.08</v>
      </c>
      <c r="S750">
        <f t="shared" si="276"/>
        <v>0.06</v>
      </c>
      <c r="T750">
        <f t="shared" si="277"/>
        <v>0.1</v>
      </c>
      <c r="U750">
        <f t="shared" si="283"/>
        <v>0.08</v>
      </c>
      <c r="V750">
        <f t="shared" si="288"/>
        <v>0.18800024793193149</v>
      </c>
      <c r="W750">
        <f t="shared" si="284"/>
        <v>0.16877793795247514</v>
      </c>
      <c r="X750">
        <f t="shared" si="285"/>
        <v>0.21081031775132414</v>
      </c>
      <c r="Y750" t="b">
        <f t="shared" si="287"/>
        <v>0</v>
      </c>
    </row>
    <row xmlns:x14ac="http://schemas.microsoft.com/office/spreadsheetml/2009/9/ac" r="751" x14ac:dyDescent="0.45">
      <c r="A751">
        <v>3.71999999999995</v>
      </c>
      <c r="B751">
        <f t="shared" si="265"/>
        <v>0.16300000048996435</v>
      </c>
      <c r="C751" t="b">
        <f t="shared" si="278"/>
        <v>1</v>
      </c>
      <c r="D751" t="b">
        <f t="shared" si="266"/>
        <v>1</v>
      </c>
      <c r="E751">
        <f t="shared" si="274"/>
        <v>3.71999999999995</v>
      </c>
      <c r="F751">
        <f t="shared" si="279"/>
        <v>0.16300000048996435</v>
      </c>
      <c r="G751">
        <f t="shared" si="267"/>
        <v>0.21079031093475897</v>
      </c>
      <c r="H751">
        <f t="shared" si="268"/>
        <v>3.500000018844783E-2</v>
      </c>
      <c r="I751" t="b">
        <f t="shared" si="280"/>
        <v>1</v>
      </c>
      <c r="J751">
        <f t="shared" si="269"/>
        <v>3.71999999999995</v>
      </c>
      <c r="K751">
        <f t="shared" si="281"/>
        <v>3.500000018844783E-2</v>
      </c>
      <c r="L751">
        <f t="shared" si="270"/>
        <v>0.16880811077193539</v>
      </c>
      <c r="M751">
        <f t="shared" si="271"/>
        <v>0.19000000037689566</v>
      </c>
      <c r="N751">
        <f t="shared" si="272"/>
        <v>0.18800019692409076</v>
      </c>
      <c r="O751">
        <f t="shared" si="273"/>
        <v>0.15777777777787805</v>
      </c>
      <c r="P751">
        <f t="shared" si="286"/>
        <v>0.08</v>
      </c>
      <c r="Q751">
        <f t="shared" si="282"/>
        <v>0.08</v>
      </c>
      <c r="R751">
        <f t="shared" si="275"/>
        <v>0.08</v>
      </c>
      <c r="S751">
        <f t="shared" si="276"/>
        <v>0.06</v>
      </c>
      <c r="T751">
        <f t="shared" si="277"/>
        <v>0.1</v>
      </c>
      <c r="U751">
        <f t="shared" si="283"/>
        <v>0.08</v>
      </c>
      <c r="V751">
        <f t="shared" si="288"/>
        <v>0.18800019692409076</v>
      </c>
      <c r="W751">
        <f t="shared" si="284"/>
        <v>0.16878403301236503</v>
      </c>
      <c r="X751">
        <f t="shared" si="285"/>
        <v>0.21080627627467891</v>
      </c>
      <c r="Y751" t="b">
        <f t="shared" si="287"/>
        <v>0</v>
      </c>
    </row>
    <row xmlns:x14ac="http://schemas.microsoft.com/office/spreadsheetml/2009/9/ac" r="752" x14ac:dyDescent="0.45">
      <c r="A752">
        <v>3.7249999999999499</v>
      </c>
      <c r="B752">
        <f t="shared" si="265"/>
        <v>0.1630000004011958</v>
      </c>
      <c r="C752" t="b">
        <f t="shared" si="278"/>
        <v>1</v>
      </c>
      <c r="D752" t="b">
        <f t="shared" si="266"/>
        <v>1</v>
      </c>
      <c r="E752">
        <f t="shared" si="274"/>
        <v>3.7249999999999499</v>
      </c>
      <c r="F752">
        <f t="shared" si="279"/>
        <v>0.1630000004011958</v>
      </c>
      <c r="G752">
        <f t="shared" si="267"/>
        <v>0.21078636924252758</v>
      </c>
      <c r="H752">
        <f t="shared" si="268"/>
        <v>3.5000000154306085E-2</v>
      </c>
      <c r="I752" t="b">
        <f t="shared" si="280"/>
        <v>1</v>
      </c>
      <c r="J752">
        <f t="shared" si="269"/>
        <v>3.7249999999999499</v>
      </c>
      <c r="K752">
        <f t="shared" si="281"/>
        <v>3.5000000154306085E-2</v>
      </c>
      <c r="L752">
        <f t="shared" si="270"/>
        <v>0.16881405534426036</v>
      </c>
      <c r="M752">
        <f t="shared" si="271"/>
        <v>0.19000000030861217</v>
      </c>
      <c r="N752">
        <f t="shared" si="272"/>
        <v>0.18800014664364448</v>
      </c>
      <c r="O752">
        <f t="shared" si="273"/>
        <v>0.15777777777786295</v>
      </c>
      <c r="P752">
        <f t="shared" si="286"/>
        <v>0.08</v>
      </c>
      <c r="Q752">
        <f t="shared" si="282"/>
        <v>0.08</v>
      </c>
      <c r="R752">
        <f t="shared" si="275"/>
        <v>0.08</v>
      </c>
      <c r="S752">
        <f t="shared" si="276"/>
        <v>0.06</v>
      </c>
      <c r="T752">
        <f t="shared" si="277"/>
        <v>0.1</v>
      </c>
      <c r="U752">
        <f t="shared" si="283"/>
        <v>0.08</v>
      </c>
      <c r="V752">
        <f t="shared" si="288"/>
        <v>0.18800014664364448</v>
      </c>
      <c r="W752">
        <f t="shared" si="284"/>
        <v>0.16879009767301686</v>
      </c>
      <c r="X752">
        <f t="shared" si="285"/>
        <v>0.2108022549549825</v>
      </c>
      <c r="Y752" t="b">
        <f t="shared" si="287"/>
        <v>0</v>
      </c>
    </row>
    <row xmlns:x14ac="http://schemas.microsoft.com/office/spreadsheetml/2009/9/ac" r="753" x14ac:dyDescent="0.45">
      <c r="A753">
        <v>3.7299999999999498</v>
      </c>
      <c r="B753">
        <f t="shared" si="265"/>
        <v>0.16300000031483741</v>
      </c>
      <c r="C753" t="b">
        <f t="shared" si="278"/>
        <v>1</v>
      </c>
      <c r="D753" t="b">
        <f t="shared" si="266"/>
        <v>1</v>
      </c>
      <c r="E753">
        <f t="shared" si="274"/>
        <v>3.7299999999999498</v>
      </c>
      <c r="F753">
        <f t="shared" si="279"/>
        <v>0.16300000031483741</v>
      </c>
      <c r="G753">
        <f t="shared" si="267"/>
        <v>0.21078244720956824</v>
      </c>
      <c r="H753">
        <f t="shared" si="268"/>
        <v>3.5000000121091307E-2</v>
      </c>
      <c r="I753" t="b">
        <f t="shared" si="280"/>
        <v>1</v>
      </c>
      <c r="J753">
        <f t="shared" si="269"/>
        <v>3.7299999999999498</v>
      </c>
      <c r="K753">
        <f t="shared" si="281"/>
        <v>3.5000000121091307E-2</v>
      </c>
      <c r="L753">
        <f t="shared" si="270"/>
        <v>0.16881997026790718</v>
      </c>
      <c r="M753">
        <f t="shared" si="271"/>
        <v>0.19000000024218261</v>
      </c>
      <c r="N753">
        <f t="shared" si="272"/>
        <v>0.18800009729212308</v>
      </c>
      <c r="O753">
        <f t="shared" si="273"/>
        <v>0.1577777777778484</v>
      </c>
      <c r="P753">
        <f t="shared" si="286"/>
        <v>0.08</v>
      </c>
      <c r="Q753">
        <f t="shared" si="282"/>
        <v>0.08</v>
      </c>
      <c r="R753">
        <f t="shared" si="275"/>
        <v>0.08</v>
      </c>
      <c r="S753">
        <f t="shared" si="276"/>
        <v>0.06</v>
      </c>
      <c r="T753">
        <f t="shared" si="277"/>
        <v>0.1</v>
      </c>
      <c r="U753">
        <f t="shared" si="283"/>
        <v>0.08</v>
      </c>
      <c r="V753">
        <f t="shared" si="288"/>
        <v>0.18800009729212308</v>
      </c>
      <c r="W753">
        <f t="shared" si="284"/>
        <v>0.16879613208604752</v>
      </c>
      <c r="X753">
        <f t="shared" si="285"/>
        <v>0.21079825369170174</v>
      </c>
      <c r="Y753" t="b">
        <f t="shared" si="287"/>
        <v>0</v>
      </c>
    </row>
    <row xmlns:x14ac="http://schemas.microsoft.com/office/spreadsheetml/2009/9/ac" r="754" x14ac:dyDescent="0.45">
      <c r="A754">
        <v>3.7349999999999501</v>
      </c>
      <c r="B754">
        <f t="shared" si="265"/>
        <v>0.16300000023118469</v>
      </c>
      <c r="C754" t="b">
        <f t="shared" si="278"/>
        <v>1</v>
      </c>
      <c r="D754" t="b">
        <f t="shared" si="266"/>
        <v>1</v>
      </c>
      <c r="E754">
        <f t="shared" si="274"/>
        <v>3.7349999999999501</v>
      </c>
      <c r="F754">
        <f t="shared" si="279"/>
        <v>0.16300000023118469</v>
      </c>
      <c r="G754">
        <f t="shared" si="267"/>
        <v>0.21077854473782992</v>
      </c>
      <c r="H754">
        <f t="shared" si="268"/>
        <v>3.5000000088917183E-2</v>
      </c>
      <c r="I754" t="b">
        <f t="shared" si="280"/>
        <v>1</v>
      </c>
      <c r="J754">
        <f t="shared" si="269"/>
        <v>3.7349999999999501</v>
      </c>
      <c r="K754">
        <f t="shared" si="281"/>
        <v>3.5000000088917183E-2</v>
      </c>
      <c r="L754">
        <f t="shared" si="270"/>
        <v>0.16882585569074926</v>
      </c>
      <c r="M754">
        <f t="shared" si="271"/>
        <v>0.19000000017783436</v>
      </c>
      <c r="N754">
        <f t="shared" si="272"/>
        <v>0.18800004906056361</v>
      </c>
      <c r="O754">
        <f t="shared" si="273"/>
        <v>0.15777777777783453</v>
      </c>
      <c r="P754">
        <f t="shared" si="286"/>
        <v>0.08</v>
      </c>
      <c r="Q754">
        <f t="shared" si="282"/>
        <v>0.08</v>
      </c>
      <c r="R754">
        <f t="shared" si="275"/>
        <v>0.08</v>
      </c>
      <c r="S754">
        <f t="shared" si="276"/>
        <v>0.06</v>
      </c>
      <c r="T754">
        <f t="shared" si="277"/>
        <v>0.1</v>
      </c>
      <c r="U754">
        <f t="shared" si="283"/>
        <v>0.08</v>
      </c>
      <c r="V754">
        <f t="shared" si="288"/>
        <v>0.18800004906056361</v>
      </c>
      <c r="W754">
        <f t="shared" si="284"/>
        <v>0.16880213640231762</v>
      </c>
      <c r="X754">
        <f t="shared" si="285"/>
        <v>0.21079427238480486</v>
      </c>
      <c r="Y754" t="b">
        <f t="shared" si="287"/>
        <v>0</v>
      </c>
    </row>
    <row xmlns:x14ac="http://schemas.microsoft.com/office/spreadsheetml/2009/9/ac" r="755" x14ac:dyDescent="0.45">
      <c r="A755">
        <v>3.73999999999995</v>
      </c>
      <c r="B755">
        <f t="shared" si="265"/>
        <v>0.16300000015050581</v>
      </c>
      <c r="C755" t="b">
        <f t="shared" si="278"/>
        <v>1</v>
      </c>
      <c r="D755" t="b">
        <f t="shared" si="266"/>
        <v>1</v>
      </c>
      <c r="E755">
        <f t="shared" si="274"/>
        <v>3.73999999999995</v>
      </c>
      <c r="F755">
        <f t="shared" si="279"/>
        <v>0.16300000015050581</v>
      </c>
      <c r="G755">
        <f t="shared" si="267"/>
        <v>0.21077466172975057</v>
      </c>
      <c r="H755">
        <f t="shared" si="268"/>
        <v>3.5000000057886851E-2</v>
      </c>
      <c r="I755" t="b">
        <f t="shared" si="280"/>
        <v>1</v>
      </c>
      <c r="J755">
        <f t="shared" si="269"/>
        <v>3.73999999999995</v>
      </c>
      <c r="K755">
        <f t="shared" si="281"/>
        <v>3.5000000057886851E-2</v>
      </c>
      <c r="L755">
        <f t="shared" si="270"/>
        <v>0.16883171175992245</v>
      </c>
      <c r="M755">
        <f t="shared" si="271"/>
        <v>0.19000000011577373</v>
      </c>
      <c r="N755">
        <f t="shared" si="272"/>
        <v>0.18800000212898749</v>
      </c>
      <c r="O755">
        <f t="shared" si="273"/>
        <v>0.15777777777782126</v>
      </c>
      <c r="P755">
        <f t="shared" si="286"/>
        <v>0.08</v>
      </c>
      <c r="Q755">
        <f t="shared" si="282"/>
        <v>0.08</v>
      </c>
      <c r="R755">
        <f t="shared" si="275"/>
        <v>0.08</v>
      </c>
      <c r="S755">
        <f t="shared" si="276"/>
        <v>0.06</v>
      </c>
      <c r="T755">
        <f t="shared" si="277"/>
        <v>0.1</v>
      </c>
      <c r="U755">
        <f t="shared" si="283"/>
        <v>0.08</v>
      </c>
      <c r="V755">
        <f t="shared" si="288"/>
        <v>0.18800000212898749</v>
      </c>
      <c r="W755">
        <f t="shared" si="284"/>
        <v>0.16880811077193539</v>
      </c>
      <c r="X755">
        <f t="shared" si="285"/>
        <v>0.21079031093475897</v>
      </c>
      <c r="Y755" t="b">
        <f t="shared" si="287"/>
        <v>0</v>
      </c>
    </row>
    <row xmlns:x14ac="http://schemas.microsoft.com/office/spreadsheetml/2009/9/ac" r="756" x14ac:dyDescent="0.45">
      <c r="A756">
        <v>3.7449999999999499</v>
      </c>
      <c r="B756">
        <f t="shared" si="265"/>
        <v>0.16300000007304175</v>
      </c>
      <c r="C756" t="b">
        <f t="shared" si="278"/>
        <v>1</v>
      </c>
      <c r="D756" t="b">
        <f t="shared" si="266"/>
        <v>1</v>
      </c>
      <c r="E756">
        <f t="shared" si="274"/>
        <v>3.7449999999999499</v>
      </c>
      <c r="F756">
        <f t="shared" si="279"/>
        <v>0.16300000007304175</v>
      </c>
      <c r="G756">
        <f t="shared" si="267"/>
        <v>0.21077079808825477</v>
      </c>
      <c r="H756">
        <f t="shared" si="268"/>
        <v>3.5000000028092976E-2</v>
      </c>
      <c r="I756" t="b">
        <f t="shared" si="280"/>
        <v>1</v>
      </c>
      <c r="J756">
        <f t="shared" si="269"/>
        <v>3.7449999999999499</v>
      </c>
      <c r="K756">
        <f t="shared" si="281"/>
        <v>3.5000000028092976E-2</v>
      </c>
      <c r="L756">
        <f t="shared" si="270"/>
        <v>0.16883753862182876</v>
      </c>
      <c r="M756">
        <f t="shared" si="271"/>
        <v>0.19000000005618595</v>
      </c>
      <c r="N756">
        <f t="shared" si="272"/>
        <v>0.18799995666594385</v>
      </c>
      <c r="O756">
        <f t="shared" si="273"/>
        <v>0.15777777777780871</v>
      </c>
      <c r="P756">
        <f t="shared" si="286"/>
        <v>0.08</v>
      </c>
      <c r="Q756">
        <f t="shared" si="282"/>
        <v>0.08</v>
      </c>
      <c r="R756">
        <f t="shared" si="275"/>
        <v>0.08</v>
      </c>
      <c r="S756">
        <f t="shared" si="276"/>
        <v>0.06</v>
      </c>
      <c r="T756">
        <f t="shared" si="277"/>
        <v>0.1</v>
      </c>
      <c r="U756">
        <f t="shared" si="283"/>
        <v>0.08</v>
      </c>
      <c r="V756">
        <f t="shared" si="288"/>
        <v>0.18799995666594385</v>
      </c>
      <c r="W756">
        <f t="shared" si="284"/>
        <v>0.16881405534426036</v>
      </c>
      <c r="X756">
        <f t="shared" si="285"/>
        <v>0.21078636924252758</v>
      </c>
      <c r="Y756" t="b">
        <f t="shared" si="287"/>
        <v>0</v>
      </c>
    </row>
    <row xmlns:x14ac="http://schemas.microsoft.com/office/spreadsheetml/2009/9/ac" r="757" x14ac:dyDescent="0.45">
      <c r="A757">
        <v>3.7499999999999498</v>
      </c>
      <c r="B757">
        <f t="shared" si="265"/>
        <v>0.16299999999900625</v>
      </c>
      <c r="C757" t="b">
        <f t="shared" si="278"/>
        <v>1</v>
      </c>
      <c r="D757" t="b">
        <f t="shared" si="266"/>
        <v>1</v>
      </c>
      <c r="E757">
        <f t="shared" si="274"/>
        <v>3.7499999999999498</v>
      </c>
      <c r="F757">
        <f t="shared" si="279"/>
        <v>0.16299999999900625</v>
      </c>
      <c r="G757">
        <f t="shared" si="267"/>
        <v>0.21076695371675136</v>
      </c>
      <c r="H757">
        <f t="shared" si="268"/>
        <v>3.4999999999617795E-2</v>
      </c>
      <c r="I757" t="b">
        <f t="shared" si="280"/>
        <v>1</v>
      </c>
      <c r="J757">
        <f t="shared" si="269"/>
        <v>3.7499999999999498</v>
      </c>
      <c r="K757">
        <f t="shared" si="281"/>
        <v>3.4999999999617795E-2</v>
      </c>
      <c r="L757">
        <f t="shared" si="270"/>
        <v>0.16884333642214011</v>
      </c>
      <c r="M757">
        <f t="shared" si="271"/>
        <v>0.18999999999923559</v>
      </c>
      <c r="N757">
        <f t="shared" si="272"/>
        <v>0.18799991282811856</v>
      </c>
      <c r="O757">
        <f t="shared" si="273"/>
        <v>0.15777777777779686</v>
      </c>
      <c r="P757">
        <f t="shared" si="286"/>
        <v>0.08</v>
      </c>
      <c r="Q757">
        <f t="shared" si="282"/>
        <v>0.08</v>
      </c>
      <c r="R757">
        <f t="shared" si="275"/>
        <v>0.08</v>
      </c>
      <c r="S757">
        <f t="shared" si="276"/>
        <v>0.06</v>
      </c>
      <c r="T757">
        <f t="shared" si="277"/>
        <v>0.1</v>
      </c>
      <c r="U757">
        <f t="shared" si="283"/>
        <v>0.08</v>
      </c>
      <c r="V757">
        <f t="shared" si="288"/>
        <v>0.18799991282811856</v>
      </c>
      <c r="W757">
        <f t="shared" si="284"/>
        <v>0.16881997026790718</v>
      </c>
      <c r="X757">
        <f t="shared" si="285"/>
        <v>0.21078244720956824</v>
      </c>
      <c r="Y757" t="b">
        <f t="shared" si="287"/>
        <v>0</v>
      </c>
    </row>
    <row xmlns:x14ac="http://schemas.microsoft.com/office/spreadsheetml/2009/9/ac" r="758" x14ac:dyDescent="0.45">
      <c r="A758">
        <v>3.7549999999999502</v>
      </c>
      <c r="B758">
        <f t="shared" si="265"/>
        <v>0.16299999992858621</v>
      </c>
      <c r="C758" t="b">
        <f t="shared" si="278"/>
        <v>1</v>
      </c>
      <c r="D758" t="b">
        <f t="shared" si="266"/>
        <v>1</v>
      </c>
      <c r="E758">
        <f t="shared" si="274"/>
        <v>3.7549999999999502</v>
      </c>
      <c r="F758">
        <f t="shared" si="279"/>
        <v>0.16299999992858621</v>
      </c>
      <c r="G758">
        <f t="shared" si="267"/>
        <v>0.21076312851913082</v>
      </c>
      <c r="H758">
        <f t="shared" si="268"/>
        <v>3.4999999972533169E-2</v>
      </c>
      <c r="I758" t="b">
        <f t="shared" si="280"/>
        <v>1</v>
      </c>
      <c r="J758">
        <f t="shared" si="269"/>
        <v>3.7549999999999502</v>
      </c>
      <c r="K758">
        <f t="shared" si="281"/>
        <v>3.4999999972533169E-2</v>
      </c>
      <c r="L758">
        <f t="shared" si="270"/>
        <v>0.16884910530580177</v>
      </c>
      <c r="M758">
        <f t="shared" si="271"/>
        <v>0.18999999994506633</v>
      </c>
      <c r="N758">
        <f t="shared" si="272"/>
        <v>0.18799987076000835</v>
      </c>
      <c r="O758">
        <f t="shared" si="273"/>
        <v>0.15777777777778573</v>
      </c>
      <c r="P758">
        <f t="shared" si="286"/>
        <v>0.08</v>
      </c>
      <c r="Q758">
        <f t="shared" si="282"/>
        <v>0.08</v>
      </c>
      <c r="R758">
        <f t="shared" si="275"/>
        <v>0.08</v>
      </c>
      <c r="S758">
        <f t="shared" si="276"/>
        <v>0.06</v>
      </c>
      <c r="T758">
        <f t="shared" si="277"/>
        <v>0.1</v>
      </c>
      <c r="U758">
        <f t="shared" si="283"/>
        <v>0.08</v>
      </c>
      <c r="V758">
        <f t="shared" si="288"/>
        <v>0.18799987076000835</v>
      </c>
      <c r="W758">
        <f t="shared" si="284"/>
        <v>0.16882585569074926</v>
      </c>
      <c r="X758">
        <f t="shared" si="285"/>
        <v>0.21077854473782992</v>
      </c>
      <c r="Y758" t="b">
        <f t="shared" si="287"/>
        <v>0</v>
      </c>
    </row>
    <row xmlns:x14ac="http://schemas.microsoft.com/office/spreadsheetml/2009/9/ac" r="759" x14ac:dyDescent="0.45">
      <c r="A759">
        <v>3.75999999999995</v>
      </c>
      <c r="B759">
        <f t="shared" si="265"/>
        <v>0.16299999986194227</v>
      </c>
      <c r="C759" t="b">
        <f t="shared" si="278"/>
        <v>1</v>
      </c>
      <c r="D759" t="b">
        <f t="shared" si="266"/>
        <v>1</v>
      </c>
      <c r="E759">
        <f t="shared" si="274"/>
        <v>3.75999999999995</v>
      </c>
      <c r="F759">
        <f t="shared" si="279"/>
        <v>0.16299999986194227</v>
      </c>
      <c r="G759">
        <f t="shared" si="267"/>
        <v>0.21075932239976303</v>
      </c>
      <c r="H759">
        <f t="shared" si="268"/>
        <v>3.4999999946900881E-2</v>
      </c>
      <c r="I759" t="b">
        <f t="shared" si="280"/>
        <v>1</v>
      </c>
      <c r="J759">
        <f t="shared" si="269"/>
        <v>3.75999999999995</v>
      </c>
      <c r="K759">
        <f t="shared" si="281"/>
        <v>3.4999999946900881E-2</v>
      </c>
      <c r="L759">
        <f t="shared" si="270"/>
        <v>0.1688548454170361</v>
      </c>
      <c r="M759">
        <f t="shared" si="271"/>
        <v>0.18999999989380176</v>
      </c>
      <c r="N759">
        <f t="shared" si="272"/>
        <v>0.18799983059365963</v>
      </c>
      <c r="O759">
        <f t="shared" si="273"/>
        <v>0.15777777777777535</v>
      </c>
      <c r="P759">
        <f t="shared" si="286"/>
        <v>0.08</v>
      </c>
      <c r="Q759">
        <f t="shared" si="282"/>
        <v>0.08</v>
      </c>
      <c r="R759">
        <f t="shared" si="275"/>
        <v>0.08</v>
      </c>
      <c r="S759">
        <f t="shared" si="276"/>
        <v>0.06</v>
      </c>
      <c r="T759">
        <f t="shared" si="277"/>
        <v>0.1</v>
      </c>
      <c r="U759">
        <f t="shared" si="283"/>
        <v>0.08</v>
      </c>
      <c r="V759">
        <f t="shared" si="288"/>
        <v>0.18799983059365963</v>
      </c>
      <c r="W759">
        <f t="shared" si="284"/>
        <v>0.16883171175992245</v>
      </c>
      <c r="X759">
        <f t="shared" si="285"/>
        <v>0.21077466172975057</v>
      </c>
      <c r="Y759" t="b">
        <f t="shared" si="287"/>
        <v>0</v>
      </c>
    </row>
    <row xmlns:x14ac="http://schemas.microsoft.com/office/spreadsheetml/2009/9/ac" r="760" x14ac:dyDescent="0.45">
      <c r="A760">
        <v>3.7649999999999499</v>
      </c>
      <c r="B760">
        <f t="shared" si="265"/>
        <v>0.16299999979920901</v>
      </c>
      <c r="C760" t="b">
        <f t="shared" si="278"/>
        <v>1</v>
      </c>
      <c r="D760" t="b">
        <f t="shared" si="266"/>
        <v>1</v>
      </c>
      <c r="E760">
        <f t="shared" si="274"/>
        <v>3.7649999999999499</v>
      </c>
      <c r="F760">
        <f t="shared" si="279"/>
        <v>0.16299999979920901</v>
      </c>
      <c r="G760">
        <f t="shared" si="267"/>
        <v>0.21075553526349472</v>
      </c>
      <c r="H760">
        <f t="shared" si="268"/>
        <v>3.4999999922772695E-2</v>
      </c>
      <c r="I760" t="b">
        <f t="shared" si="280"/>
        <v>1</v>
      </c>
      <c r="J760">
        <f t="shared" si="269"/>
        <v>3.7649999999999499</v>
      </c>
      <c r="K760">
        <f t="shared" si="281"/>
        <v>3.4999999922772695E-2</v>
      </c>
      <c r="L760">
        <f t="shared" si="270"/>
        <v>0.16886055689934623</v>
      </c>
      <c r="M760">
        <f t="shared" si="271"/>
        <v>0.18999999984554539</v>
      </c>
      <c r="N760">
        <f t="shared" si="272"/>
        <v>0.18799979244847137</v>
      </c>
      <c r="O760">
        <f t="shared" si="273"/>
        <v>0.15777777777776567</v>
      </c>
      <c r="P760">
        <f t="shared" si="286"/>
        <v>0.08</v>
      </c>
      <c r="Q760">
        <f t="shared" si="282"/>
        <v>0.08</v>
      </c>
      <c r="R760">
        <f t="shared" si="275"/>
        <v>0.08</v>
      </c>
      <c r="S760">
        <f t="shared" si="276"/>
        <v>0.06</v>
      </c>
      <c r="T760">
        <f t="shared" si="277"/>
        <v>0.1</v>
      </c>
      <c r="U760">
        <f t="shared" si="283"/>
        <v>0.08</v>
      </c>
      <c r="V760">
        <f t="shared" si="288"/>
        <v>0.18799979244847137</v>
      </c>
      <c r="W760">
        <f t="shared" si="284"/>
        <v>0.16883753862182876</v>
      </c>
      <c r="X760">
        <f t="shared" si="285"/>
        <v>0.21077079808825477</v>
      </c>
      <c r="Y760" t="b">
        <f t="shared" si="287"/>
        <v>0</v>
      </c>
    </row>
    <row xmlns:x14ac="http://schemas.microsoft.com/office/spreadsheetml/2009/9/ac" r="761" x14ac:dyDescent="0.45">
      <c r="A761">
        <v>3.7699999999999498</v>
      </c>
      <c r="B761">
        <f t="shared" si="265"/>
        <v>0.16299999974049581</v>
      </c>
      <c r="C761" t="b">
        <f t="shared" si="278"/>
        <v>1</v>
      </c>
      <c r="D761" t="b">
        <f t="shared" si="266"/>
        <v>1</v>
      </c>
      <c r="E761">
        <f t="shared" si="274"/>
        <v>3.7699999999999498</v>
      </c>
      <c r="F761">
        <f t="shared" si="279"/>
        <v>0.16299999974049581</v>
      </c>
      <c r="G761">
        <f t="shared" si="267"/>
        <v>0.21075176701564741</v>
      </c>
      <c r="H761">
        <f t="shared" si="268"/>
        <v>3.499999990019069E-2</v>
      </c>
      <c r="I761" t="b">
        <f t="shared" si="280"/>
        <v>1</v>
      </c>
      <c r="J761">
        <f t="shared" si="269"/>
        <v>3.7699999999999498</v>
      </c>
      <c r="K761">
        <f t="shared" si="281"/>
        <v>3.499999990019069E-2</v>
      </c>
      <c r="L761">
        <f t="shared" si="270"/>
        <v>0.16886623989551949</v>
      </c>
      <c r="M761">
        <f t="shared" si="271"/>
        <v>0.1899999998003814</v>
      </c>
      <c r="N761">
        <f t="shared" si="272"/>
        <v>0.18799975643106034</v>
      </c>
      <c r="O761">
        <f t="shared" si="273"/>
        <v>0.15777777777775676</v>
      </c>
      <c r="P761">
        <f t="shared" si="286"/>
        <v>0.08</v>
      </c>
      <c r="Q761">
        <f t="shared" si="282"/>
        <v>0.08</v>
      </c>
      <c r="R761">
        <f t="shared" si="275"/>
        <v>0.08</v>
      </c>
      <c r="S761">
        <f t="shared" si="276"/>
        <v>0.06</v>
      </c>
      <c r="T761">
        <f t="shared" si="277"/>
        <v>0.1</v>
      </c>
      <c r="U761">
        <f t="shared" si="283"/>
        <v>0.08</v>
      </c>
      <c r="V761">
        <f t="shared" si="288"/>
        <v>0.18799975643106034</v>
      </c>
      <c r="W761">
        <f t="shared" si="284"/>
        <v>0.16884333642214011</v>
      </c>
      <c r="X761">
        <f t="shared" si="285"/>
        <v>0.21076695371675136</v>
      </c>
      <c r="Y761" t="b">
        <f t="shared" si="287"/>
        <v>0</v>
      </c>
    </row>
    <row xmlns:x14ac="http://schemas.microsoft.com/office/spreadsheetml/2009/9/ac" r="762" x14ac:dyDescent="0.45">
      <c r="A762">
        <v>3.7749999999999502</v>
      </c>
      <c r="B762">
        <f t="shared" si="265"/>
        <v>0.16299999968588744</v>
      </c>
      <c r="C762" t="b">
        <f t="shared" si="278"/>
        <v>1</v>
      </c>
      <c r="D762" t="b">
        <f t="shared" si="266"/>
        <v>1</v>
      </c>
      <c r="E762">
        <f t="shared" si="274"/>
        <v>3.7749999999999502</v>
      </c>
      <c r="F762">
        <f t="shared" si="279"/>
        <v>0.16299999968588744</v>
      </c>
      <c r="G762">
        <f t="shared" si="267"/>
        <v>0.21074801756201461</v>
      </c>
      <c r="H762">
        <f t="shared" si="268"/>
        <v>3.4999999879187477E-2</v>
      </c>
      <c r="I762" t="b">
        <f t="shared" si="280"/>
        <v>1</v>
      </c>
      <c r="J762">
        <f t="shared" si="269"/>
        <v>3.7749999999999502</v>
      </c>
      <c r="K762">
        <f t="shared" si="281"/>
        <v>3.4999999879187477E-2</v>
      </c>
      <c r="L762">
        <f t="shared" si="270"/>
        <v>0.1688718945476311</v>
      </c>
      <c r="M762">
        <f t="shared" si="271"/>
        <v>0.18999999975837495</v>
      </c>
      <c r="N762">
        <f t="shared" si="272"/>
        <v>0.18799972263518766</v>
      </c>
      <c r="O762">
        <f t="shared" si="273"/>
        <v>0.15777777777774854</v>
      </c>
      <c r="P762">
        <f t="shared" si="286"/>
        <v>0.08</v>
      </c>
      <c r="Q762">
        <f t="shared" si="282"/>
        <v>0.08</v>
      </c>
      <c r="R762">
        <f t="shared" si="275"/>
        <v>0.08</v>
      </c>
      <c r="S762">
        <f t="shared" si="276"/>
        <v>0.06</v>
      </c>
      <c r="T762">
        <f t="shared" si="277"/>
        <v>0.1</v>
      </c>
      <c r="U762">
        <f t="shared" si="283"/>
        <v>0.08</v>
      </c>
      <c r="V762">
        <f t="shared" si="288"/>
        <v>0.18799972263518766</v>
      </c>
      <c r="W762">
        <f t="shared" si="284"/>
        <v>0.16884910530580177</v>
      </c>
      <c r="X762">
        <f t="shared" si="285"/>
        <v>0.21076312851913082</v>
      </c>
      <c r="Y762" t="b">
        <f t="shared" si="287"/>
        <v>0</v>
      </c>
    </row>
    <row xmlns:x14ac="http://schemas.microsoft.com/office/spreadsheetml/2009/9/ac" r="763" x14ac:dyDescent="0.45">
      <c r="A763">
        <v>3.7799999999999501</v>
      </c>
      <c r="B763">
        <f t="shared" si="265"/>
        <v>0.16299999963544495</v>
      </c>
      <c r="C763" t="b">
        <f t="shared" si="278"/>
        <v>1</v>
      </c>
      <c r="D763" t="b">
        <f t="shared" si="266"/>
        <v>1</v>
      </c>
      <c r="E763">
        <f t="shared" si="274"/>
        <v>3.7799999999999501</v>
      </c>
      <c r="F763">
        <f t="shared" si="279"/>
        <v>0.16299999963544495</v>
      </c>
      <c r="G763">
        <f t="shared" si="267"/>
        <v>0.21074428680885982</v>
      </c>
      <c r="H763">
        <f t="shared" si="268"/>
        <v>3.4999999859786524E-2</v>
      </c>
      <c r="I763" t="b">
        <f t="shared" si="280"/>
        <v>1</v>
      </c>
      <c r="J763">
        <f t="shared" si="269"/>
        <v>3.7799999999999501</v>
      </c>
      <c r="K763">
        <f t="shared" si="281"/>
        <v>3.4999999859786524E-2</v>
      </c>
      <c r="L763">
        <f t="shared" si="270"/>
        <v>0.16887752099704761</v>
      </c>
      <c r="M763">
        <f t="shared" si="271"/>
        <v>0.18999999971957304</v>
      </c>
      <c r="N763">
        <f t="shared" si="272"/>
        <v>0.18799969114174528</v>
      </c>
      <c r="O763">
        <f t="shared" si="273"/>
        <v>0.1577777777777411</v>
      </c>
      <c r="P763">
        <f t="shared" si="286"/>
        <v>0.08</v>
      </c>
      <c r="Q763">
        <f t="shared" si="282"/>
        <v>0.08</v>
      </c>
      <c r="R763">
        <f t="shared" si="275"/>
        <v>0.08</v>
      </c>
      <c r="S763">
        <f t="shared" si="276"/>
        <v>0.06</v>
      </c>
      <c r="T763">
        <f t="shared" si="277"/>
        <v>0.1</v>
      </c>
      <c r="U763">
        <f t="shared" si="283"/>
        <v>0.08</v>
      </c>
      <c r="V763">
        <f t="shared" si="288"/>
        <v>0.18799969114174528</v>
      </c>
      <c r="W763">
        <f t="shared" si="284"/>
        <v>0.1688548454170361</v>
      </c>
      <c r="X763">
        <f t="shared" si="285"/>
        <v>0.21075932239976303</v>
      </c>
      <c r="Y763" t="b">
        <f t="shared" si="287"/>
        <v>0</v>
      </c>
    </row>
    <row xmlns:x14ac="http://schemas.microsoft.com/office/spreadsheetml/2009/9/ac" r="764" x14ac:dyDescent="0.45">
      <c r="A764">
        <v>3.78499999999995</v>
      </c>
      <c r="B764">
        <f t="shared" si="265"/>
        <v>0.1629999995892065</v>
      </c>
      <c r="C764" t="b">
        <f t="shared" si="278"/>
        <v>1</v>
      </c>
      <c r="D764" t="b">
        <f t="shared" si="266"/>
        <v>1</v>
      </c>
      <c r="E764">
        <f t="shared" si="274"/>
        <v>3.78499999999995</v>
      </c>
      <c r="F764">
        <f t="shared" si="279"/>
        <v>0.1629999995892065</v>
      </c>
      <c r="G764">
        <f t="shared" si="267"/>
        <v>0.21074057466291402</v>
      </c>
      <c r="H764">
        <f t="shared" si="268"/>
        <v>3.4999999842002499E-2</v>
      </c>
      <c r="I764" t="b">
        <f t="shared" si="280"/>
        <v>1</v>
      </c>
      <c r="J764">
        <f t="shared" si="269"/>
        <v>3.78499999999995</v>
      </c>
      <c r="K764">
        <f t="shared" si="281"/>
        <v>3.4999999842002499E-2</v>
      </c>
      <c r="L764">
        <f t="shared" si="270"/>
        <v>0.16888311938443062</v>
      </c>
      <c r="M764">
        <f t="shared" si="271"/>
        <v>0.18999999968400499</v>
      </c>
      <c r="N764">
        <f t="shared" si="272"/>
        <v>0.18799966201880014</v>
      </c>
      <c r="O764">
        <f t="shared" si="273"/>
        <v>0.15777777777773433</v>
      </c>
      <c r="P764">
        <f t="shared" si="286"/>
        <v>0.08</v>
      </c>
      <c r="Q764">
        <f t="shared" si="282"/>
        <v>0.08</v>
      </c>
      <c r="R764">
        <f t="shared" si="275"/>
        <v>0.08</v>
      </c>
      <c r="S764">
        <f t="shared" si="276"/>
        <v>0.06</v>
      </c>
      <c r="T764">
        <f t="shared" si="277"/>
        <v>0.1</v>
      </c>
      <c r="U764">
        <f t="shared" si="283"/>
        <v>0.08</v>
      </c>
      <c r="V764">
        <f t="shared" si="288"/>
        <v>0.18799966201880014</v>
      </c>
      <c r="W764">
        <f t="shared" si="284"/>
        <v>0.16886055689934623</v>
      </c>
      <c r="X764">
        <f t="shared" si="285"/>
        <v>0.21075553526349472</v>
      </c>
      <c r="Y764" t="b">
        <f t="shared" si="287"/>
        <v>0</v>
      </c>
    </row>
    <row xmlns:x14ac="http://schemas.microsoft.com/office/spreadsheetml/2009/9/ac" r="765" x14ac:dyDescent="0.45">
      <c r="A765">
        <v>3.7899999999999499</v>
      </c>
      <c r="B765">
        <f t="shared" si="265"/>
        <v>0.16299999954718819</v>
      </c>
      <c r="C765" t="b">
        <f t="shared" si="278"/>
        <v>1</v>
      </c>
      <c r="D765" t="b">
        <f t="shared" si="266"/>
        <v>1</v>
      </c>
      <c r="E765">
        <f t="shared" si="274"/>
        <v>3.7899999999999499</v>
      </c>
      <c r="F765">
        <f t="shared" si="279"/>
        <v>0.16299999954718819</v>
      </c>
      <c r="G765">
        <f t="shared" si="267"/>
        <v>0.21073688103137334</v>
      </c>
      <c r="H765">
        <f t="shared" si="268"/>
        <v>3.4999999825841621E-2</v>
      </c>
      <c r="I765" t="b">
        <f t="shared" si="280"/>
        <v>1</v>
      </c>
      <c r="J765">
        <f t="shared" si="269"/>
        <v>3.7899999999999499</v>
      </c>
      <c r="K765">
        <f t="shared" si="281"/>
        <v>3.4999999825841621E-2</v>
      </c>
      <c r="L765">
        <f t="shared" si="270"/>
        <v>0.16888868984974009</v>
      </c>
      <c r="M765">
        <f t="shared" si="271"/>
        <v>0.18999999965168324</v>
      </c>
      <c r="N765">
        <f t="shared" si="272"/>
        <v>0.18799963532169434</v>
      </c>
      <c r="O765">
        <f t="shared" si="273"/>
        <v>0.15777777777772828</v>
      </c>
      <c r="P765">
        <f t="shared" si="286"/>
        <v>0.08</v>
      </c>
      <c r="Q765">
        <f t="shared" si="282"/>
        <v>0.08</v>
      </c>
      <c r="R765">
        <f t="shared" si="275"/>
        <v>0.08</v>
      </c>
      <c r="S765">
        <f t="shared" si="276"/>
        <v>0.06</v>
      </c>
      <c r="T765">
        <f t="shared" si="277"/>
        <v>0.1</v>
      </c>
      <c r="U765">
        <f t="shared" si="283"/>
        <v>0.08</v>
      </c>
      <c r="V765">
        <f t="shared" si="288"/>
        <v>0.18799963532169434</v>
      </c>
      <c r="W765">
        <f t="shared" si="284"/>
        <v>0.16886623989551949</v>
      </c>
      <c r="X765">
        <f t="shared" si="285"/>
        <v>0.21075176701564741</v>
      </c>
      <c r="Y765" t="b">
        <f t="shared" si="287"/>
        <v>0</v>
      </c>
    </row>
    <row xmlns:x14ac="http://schemas.microsoft.com/office/spreadsheetml/2009/9/ac" r="766" x14ac:dyDescent="0.45">
      <c r="A766">
        <v>3.7949999999999502</v>
      </c>
      <c r="B766">
        <f t="shared" si="265"/>
        <v>0.16299999950938526</v>
      </c>
      <c r="C766" t="b">
        <f t="shared" si="278"/>
        <v>1</v>
      </c>
      <c r="D766" t="b">
        <f t="shared" si="266"/>
        <v>1</v>
      </c>
      <c r="E766">
        <f t="shared" si="274"/>
        <v>3.7949999999999502</v>
      </c>
      <c r="F766">
        <f t="shared" si="279"/>
        <v>0.16299999950938526</v>
      </c>
      <c r="G766">
        <f t="shared" si="267"/>
        <v>0.21073320582189686</v>
      </c>
      <c r="H766">
        <f t="shared" si="268"/>
        <v>3.4999999811302029E-2</v>
      </c>
      <c r="I766" t="b">
        <f t="shared" si="280"/>
        <v>1</v>
      </c>
      <c r="J766">
        <f t="shared" si="269"/>
        <v>3.7949999999999502</v>
      </c>
      <c r="K766">
        <f t="shared" si="281"/>
        <v>3.4999999811302029E-2</v>
      </c>
      <c r="L766">
        <f t="shared" si="270"/>
        <v>0.1688942325322379</v>
      </c>
      <c r="M766">
        <f t="shared" si="271"/>
        <v>0.18999999962260405</v>
      </c>
      <c r="N766">
        <f t="shared" si="272"/>
        <v>0.1879996110931986</v>
      </c>
      <c r="O766">
        <f t="shared" si="273"/>
        <v>0.15777777777772292</v>
      </c>
      <c r="P766">
        <f t="shared" si="286"/>
        <v>0.08</v>
      </c>
      <c r="Q766">
        <f t="shared" si="282"/>
        <v>0.08</v>
      </c>
      <c r="R766">
        <f t="shared" si="275"/>
        <v>0.08</v>
      </c>
      <c r="S766">
        <f t="shared" si="276"/>
        <v>0.06</v>
      </c>
      <c r="T766">
        <f t="shared" si="277"/>
        <v>0.1</v>
      </c>
      <c r="U766">
        <f t="shared" si="283"/>
        <v>0.08</v>
      </c>
      <c r="V766">
        <f t="shared" si="288"/>
        <v>0.1879996110931986</v>
      </c>
      <c r="W766">
        <f t="shared" si="284"/>
        <v>0.1688718945476311</v>
      </c>
      <c r="X766">
        <f t="shared" si="285"/>
        <v>0.21074801756201461</v>
      </c>
      <c r="Y766" t="b">
        <f t="shared" si="287"/>
        <v>0</v>
      </c>
    </row>
    <row xmlns:x14ac="http://schemas.microsoft.com/office/spreadsheetml/2009/9/ac" r="767" x14ac:dyDescent="0.45">
      <c r="A767">
        <v>3.7999999999999501</v>
      </c>
      <c r="B767">
        <f t="shared" si="265"/>
        <v>0.16299999947577293</v>
      </c>
      <c r="C767" t="b">
        <f t="shared" si="278"/>
        <v>1</v>
      </c>
      <c r="D767" t="b">
        <f t="shared" si="266"/>
        <v>1</v>
      </c>
      <c r="E767">
        <f t="shared" si="274"/>
        <v>3.7999999999999501</v>
      </c>
      <c r="F767">
        <f t="shared" si="279"/>
        <v>0.16299999947577293</v>
      </c>
      <c r="G767">
        <f t="shared" si="267"/>
        <v>0.21072954894260409</v>
      </c>
      <c r="H767">
        <f t="shared" si="268"/>
        <v>3.4999999798374204E-2</v>
      </c>
      <c r="I767" t="b">
        <f t="shared" si="280"/>
        <v>1</v>
      </c>
      <c r="J767">
        <f t="shared" si="269"/>
        <v>3.7999999999999501</v>
      </c>
      <c r="K767">
        <f t="shared" si="281"/>
        <v>3.4999999798374204E-2</v>
      </c>
      <c r="L767">
        <f t="shared" si="270"/>
        <v>0.16889974757049142</v>
      </c>
      <c r="M767">
        <f t="shared" si="271"/>
        <v>0.1899999995967484</v>
      </c>
      <c r="N767">
        <f t="shared" si="272"/>
        <v>0.18799958936371755</v>
      </c>
      <c r="O767">
        <f t="shared" si="273"/>
        <v>0.15777777777771823</v>
      </c>
      <c r="P767">
        <f t="shared" si="286"/>
        <v>0.08</v>
      </c>
      <c r="Q767">
        <f t="shared" si="282"/>
        <v>0.08</v>
      </c>
      <c r="R767">
        <f t="shared" si="275"/>
        <v>0.08</v>
      </c>
      <c r="S767">
        <f t="shared" si="276"/>
        <v>0.06</v>
      </c>
      <c r="T767">
        <f t="shared" si="277"/>
        <v>0.1</v>
      </c>
      <c r="U767">
        <f t="shared" si="283"/>
        <v>0.08</v>
      </c>
      <c r="V767">
        <f t="shared" si="288"/>
        <v>0.18799958936371755</v>
      </c>
      <c r="W767">
        <f t="shared" si="284"/>
        <v>0.16887752099704761</v>
      </c>
      <c r="X767">
        <f t="shared" si="285"/>
        <v>0.21074428680885982</v>
      </c>
      <c r="Y767" t="b">
        <f t="shared" si="287"/>
        <v>0</v>
      </c>
    </row>
    <row xmlns:x14ac="http://schemas.microsoft.com/office/spreadsheetml/2009/9/ac" r="768" x14ac:dyDescent="0.45">
      <c r="A768">
        <v>3.80499999999995</v>
      </c>
      <c r="B768">
        <f t="shared" si="265"/>
        <v>0.16299999944630764</v>
      </c>
      <c r="C768" t="b">
        <f t="shared" si="278"/>
        <v>1</v>
      </c>
      <c r="D768" t="b">
        <f t="shared" si="266"/>
        <v>1</v>
      </c>
      <c r="E768">
        <f t="shared" si="274"/>
        <v>3.80499999999995</v>
      </c>
      <c r="F768">
        <f t="shared" si="279"/>
        <v>0.16299999944630764</v>
      </c>
      <c r="G768">
        <f t="shared" si="267"/>
        <v>0.21072591030207288</v>
      </c>
      <c r="H768">
        <f t="shared" si="268"/>
        <v>3.4999999787041394E-2</v>
      </c>
      <c r="I768" t="b">
        <f t="shared" si="280"/>
        <v>1</v>
      </c>
      <c r="J768">
        <f t="shared" si="269"/>
        <v>3.80499999999995</v>
      </c>
      <c r="K768">
        <f t="shared" si="281"/>
        <v>3.4999999787041394E-2</v>
      </c>
      <c r="L768">
        <f t="shared" si="270"/>
        <v>0.16890523510237687</v>
      </c>
      <c r="M768">
        <f t="shared" si="271"/>
        <v>0.18999999957408281</v>
      </c>
      <c r="N768">
        <f t="shared" si="272"/>
        <v>0.18799957015154331</v>
      </c>
      <c r="O768">
        <f t="shared" si="273"/>
        <v>0.15777777777771418</v>
      </c>
      <c r="P768">
        <f t="shared" si="286"/>
        <v>0.08</v>
      </c>
      <c r="Q768">
        <f t="shared" si="282"/>
        <v>0.08</v>
      </c>
      <c r="R768">
        <f t="shared" si="275"/>
        <v>0.08</v>
      </c>
      <c r="S768">
        <f t="shared" si="276"/>
        <v>0.06</v>
      </c>
      <c r="T768">
        <f t="shared" si="277"/>
        <v>0.1</v>
      </c>
      <c r="U768">
        <f t="shared" si="283"/>
        <v>0.08</v>
      </c>
      <c r="V768">
        <f t="shared" si="288"/>
        <v>0.18799957015154331</v>
      </c>
      <c r="W768">
        <f t="shared" si="284"/>
        <v>0.16888311938443062</v>
      </c>
      <c r="X768">
        <f t="shared" si="285"/>
        <v>0.21074057466291402</v>
      </c>
      <c r="Y768" t="b">
        <f t="shared" si="287"/>
        <v>0</v>
      </c>
    </row>
    <row xmlns:x14ac="http://schemas.microsoft.com/office/spreadsheetml/2009/9/ac" r="769" x14ac:dyDescent="0.45">
      <c r="A769">
        <v>3.8099999999999499</v>
      </c>
      <c r="B769">
        <f t="shared" si="265"/>
        <v>0.16299999942092802</v>
      </c>
      <c r="C769" t="b">
        <f t="shared" si="278"/>
        <v>1</v>
      </c>
      <c r="D769" t="b">
        <f t="shared" si="266"/>
        <v>1</v>
      </c>
      <c r="E769">
        <f t="shared" si="274"/>
        <v>3.8099999999999499</v>
      </c>
      <c r="F769">
        <f t="shared" si="279"/>
        <v>0.16299999942092802</v>
      </c>
      <c r="G769">
        <f t="shared" si="267"/>
        <v>0.21072228980933705</v>
      </c>
      <c r="H769">
        <f t="shared" si="268"/>
        <v>3.4999999777280008E-2</v>
      </c>
      <c r="I769" t="b">
        <f t="shared" si="280"/>
        <v>1</v>
      </c>
      <c r="J769">
        <f t="shared" si="269"/>
        <v>3.8099999999999499</v>
      </c>
      <c r="K769">
        <f t="shared" si="281"/>
        <v>3.4999999777280008E-2</v>
      </c>
      <c r="L769">
        <f t="shared" si="270"/>
        <v>0.1689106952650829</v>
      </c>
      <c r="M769">
        <f t="shared" si="271"/>
        <v>0.18999999955456004</v>
      </c>
      <c r="N769">
        <f t="shared" si="272"/>
        <v>0.18799955346315531</v>
      </c>
      <c r="O769">
        <f t="shared" si="273"/>
        <v>0.15777777777771074</v>
      </c>
      <c r="P769">
        <f t="shared" si="286"/>
        <v>0.08</v>
      </c>
      <c r="Q769">
        <f t="shared" si="282"/>
        <v>0.08</v>
      </c>
      <c r="R769">
        <f t="shared" si="275"/>
        <v>0.08</v>
      </c>
      <c r="S769">
        <f t="shared" si="276"/>
        <v>0.06</v>
      </c>
      <c r="T769">
        <f t="shared" si="277"/>
        <v>0.1</v>
      </c>
      <c r="U769">
        <f t="shared" si="283"/>
        <v>0.08</v>
      </c>
      <c r="V769">
        <f t="shared" si="288"/>
        <v>0.18799955346315531</v>
      </c>
      <c r="W769">
        <f t="shared" si="284"/>
        <v>0.16888868984974009</v>
      </c>
      <c r="X769">
        <f t="shared" si="285"/>
        <v>0.21073688103137334</v>
      </c>
      <c r="Y769" t="b">
        <f t="shared" si="287"/>
        <v>0</v>
      </c>
    </row>
    <row xmlns:x14ac="http://schemas.microsoft.com/office/spreadsheetml/2009/9/ac" r="770" x14ac:dyDescent="0.45">
      <c r="A770">
        <v>3.8149999999999502</v>
      </c>
      <c r="B770">
        <f t="shared" si="265"/>
        <v>0.16299999939955628</v>
      </c>
      <c r="C770" t="b">
        <f t="shared" si="278"/>
        <v>1</v>
      </c>
      <c r="D770" t="b">
        <f t="shared" si="266"/>
        <v>1</v>
      </c>
      <c r="E770">
        <f t="shared" si="274"/>
        <v>3.8149999999999502</v>
      </c>
      <c r="F770">
        <f t="shared" si="279"/>
        <v>0.16299999939955628</v>
      </c>
      <c r="G770">
        <f t="shared" si="267"/>
        <v>0.21071868737388411</v>
      </c>
      <c r="H770">
        <f t="shared" si="268"/>
        <v>3.4999999769060111E-2</v>
      </c>
      <c r="I770" t="b">
        <f t="shared" si="280"/>
        <v>1</v>
      </c>
      <c r="J770">
        <f t="shared" si="269"/>
        <v>3.8149999999999502</v>
      </c>
      <c r="K770">
        <f t="shared" si="281"/>
        <v>3.4999999769060111E-2</v>
      </c>
      <c r="L770">
        <f t="shared" si="270"/>
        <v>0.16891612819511381</v>
      </c>
      <c r="M770">
        <f t="shared" si="271"/>
        <v>0.18999999953812022</v>
      </c>
      <c r="N770">
        <f t="shared" si="272"/>
        <v>0.18799953929356342</v>
      </c>
      <c r="O770">
        <f t="shared" si="273"/>
        <v>0.15777777777770791</v>
      </c>
      <c r="P770">
        <f t="shared" si="286"/>
        <v>0.08</v>
      </c>
      <c r="Q770">
        <f t="shared" si="282"/>
        <v>0.08</v>
      </c>
      <c r="R770">
        <f t="shared" si="275"/>
        <v>0.08</v>
      </c>
      <c r="S770">
        <f t="shared" si="276"/>
        <v>0.06</v>
      </c>
      <c r="T770">
        <f t="shared" si="277"/>
        <v>0.1</v>
      </c>
      <c r="U770">
        <f t="shared" si="283"/>
        <v>0.08</v>
      </c>
      <c r="V770">
        <f t="shared" si="288"/>
        <v>0.18799953929356342</v>
      </c>
      <c r="W770">
        <f t="shared" si="284"/>
        <v>0.1688942325322379</v>
      </c>
      <c r="X770">
        <f t="shared" si="285"/>
        <v>0.21073320582189686</v>
      </c>
      <c r="Y770" t="b">
        <f t="shared" si="287"/>
        <v>0</v>
      </c>
    </row>
    <row xmlns:x14ac="http://schemas.microsoft.com/office/spreadsheetml/2009/9/ac" r="771" x14ac:dyDescent="0.45">
      <c r="A771">
        <v>3.8199999999999501</v>
      </c>
      <c r="B771">
        <f t="shared" si="265"/>
        <v>0.16299999938209916</v>
      </c>
      <c r="C771" t="b">
        <f t="shared" si="278"/>
        <v>1</v>
      </c>
      <c r="D771" t="b">
        <f t="shared" si="266"/>
        <v>1</v>
      </c>
      <c r="E771">
        <f t="shared" si="274"/>
        <v>3.8199999999999501</v>
      </c>
      <c r="F771">
        <f t="shared" si="279"/>
        <v>0.16299999938209916</v>
      </c>
      <c r="G771">
        <f t="shared" si="267"/>
        <v>0.21071510290565287</v>
      </c>
      <c r="H771">
        <f t="shared" si="268"/>
        <v>3.4999999762345829E-2</v>
      </c>
      <c r="I771" t="b">
        <f t="shared" si="280"/>
        <v>1</v>
      </c>
      <c r="J771">
        <f t="shared" si="269"/>
        <v>3.8199999999999501</v>
      </c>
      <c r="K771">
        <f t="shared" si="281"/>
        <v>3.4999999762345829E-2</v>
      </c>
      <c r="L771">
        <f t="shared" si="270"/>
        <v>0.16892153402829313</v>
      </c>
      <c r="M771">
        <f t="shared" si="271"/>
        <v>0.18999999952469165</v>
      </c>
      <c r="N771">
        <f t="shared" si="272"/>
        <v>0.18799952762669142</v>
      </c>
      <c r="O771">
        <f t="shared" si="273"/>
        <v>0.15777777777770569</v>
      </c>
      <c r="P771">
        <f t="shared" si="286"/>
        <v>0.08</v>
      </c>
      <c r="Q771">
        <f t="shared" si="282"/>
        <v>0.08</v>
      </c>
      <c r="R771">
        <f t="shared" si="275"/>
        <v>0.08</v>
      </c>
      <c r="S771">
        <f t="shared" si="276"/>
        <v>0.06</v>
      </c>
      <c r="T771">
        <f t="shared" si="277"/>
        <v>0.1</v>
      </c>
      <c r="U771">
        <f t="shared" si="283"/>
        <v>0.08</v>
      </c>
      <c r="V771">
        <f t="shared" si="288"/>
        <v>0.18799952762669142</v>
      </c>
      <c r="W771">
        <f t="shared" si="284"/>
        <v>0.16889974757049142</v>
      </c>
      <c r="X771">
        <f t="shared" si="285"/>
        <v>0.21072954894260409</v>
      </c>
      <c r="Y771" t="b">
        <f t="shared" si="287"/>
        <v>0</v>
      </c>
    </row>
    <row xmlns:x14ac="http://schemas.microsoft.com/office/spreadsheetml/2009/9/ac" r="772" x14ac:dyDescent="0.45">
      <c r="A772">
        <v>3.82499999999995</v>
      </c>
      <c r="B772">
        <f t="shared" si="265"/>
        <v>0.16299999936844925</v>
      </c>
      <c r="C772" t="b">
        <f t="shared" si="278"/>
        <v>1</v>
      </c>
      <c r="D772" t="b">
        <f t="shared" si="266"/>
        <v>1</v>
      </c>
      <c r="E772">
        <f t="shared" si="274"/>
        <v>3.82499999999995</v>
      </c>
      <c r="F772">
        <f t="shared" si="279"/>
        <v>0.16299999936844925</v>
      </c>
      <c r="G772">
        <f t="shared" si="267"/>
        <v>0.21071153631503159</v>
      </c>
      <c r="H772">
        <f t="shared" si="268"/>
        <v>3.4999999757095862E-2</v>
      </c>
      <c r="I772" t="b">
        <f t="shared" si="280"/>
        <v>1</v>
      </c>
      <c r="J772">
        <f t="shared" si="269"/>
        <v>3.82499999999995</v>
      </c>
      <c r="K772">
        <f t="shared" si="281"/>
        <v>3.4999999757095862E-2</v>
      </c>
      <c r="L772">
        <f t="shared" si="270"/>
        <v>0.16892691289976702</v>
      </c>
      <c r="M772">
        <f t="shared" si="271"/>
        <v>0.18999999951419172</v>
      </c>
      <c r="N772">
        <f t="shared" si="272"/>
        <v>0.18799951843579799</v>
      </c>
      <c r="O772">
        <f t="shared" si="273"/>
        <v>0.15777777777770396</v>
      </c>
      <c r="P772">
        <f t="shared" si="286"/>
        <v>0.08</v>
      </c>
      <c r="Q772">
        <f t="shared" si="282"/>
        <v>0.08</v>
      </c>
      <c r="R772">
        <f t="shared" si="275"/>
        <v>0.08</v>
      </c>
      <c r="S772">
        <f t="shared" si="276"/>
        <v>0.06</v>
      </c>
      <c r="T772">
        <f t="shared" si="277"/>
        <v>0.1</v>
      </c>
      <c r="U772">
        <f t="shared" si="283"/>
        <v>0.08</v>
      </c>
      <c r="V772">
        <f t="shared" si="288"/>
        <v>0.18799951843579799</v>
      </c>
      <c r="W772">
        <f t="shared" si="284"/>
        <v>0.16890523510237687</v>
      </c>
      <c r="X772">
        <f t="shared" si="285"/>
        <v>0.21072591030207288</v>
      </c>
      <c r="Y772" t="b">
        <f t="shared" si="287"/>
        <v>0</v>
      </c>
    </row>
    <row xmlns:x14ac="http://schemas.microsoft.com/office/spreadsheetml/2009/9/ac" r="773" x14ac:dyDescent="0.45">
      <c r="A773">
        <v>3.8299999999999499</v>
      </c>
      <c r="B773">
        <f t="shared" si="265"/>
        <v>0.16299999935848619</v>
      </c>
      <c r="C773" t="b">
        <f t="shared" si="278"/>
        <v>1</v>
      </c>
      <c r="D773" t="b">
        <f t="shared" si="266"/>
        <v>1</v>
      </c>
      <c r="E773">
        <f t="shared" si="274"/>
        <v>3.8299999999999499</v>
      </c>
      <c r="F773">
        <f t="shared" si="279"/>
        <v>0.16299999935848619</v>
      </c>
      <c r="G773">
        <f t="shared" si="267"/>
        <v>0.21070798751285519</v>
      </c>
      <c r="H773">
        <f t="shared" si="268"/>
        <v>3.4999999753263927E-2</v>
      </c>
      <c r="I773" t="b">
        <f t="shared" si="280"/>
        <v>1</v>
      </c>
      <c r="J773">
        <f t="shared" si="269"/>
        <v>3.8299999999999499</v>
      </c>
      <c r="K773">
        <f t="shared" si="281"/>
        <v>3.4999999753263927E-2</v>
      </c>
      <c r="L773">
        <f t="shared" si="270"/>
        <v>0.16893226494400748</v>
      </c>
      <c r="M773">
        <f t="shared" si="271"/>
        <v>0.18999999950652785</v>
      </c>
      <c r="N773">
        <f t="shared" si="272"/>
        <v>0.1879995116839317</v>
      </c>
      <c r="O773">
        <f t="shared" si="273"/>
        <v>0.15777777777770277</v>
      </c>
      <c r="P773">
        <f t="shared" si="286"/>
        <v>0.08</v>
      </c>
      <c r="Q773">
        <f t="shared" si="282"/>
        <v>0.08</v>
      </c>
      <c r="R773">
        <f t="shared" si="275"/>
        <v>0.08</v>
      </c>
      <c r="S773">
        <f t="shared" si="276"/>
        <v>0.06</v>
      </c>
      <c r="T773">
        <f t="shared" si="277"/>
        <v>0.1</v>
      </c>
      <c r="U773">
        <f t="shared" si="283"/>
        <v>0.08</v>
      </c>
      <c r="V773">
        <f t="shared" si="288"/>
        <v>0.1879995116839317</v>
      </c>
      <c r="W773">
        <f t="shared" si="284"/>
        <v>0.1689106952650829</v>
      </c>
      <c r="X773">
        <f t="shared" si="285"/>
        <v>0.21072228980933705</v>
      </c>
      <c r="Y773" t="b">
        <f t="shared" si="287"/>
        <v>0</v>
      </c>
    </row>
    <row xmlns:x14ac="http://schemas.microsoft.com/office/spreadsheetml/2009/9/ac" r="774" x14ac:dyDescent="0.45">
      <c r="A774">
        <v>3.8349999999999498</v>
      </c>
      <c r="B774">
        <f t="shared" si="265"/>
        <v>0.16299999935207782</v>
      </c>
      <c r="C774" t="b">
        <f t="shared" si="278"/>
        <v>1</v>
      </c>
      <c r="D774" t="b">
        <f t="shared" si="266"/>
        <v>1</v>
      </c>
      <c r="E774">
        <f t="shared" si="274"/>
        <v>3.8349999999999498</v>
      </c>
      <c r="F774">
        <f t="shared" si="279"/>
        <v>0.16299999935207782</v>
      </c>
      <c r="G774">
        <f t="shared" si="267"/>
        <v>0.21070445641040353</v>
      </c>
      <c r="H774">
        <f t="shared" si="268"/>
        <v>3.4999999750799163E-2</v>
      </c>
      <c r="I774" t="b">
        <f t="shared" si="280"/>
        <v>1</v>
      </c>
      <c r="J774">
        <f t="shared" si="269"/>
        <v>3.8349999999999498</v>
      </c>
      <c r="K774">
        <f t="shared" si="281"/>
        <v>3.4999999750799163E-2</v>
      </c>
      <c r="L774">
        <f t="shared" si="270"/>
        <v>0.16893759029481595</v>
      </c>
      <c r="M774">
        <f t="shared" si="271"/>
        <v>0.18999999950159835</v>
      </c>
      <c r="N774">
        <f t="shared" si="272"/>
        <v>0.18799950732441789</v>
      </c>
      <c r="O774">
        <f t="shared" si="273"/>
        <v>0.15777777777770208</v>
      </c>
      <c r="P774">
        <f t="shared" si="286"/>
        <v>0.08</v>
      </c>
      <c r="Q774">
        <f t="shared" si="282"/>
        <v>0.08</v>
      </c>
      <c r="R774">
        <f t="shared" si="275"/>
        <v>0.08</v>
      </c>
      <c r="S774">
        <f t="shared" si="276"/>
        <v>0.06</v>
      </c>
      <c r="T774">
        <f t="shared" si="277"/>
        <v>0.1</v>
      </c>
      <c r="U774">
        <f t="shared" si="283"/>
        <v>0.08</v>
      </c>
      <c r="V774">
        <f t="shared" si="288"/>
        <v>0.18799950732441789</v>
      </c>
      <c r="W774">
        <f t="shared" si="284"/>
        <v>0.16891612819511381</v>
      </c>
      <c r="X774">
        <f t="shared" si="285"/>
        <v>0.21071868737388411</v>
      </c>
      <c r="Y774" t="b">
        <f t="shared" si="287"/>
        <v>0</v>
      </c>
    </row>
    <row xmlns:x14ac="http://schemas.microsoft.com/office/spreadsheetml/2009/9/ac" r="775" x14ac:dyDescent="0.45">
      <c r="A775">
        <v>3.8399999999999501</v>
      </c>
      <c r="B775">
        <f t="shared" ref="B775:B838" si="289">-(1+Marge_haute)*(A+B/Tpll*EXP(-$A775/Tpll)+C_*EXP(-epsilon*Wn*$A775)*COS(Wd*$A775)+C_*(D/C_-epsilon*Wn)/Wd*EXP(-epsilon*Wn*$A775)*SIN(Wd*$A775))+SIGN(DeltaPexpected)*Tunnel</f>
        <v>0.16299999934908144</v>
      </c>
      <c r="C775" t="b">
        <f t="shared" si="278"/>
        <v>1</v>
      </c>
      <c r="D775" t="b">
        <f t="shared" ref="D775:D838" si="290">IF(D774,D774,IF(C775,B775&gt;B774,C775))</f>
        <v>1</v>
      </c>
      <c r="E775">
        <f t="shared" si="274"/>
        <v>3.8399999999999501</v>
      </c>
      <c r="F775">
        <f t="shared" si="279"/>
        <v>0.16299999934908144</v>
      </c>
      <c r="G775">
        <f t="shared" ref="G775:G838" si="291">P0-SIGN(Rocof)*IF(D775,DeltaPexpected+SIGN(DeltaPexpected)*Tunnel+(MIN(F$7:F$1495)-DeltaPexpected-+SIGN(DeltaPexpected)*Tunnel)*EXP(-(A775-MIN(E$7:E$1495))/Texpodecrease),B775)</f>
        <v>0.21070094291939878</v>
      </c>
      <c r="H775">
        <f t="shared" ref="H775:H838" si="292">-(1-marge_basse)*(A+B/Tpll*EXP(-$A775/Tpll)+C_*EXP(-epsilon*Wn*$A775)*COS(Wd*$A775)+C_*(D/C_-epsilon*Wn)/Wd*EXP(-epsilon*Wn*$A775)*SIN(Wd*$A775))-Tunnel</f>
        <v>3.499999974964671E-2</v>
      </c>
      <c r="I775" t="b">
        <f t="shared" si="280"/>
        <v>1</v>
      </c>
      <c r="J775">
        <f t="shared" ref="J775:J838" si="293">IF(I775,A775,I775)</f>
        <v>3.8399999999999501</v>
      </c>
      <c r="K775">
        <f t="shared" si="281"/>
        <v>3.499999974964671E-2</v>
      </c>
      <c r="L775">
        <f t="shared" ref="L775:L838" si="294">P0-SIGN(Rocof)*IF(I775,AF$23-AF$13+(MAX(K$7:K$1495)-AF$23+AF$13)*EXP(-(A775-MIN(J$7:J$1495))/AB$21),H775)</f>
        <v>0.16894288908532645</v>
      </c>
      <c r="M775">
        <f t="shared" ref="M775:M838" si="295">P0-(1)*(A+B/Tpll*EXP(-$A775/Tpll)+C_*EXP(-epsilon*Wn*$A775)*COS(Wd*$A775)+C_*(D/C_-epsilon*Wn)/Wd*EXP(-epsilon*Wn*$A775)*SIN(Wd*$A775))</f>
        <v>0.18999999949929341</v>
      </c>
      <c r="N775">
        <f t="shared" ref="N775:N838" si="296">AB$6-(AG$17+AG$16/AC$18*EXP(-$A775/AC$18)+AG$18*EXP(-AG$6*AG$12*$A775)*COS(AG$5*$A775)+AG$18*(AG$19/AG$18-AG$6*AG$12)/AG$5*EXP(-AG$6*AG$12*$A775)*SIN(AG$5*$A775))</f>
        <v>0.18799950530137283</v>
      </c>
      <c r="O775">
        <f t="shared" ref="O775:O838" si="297">AB$6-(AH$17+AH$16/AD$18*EXP(-$A775/AD$18)+AH$18*EXP(-AH$6*AH$12*$A775)*COS(AH$5*$A775)+AH$18*(AH$19/AH$18-AH$6*AH$12)/AH$5*EXP(-AH$6*AH$12*$A775)*SIN(AH$5*$A775))</f>
        <v>0.1577777777777018</v>
      </c>
      <c r="P775">
        <f t="shared" si="286"/>
        <v>0.08</v>
      </c>
      <c r="Q775">
        <f t="shared" si="282"/>
        <v>0.08</v>
      </c>
      <c r="R775">
        <f t="shared" si="275"/>
        <v>0.08</v>
      </c>
      <c r="S775">
        <f t="shared" si="276"/>
        <v>0.06</v>
      </c>
      <c r="T775">
        <f t="shared" si="277"/>
        <v>0.1</v>
      </c>
      <c r="U775">
        <f t="shared" si="283"/>
        <v>0.08</v>
      </c>
      <c r="V775">
        <f t="shared" si="288"/>
        <v>0.18799950530137283</v>
      </c>
      <c r="W775">
        <f t="shared" si="284"/>
        <v>0.16892153402829313</v>
      </c>
      <c r="X775">
        <f t="shared" si="285"/>
        <v>0.21071510290565287</v>
      </c>
      <c r="Y775" t="b">
        <f t="shared" si="287"/>
        <v>0</v>
      </c>
    </row>
    <row xmlns:x14ac="http://schemas.microsoft.com/office/spreadsheetml/2009/9/ac" r="776" x14ac:dyDescent="0.45">
      <c r="A776">
        <v>3.84499999999995</v>
      </c>
      <c r="B776">
        <f t="shared" si="289"/>
        <v>0.16299999934934495</v>
      </c>
      <c r="C776" t="b">
        <f t="shared" si="278"/>
        <v>1</v>
      </c>
      <c r="D776" t="b">
        <f t="shared" si="290"/>
        <v>1</v>
      </c>
      <c r="E776">
        <f t="shared" ref="E776:E839" si="298">IF(D776,A776,D776)</f>
        <v>3.84499999999995</v>
      </c>
      <c r="F776">
        <f t="shared" si="279"/>
        <v>0.16299999934934495</v>
      </c>
      <c r="G776">
        <f t="shared" si="291"/>
        <v>0.21069744695200354</v>
      </c>
      <c r="H776">
        <f t="shared" si="292"/>
        <v>3.4999999749748059E-2</v>
      </c>
      <c r="I776" t="b">
        <f t="shared" si="280"/>
        <v>1</v>
      </c>
      <c r="J776">
        <f t="shared" si="293"/>
        <v>3.84499999999995</v>
      </c>
      <c r="K776">
        <f t="shared" si="281"/>
        <v>3.4999999749748059E-2</v>
      </c>
      <c r="L776">
        <f t="shared" si="294"/>
        <v>0.16894816144800903</v>
      </c>
      <c r="M776">
        <f t="shared" si="295"/>
        <v>0.18999999949949611</v>
      </c>
      <c r="N776">
        <f t="shared" si="296"/>
        <v>0.18799950555024347</v>
      </c>
      <c r="O776">
        <f t="shared" si="297"/>
        <v>0.15777777777770199</v>
      </c>
      <c r="P776">
        <f t="shared" si="286"/>
        <v>0.08</v>
      </c>
      <c r="Q776">
        <f t="shared" si="282"/>
        <v>0.08</v>
      </c>
      <c r="R776">
        <f t="shared" ref="R776:R839" si="299">$AB$6-(1+AB$17)*EXP(-AF$6*AF$12*A776)*(COS(AF$5*A776)-(AF$6*AF$12-1)/(AF$5)*SIN(AF$5*A776))*AF$15</f>
        <v>0.08</v>
      </c>
      <c r="S776">
        <f t="shared" ref="S776:S839" si="300">R776-AF$13</f>
        <v>0.06</v>
      </c>
      <c r="T776">
        <f t="shared" ref="T776:T839" si="301">R776+AF$13</f>
        <v>0.1</v>
      </c>
      <c r="U776">
        <f t="shared" si="283"/>
        <v>0.08</v>
      </c>
      <c r="V776">
        <f t="shared" si="288"/>
        <v>0.18799950555024347</v>
      </c>
      <c r="W776">
        <f t="shared" si="284"/>
        <v>0.16892691289976702</v>
      </c>
      <c r="X776">
        <f t="shared" si="285"/>
        <v>0.21071153631503159</v>
      </c>
      <c r="Y776" t="b">
        <f t="shared" si="287"/>
        <v>0</v>
      </c>
    </row>
    <row xmlns:x14ac="http://schemas.microsoft.com/office/spreadsheetml/2009/9/ac" r="777" x14ac:dyDescent="0.45">
      <c r="A777">
        <v>3.8499999999999499</v>
      </c>
      <c r="B777">
        <f t="shared" si="289"/>
        <v>0.16299999935270812</v>
      </c>
      <c r="C777" t="b">
        <f t="shared" ref="C777:C840" si="302">IF(C776,C776,(B777&lt;B776))</f>
        <v>1</v>
      </c>
      <c r="D777" t="b">
        <f t="shared" si="290"/>
        <v>1</v>
      </c>
      <c r="E777">
        <f t="shared" si="298"/>
        <v>3.8499999999999499</v>
      </c>
      <c r="F777">
        <f t="shared" ref="F777:F840" si="303">IF(D777,B777,D777)</f>
        <v>0.16299999935270812</v>
      </c>
      <c r="G777">
        <f t="shared" si="291"/>
        <v>0.21069396842081839</v>
      </c>
      <c r="H777">
        <f t="shared" si="292"/>
        <v>3.499999975104158E-2</v>
      </c>
      <c r="I777" t="b">
        <f t="shared" ref="I777:I840" si="304">IF(I776,I776,H776&gt;H777)</f>
        <v>1</v>
      </c>
      <c r="J777">
        <f t="shared" si="293"/>
        <v>3.8499999999999499</v>
      </c>
      <c r="K777">
        <f t="shared" ref="K777:K840" si="305">IF(I777,H777,I777)</f>
        <v>3.499999975104158E-2</v>
      </c>
      <c r="L777">
        <f t="shared" si="294"/>
        <v>0.16895340751467303</v>
      </c>
      <c r="M777">
        <f t="shared" si="295"/>
        <v>0.18999999950208318</v>
      </c>
      <c r="N777">
        <f t="shared" si="296"/>
        <v>0.18799950799836859</v>
      </c>
      <c r="O777">
        <f t="shared" si="297"/>
        <v>0.15777777777770258</v>
      </c>
      <c r="P777">
        <f t="shared" si="286"/>
        <v>0.08</v>
      </c>
      <c r="Q777">
        <f t="shared" ref="Q777:Q840" si="306">$AB$6-(1+AB$17)*EXP(-AF$6*AF$12*A775)*(COS(AF$5*A775)-(AF$6*AF$12-1)/(AF$5)*SIN(AF$5*A775))*AF$15</f>
        <v>0.08</v>
      </c>
      <c r="R777">
        <f t="shared" si="299"/>
        <v>0.08</v>
      </c>
      <c r="S777">
        <f t="shared" si="300"/>
        <v>0.06</v>
      </c>
      <c r="T777">
        <f t="shared" si="301"/>
        <v>0.1</v>
      </c>
      <c r="U777">
        <f t="shared" ref="U777:U840" si="307">$AB$6-AB$18*EXP(-AF$6*AF$12*A775)*(COS(AF$5*A775)-(AF$6*AF$12-1)/(AF$5)*SIN(AF$5*A775))*AF$15</f>
        <v>0.08</v>
      </c>
      <c r="V777">
        <f t="shared" si="288"/>
        <v>0.18799950799836859</v>
      </c>
      <c r="W777">
        <f t="shared" si="284"/>
        <v>0.16893226494400748</v>
      </c>
      <c r="X777">
        <f t="shared" si="285"/>
        <v>0.21070798751285519</v>
      </c>
      <c r="Y777" t="b">
        <f t="shared" si="287"/>
        <v>0</v>
      </c>
    </row>
    <row xmlns:x14ac="http://schemas.microsoft.com/office/spreadsheetml/2009/9/ac" r="778" x14ac:dyDescent="0.45">
      <c r="A778">
        <v>3.8549999999999498</v>
      </c>
      <c r="B778">
        <f t="shared" si="289"/>
        <v>0.16299999935900367</v>
      </c>
      <c r="C778" t="b">
        <f t="shared" si="302"/>
        <v>1</v>
      </c>
      <c r="D778" t="b">
        <f t="shared" si="290"/>
        <v>1</v>
      </c>
      <c r="E778">
        <f t="shared" si="298"/>
        <v>3.8549999999999498</v>
      </c>
      <c r="F778">
        <f t="shared" si="303"/>
        <v>0.16299999935900367</v>
      </c>
      <c r="G778">
        <f t="shared" si="291"/>
        <v>0.21069050723887994</v>
      </c>
      <c r="H778">
        <f t="shared" si="292"/>
        <v>3.4999999753462949E-2</v>
      </c>
      <c r="I778" t="b">
        <f t="shared" si="304"/>
        <v>1</v>
      </c>
      <c r="J778">
        <f t="shared" si="293"/>
        <v>3.8549999999999498</v>
      </c>
      <c r="K778">
        <f t="shared" si="305"/>
        <v>3.4999999753462949E-2</v>
      </c>
      <c r="L778">
        <f t="shared" si="294"/>
        <v>0.16895862741647039</v>
      </c>
      <c r="M778">
        <f t="shared" si="295"/>
        <v>0.18999999950692592</v>
      </c>
      <c r="N778">
        <f t="shared" si="296"/>
        <v>0.18799951256555836</v>
      </c>
      <c r="O778">
        <f t="shared" si="297"/>
        <v>0.15777777777770347</v>
      </c>
      <c r="P778">
        <f t="shared" si="286"/>
        <v>0.08</v>
      </c>
      <c r="Q778">
        <f t="shared" si="306"/>
        <v>0.08</v>
      </c>
      <c r="R778">
        <f t="shared" si="299"/>
        <v>0.08</v>
      </c>
      <c r="S778">
        <f t="shared" si="300"/>
        <v>0.06</v>
      </c>
      <c r="T778">
        <f t="shared" si="301"/>
        <v>0.1</v>
      </c>
      <c r="U778">
        <f t="shared" si="307"/>
        <v>0.08</v>
      </c>
      <c r="V778">
        <f t="shared" si="288"/>
        <v>0.18799951256555836</v>
      </c>
      <c r="W778">
        <f t="shared" si="284"/>
        <v>0.16893759029481595</v>
      </c>
      <c r="X778">
        <f t="shared" si="285"/>
        <v>0.21070445641040353</v>
      </c>
      <c r="Y778" t="b">
        <f t="shared" si="287"/>
        <v>0</v>
      </c>
    </row>
    <row xmlns:x14ac="http://schemas.microsoft.com/office/spreadsheetml/2009/9/ac" r="779" x14ac:dyDescent="0.45">
      <c r="A779">
        <v>3.8599999999999501</v>
      </c>
      <c r="B779">
        <f t="shared" si="289"/>
        <v>0.16299999936805851</v>
      </c>
      <c r="C779" t="b">
        <f t="shared" si="302"/>
        <v>1</v>
      </c>
      <c r="D779" t="b">
        <f t="shared" si="290"/>
        <v>1</v>
      </c>
      <c r="E779">
        <f t="shared" si="298"/>
        <v>3.8599999999999501</v>
      </c>
      <c r="F779">
        <f t="shared" si="303"/>
        <v>0.16299999936805851</v>
      </c>
      <c r="G779">
        <f t="shared" si="291"/>
        <v>0.21068706331965842</v>
      </c>
      <c r="H779">
        <f t="shared" si="292"/>
        <v>3.499999975694558E-2</v>
      </c>
      <c r="I779" t="b">
        <f t="shared" si="304"/>
        <v>1</v>
      </c>
      <c r="J779">
        <f t="shared" si="293"/>
        <v>3.8599999999999501</v>
      </c>
      <c r="K779">
        <f t="shared" si="305"/>
        <v>3.499999975694558E-2</v>
      </c>
      <c r="L779">
        <f t="shared" si="294"/>
        <v>0.16896382128389892</v>
      </c>
      <c r="M779">
        <f t="shared" si="295"/>
        <v>0.18999999951389118</v>
      </c>
      <c r="N779">
        <f t="shared" si="296"/>
        <v>0.18799951916468943</v>
      </c>
      <c r="O779">
        <f t="shared" si="297"/>
        <v>0.15777777777770474</v>
      </c>
      <c r="P779">
        <f t="shared" si="286"/>
        <v>0.08</v>
      </c>
      <c r="Q779">
        <f t="shared" si="306"/>
        <v>0.08</v>
      </c>
      <c r="R779">
        <f t="shared" si="299"/>
        <v>0.08</v>
      </c>
      <c r="S779">
        <f t="shared" si="300"/>
        <v>0.06</v>
      </c>
      <c r="T779">
        <f t="shared" si="301"/>
        <v>0.1</v>
      </c>
      <c r="U779">
        <f t="shared" si="307"/>
        <v>0.08</v>
      </c>
      <c r="V779">
        <f t="shared" si="288"/>
        <v>0.18799951916468943</v>
      </c>
      <c r="W779">
        <f t="shared" ref="W779:W842" si="308">IF(EMT_Simulation,L775,L779)</f>
        <v>0.16894288908532645</v>
      </c>
      <c r="X779">
        <f t="shared" ref="X779:X842" si="309">IF(EMT_Simulation,G775,G779)</f>
        <v>0.21070094291939878</v>
      </c>
      <c r="Y779" t="b">
        <f t="shared" si="287"/>
        <v>0</v>
      </c>
    </row>
    <row xmlns:x14ac="http://schemas.microsoft.com/office/spreadsheetml/2009/9/ac" r="780" x14ac:dyDescent="0.45">
      <c r="A780">
        <v>3.86499999999995</v>
      </c>
      <c r="B780">
        <f t="shared" si="289"/>
        <v>0.1629999993796947</v>
      </c>
      <c r="C780" t="b">
        <f t="shared" si="302"/>
        <v>1</v>
      </c>
      <c r="D780" t="b">
        <f t="shared" si="290"/>
        <v>1</v>
      </c>
      <c r="E780">
        <f t="shared" si="298"/>
        <v>3.86499999999995</v>
      </c>
      <c r="F780">
        <f t="shared" si="303"/>
        <v>0.1629999993796947</v>
      </c>
      <c r="G780">
        <f t="shared" si="291"/>
        <v>0.21068363657705569</v>
      </c>
      <c r="H780">
        <f t="shared" si="292"/>
        <v>3.4999999761421041E-2</v>
      </c>
      <c r="I780" t="b">
        <f t="shared" si="304"/>
        <v>1</v>
      </c>
      <c r="J780">
        <f t="shared" si="293"/>
        <v>3.86499999999995</v>
      </c>
      <c r="K780">
        <f t="shared" si="305"/>
        <v>3.4999999761421041E-2</v>
      </c>
      <c r="L780">
        <f t="shared" si="294"/>
        <v>0.16896898924680553</v>
      </c>
      <c r="M780">
        <f t="shared" si="295"/>
        <v>0.18999999952284208</v>
      </c>
      <c r="N780">
        <f t="shared" si="296"/>
        <v>0.18799952770231226</v>
      </c>
      <c r="O780">
        <f t="shared" si="297"/>
        <v>0.15777777777770632</v>
      </c>
      <c r="P780">
        <f t="shared" si="286"/>
        <v>0.08</v>
      </c>
      <c r="Q780">
        <f t="shared" si="306"/>
        <v>0.08</v>
      </c>
      <c r="R780">
        <f t="shared" si="299"/>
        <v>0.08</v>
      </c>
      <c r="S780">
        <f t="shared" si="300"/>
        <v>0.06</v>
      </c>
      <c r="T780">
        <f t="shared" si="301"/>
        <v>0.1</v>
      </c>
      <c r="U780">
        <f t="shared" si="307"/>
        <v>0.08</v>
      </c>
      <c r="V780">
        <f t="shared" si="288"/>
        <v>0.18799952770231226</v>
      </c>
      <c r="W780">
        <f t="shared" si="308"/>
        <v>0.16894816144800903</v>
      </c>
      <c r="X780">
        <f t="shared" si="309"/>
        <v>0.21069744695200354</v>
      </c>
      <c r="Y780" t="b">
        <f t="shared" si="287"/>
        <v>0</v>
      </c>
    </row>
    <row xmlns:x14ac="http://schemas.microsoft.com/office/spreadsheetml/2009/9/ac" r="781" x14ac:dyDescent="0.45">
      <c r="A781">
        <v>3.8699999999999499</v>
      </c>
      <c r="B781">
        <f t="shared" si="289"/>
        <v>0.16299999939373075</v>
      </c>
      <c r="C781" t="b">
        <f t="shared" si="302"/>
        <v>1</v>
      </c>
      <c r="D781" t="b">
        <f t="shared" si="290"/>
        <v>1</v>
      </c>
      <c r="E781">
        <f t="shared" si="298"/>
        <v>3.8699999999999499</v>
      </c>
      <c r="F781">
        <f t="shared" si="303"/>
        <v>0.16299999939373075</v>
      </c>
      <c r="G781">
        <f t="shared" si="291"/>
        <v>0.210680226925403</v>
      </c>
      <c r="H781">
        <f t="shared" si="292"/>
        <v>3.4999999766819515E-2</v>
      </c>
      <c r="I781" t="b">
        <f t="shared" si="304"/>
        <v>1</v>
      </c>
      <c r="J781">
        <f t="shared" si="293"/>
        <v>3.8699999999999499</v>
      </c>
      <c r="K781">
        <f t="shared" si="305"/>
        <v>3.4999999766819515E-2</v>
      </c>
      <c r="L781">
        <f t="shared" si="294"/>
        <v>0.16897413143438966</v>
      </c>
      <c r="M781">
        <f t="shared" si="295"/>
        <v>0.18999999953363905</v>
      </c>
      <c r="N781">
        <f t="shared" si="296"/>
        <v>0.18799953807926745</v>
      </c>
      <c r="O781">
        <f t="shared" si="297"/>
        <v>0.15777777777770818</v>
      </c>
      <c r="P781">
        <f t="shared" si="286"/>
        <v>0.08</v>
      </c>
      <c r="Q781">
        <f t="shared" si="306"/>
        <v>0.08</v>
      </c>
      <c r="R781">
        <f t="shared" si="299"/>
        <v>0.08</v>
      </c>
      <c r="S781">
        <f t="shared" si="300"/>
        <v>0.06</v>
      </c>
      <c r="T781">
        <f t="shared" si="301"/>
        <v>0.1</v>
      </c>
      <c r="U781">
        <f t="shared" si="307"/>
        <v>0.08</v>
      </c>
      <c r="V781">
        <f t="shared" si="288"/>
        <v>0.18799953807926745</v>
      </c>
      <c r="W781">
        <f t="shared" si="308"/>
        <v>0.16895340751467303</v>
      </c>
      <c r="X781">
        <f t="shared" si="309"/>
        <v>0.21069396842081839</v>
      </c>
      <c r="Y781" t="b">
        <f t="shared" si="287"/>
        <v>0</v>
      </c>
    </row>
    <row xmlns:x14ac="http://schemas.microsoft.com/office/spreadsheetml/2009/9/ac" r="782" x14ac:dyDescent="0.45">
      <c r="A782">
        <v>3.8749999999999498</v>
      </c>
      <c r="B782">
        <f t="shared" si="289"/>
        <v>0.16299999940998244</v>
      </c>
      <c r="C782" t="b">
        <f t="shared" si="302"/>
        <v>1</v>
      </c>
      <c r="D782" t="b">
        <f t="shared" si="290"/>
        <v>1</v>
      </c>
      <c r="E782">
        <f t="shared" si="298"/>
        <v>3.8749999999999498</v>
      </c>
      <c r="F782">
        <f t="shared" si="303"/>
        <v>0.16299999940998244</v>
      </c>
      <c r="G782">
        <f t="shared" si="291"/>
        <v>0.21067683427945882</v>
      </c>
      <c r="H782">
        <f t="shared" si="292"/>
        <v>3.4999999773070167E-2</v>
      </c>
      <c r="I782" t="b">
        <f t="shared" si="304"/>
        <v>1</v>
      </c>
      <c r="J782">
        <f t="shared" si="293"/>
        <v>3.8749999999999498</v>
      </c>
      <c r="K782">
        <f t="shared" si="305"/>
        <v>3.4999999773070167E-2</v>
      </c>
      <c r="L782">
        <f t="shared" si="294"/>
        <v>0.16897924797520625</v>
      </c>
      <c r="M782">
        <f t="shared" si="295"/>
        <v>0.18999999954614033</v>
      </c>
      <c r="N782">
        <f t="shared" si="296"/>
        <v>0.18799955019130821</v>
      </c>
      <c r="O782">
        <f t="shared" si="297"/>
        <v>0.15777777777771029</v>
      </c>
      <c r="P782">
        <f t="shared" ref="P782:P845" si="310">$AB$6-EXP(-AF$6*AF$12*A782)*(COS(AF$5*A782)-(AF$6*AF$12-1)/(AF$5)*SIN(AF$5*A782))*AF$15</f>
        <v>0.08</v>
      </c>
      <c r="Q782">
        <f t="shared" si="306"/>
        <v>0.08</v>
      </c>
      <c r="R782">
        <f t="shared" si="299"/>
        <v>0.08</v>
      </c>
      <c r="S782">
        <f t="shared" si="300"/>
        <v>0.06</v>
      </c>
      <c r="T782">
        <f t="shared" si="301"/>
        <v>0.1</v>
      </c>
      <c r="U782">
        <f t="shared" si="307"/>
        <v>0.08</v>
      </c>
      <c r="V782">
        <f t="shared" si="288"/>
        <v>0.18799955019130821</v>
      </c>
      <c r="W782">
        <f t="shared" si="308"/>
        <v>0.16895862741647039</v>
      </c>
      <c r="X782">
        <f t="shared" si="309"/>
        <v>0.21069050723887994</v>
      </c>
      <c r="Y782" t="b">
        <f t="shared" si="287"/>
        <v>0</v>
      </c>
    </row>
    <row xmlns:x14ac="http://schemas.microsoft.com/office/spreadsheetml/2009/9/ac" r="783" x14ac:dyDescent="0.45">
      <c r="A783">
        <v>3.8799999999999502</v>
      </c>
      <c r="B783">
        <f t="shared" si="289"/>
        <v>0.16299999942826393</v>
      </c>
      <c r="C783" t="b">
        <f t="shared" si="302"/>
        <v>1</v>
      </c>
      <c r="D783" t="b">
        <f t="shared" si="290"/>
        <v>1</v>
      </c>
      <c r="E783">
        <f t="shared" si="298"/>
        <v>3.8799999999999502</v>
      </c>
      <c r="F783">
        <f t="shared" si="303"/>
        <v>0.16299999942826393</v>
      </c>
      <c r="G783">
        <f t="shared" si="291"/>
        <v>0.21067345855440694</v>
      </c>
      <c r="H783">
        <f t="shared" si="292"/>
        <v>3.4999999780101515E-2</v>
      </c>
      <c r="I783" t="b">
        <f t="shared" si="304"/>
        <v>1</v>
      </c>
      <c r="J783">
        <f t="shared" si="293"/>
        <v>3.8799999999999502</v>
      </c>
      <c r="K783">
        <f t="shared" si="305"/>
        <v>3.4999999780101515E-2</v>
      </c>
      <c r="L783">
        <f t="shared" si="294"/>
        <v>0.168984338997169</v>
      </c>
      <c r="M783">
        <f t="shared" si="295"/>
        <v>0.18999999956020303</v>
      </c>
      <c r="N783">
        <f t="shared" si="296"/>
        <v>0.18799956392972578</v>
      </c>
      <c r="O783">
        <f t="shared" si="297"/>
        <v>0.1577777777777126</v>
      </c>
      <c r="P783">
        <f t="shared" si="310"/>
        <v>0.08</v>
      </c>
      <c r="Q783">
        <f t="shared" si="306"/>
        <v>0.08</v>
      </c>
      <c r="R783">
        <f t="shared" si="299"/>
        <v>0.08</v>
      </c>
      <c r="S783">
        <f t="shared" si="300"/>
        <v>0.06</v>
      </c>
      <c r="T783">
        <f t="shared" si="301"/>
        <v>0.1</v>
      </c>
      <c r="U783">
        <f t="shared" si="307"/>
        <v>0.08</v>
      </c>
      <c r="V783">
        <f t="shared" si="288"/>
        <v>0.18799956392972578</v>
      </c>
      <c r="W783">
        <f t="shared" si="308"/>
        <v>0.16896382128389892</v>
      </c>
      <c r="X783">
        <f t="shared" si="309"/>
        <v>0.21068706331965842</v>
      </c>
      <c r="Y783" t="b">
        <f t="shared" ref="Y783:Y846" si="311">IF(Y782,TRUE,IF(P783&lt;P782,TRUE))</f>
        <v>0</v>
      </c>
    </row>
    <row xmlns:x14ac="http://schemas.microsoft.com/office/spreadsheetml/2009/9/ac" r="784" x14ac:dyDescent="0.45">
      <c r="A784">
        <v>3.88499999999995</v>
      </c>
      <c r="B784">
        <f t="shared" si="289"/>
        <v>0.16299999944838886</v>
      </c>
      <c r="C784" t="b">
        <f t="shared" si="302"/>
        <v>1</v>
      </c>
      <c r="D784" t="b">
        <f t="shared" si="290"/>
        <v>1</v>
      </c>
      <c r="E784">
        <f t="shared" si="298"/>
        <v>3.88499999999995</v>
      </c>
      <c r="F784">
        <f t="shared" si="303"/>
        <v>0.16299999944838886</v>
      </c>
      <c r="G784">
        <f t="shared" si="291"/>
        <v>0.21067009966585398</v>
      </c>
      <c r="H784">
        <f t="shared" si="292"/>
        <v>3.4999999787841865E-2</v>
      </c>
      <c r="I784" t="b">
        <f t="shared" si="304"/>
        <v>1</v>
      </c>
      <c r="J784">
        <f t="shared" si="293"/>
        <v>3.88499999999995</v>
      </c>
      <c r="K784">
        <f t="shared" si="305"/>
        <v>3.4999999787841865E-2</v>
      </c>
      <c r="L784">
        <f t="shared" si="294"/>
        <v>0.1689894046275538</v>
      </c>
      <c r="M784">
        <f t="shared" si="295"/>
        <v>0.18999999957568375</v>
      </c>
      <c r="N784">
        <f t="shared" si="296"/>
        <v>0.18799957918197538</v>
      </c>
      <c r="O784">
        <f t="shared" si="297"/>
        <v>0.15777777777771509</v>
      </c>
      <c r="P784">
        <f t="shared" si="310"/>
        <v>0.08</v>
      </c>
      <c r="Q784">
        <f t="shared" si="306"/>
        <v>0.08</v>
      </c>
      <c r="R784">
        <f t="shared" si="299"/>
        <v>0.08</v>
      </c>
      <c r="S784">
        <f t="shared" si="300"/>
        <v>0.06</v>
      </c>
      <c r="T784">
        <f t="shared" si="301"/>
        <v>0.1</v>
      </c>
      <c r="U784">
        <f t="shared" si="307"/>
        <v>0.08</v>
      </c>
      <c r="V784">
        <f t="shared" si="288"/>
        <v>0.18799957918197538</v>
      </c>
      <c r="W784">
        <f t="shared" si="308"/>
        <v>0.16896898924680553</v>
      </c>
      <c r="X784">
        <f t="shared" si="309"/>
        <v>0.21068363657705569</v>
      </c>
      <c r="Y784" t="b">
        <f t="shared" si="311"/>
        <v>0</v>
      </c>
    </row>
    <row xmlns:x14ac="http://schemas.microsoft.com/office/spreadsheetml/2009/9/ac" r="785" x14ac:dyDescent="0.45">
      <c r="A785">
        <v>3.8899999999999499</v>
      </c>
      <c r="B785">
        <f t="shared" si="289"/>
        <v>0.16299999947017096</v>
      </c>
      <c r="C785" t="b">
        <f t="shared" si="302"/>
        <v>1</v>
      </c>
      <c r="D785" t="b">
        <f t="shared" si="290"/>
        <v>1</v>
      </c>
      <c r="E785">
        <f t="shared" si="298"/>
        <v>3.8899999999999499</v>
      </c>
      <c r="F785">
        <f t="shared" si="303"/>
        <v>0.16299999947017096</v>
      </c>
      <c r="G785">
        <f t="shared" si="291"/>
        <v>0.21066675752982755</v>
      </c>
      <c r="H785">
        <f t="shared" si="292"/>
        <v>3.4999999796219608E-2</v>
      </c>
      <c r="I785" t="b">
        <f t="shared" si="304"/>
        <v>1</v>
      </c>
      <c r="J785">
        <f t="shared" si="293"/>
        <v>3.8899999999999499</v>
      </c>
      <c r="K785">
        <f t="shared" si="305"/>
        <v>3.4999999796219608E-2</v>
      </c>
      <c r="L785">
        <f t="shared" si="294"/>
        <v>0.16899444499300165</v>
      </c>
      <c r="M785">
        <f t="shared" si="295"/>
        <v>0.18999999959243921</v>
      </c>
      <c r="N785">
        <f t="shared" si="296"/>
        <v>0.18799959583229925</v>
      </c>
      <c r="O785">
        <f t="shared" si="297"/>
        <v>0.15777777777771779</v>
      </c>
      <c r="P785">
        <f t="shared" si="310"/>
        <v>0.08</v>
      </c>
      <c r="Q785">
        <f t="shared" si="306"/>
        <v>0.08</v>
      </c>
      <c r="R785">
        <f t="shared" si="299"/>
        <v>0.08</v>
      </c>
      <c r="S785">
        <f t="shared" si="300"/>
        <v>0.06</v>
      </c>
      <c r="T785">
        <f t="shared" si="301"/>
        <v>0.1</v>
      </c>
      <c r="U785">
        <f t="shared" si="307"/>
        <v>0.08</v>
      </c>
      <c r="V785">
        <f t="shared" si="288"/>
        <v>0.18799959583229925</v>
      </c>
      <c r="W785">
        <f t="shared" si="308"/>
        <v>0.16897413143438966</v>
      </c>
      <c r="X785">
        <f t="shared" si="309"/>
        <v>0.210680226925403</v>
      </c>
      <c r="Y785" t="b">
        <f t="shared" si="311"/>
        <v>0</v>
      </c>
    </row>
    <row xmlns:x14ac="http://schemas.microsoft.com/office/spreadsheetml/2009/9/ac" r="786" x14ac:dyDescent="0.45">
      <c r="A786">
        <v>3.8949999999999401</v>
      </c>
      <c r="B786">
        <f t="shared" si="289"/>
        <v>0.16299999949342528</v>
      </c>
      <c r="C786" t="b">
        <f t="shared" si="302"/>
        <v>1</v>
      </c>
      <c r="D786" t="b">
        <f t="shared" si="290"/>
        <v>1</v>
      </c>
      <c r="E786">
        <f t="shared" si="298"/>
        <v>3.8949999999999401</v>
      </c>
      <c r="F786">
        <f t="shared" si="303"/>
        <v>0.16299999949342528</v>
      </c>
      <c r="G786">
        <f t="shared" si="291"/>
        <v>0.2106634320627741</v>
      </c>
      <c r="H786">
        <f t="shared" si="292"/>
        <v>3.4999999805163565E-2</v>
      </c>
      <c r="I786" t="b">
        <f t="shared" si="304"/>
        <v>1</v>
      </c>
      <c r="J786">
        <f t="shared" si="293"/>
        <v>3.8949999999999401</v>
      </c>
      <c r="K786">
        <f t="shared" si="305"/>
        <v>3.4999999805163565E-2</v>
      </c>
      <c r="L786">
        <f t="shared" si="294"/>
        <v>0.16899946021952195</v>
      </c>
      <c r="M786">
        <f t="shared" si="295"/>
        <v>0.18999999961032715</v>
      </c>
      <c r="N786">
        <f t="shared" si="296"/>
        <v>0.1879996137623447</v>
      </c>
      <c r="O786">
        <f t="shared" si="297"/>
        <v>0.15777777777772056</v>
      </c>
      <c r="P786">
        <f t="shared" si="310"/>
        <v>0.08</v>
      </c>
      <c r="Q786">
        <f t="shared" si="306"/>
        <v>0.08</v>
      </c>
      <c r="R786">
        <f t="shared" si="299"/>
        <v>0.08</v>
      </c>
      <c r="S786">
        <f t="shared" si="300"/>
        <v>0.06</v>
      </c>
      <c r="T786">
        <f t="shared" si="301"/>
        <v>0.1</v>
      </c>
      <c r="U786">
        <f t="shared" si="307"/>
        <v>0.08</v>
      </c>
      <c r="V786">
        <f t="shared" si="288"/>
        <v>0.1879996137623447</v>
      </c>
      <c r="W786">
        <f t="shared" si="308"/>
        <v>0.16897924797520625</v>
      </c>
      <c r="X786">
        <f t="shared" si="309"/>
        <v>0.21067683427945882</v>
      </c>
      <c r="Y786" t="b">
        <f t="shared" si="311"/>
        <v>0</v>
      </c>
    </row>
    <row xmlns:x14ac="http://schemas.microsoft.com/office/spreadsheetml/2009/9/ac" r="787" x14ac:dyDescent="0.45">
      <c r="A787">
        <v>3.89999999999994</v>
      </c>
      <c r="B787">
        <f t="shared" si="289"/>
        <v>0.16299999951796873</v>
      </c>
      <c r="C787" t="b">
        <f t="shared" si="302"/>
        <v>1</v>
      </c>
      <c r="D787" t="b">
        <f t="shared" si="290"/>
        <v>1</v>
      </c>
      <c r="E787">
        <f t="shared" si="298"/>
        <v>3.89999999999994</v>
      </c>
      <c r="F787">
        <f t="shared" si="303"/>
        <v>0.16299999951796873</v>
      </c>
      <c r="G787">
        <f t="shared" si="291"/>
        <v>0.21066012318155675</v>
      </c>
      <c r="H787">
        <f t="shared" si="292"/>
        <v>3.4999999814603361E-2</v>
      </c>
      <c r="I787" t="b">
        <f t="shared" si="304"/>
        <v>1</v>
      </c>
      <c r="J787">
        <f t="shared" si="293"/>
        <v>3.89999999999994</v>
      </c>
      <c r="K787">
        <f t="shared" si="305"/>
        <v>3.4999999814603361E-2</v>
      </c>
      <c r="L787">
        <f t="shared" si="294"/>
        <v>0.16900445043249562</v>
      </c>
      <c r="M787">
        <f t="shared" si="295"/>
        <v>0.18999999962920672</v>
      </c>
      <c r="N787">
        <f t="shared" si="296"/>
        <v>0.1879996328517739</v>
      </c>
      <c r="O787">
        <f t="shared" si="297"/>
        <v>0.1577777777777235</v>
      </c>
      <c r="P787">
        <f t="shared" si="310"/>
        <v>0.08</v>
      </c>
      <c r="Q787">
        <f t="shared" si="306"/>
        <v>0.08</v>
      </c>
      <c r="R787">
        <f t="shared" si="299"/>
        <v>0.08</v>
      </c>
      <c r="S787">
        <f t="shared" si="300"/>
        <v>0.06</v>
      </c>
      <c r="T787">
        <f t="shared" si="301"/>
        <v>0.1</v>
      </c>
      <c r="U787">
        <f t="shared" si="307"/>
        <v>0.08</v>
      </c>
      <c r="V787">
        <f t="shared" si="288"/>
        <v>0.1879996328517739</v>
      </c>
      <c r="W787">
        <f t="shared" si="308"/>
        <v>0.168984338997169</v>
      </c>
      <c r="X787">
        <f t="shared" si="309"/>
        <v>0.21067345855440694</v>
      </c>
      <c r="Y787" t="b">
        <f t="shared" si="311"/>
        <v>0</v>
      </c>
    </row>
    <row xmlns:x14ac="http://schemas.microsoft.com/office/spreadsheetml/2009/9/ac" r="788" x14ac:dyDescent="0.45">
      <c r="A788">
        <v>3.9049999999999399</v>
      </c>
      <c r="B788">
        <f t="shared" si="289"/>
        <v>0.16299999954362107</v>
      </c>
      <c r="C788" t="b">
        <f t="shared" si="302"/>
        <v>1</v>
      </c>
      <c r="D788" t="b">
        <f t="shared" si="290"/>
        <v>1</v>
      </c>
      <c r="E788">
        <f t="shared" si="298"/>
        <v>3.9049999999999399</v>
      </c>
      <c r="F788">
        <f t="shared" si="303"/>
        <v>0.16299999954362107</v>
      </c>
      <c r="G788">
        <f t="shared" si="291"/>
        <v>0.21065683080345338</v>
      </c>
      <c r="H788">
        <f t="shared" si="292"/>
        <v>3.4999999824469649E-2</v>
      </c>
      <c r="I788" t="b">
        <f t="shared" si="304"/>
        <v>1</v>
      </c>
      <c r="J788">
        <f t="shared" si="293"/>
        <v>3.9049999999999399</v>
      </c>
      <c r="K788">
        <f t="shared" si="305"/>
        <v>3.4999999824469649E-2</v>
      </c>
      <c r="L788">
        <f t="shared" si="294"/>
        <v>0.16900941575667827</v>
      </c>
      <c r="M788">
        <f t="shared" si="295"/>
        <v>0.18999999964893929</v>
      </c>
      <c r="N788">
        <f t="shared" si="296"/>
        <v>0.18799965297886378</v>
      </c>
      <c r="O788">
        <f t="shared" si="297"/>
        <v>0.1577777777777265</v>
      </c>
      <c r="P788">
        <f t="shared" si="310"/>
        <v>0.08</v>
      </c>
      <c r="Q788">
        <f t="shared" si="306"/>
        <v>0.08</v>
      </c>
      <c r="R788">
        <f t="shared" si="299"/>
        <v>0.08</v>
      </c>
      <c r="S788">
        <f t="shared" si="300"/>
        <v>0.06</v>
      </c>
      <c r="T788">
        <f t="shared" si="301"/>
        <v>0.1</v>
      </c>
      <c r="U788">
        <f t="shared" si="307"/>
        <v>0.08</v>
      </c>
      <c r="V788">
        <f t="shared" si="288"/>
        <v>0.18799965297886378</v>
      </c>
      <c r="W788">
        <f t="shared" si="308"/>
        <v>0.1689894046275538</v>
      </c>
      <c r="X788">
        <f t="shared" si="309"/>
        <v>0.21067009966585398</v>
      </c>
      <c r="Y788" t="b">
        <f t="shared" si="311"/>
        <v>0</v>
      </c>
    </row>
    <row xmlns:x14ac="http://schemas.microsoft.com/office/spreadsheetml/2009/9/ac" r="789" x14ac:dyDescent="0.45">
      <c r="A789">
        <v>3.9099999999999402</v>
      </c>
      <c r="B789">
        <f t="shared" si="289"/>
        <v>0.1629999995702055</v>
      </c>
      <c r="C789" t="b">
        <f t="shared" si="302"/>
        <v>1</v>
      </c>
      <c r="D789" t="b">
        <f t="shared" si="290"/>
        <v>1</v>
      </c>
      <c r="E789">
        <f t="shared" si="298"/>
        <v>3.9099999999999402</v>
      </c>
      <c r="F789">
        <f t="shared" si="303"/>
        <v>0.1629999995702055</v>
      </c>
      <c r="G789">
        <f t="shared" si="291"/>
        <v>0.21065355484615422</v>
      </c>
      <c r="H789">
        <f t="shared" si="292"/>
        <v>3.4999999834694429E-2</v>
      </c>
      <c r="I789" t="b">
        <f t="shared" si="304"/>
        <v>1</v>
      </c>
      <c r="J789">
        <f t="shared" si="293"/>
        <v>3.9099999999999402</v>
      </c>
      <c r="K789">
        <f t="shared" si="305"/>
        <v>3.4999999834694429E-2</v>
      </c>
      <c r="L789">
        <f t="shared" si="294"/>
        <v>0.16901435631620326</v>
      </c>
      <c r="M789">
        <f t="shared" si="295"/>
        <v>0.18999999966938885</v>
      </c>
      <c r="N789">
        <f t="shared" si="296"/>
        <v>0.18799967402109286</v>
      </c>
      <c r="O789">
        <f t="shared" si="297"/>
        <v>0.15777777777772956</v>
      </c>
      <c r="P789">
        <f t="shared" si="310"/>
        <v>0.08</v>
      </c>
      <c r="Q789">
        <f t="shared" si="306"/>
        <v>0.08</v>
      </c>
      <c r="R789">
        <f t="shared" si="299"/>
        <v>0.08</v>
      </c>
      <c r="S789">
        <f t="shared" si="300"/>
        <v>0.06</v>
      </c>
      <c r="T789">
        <f t="shared" si="301"/>
        <v>0.1</v>
      </c>
      <c r="U789">
        <f t="shared" si="307"/>
        <v>0.08</v>
      </c>
      <c r="V789">
        <f t="shared" ref="V789:V852" si="312">MAX(IF(Y789,MAX(H789,$AB$6+$AF$13),MAX(T789,$AB$6+$AF$13)),O789,N789)</f>
        <v>0.18799967402109286</v>
      </c>
      <c r="W789">
        <f t="shared" si="308"/>
        <v>0.16899444499300165</v>
      </c>
      <c r="X789">
        <f t="shared" si="309"/>
        <v>0.21066675752982755</v>
      </c>
      <c r="Y789" t="b">
        <f t="shared" si="311"/>
        <v>0</v>
      </c>
    </row>
    <row xmlns:x14ac="http://schemas.microsoft.com/office/spreadsheetml/2009/9/ac" r="790" x14ac:dyDescent="0.45">
      <c r="A790">
        <v>3.9149999999999401</v>
      </c>
      <c r="B790">
        <f t="shared" si="289"/>
        <v>0.16299999959754938</v>
      </c>
      <c r="C790" t="b">
        <f t="shared" si="302"/>
        <v>1</v>
      </c>
      <c r="D790" t="b">
        <f t="shared" si="290"/>
        <v>1</v>
      </c>
      <c r="E790">
        <f t="shared" si="298"/>
        <v>3.9149999999999401</v>
      </c>
      <c r="F790">
        <f t="shared" si="303"/>
        <v>0.16299999959754938</v>
      </c>
      <c r="G790">
        <f t="shared" si="291"/>
        <v>0.21065029522776035</v>
      </c>
      <c r="H790">
        <f t="shared" si="292"/>
        <v>3.4999999845211294E-2</v>
      </c>
      <c r="I790" t="b">
        <f t="shared" si="304"/>
        <v>1</v>
      </c>
      <c r="J790">
        <f t="shared" si="293"/>
        <v>3.9149999999999401</v>
      </c>
      <c r="K790">
        <f t="shared" si="305"/>
        <v>3.4999999845211294E-2</v>
      </c>
      <c r="L790">
        <f t="shared" si="294"/>
        <v>0.16901927223458479</v>
      </c>
      <c r="M790">
        <f t="shared" si="295"/>
        <v>0.18999999969042258</v>
      </c>
      <c r="N790">
        <f t="shared" si="296"/>
        <v>0.18799969585571341</v>
      </c>
      <c r="O790">
        <f t="shared" si="297"/>
        <v>0.15777777777773266</v>
      </c>
      <c r="P790">
        <f t="shared" si="310"/>
        <v>0.08</v>
      </c>
      <c r="Q790">
        <f t="shared" si="306"/>
        <v>0.08</v>
      </c>
      <c r="R790">
        <f t="shared" si="299"/>
        <v>0.08</v>
      </c>
      <c r="S790">
        <f t="shared" si="300"/>
        <v>0.06</v>
      </c>
      <c r="T790">
        <f t="shared" si="301"/>
        <v>0.1</v>
      </c>
      <c r="U790">
        <f t="shared" si="307"/>
        <v>0.08</v>
      </c>
      <c r="V790">
        <f t="shared" si="312"/>
        <v>0.18799969585571341</v>
      </c>
      <c r="W790">
        <f t="shared" si="308"/>
        <v>0.16899946021952195</v>
      </c>
      <c r="X790">
        <f t="shared" si="309"/>
        <v>0.2106634320627741</v>
      </c>
      <c r="Y790" t="b">
        <f t="shared" si="311"/>
        <v>0</v>
      </c>
    </row>
    <row xmlns:x14ac="http://schemas.microsoft.com/office/spreadsheetml/2009/9/ac" r="791" x14ac:dyDescent="0.45">
      <c r="A791">
        <v>3.91999999999994</v>
      </c>
      <c r="B791">
        <f t="shared" si="289"/>
        <v>0.16299999962548486</v>
      </c>
      <c r="C791" t="b">
        <f t="shared" si="302"/>
        <v>1</v>
      </c>
      <c r="D791" t="b">
        <f t="shared" si="290"/>
        <v>1</v>
      </c>
      <c r="E791">
        <f t="shared" si="298"/>
        <v>3.91999999999994</v>
      </c>
      <c r="F791">
        <f t="shared" si="303"/>
        <v>0.16299999962548486</v>
      </c>
      <c r="G791">
        <f t="shared" si="291"/>
        <v>0.21064705186678095</v>
      </c>
      <c r="H791">
        <f t="shared" si="292"/>
        <v>3.4999999855955713E-2</v>
      </c>
      <c r="I791" t="b">
        <f t="shared" si="304"/>
        <v>1</v>
      </c>
      <c r="J791">
        <f t="shared" si="293"/>
        <v>3.91999999999994</v>
      </c>
      <c r="K791">
        <f t="shared" si="305"/>
        <v>3.4999999855955713E-2</v>
      </c>
      <c r="L791">
        <f t="shared" si="294"/>
        <v>0.16902416363472111</v>
      </c>
      <c r="M791">
        <f t="shared" si="295"/>
        <v>0.18999999971191145</v>
      </c>
      <c r="N791">
        <f t="shared" si="296"/>
        <v>0.18799971836030638</v>
      </c>
      <c r="O791">
        <f t="shared" si="297"/>
        <v>0.15777777777773583</v>
      </c>
      <c r="P791">
        <f t="shared" si="310"/>
        <v>0.08</v>
      </c>
      <c r="Q791">
        <f t="shared" si="306"/>
        <v>0.08</v>
      </c>
      <c r="R791">
        <f t="shared" si="299"/>
        <v>0.08</v>
      </c>
      <c r="S791">
        <f t="shared" si="300"/>
        <v>0.06</v>
      </c>
      <c r="T791">
        <f t="shared" si="301"/>
        <v>0.1</v>
      </c>
      <c r="U791">
        <f t="shared" si="307"/>
        <v>0.08</v>
      </c>
      <c r="V791">
        <f t="shared" si="312"/>
        <v>0.18799971836030638</v>
      </c>
      <c r="W791">
        <f t="shared" si="308"/>
        <v>0.16900445043249562</v>
      </c>
      <c r="X791">
        <f t="shared" si="309"/>
        <v>0.21066012318155675</v>
      </c>
      <c r="Y791" t="b">
        <f t="shared" si="311"/>
        <v>0</v>
      </c>
    </row>
    <row xmlns:x14ac="http://schemas.microsoft.com/office/spreadsheetml/2009/9/ac" r="792" x14ac:dyDescent="0.45">
      <c r="A792">
        <v>3.9249999999999399</v>
      </c>
      <c r="B792">
        <f t="shared" si="289"/>
        <v>0.16299999965384943</v>
      </c>
      <c r="C792" t="b">
        <f t="shared" si="302"/>
        <v>1</v>
      </c>
      <c r="D792" t="b">
        <f t="shared" si="290"/>
        <v>1</v>
      </c>
      <c r="E792">
        <f t="shared" si="298"/>
        <v>3.9249999999999399</v>
      </c>
      <c r="F792">
        <f t="shared" si="303"/>
        <v>0.16299999965384943</v>
      </c>
      <c r="G792">
        <f t="shared" si="291"/>
        <v>0.210643824682132</v>
      </c>
      <c r="H792">
        <f t="shared" si="292"/>
        <v>3.4999999866865167E-2</v>
      </c>
      <c r="I792" t="b">
        <f t="shared" si="304"/>
        <v>1</v>
      </c>
      <c r="J792">
        <f t="shared" si="293"/>
        <v>3.9249999999999399</v>
      </c>
      <c r="K792">
        <f t="shared" si="305"/>
        <v>3.4999999866865167E-2</v>
      </c>
      <c r="L792">
        <f t="shared" si="294"/>
        <v>0.16902903063889746</v>
      </c>
      <c r="M792">
        <f t="shared" si="295"/>
        <v>0.18999999973373033</v>
      </c>
      <c r="N792">
        <f t="shared" si="296"/>
        <v>0.18799974141331746</v>
      </c>
      <c r="O792">
        <f t="shared" si="297"/>
        <v>0.15777777777773899</v>
      </c>
      <c r="P792">
        <f t="shared" si="310"/>
        <v>0.08</v>
      </c>
      <c r="Q792">
        <f t="shared" si="306"/>
        <v>0.08</v>
      </c>
      <c r="R792">
        <f t="shared" si="299"/>
        <v>0.08</v>
      </c>
      <c r="S792">
        <f t="shared" si="300"/>
        <v>0.06</v>
      </c>
      <c r="T792">
        <f t="shared" si="301"/>
        <v>0.1</v>
      </c>
      <c r="U792">
        <f t="shared" si="307"/>
        <v>0.08</v>
      </c>
      <c r="V792">
        <f t="shared" si="312"/>
        <v>0.18799974141331746</v>
      </c>
      <c r="W792">
        <f t="shared" si="308"/>
        <v>0.16900941575667827</v>
      </c>
      <c r="X792">
        <f t="shared" si="309"/>
        <v>0.21065683080345338</v>
      </c>
      <c r="Y792" t="b">
        <f t="shared" si="311"/>
        <v>0</v>
      </c>
    </row>
    <row xmlns:x14ac="http://schemas.microsoft.com/office/spreadsheetml/2009/9/ac" r="793" x14ac:dyDescent="0.45">
      <c r="A793">
        <v>3.9299999999999402</v>
      </c>
      <c r="B793">
        <f t="shared" si="289"/>
        <v>0.16299999968248657</v>
      </c>
      <c r="C793" t="b">
        <f t="shared" si="302"/>
        <v>1</v>
      </c>
      <c r="D793" t="b">
        <f t="shared" si="290"/>
        <v>1</v>
      </c>
      <c r="E793">
        <f t="shared" si="298"/>
        <v>3.9299999999999402</v>
      </c>
      <c r="F793">
        <f t="shared" si="303"/>
        <v>0.16299999968248657</v>
      </c>
      <c r="G793">
        <f t="shared" si="291"/>
        <v>0.21064061359313357</v>
      </c>
      <c r="H793">
        <f t="shared" si="292"/>
        <v>3.4999999877879454E-2</v>
      </c>
      <c r="I793" t="b">
        <f t="shared" si="304"/>
        <v>1</v>
      </c>
      <c r="J793">
        <f t="shared" si="293"/>
        <v>3.9299999999999402</v>
      </c>
      <c r="K793">
        <f t="shared" si="305"/>
        <v>3.4999999877879454E-2</v>
      </c>
      <c r="L793">
        <f t="shared" si="294"/>
        <v>0.16903387336878925</v>
      </c>
      <c r="M793">
        <f t="shared" si="295"/>
        <v>0.1899999997557589</v>
      </c>
      <c r="N793">
        <f t="shared" si="296"/>
        <v>0.18799976489457262</v>
      </c>
      <c r="O793">
        <f t="shared" si="297"/>
        <v>0.15777777777774213</v>
      </c>
      <c r="P793">
        <f t="shared" si="310"/>
        <v>0.08</v>
      </c>
      <c r="Q793">
        <f t="shared" si="306"/>
        <v>0.08</v>
      </c>
      <c r="R793">
        <f t="shared" si="299"/>
        <v>0.08</v>
      </c>
      <c r="S793">
        <f t="shared" si="300"/>
        <v>0.06</v>
      </c>
      <c r="T793">
        <f t="shared" si="301"/>
        <v>0.1</v>
      </c>
      <c r="U793">
        <f t="shared" si="307"/>
        <v>0.08</v>
      </c>
      <c r="V793">
        <f t="shared" si="312"/>
        <v>0.18799976489457262</v>
      </c>
      <c r="W793">
        <f t="shared" si="308"/>
        <v>0.16901435631620326</v>
      </c>
      <c r="X793">
        <f t="shared" si="309"/>
        <v>0.21065355484615422</v>
      </c>
      <c r="Y793" t="b">
        <f t="shared" si="311"/>
        <v>0</v>
      </c>
    </row>
    <row xmlns:x14ac="http://schemas.microsoft.com/office/spreadsheetml/2009/9/ac" r="794" x14ac:dyDescent="0.45">
      <c r="A794">
        <v>3.9349999999999401</v>
      </c>
      <c r="B794">
        <f t="shared" si="289"/>
        <v>0.16299999971124587</v>
      </c>
      <c r="C794" t="b">
        <f t="shared" si="302"/>
        <v>1</v>
      </c>
      <c r="D794" t="b">
        <f t="shared" si="290"/>
        <v>1</v>
      </c>
      <c r="E794">
        <f t="shared" si="298"/>
        <v>3.9349999999999401</v>
      </c>
      <c r="F794">
        <f t="shared" si="303"/>
        <v>0.16299999971124587</v>
      </c>
      <c r="G794">
        <f t="shared" si="291"/>
        <v>0.2106374185195084</v>
      </c>
      <c r="H794">
        <f t="shared" si="292"/>
        <v>3.499999988894073E-2</v>
      </c>
      <c r="I794" t="b">
        <f t="shared" si="304"/>
        <v>1</v>
      </c>
      <c r="J794">
        <f t="shared" si="293"/>
        <v>3.9349999999999401</v>
      </c>
      <c r="K794">
        <f t="shared" si="305"/>
        <v>3.499999988894073E-2</v>
      </c>
      <c r="L794">
        <f t="shared" si="294"/>
        <v>0.16903869194546489</v>
      </c>
      <c r="M794">
        <f t="shared" si="295"/>
        <v>0.18999999977788146</v>
      </c>
      <c r="N794">
        <f t="shared" si="296"/>
        <v>0.18799978868577094</v>
      </c>
      <c r="O794">
        <f t="shared" si="297"/>
        <v>0.15777777777774524</v>
      </c>
      <c r="P794">
        <f t="shared" si="310"/>
        <v>0.08</v>
      </c>
      <c r="Q794">
        <f t="shared" si="306"/>
        <v>0.08</v>
      </c>
      <c r="R794">
        <f t="shared" si="299"/>
        <v>0.08</v>
      </c>
      <c r="S794">
        <f t="shared" si="300"/>
        <v>0.06</v>
      </c>
      <c r="T794">
        <f t="shared" si="301"/>
        <v>0.1</v>
      </c>
      <c r="U794">
        <f t="shared" si="307"/>
        <v>0.08</v>
      </c>
      <c r="V794">
        <f t="shared" si="312"/>
        <v>0.18799978868577094</v>
      </c>
      <c r="W794">
        <f t="shared" si="308"/>
        <v>0.16901927223458479</v>
      </c>
      <c r="X794">
        <f t="shared" si="309"/>
        <v>0.21065029522776035</v>
      </c>
      <c r="Y794" t="b">
        <f t="shared" si="311"/>
        <v>0</v>
      </c>
    </row>
    <row xmlns:x14ac="http://schemas.microsoft.com/office/spreadsheetml/2009/9/ac" r="795" x14ac:dyDescent="0.45">
      <c r="A795">
        <v>3.93999999999994</v>
      </c>
      <c r="B795">
        <f t="shared" si="289"/>
        <v>0.16299999973998394</v>
      </c>
      <c r="C795" t="b">
        <f t="shared" si="302"/>
        <v>1</v>
      </c>
      <c r="D795" t="b">
        <f t="shared" si="290"/>
        <v>1</v>
      </c>
      <c r="E795">
        <f t="shared" si="298"/>
        <v>3.93999999999994</v>
      </c>
      <c r="F795">
        <f t="shared" si="303"/>
        <v>0.16299999973998394</v>
      </c>
      <c r="G795">
        <f t="shared" si="291"/>
        <v>0.21063423938137937</v>
      </c>
      <c r="H795">
        <f t="shared" si="292"/>
        <v>3.4999999899993819E-2</v>
      </c>
      <c r="I795" t="b">
        <f t="shared" si="304"/>
        <v>1</v>
      </c>
      <c r="J795">
        <f t="shared" si="293"/>
        <v>3.93999999999994</v>
      </c>
      <c r="K795">
        <f t="shared" si="305"/>
        <v>3.4999999899993819E-2</v>
      </c>
      <c r="L795">
        <f t="shared" si="294"/>
        <v>0.16904348648938916</v>
      </c>
      <c r="M795">
        <f t="shared" si="295"/>
        <v>0.18999999979998766</v>
      </c>
      <c r="N795">
        <f t="shared" si="296"/>
        <v>0.18799981267095361</v>
      </c>
      <c r="O795">
        <f t="shared" si="297"/>
        <v>0.15777777777774832</v>
      </c>
      <c r="P795">
        <f t="shared" si="310"/>
        <v>0.08</v>
      </c>
      <c r="Q795">
        <f t="shared" si="306"/>
        <v>0.08</v>
      </c>
      <c r="R795">
        <f t="shared" si="299"/>
        <v>0.08</v>
      </c>
      <c r="S795">
        <f t="shared" si="300"/>
        <v>0.06</v>
      </c>
      <c r="T795">
        <f t="shared" si="301"/>
        <v>0.1</v>
      </c>
      <c r="U795">
        <f t="shared" si="307"/>
        <v>0.08</v>
      </c>
      <c r="V795">
        <f t="shared" si="312"/>
        <v>0.18799981267095361</v>
      </c>
      <c r="W795">
        <f t="shared" si="308"/>
        <v>0.16902416363472111</v>
      </c>
      <c r="X795">
        <f t="shared" si="309"/>
        <v>0.21064705186678095</v>
      </c>
      <c r="Y795" t="b">
        <f t="shared" si="311"/>
        <v>0</v>
      </c>
    </row>
    <row xmlns:x14ac="http://schemas.microsoft.com/office/spreadsheetml/2009/9/ac" r="796" x14ac:dyDescent="0.45">
      <c r="A796">
        <v>3.9449999999999399</v>
      </c>
      <c r="B796">
        <f t="shared" si="289"/>
        <v>0.16299999976856422</v>
      </c>
      <c r="C796" t="b">
        <f t="shared" si="302"/>
        <v>1</v>
      </c>
      <c r="D796" t="b">
        <f t="shared" si="290"/>
        <v>1</v>
      </c>
      <c r="E796">
        <f t="shared" si="298"/>
        <v>3.9449999999999399</v>
      </c>
      <c r="F796">
        <f t="shared" si="303"/>
        <v>0.16299999976856422</v>
      </c>
      <c r="G796">
        <f t="shared" si="291"/>
        <v>0.2106310760992679</v>
      </c>
      <c r="H796">
        <f t="shared" si="292"/>
        <v>3.4999999910986235E-2</v>
      </c>
      <c r="I796" t="b">
        <f t="shared" si="304"/>
        <v>1</v>
      </c>
      <c r="J796">
        <f t="shared" si="293"/>
        <v>3.9449999999999399</v>
      </c>
      <c r="K796">
        <f t="shared" si="305"/>
        <v>3.4999999910986235E-2</v>
      </c>
      <c r="L796">
        <f t="shared" si="294"/>
        <v>0.16904825712042582</v>
      </c>
      <c r="M796">
        <f t="shared" si="295"/>
        <v>0.18999999982197247</v>
      </c>
      <c r="N796">
        <f t="shared" si="296"/>
        <v>0.18799983673694795</v>
      </c>
      <c r="O796">
        <f t="shared" si="297"/>
        <v>0.15777777777775132</v>
      </c>
      <c r="P796">
        <f t="shared" si="310"/>
        <v>0.08</v>
      </c>
      <c r="Q796">
        <f t="shared" si="306"/>
        <v>0.08</v>
      </c>
      <c r="R796">
        <f t="shared" si="299"/>
        <v>0.08</v>
      </c>
      <c r="S796">
        <f t="shared" si="300"/>
        <v>0.06</v>
      </c>
      <c r="T796">
        <f t="shared" si="301"/>
        <v>0.1</v>
      </c>
      <c r="U796">
        <f t="shared" si="307"/>
        <v>0.08</v>
      </c>
      <c r="V796">
        <f t="shared" si="312"/>
        <v>0.18799983673694795</v>
      </c>
      <c r="W796">
        <f t="shared" si="308"/>
        <v>0.16902903063889746</v>
      </c>
      <c r="X796">
        <f t="shared" si="309"/>
        <v>0.210643824682132</v>
      </c>
      <c r="Y796" t="b">
        <f t="shared" si="311"/>
        <v>0</v>
      </c>
    </row>
    <row xmlns:x14ac="http://schemas.microsoft.com/office/spreadsheetml/2009/9/ac" r="797" x14ac:dyDescent="0.45">
      <c r="A797">
        <v>3.9499999999999398</v>
      </c>
      <c r="B797">
        <f t="shared" si="289"/>
        <v>0.16299999979685773</v>
      </c>
      <c r="C797" t="b">
        <f t="shared" si="302"/>
        <v>1</v>
      </c>
      <c r="D797" t="b">
        <f t="shared" si="290"/>
        <v>1</v>
      </c>
      <c r="E797">
        <f t="shared" si="298"/>
        <v>3.9499999999999398</v>
      </c>
      <c r="F797">
        <f t="shared" si="303"/>
        <v>0.16299999979685773</v>
      </c>
      <c r="G797">
        <f t="shared" si="291"/>
        <v>0.21062792859409185</v>
      </c>
      <c r="H797">
        <f t="shared" si="292"/>
        <v>3.4999999921868363E-2</v>
      </c>
      <c r="I797" t="b">
        <f t="shared" si="304"/>
        <v>1</v>
      </c>
      <c r="J797">
        <f t="shared" si="293"/>
        <v>3.9499999999999398</v>
      </c>
      <c r="K797">
        <f t="shared" si="305"/>
        <v>3.4999999921868363E-2</v>
      </c>
      <c r="L797">
        <f t="shared" si="294"/>
        <v>0.1690530039578409</v>
      </c>
      <c r="M797">
        <f t="shared" si="295"/>
        <v>0.18999999984373672</v>
      </c>
      <c r="N797">
        <f t="shared" si="296"/>
        <v>0.18799986077378472</v>
      </c>
      <c r="O797">
        <f t="shared" si="297"/>
        <v>0.15777777777775426</v>
      </c>
      <c r="P797">
        <f t="shared" si="310"/>
        <v>0.08</v>
      </c>
      <c r="Q797">
        <f t="shared" si="306"/>
        <v>0.08</v>
      </c>
      <c r="R797">
        <f t="shared" si="299"/>
        <v>0.08</v>
      </c>
      <c r="S797">
        <f t="shared" si="300"/>
        <v>0.06</v>
      </c>
      <c r="T797">
        <f t="shared" si="301"/>
        <v>0.1</v>
      </c>
      <c r="U797">
        <f t="shared" si="307"/>
        <v>0.08</v>
      </c>
      <c r="V797">
        <f t="shared" si="312"/>
        <v>0.18799986077378472</v>
      </c>
      <c r="W797">
        <f t="shared" si="308"/>
        <v>0.16903387336878925</v>
      </c>
      <c r="X797">
        <f t="shared" si="309"/>
        <v>0.21064061359313357</v>
      </c>
      <c r="Y797" t="b">
        <f t="shared" si="311"/>
        <v>0</v>
      </c>
    </row>
    <row xmlns:x14ac="http://schemas.microsoft.com/office/spreadsheetml/2009/9/ac" r="798" x14ac:dyDescent="0.45">
      <c r="A798">
        <v>3.9549999999999401</v>
      </c>
      <c r="B798">
        <f t="shared" si="289"/>
        <v>0.16299999982474311</v>
      </c>
      <c r="C798" t="b">
        <f t="shared" si="302"/>
        <v>1</v>
      </c>
      <c r="D798" t="b">
        <f t="shared" si="290"/>
        <v>1</v>
      </c>
      <c r="E798">
        <f t="shared" si="298"/>
        <v>3.9549999999999401</v>
      </c>
      <c r="F798">
        <f t="shared" si="303"/>
        <v>0.16299999982474311</v>
      </c>
      <c r="G798">
        <f t="shared" si="291"/>
        <v>0.21062479678716328</v>
      </c>
      <c r="H798">
        <f t="shared" si="292"/>
        <v>3.4999999932593506E-2</v>
      </c>
      <c r="I798" t="b">
        <f t="shared" si="304"/>
        <v>1</v>
      </c>
      <c r="J798">
        <f t="shared" si="293"/>
        <v>3.9549999999999401</v>
      </c>
      <c r="K798">
        <f t="shared" si="305"/>
        <v>3.4999999932593506E-2</v>
      </c>
      <c r="L798">
        <f t="shared" si="294"/>
        <v>0.16905772712030559</v>
      </c>
      <c r="M798">
        <f t="shared" si="295"/>
        <v>0.18999999986518701</v>
      </c>
      <c r="N798">
        <f t="shared" si="296"/>
        <v>0.18799988467508816</v>
      </c>
      <c r="O798">
        <f t="shared" si="297"/>
        <v>0.15777777777775714</v>
      </c>
      <c r="P798">
        <f t="shared" si="310"/>
        <v>0.08</v>
      </c>
      <c r="Q798">
        <f t="shared" si="306"/>
        <v>0.08</v>
      </c>
      <c r="R798">
        <f t="shared" si="299"/>
        <v>0.08</v>
      </c>
      <c r="S798">
        <f t="shared" si="300"/>
        <v>0.06</v>
      </c>
      <c r="T798">
        <f t="shared" si="301"/>
        <v>0.1</v>
      </c>
      <c r="U798">
        <f t="shared" si="307"/>
        <v>0.08</v>
      </c>
      <c r="V798">
        <f t="shared" si="312"/>
        <v>0.18799988467508816</v>
      </c>
      <c r="W798">
        <f t="shared" si="308"/>
        <v>0.16903869194546489</v>
      </c>
      <c r="X798">
        <f t="shared" si="309"/>
        <v>0.2106374185195084</v>
      </c>
      <c r="Y798" t="b">
        <f t="shared" si="311"/>
        <v>0</v>
      </c>
    </row>
    <row xmlns:x14ac="http://schemas.microsoft.com/office/spreadsheetml/2009/9/ac" r="799" x14ac:dyDescent="0.45">
      <c r="A799">
        <v>3.95999999999994</v>
      </c>
      <c r="B799">
        <f t="shared" si="289"/>
        <v>0.16299999985210689</v>
      </c>
      <c r="C799" t="b">
        <f t="shared" si="302"/>
        <v>1</v>
      </c>
      <c r="D799" t="b">
        <f t="shared" si="290"/>
        <v>1</v>
      </c>
      <c r="E799">
        <f t="shared" si="298"/>
        <v>3.95999999999994</v>
      </c>
      <c r="F799">
        <f t="shared" si="303"/>
        <v>0.16299999985210689</v>
      </c>
      <c r="G799">
        <f t="shared" si="291"/>
        <v>0.21062168060018693</v>
      </c>
      <c r="H799">
        <f t="shared" si="292"/>
        <v>3.4999999943118032E-2</v>
      </c>
      <c r="I799" t="b">
        <f t="shared" si="304"/>
        <v>1</v>
      </c>
      <c r="J799">
        <f t="shared" si="293"/>
        <v>3.95999999999994</v>
      </c>
      <c r="K799">
        <f t="shared" si="305"/>
        <v>3.4999999943118032E-2</v>
      </c>
      <c r="L799">
        <f t="shared" si="294"/>
        <v>0.16906242672589927</v>
      </c>
      <c r="M799">
        <f t="shared" si="295"/>
        <v>0.18999999988623606</v>
      </c>
      <c r="N799">
        <f t="shared" si="296"/>
        <v>0.1879999083384376</v>
      </c>
      <c r="O799">
        <f t="shared" si="297"/>
        <v>0.15777777777775992</v>
      </c>
      <c r="P799">
        <f t="shared" si="310"/>
        <v>0.08</v>
      </c>
      <c r="Q799">
        <f t="shared" si="306"/>
        <v>0.08</v>
      </c>
      <c r="R799">
        <f t="shared" si="299"/>
        <v>0.08</v>
      </c>
      <c r="S799">
        <f t="shared" si="300"/>
        <v>0.06</v>
      </c>
      <c r="T799">
        <f t="shared" si="301"/>
        <v>0.1</v>
      </c>
      <c r="U799">
        <f t="shared" si="307"/>
        <v>0.08</v>
      </c>
      <c r="V799">
        <f t="shared" si="312"/>
        <v>0.1879999083384376</v>
      </c>
      <c r="W799">
        <f t="shared" si="308"/>
        <v>0.16904348648938916</v>
      </c>
      <c r="X799">
        <f t="shared" si="309"/>
        <v>0.21063423938137937</v>
      </c>
      <c r="Y799" t="b">
        <f t="shared" si="311"/>
        <v>0</v>
      </c>
    </row>
    <row xmlns:x14ac="http://schemas.microsoft.com/office/spreadsheetml/2009/9/ac" r="800" x14ac:dyDescent="0.45">
      <c r="A800">
        <v>3.9649999999999399</v>
      </c>
      <c r="B800">
        <f t="shared" si="289"/>
        <v>0.16299999987884359</v>
      </c>
      <c r="C800" t="b">
        <f t="shared" si="302"/>
        <v>1</v>
      </c>
      <c r="D800" t="b">
        <f t="shared" si="290"/>
        <v>1</v>
      </c>
      <c r="E800">
        <f t="shared" si="298"/>
        <v>3.9649999999999399</v>
      </c>
      <c r="F800">
        <f t="shared" si="303"/>
        <v>0.16299999987884359</v>
      </c>
      <c r="G800">
        <f t="shared" si="291"/>
        <v>0.21061857995525801</v>
      </c>
      <c r="H800">
        <f t="shared" si="292"/>
        <v>3.4999999953401376E-2</v>
      </c>
      <c r="I800" t="b">
        <f t="shared" si="304"/>
        <v>1</v>
      </c>
      <c r="J800">
        <f t="shared" si="293"/>
        <v>3.9649999999999399</v>
      </c>
      <c r="K800">
        <f t="shared" si="305"/>
        <v>3.4999999953401376E-2</v>
      </c>
      <c r="L800">
        <f t="shared" si="294"/>
        <v>0.16906710289211221</v>
      </c>
      <c r="M800">
        <f t="shared" si="295"/>
        <v>0.18999999990680277</v>
      </c>
      <c r="N800">
        <f t="shared" si="296"/>
        <v>0.18799993166570012</v>
      </c>
      <c r="O800">
        <f t="shared" si="297"/>
        <v>0.15777777777776264</v>
      </c>
      <c r="P800">
        <f t="shared" si="310"/>
        <v>0.08</v>
      </c>
      <c r="Q800">
        <f t="shared" si="306"/>
        <v>0.08</v>
      </c>
      <c r="R800">
        <f t="shared" si="299"/>
        <v>0.08</v>
      </c>
      <c r="S800">
        <f t="shared" si="300"/>
        <v>0.06</v>
      </c>
      <c r="T800">
        <f t="shared" si="301"/>
        <v>0.1</v>
      </c>
      <c r="U800">
        <f t="shared" si="307"/>
        <v>0.08</v>
      </c>
      <c r="V800">
        <f t="shared" si="312"/>
        <v>0.18799993166570012</v>
      </c>
      <c r="W800">
        <f t="shared" si="308"/>
        <v>0.16904825712042582</v>
      </c>
      <c r="X800">
        <f t="shared" si="309"/>
        <v>0.2106310760992679</v>
      </c>
      <c r="Y800" t="b">
        <f t="shared" si="311"/>
        <v>0</v>
      </c>
    </row>
    <row xmlns:x14ac="http://schemas.microsoft.com/office/spreadsheetml/2009/9/ac" r="801" x14ac:dyDescent="0.45">
      <c r="A801">
        <v>3.9699999999999398</v>
      </c>
      <c r="B801">
        <f t="shared" si="289"/>
        <v>0.16299999990485586</v>
      </c>
      <c r="C801" t="b">
        <f t="shared" si="302"/>
        <v>1</v>
      </c>
      <c r="D801" t="b">
        <f t="shared" si="290"/>
        <v>1</v>
      </c>
      <c r="E801">
        <f t="shared" si="298"/>
        <v>3.9699999999999398</v>
      </c>
      <c r="F801">
        <f t="shared" si="303"/>
        <v>0.16299999990485586</v>
      </c>
      <c r="G801">
        <f t="shared" si="291"/>
        <v>0.21061549477486019</v>
      </c>
      <c r="H801">
        <f t="shared" si="292"/>
        <v>3.4999999963406109E-2</v>
      </c>
      <c r="I801" t="b">
        <f t="shared" si="304"/>
        <v>1</v>
      </c>
      <c r="J801">
        <f t="shared" si="293"/>
        <v>3.9699999999999398</v>
      </c>
      <c r="K801">
        <f t="shared" si="305"/>
        <v>3.4999999963406109E-2</v>
      </c>
      <c r="L801">
        <f t="shared" si="294"/>
        <v>0.1690717557358489</v>
      </c>
      <c r="M801">
        <f t="shared" si="295"/>
        <v>0.18999999992681221</v>
      </c>
      <c r="N801">
        <f t="shared" si="296"/>
        <v>0.18799995456333357</v>
      </c>
      <c r="O801">
        <f t="shared" si="297"/>
        <v>0.15777777777776519</v>
      </c>
      <c r="P801">
        <f t="shared" si="310"/>
        <v>0.08</v>
      </c>
      <c r="Q801">
        <f t="shared" si="306"/>
        <v>0.08</v>
      </c>
      <c r="R801">
        <f t="shared" si="299"/>
        <v>0.08</v>
      </c>
      <c r="S801">
        <f t="shared" si="300"/>
        <v>0.06</v>
      </c>
      <c r="T801">
        <f t="shared" si="301"/>
        <v>0.1</v>
      </c>
      <c r="U801">
        <f t="shared" si="307"/>
        <v>0.08</v>
      </c>
      <c r="V801">
        <f t="shared" si="312"/>
        <v>0.18799995456333357</v>
      </c>
      <c r="W801">
        <f t="shared" si="308"/>
        <v>0.1690530039578409</v>
      </c>
      <c r="X801">
        <f t="shared" si="309"/>
        <v>0.21062792859409185</v>
      </c>
      <c r="Y801" t="b">
        <f t="shared" si="311"/>
        <v>0</v>
      </c>
    </row>
    <row xmlns:x14ac="http://schemas.microsoft.com/office/spreadsheetml/2009/9/ac" r="802" x14ac:dyDescent="0.45">
      <c r="A802">
        <v>3.9749999999999401</v>
      </c>
      <c r="B802">
        <f t="shared" si="289"/>
        <v>0.16299999993005468</v>
      </c>
      <c r="C802" t="b">
        <f t="shared" si="302"/>
        <v>1</v>
      </c>
      <c r="D802" t="b">
        <f t="shared" si="290"/>
        <v>1</v>
      </c>
      <c r="E802">
        <f t="shared" si="298"/>
        <v>3.9749999999999401</v>
      </c>
      <c r="F802">
        <f t="shared" si="303"/>
        <v>0.16299999993005468</v>
      </c>
      <c r="G802">
        <f t="shared" si="291"/>
        <v>0.21061242498186378</v>
      </c>
      <c r="H802">
        <f t="shared" si="292"/>
        <v>3.4999999973097953E-2</v>
      </c>
      <c r="I802" t="b">
        <f t="shared" si="304"/>
        <v>1</v>
      </c>
      <c r="J802">
        <f t="shared" si="293"/>
        <v>3.9749999999999401</v>
      </c>
      <c r="K802">
        <f t="shared" si="305"/>
        <v>3.4999999973097953E-2</v>
      </c>
      <c r="L802">
        <f t="shared" si="294"/>
        <v>0.16907638537343062</v>
      </c>
      <c r="M802">
        <f t="shared" si="295"/>
        <v>0.18999999994619593</v>
      </c>
      <c r="N802">
        <f t="shared" si="296"/>
        <v>0.18799997694265946</v>
      </c>
      <c r="O802">
        <f t="shared" si="297"/>
        <v>0.15777777777776769</v>
      </c>
      <c r="P802">
        <f t="shared" si="310"/>
        <v>0.08</v>
      </c>
      <c r="Q802">
        <f t="shared" si="306"/>
        <v>0.08</v>
      </c>
      <c r="R802">
        <f t="shared" si="299"/>
        <v>0.08</v>
      </c>
      <c r="S802">
        <f t="shared" si="300"/>
        <v>0.06</v>
      </c>
      <c r="T802">
        <f t="shared" si="301"/>
        <v>0.1</v>
      </c>
      <c r="U802">
        <f t="shared" si="307"/>
        <v>0.08</v>
      </c>
      <c r="V802">
        <f t="shared" si="312"/>
        <v>0.18799997694265946</v>
      </c>
      <c r="W802">
        <f t="shared" si="308"/>
        <v>0.16905772712030559</v>
      </c>
      <c r="X802">
        <f t="shared" si="309"/>
        <v>0.21062479678716328</v>
      </c>
      <c r="Y802" t="b">
        <f t="shared" si="311"/>
        <v>0</v>
      </c>
    </row>
    <row xmlns:x14ac="http://schemas.microsoft.com/office/spreadsheetml/2009/9/ac" r="803" x14ac:dyDescent="0.45">
      <c r="A803">
        <v>3.97999999999994</v>
      </c>
      <c r="B803">
        <f t="shared" si="289"/>
        <v>0.16299999995435913</v>
      </c>
      <c r="C803" t="b">
        <f t="shared" si="302"/>
        <v>1</v>
      </c>
      <c r="D803" t="b">
        <f t="shared" si="290"/>
        <v>1</v>
      </c>
      <c r="E803">
        <f t="shared" si="298"/>
        <v>3.97999999999994</v>
      </c>
      <c r="F803">
        <f t="shared" si="303"/>
        <v>0.16299999995435913</v>
      </c>
      <c r="G803">
        <f t="shared" si="291"/>
        <v>0.21060937049952383</v>
      </c>
      <c r="H803">
        <f t="shared" si="292"/>
        <v>3.4999999982445823E-2</v>
      </c>
      <c r="I803" t="b">
        <f t="shared" si="304"/>
        <v>1</v>
      </c>
      <c r="J803">
        <f t="shared" si="293"/>
        <v>3.97999999999994</v>
      </c>
      <c r="K803">
        <f t="shared" si="305"/>
        <v>3.4999999982445823E-2</v>
      </c>
      <c r="L803">
        <f t="shared" si="294"/>
        <v>0.16908099192059858</v>
      </c>
      <c r="M803">
        <f t="shared" si="295"/>
        <v>0.18999999996489164</v>
      </c>
      <c r="N803">
        <f t="shared" si="296"/>
        <v>0.18799999872010575</v>
      </c>
      <c r="O803">
        <f t="shared" si="297"/>
        <v>0.15777777777777002</v>
      </c>
      <c r="P803">
        <f t="shared" si="310"/>
        <v>0.08</v>
      </c>
      <c r="Q803">
        <f t="shared" si="306"/>
        <v>0.08</v>
      </c>
      <c r="R803">
        <f t="shared" si="299"/>
        <v>0.08</v>
      </c>
      <c r="S803">
        <f t="shared" si="300"/>
        <v>0.06</v>
      </c>
      <c r="T803">
        <f t="shared" si="301"/>
        <v>0.1</v>
      </c>
      <c r="U803">
        <f t="shared" si="307"/>
        <v>0.08</v>
      </c>
      <c r="V803">
        <f t="shared" si="312"/>
        <v>0.18799999872010575</v>
      </c>
      <c r="W803">
        <f t="shared" si="308"/>
        <v>0.16906242672589927</v>
      </c>
      <c r="X803">
        <f t="shared" si="309"/>
        <v>0.21062168060018693</v>
      </c>
      <c r="Y803" t="b">
        <f t="shared" si="311"/>
        <v>0</v>
      </c>
    </row>
    <row xmlns:x14ac="http://schemas.microsoft.com/office/spreadsheetml/2009/9/ac" r="804" x14ac:dyDescent="0.45">
      <c r="A804">
        <v>3.9849999999999399</v>
      </c>
      <c r="B804">
        <f t="shared" si="289"/>
        <v>0.16299999997769654</v>
      </c>
      <c r="C804" t="b">
        <f t="shared" si="302"/>
        <v>1</v>
      </c>
      <c r="D804" t="b">
        <f t="shared" si="290"/>
        <v>1</v>
      </c>
      <c r="E804">
        <f t="shared" si="298"/>
        <v>3.9849999999999399</v>
      </c>
      <c r="F804">
        <f t="shared" si="303"/>
        <v>0.16299999997769654</v>
      </c>
      <c r="G804">
        <f t="shared" si="291"/>
        <v>0.21060633125147804</v>
      </c>
      <c r="H804">
        <f t="shared" si="292"/>
        <v>3.499999999142174E-2</v>
      </c>
      <c r="I804" t="b">
        <f t="shared" si="304"/>
        <v>1</v>
      </c>
      <c r="J804">
        <f t="shared" si="293"/>
        <v>3.9849999999999399</v>
      </c>
      <c r="K804">
        <f t="shared" si="305"/>
        <v>3.499999999142174E-2</v>
      </c>
      <c r="L804">
        <f t="shared" si="294"/>
        <v>0.16908557549251668</v>
      </c>
      <c r="M804">
        <f t="shared" si="295"/>
        <v>0.1899999999828435</v>
      </c>
      <c r="N804">
        <f t="shared" si="296"/>
        <v>0.18800001981741893</v>
      </c>
      <c r="O804">
        <f t="shared" si="297"/>
        <v>0.15777777777777224</v>
      </c>
      <c r="P804">
        <f t="shared" si="310"/>
        <v>0.08</v>
      </c>
      <c r="Q804">
        <f t="shared" si="306"/>
        <v>0.08</v>
      </c>
      <c r="R804">
        <f t="shared" si="299"/>
        <v>0.08</v>
      </c>
      <c r="S804">
        <f t="shared" si="300"/>
        <v>0.06</v>
      </c>
      <c r="T804">
        <f t="shared" si="301"/>
        <v>0.1</v>
      </c>
      <c r="U804">
        <f t="shared" si="307"/>
        <v>0.08</v>
      </c>
      <c r="V804">
        <f t="shared" si="312"/>
        <v>0.18800001981741893</v>
      </c>
      <c r="W804">
        <f t="shared" si="308"/>
        <v>0.16906710289211221</v>
      </c>
      <c r="X804">
        <f t="shared" si="309"/>
        <v>0.21061857995525801</v>
      </c>
      <c r="Y804" t="b">
        <f t="shared" si="311"/>
        <v>0</v>
      </c>
    </row>
    <row xmlns:x14ac="http://schemas.microsoft.com/office/spreadsheetml/2009/9/ac" r="805" x14ac:dyDescent="0.45">
      <c r="A805">
        <v>3.9899999999999398</v>
      </c>
      <c r="B805">
        <f t="shared" si="289"/>
        <v>0.16300000000000248</v>
      </c>
      <c r="C805" t="b">
        <f t="shared" si="302"/>
        <v>1</v>
      </c>
      <c r="D805" t="b">
        <f t="shared" si="290"/>
        <v>1</v>
      </c>
      <c r="E805">
        <f t="shared" si="298"/>
        <v>3.9899999999999398</v>
      </c>
      <c r="F805">
        <f t="shared" si="303"/>
        <v>0.16300000000000248</v>
      </c>
      <c r="G805">
        <f t="shared" si="291"/>
        <v>0.21060330716174519</v>
      </c>
      <c r="H805">
        <f t="shared" si="292"/>
        <v>3.5000000000000961E-2</v>
      </c>
      <c r="I805" t="b">
        <f t="shared" si="304"/>
        <v>1</v>
      </c>
      <c r="J805">
        <f t="shared" si="293"/>
        <v>3.9899999999999398</v>
      </c>
      <c r="K805">
        <f t="shared" si="305"/>
        <v>3.5000000000000961E-2</v>
      </c>
      <c r="L805">
        <f t="shared" si="294"/>
        <v>0.1690901362037745</v>
      </c>
      <c r="M805">
        <f t="shared" si="295"/>
        <v>0.19000000000000192</v>
      </c>
      <c r="N805">
        <f t="shared" si="296"/>
        <v>0.1880000401618459</v>
      </c>
      <c r="O805">
        <f t="shared" si="297"/>
        <v>0.15777777777777435</v>
      </c>
      <c r="P805">
        <f t="shared" si="310"/>
        <v>0.08</v>
      </c>
      <c r="Q805">
        <f t="shared" si="306"/>
        <v>0.08</v>
      </c>
      <c r="R805">
        <f t="shared" si="299"/>
        <v>0.08</v>
      </c>
      <c r="S805">
        <f t="shared" si="300"/>
        <v>0.06</v>
      </c>
      <c r="T805">
        <f t="shared" si="301"/>
        <v>0.1</v>
      </c>
      <c r="U805">
        <f t="shared" si="307"/>
        <v>0.08</v>
      </c>
      <c r="V805">
        <f t="shared" si="312"/>
        <v>0.1880000401618459</v>
      </c>
      <c r="W805">
        <f t="shared" si="308"/>
        <v>0.1690717557358489</v>
      </c>
      <c r="X805">
        <f t="shared" si="309"/>
        <v>0.21061549477486019</v>
      </c>
      <c r="Y805" t="b">
        <f t="shared" si="311"/>
        <v>0</v>
      </c>
    </row>
    <row xmlns:x14ac="http://schemas.microsoft.com/office/spreadsheetml/2009/9/ac" r="806" x14ac:dyDescent="0.45">
      <c r="A806">
        <v>3.9949999999999402</v>
      </c>
      <c r="B806">
        <f t="shared" si="289"/>
        <v>0.16300000002122053</v>
      </c>
      <c r="C806" t="b">
        <f t="shared" si="302"/>
        <v>1</v>
      </c>
      <c r="D806" t="b">
        <f t="shared" si="290"/>
        <v>1</v>
      </c>
      <c r="E806">
        <f t="shared" si="298"/>
        <v>3.9949999999999402</v>
      </c>
      <c r="F806">
        <f t="shared" si="303"/>
        <v>0.16300000002122053</v>
      </c>
      <c r="G806">
        <f t="shared" si="291"/>
        <v>0.21060029815472281</v>
      </c>
      <c r="H806">
        <f t="shared" si="292"/>
        <v>3.5000000008161752E-2</v>
      </c>
      <c r="I806" t="b">
        <f t="shared" si="304"/>
        <v>1</v>
      </c>
      <c r="J806">
        <f t="shared" si="293"/>
        <v>3.9949999999999402</v>
      </c>
      <c r="K806">
        <f t="shared" si="305"/>
        <v>3.5000000008161752E-2</v>
      </c>
      <c r="L806">
        <f t="shared" si="294"/>
        <v>0.16909467416838997</v>
      </c>
      <c r="M806">
        <f t="shared" si="295"/>
        <v>0.1900000000163235</v>
      </c>
      <c r="N806">
        <f t="shared" si="296"/>
        <v>0.18800005968628553</v>
      </c>
      <c r="O806">
        <f t="shared" si="297"/>
        <v>0.15777777777777635</v>
      </c>
      <c r="P806">
        <f t="shared" si="310"/>
        <v>0.08</v>
      </c>
      <c r="Q806">
        <f t="shared" si="306"/>
        <v>0.08</v>
      </c>
      <c r="R806">
        <f t="shared" si="299"/>
        <v>0.08</v>
      </c>
      <c r="S806">
        <f t="shared" si="300"/>
        <v>0.06</v>
      </c>
      <c r="T806">
        <f t="shared" si="301"/>
        <v>0.1</v>
      </c>
      <c r="U806">
        <f t="shared" si="307"/>
        <v>0.08</v>
      </c>
      <c r="V806">
        <f t="shared" si="312"/>
        <v>0.18800005968628553</v>
      </c>
      <c r="W806">
        <f t="shared" si="308"/>
        <v>0.16907638537343062</v>
      </c>
      <c r="X806">
        <f t="shared" si="309"/>
        <v>0.21061242498186378</v>
      </c>
      <c r="Y806" t="b">
        <f t="shared" si="311"/>
        <v>0</v>
      </c>
    </row>
    <row xmlns:x14ac="http://schemas.microsoft.com/office/spreadsheetml/2009/9/ac" r="807" x14ac:dyDescent="0.45">
      <c r="A807">
        <v>3.99999999999994</v>
      </c>
      <c r="B807">
        <f t="shared" si="289"/>
        <v>0.16300000004130227</v>
      </c>
      <c r="C807" t="b">
        <f t="shared" si="302"/>
        <v>1</v>
      </c>
      <c r="D807" t="b">
        <f t="shared" si="290"/>
        <v>1</v>
      </c>
      <c r="E807">
        <f t="shared" si="298"/>
        <v>3.99999999999994</v>
      </c>
      <c r="F807">
        <f t="shared" si="303"/>
        <v>0.16300000004130227</v>
      </c>
      <c r="G807">
        <f t="shared" si="291"/>
        <v>0.21059730415518552</v>
      </c>
      <c r="H807">
        <f t="shared" si="292"/>
        <v>3.5000000015885491E-2</v>
      </c>
      <c r="I807" t="b">
        <f t="shared" si="304"/>
        <v>1</v>
      </c>
      <c r="J807">
        <f t="shared" si="293"/>
        <v>3.99999999999994</v>
      </c>
      <c r="K807">
        <f t="shared" si="305"/>
        <v>3.5000000015885491E-2</v>
      </c>
      <c r="L807">
        <f t="shared" si="294"/>
        <v>0.16909918949981254</v>
      </c>
      <c r="M807">
        <f t="shared" si="295"/>
        <v>0.19000000003177098</v>
      </c>
      <c r="N807">
        <f t="shared" si="296"/>
        <v>0.18800007832941013</v>
      </c>
      <c r="O807">
        <f t="shared" si="297"/>
        <v>0.15777777777777818</v>
      </c>
      <c r="P807">
        <f t="shared" si="310"/>
        <v>0.08</v>
      </c>
      <c r="Q807">
        <f t="shared" si="306"/>
        <v>0.08</v>
      </c>
      <c r="R807">
        <f t="shared" si="299"/>
        <v>0.08</v>
      </c>
      <c r="S807">
        <f t="shared" si="300"/>
        <v>0.06</v>
      </c>
      <c r="T807">
        <f t="shared" si="301"/>
        <v>0.1</v>
      </c>
      <c r="U807">
        <f t="shared" si="307"/>
        <v>0.08</v>
      </c>
      <c r="V807">
        <f t="shared" si="312"/>
        <v>0.18800007832941013</v>
      </c>
      <c r="W807">
        <f t="shared" si="308"/>
        <v>0.16908099192059858</v>
      </c>
      <c r="X807">
        <f t="shared" si="309"/>
        <v>0.21060937049952383</v>
      </c>
      <c r="Y807" t="b">
        <f t="shared" si="311"/>
        <v>0</v>
      </c>
    </row>
    <row xmlns:x14ac="http://schemas.microsoft.com/office/spreadsheetml/2009/9/ac" r="808" x14ac:dyDescent="0.45">
      <c r="A808">
        <v>4.0049999999999404</v>
      </c>
      <c r="B808">
        <f t="shared" si="289"/>
        <v>0.16300000006020701</v>
      </c>
      <c r="C808" t="b">
        <f t="shared" si="302"/>
        <v>1</v>
      </c>
      <c r="D808" t="b">
        <f t="shared" si="290"/>
        <v>1</v>
      </c>
      <c r="E808">
        <f t="shared" si="298"/>
        <v>4.0049999999999404</v>
      </c>
      <c r="F808">
        <f t="shared" si="303"/>
        <v>0.16300000006020701</v>
      </c>
      <c r="G808">
        <f t="shared" si="291"/>
        <v>0.21059432508828324</v>
      </c>
      <c r="H808">
        <f t="shared" si="292"/>
        <v>3.5000000023156549E-2</v>
      </c>
      <c r="I808" t="b">
        <f t="shared" si="304"/>
        <v>1</v>
      </c>
      <c r="J808">
        <f t="shared" si="293"/>
        <v>4.0049999999999404</v>
      </c>
      <c r="K808">
        <f t="shared" si="305"/>
        <v>3.5000000023156549E-2</v>
      </c>
      <c r="L808">
        <f t="shared" si="294"/>
        <v>0.16910368231092568</v>
      </c>
      <c r="M808">
        <f t="shared" si="295"/>
        <v>0.19000000004631309</v>
      </c>
      <c r="N808">
        <f t="shared" si="296"/>
        <v>0.18800009603575735</v>
      </c>
      <c r="O808">
        <f t="shared" si="297"/>
        <v>0.1577777777777799</v>
      </c>
      <c r="P808">
        <f t="shared" si="310"/>
        <v>0.08</v>
      </c>
      <c r="Q808">
        <f t="shared" si="306"/>
        <v>0.08</v>
      </c>
      <c r="R808">
        <f t="shared" si="299"/>
        <v>0.08</v>
      </c>
      <c r="S808">
        <f t="shared" si="300"/>
        <v>0.06</v>
      </c>
      <c r="T808">
        <f t="shared" si="301"/>
        <v>0.1</v>
      </c>
      <c r="U808">
        <f t="shared" si="307"/>
        <v>0.08</v>
      </c>
      <c r="V808">
        <f t="shared" si="312"/>
        <v>0.18800009603575735</v>
      </c>
      <c r="W808">
        <f t="shared" si="308"/>
        <v>0.16908557549251668</v>
      </c>
      <c r="X808">
        <f t="shared" si="309"/>
        <v>0.21060633125147804</v>
      </c>
      <c r="Y808" t="b">
        <f t="shared" si="311"/>
        <v>0</v>
      </c>
    </row>
    <row xmlns:x14ac="http://schemas.microsoft.com/office/spreadsheetml/2009/9/ac" r="809" x14ac:dyDescent="0.45">
      <c r="A809">
        <v>4.0099999999999403</v>
      </c>
      <c r="B809">
        <f t="shared" si="289"/>
        <v>0.16300000007790175</v>
      </c>
      <c r="C809" t="b">
        <f t="shared" si="302"/>
        <v>1</v>
      </c>
      <c r="D809" t="b">
        <f t="shared" si="290"/>
        <v>1</v>
      </c>
      <c r="E809">
        <f t="shared" si="298"/>
        <v>4.0099999999999403</v>
      </c>
      <c r="F809">
        <f t="shared" si="303"/>
        <v>0.16300000007790175</v>
      </c>
      <c r="G809">
        <f t="shared" si="291"/>
        <v>0.21059136087953911</v>
      </c>
      <c r="H809">
        <f t="shared" si="292"/>
        <v>3.5000000029962217E-2</v>
      </c>
      <c r="I809" t="b">
        <f t="shared" si="304"/>
        <v>1</v>
      </c>
      <c r="J809">
        <f t="shared" si="293"/>
        <v>4.0099999999999403</v>
      </c>
      <c r="K809">
        <f t="shared" si="305"/>
        <v>3.5000000029962217E-2</v>
      </c>
      <c r="L809">
        <f t="shared" si="294"/>
        <v>0.16910815271404989</v>
      </c>
      <c r="M809">
        <f t="shared" si="295"/>
        <v>0.19000000005992443</v>
      </c>
      <c r="N809">
        <f t="shared" si="296"/>
        <v>0.18800011275579309</v>
      </c>
      <c r="O809">
        <f t="shared" si="297"/>
        <v>0.15777777777778149</v>
      </c>
      <c r="P809">
        <f t="shared" si="310"/>
        <v>0.08</v>
      </c>
      <c r="Q809">
        <f t="shared" si="306"/>
        <v>0.08</v>
      </c>
      <c r="R809">
        <f t="shared" si="299"/>
        <v>0.08</v>
      </c>
      <c r="S809">
        <f t="shared" si="300"/>
        <v>0.06</v>
      </c>
      <c r="T809">
        <f t="shared" si="301"/>
        <v>0.1</v>
      </c>
      <c r="U809">
        <f t="shared" si="307"/>
        <v>0.08</v>
      </c>
      <c r="V809">
        <f t="shared" si="312"/>
        <v>0.18800011275579309</v>
      </c>
      <c r="W809">
        <f t="shared" si="308"/>
        <v>0.1690901362037745</v>
      </c>
      <c r="X809">
        <f t="shared" si="309"/>
        <v>0.21060330716174519</v>
      </c>
      <c r="Y809" t="b">
        <f t="shared" si="311"/>
        <v>0</v>
      </c>
    </row>
    <row xmlns:x14ac="http://schemas.microsoft.com/office/spreadsheetml/2009/9/ac" r="810" x14ac:dyDescent="0.45">
      <c r="A810">
        <v>4.0149999999999402</v>
      </c>
      <c r="B810">
        <f t="shared" si="289"/>
        <v>0.16300000009436086</v>
      </c>
      <c r="C810" t="b">
        <f t="shared" si="302"/>
        <v>1</v>
      </c>
      <c r="D810" t="b">
        <f t="shared" si="290"/>
        <v>1</v>
      </c>
      <c r="E810">
        <f t="shared" si="298"/>
        <v>4.0149999999999402</v>
      </c>
      <c r="F810">
        <f t="shared" si="303"/>
        <v>0.16300000009436086</v>
      </c>
      <c r="G810">
        <f t="shared" si="291"/>
        <v>0.21058841145484775</v>
      </c>
      <c r="H810">
        <f t="shared" si="292"/>
        <v>3.5000000036292639E-2</v>
      </c>
      <c r="I810" t="b">
        <f t="shared" si="304"/>
        <v>1</v>
      </c>
      <c r="J810">
        <f t="shared" si="293"/>
        <v>4.0149999999999402</v>
      </c>
      <c r="K810">
        <f t="shared" si="305"/>
        <v>3.5000000036292639E-2</v>
      </c>
      <c r="L810">
        <f t="shared" si="294"/>
        <v>0.16911260082094554</v>
      </c>
      <c r="M810">
        <f t="shared" si="295"/>
        <v>0.19000000007258527</v>
      </c>
      <c r="N810">
        <f t="shared" si="296"/>
        <v>0.18800012844594588</v>
      </c>
      <c r="O810">
        <f t="shared" si="297"/>
        <v>0.15777777777778296</v>
      </c>
      <c r="P810">
        <f t="shared" si="310"/>
        <v>0.08</v>
      </c>
      <c r="Q810">
        <f t="shared" si="306"/>
        <v>0.08</v>
      </c>
      <c r="R810">
        <f t="shared" si="299"/>
        <v>0.08</v>
      </c>
      <c r="S810">
        <f t="shared" si="300"/>
        <v>0.06</v>
      </c>
      <c r="T810">
        <f t="shared" si="301"/>
        <v>0.1</v>
      </c>
      <c r="U810">
        <f t="shared" si="307"/>
        <v>0.08</v>
      </c>
      <c r="V810">
        <f t="shared" si="312"/>
        <v>0.18800012844594588</v>
      </c>
      <c r="W810">
        <f t="shared" si="308"/>
        <v>0.16909467416838997</v>
      </c>
      <c r="X810">
        <f t="shared" si="309"/>
        <v>0.21060029815472281</v>
      </c>
      <c r="Y810" t="b">
        <f t="shared" si="311"/>
        <v>0</v>
      </c>
    </row>
    <row xmlns:x14ac="http://schemas.microsoft.com/office/spreadsheetml/2009/9/ac" r="811" x14ac:dyDescent="0.45">
      <c r="A811">
        <v>4.0199999999999401</v>
      </c>
      <c r="B811">
        <f t="shared" si="289"/>
        <v>0.16300000010956586</v>
      </c>
      <c r="C811" t="b">
        <f t="shared" si="302"/>
        <v>1</v>
      </c>
      <c r="D811" t="b">
        <f t="shared" si="290"/>
        <v>1</v>
      </c>
      <c r="E811">
        <f t="shared" si="298"/>
        <v>4.0199999999999401</v>
      </c>
      <c r="F811">
        <f t="shared" si="303"/>
        <v>0.16300000010956586</v>
      </c>
      <c r="G811">
        <f t="shared" si="291"/>
        <v>0.21058547674047345</v>
      </c>
      <c r="H811">
        <f t="shared" si="292"/>
        <v>3.5000000042140725E-2</v>
      </c>
      <c r="I811" t="b">
        <f t="shared" si="304"/>
        <v>1</v>
      </c>
      <c r="J811">
        <f t="shared" si="293"/>
        <v>4.0199999999999401</v>
      </c>
      <c r="K811">
        <f t="shared" si="305"/>
        <v>3.5000000042140725E-2</v>
      </c>
      <c r="L811">
        <f t="shared" si="294"/>
        <v>0.16911702674281545</v>
      </c>
      <c r="M811">
        <f t="shared" si="295"/>
        <v>0.19000000008428145</v>
      </c>
      <c r="N811">
        <f t="shared" si="296"/>
        <v>0.18800014306861357</v>
      </c>
      <c r="O811">
        <f t="shared" si="297"/>
        <v>0.15777777777778429</v>
      </c>
      <c r="P811">
        <f t="shared" si="310"/>
        <v>0.08</v>
      </c>
      <c r="Q811">
        <f t="shared" si="306"/>
        <v>0.08</v>
      </c>
      <c r="R811">
        <f t="shared" si="299"/>
        <v>0.08</v>
      </c>
      <c r="S811">
        <f t="shared" si="300"/>
        <v>0.06</v>
      </c>
      <c r="T811">
        <f t="shared" si="301"/>
        <v>0.1</v>
      </c>
      <c r="U811">
        <f t="shared" si="307"/>
        <v>0.08</v>
      </c>
      <c r="V811">
        <f t="shared" si="312"/>
        <v>0.18800014306861357</v>
      </c>
      <c r="W811">
        <f t="shared" si="308"/>
        <v>0.16909918949981254</v>
      </c>
      <c r="X811">
        <f t="shared" si="309"/>
        <v>0.21059730415518552</v>
      </c>
      <c r="Y811" t="b">
        <f t="shared" si="311"/>
        <v>0</v>
      </c>
    </row>
    <row xmlns:x14ac="http://schemas.microsoft.com/office/spreadsheetml/2009/9/ac" r="812" x14ac:dyDescent="0.45">
      <c r="A812">
        <v>4.02499999999994</v>
      </c>
      <c r="B812">
        <f t="shared" si="289"/>
        <v>0.16300000012350516</v>
      </c>
      <c r="C812" t="b">
        <f t="shared" si="302"/>
        <v>1</v>
      </c>
      <c r="D812" t="b">
        <f t="shared" si="290"/>
        <v>1</v>
      </c>
      <c r="E812">
        <f t="shared" si="298"/>
        <v>4.02499999999994</v>
      </c>
      <c r="F812">
        <f t="shared" si="303"/>
        <v>0.16300000012350516</v>
      </c>
      <c r="G812">
        <f t="shared" si="291"/>
        <v>0.21058255666304815</v>
      </c>
      <c r="H812">
        <f t="shared" si="292"/>
        <v>3.5000000047501992E-2</v>
      </c>
      <c r="I812" t="b">
        <f t="shared" si="304"/>
        <v>1</v>
      </c>
      <c r="J812">
        <f t="shared" si="293"/>
        <v>4.02499999999994</v>
      </c>
      <c r="K812">
        <f t="shared" si="305"/>
        <v>3.5000000047501992E-2</v>
      </c>
      <c r="L812">
        <f t="shared" si="294"/>
        <v>0.16912143059030799</v>
      </c>
      <c r="M812">
        <f t="shared" si="295"/>
        <v>0.19000000009500398</v>
      </c>
      <c r="N812">
        <f t="shared" si="296"/>
        <v>0.18800015659214325</v>
      </c>
      <c r="O812">
        <f t="shared" si="297"/>
        <v>0.15777777777778546</v>
      </c>
      <c r="P812">
        <f t="shared" si="310"/>
        <v>0.08</v>
      </c>
      <c r="Q812">
        <f t="shared" si="306"/>
        <v>0.08</v>
      </c>
      <c r="R812">
        <f t="shared" si="299"/>
        <v>0.08</v>
      </c>
      <c r="S812">
        <f t="shared" si="300"/>
        <v>0.06</v>
      </c>
      <c r="T812">
        <f t="shared" si="301"/>
        <v>0.1</v>
      </c>
      <c r="U812">
        <f t="shared" si="307"/>
        <v>0.08</v>
      </c>
      <c r="V812">
        <f t="shared" si="312"/>
        <v>0.18800015659214325</v>
      </c>
      <c r="W812">
        <f t="shared" si="308"/>
        <v>0.16910368231092568</v>
      </c>
      <c r="X812">
        <f t="shared" si="309"/>
        <v>0.21059432508828324</v>
      </c>
      <c r="Y812" t="b">
        <f t="shared" si="311"/>
        <v>0</v>
      </c>
    </row>
    <row xmlns:x14ac="http://schemas.microsoft.com/office/spreadsheetml/2009/9/ac" r="813" x14ac:dyDescent="0.45">
      <c r="A813">
        <v>4.0299999999999399</v>
      </c>
      <c r="B813">
        <f t="shared" si="289"/>
        <v>0.16300000013617386</v>
      </c>
      <c r="C813" t="b">
        <f t="shared" si="302"/>
        <v>1</v>
      </c>
      <c r="D813" t="b">
        <f t="shared" si="290"/>
        <v>1</v>
      </c>
      <c r="E813">
        <f t="shared" si="298"/>
        <v>4.0299999999999399</v>
      </c>
      <c r="F813">
        <f t="shared" si="303"/>
        <v>0.16300000013617386</v>
      </c>
      <c r="G813">
        <f t="shared" si="291"/>
        <v>0.21057965114956972</v>
      </c>
      <c r="H813">
        <f t="shared" si="292"/>
        <v>3.5000000052374566E-2</v>
      </c>
      <c r="I813" t="b">
        <f t="shared" si="304"/>
        <v>1</v>
      </c>
      <c r="J813">
        <f t="shared" si="293"/>
        <v>4.0299999999999399</v>
      </c>
      <c r="K813">
        <f t="shared" si="305"/>
        <v>3.5000000052374566E-2</v>
      </c>
      <c r="L813">
        <f t="shared" si="294"/>
        <v>0.16912581247351949</v>
      </c>
      <c r="M813">
        <f t="shared" si="295"/>
        <v>0.19000000010474913</v>
      </c>
      <c r="N813">
        <f t="shared" si="296"/>
        <v>0.18800016899078503</v>
      </c>
      <c r="O813">
        <f t="shared" si="297"/>
        <v>0.15777777777778657</v>
      </c>
      <c r="P813">
        <f t="shared" si="310"/>
        <v>0.08</v>
      </c>
      <c r="Q813">
        <f t="shared" si="306"/>
        <v>0.08</v>
      </c>
      <c r="R813">
        <f t="shared" si="299"/>
        <v>0.08</v>
      </c>
      <c r="S813">
        <f t="shared" si="300"/>
        <v>0.06</v>
      </c>
      <c r="T813">
        <f t="shared" si="301"/>
        <v>0.1</v>
      </c>
      <c r="U813">
        <f t="shared" si="307"/>
        <v>0.08</v>
      </c>
      <c r="V813">
        <f t="shared" si="312"/>
        <v>0.18800016899078503</v>
      </c>
      <c r="W813">
        <f t="shared" si="308"/>
        <v>0.16910815271404989</v>
      </c>
      <c r="X813">
        <f t="shared" si="309"/>
        <v>0.21059136087953911</v>
      </c>
      <c r="Y813" t="b">
        <f t="shared" si="311"/>
        <v>0</v>
      </c>
    </row>
    <row xmlns:x14ac="http://schemas.microsoft.com/office/spreadsheetml/2009/9/ac" r="814" x14ac:dyDescent="0.45">
      <c r="A814">
        <v>4.0349999999999397</v>
      </c>
      <c r="B814">
        <f t="shared" si="289"/>
        <v>0.16300000014757327</v>
      </c>
      <c r="C814" t="b">
        <f t="shared" si="302"/>
        <v>1</v>
      </c>
      <c r="D814" t="b">
        <f t="shared" si="290"/>
        <v>1</v>
      </c>
      <c r="E814">
        <f t="shared" si="298"/>
        <v>4.0349999999999397</v>
      </c>
      <c r="F814">
        <f t="shared" si="303"/>
        <v>0.16300000014757327</v>
      </c>
      <c r="G814">
        <f t="shared" si="291"/>
        <v>0.21057676012740029</v>
      </c>
      <c r="H814">
        <f t="shared" si="292"/>
        <v>3.5000000056758948E-2</v>
      </c>
      <c r="I814" t="b">
        <f t="shared" si="304"/>
        <v>1</v>
      </c>
      <c r="J814">
        <f t="shared" si="293"/>
        <v>4.0349999999999397</v>
      </c>
      <c r="K814">
        <f t="shared" si="305"/>
        <v>3.5000000056758948E-2</v>
      </c>
      <c r="L814">
        <f t="shared" si="294"/>
        <v>0.1691301725019973</v>
      </c>
      <c r="M814">
        <f t="shared" si="295"/>
        <v>0.19000000011351792</v>
      </c>
      <c r="N814">
        <f t="shared" si="296"/>
        <v>0.18800018024462134</v>
      </c>
      <c r="O814">
        <f t="shared" si="297"/>
        <v>0.15777777777778751</v>
      </c>
      <c r="P814">
        <f t="shared" si="310"/>
        <v>0.08</v>
      </c>
      <c r="Q814">
        <f t="shared" si="306"/>
        <v>0.08</v>
      </c>
      <c r="R814">
        <f t="shared" si="299"/>
        <v>0.08</v>
      </c>
      <c r="S814">
        <f t="shared" si="300"/>
        <v>0.06</v>
      </c>
      <c r="T814">
        <f t="shared" si="301"/>
        <v>0.1</v>
      </c>
      <c r="U814">
        <f t="shared" si="307"/>
        <v>0.08</v>
      </c>
      <c r="V814">
        <f t="shared" si="312"/>
        <v>0.18800018024462134</v>
      </c>
      <c r="W814">
        <f t="shared" si="308"/>
        <v>0.16911260082094554</v>
      </c>
      <c r="X814">
        <f t="shared" si="309"/>
        <v>0.21058841145484775</v>
      </c>
      <c r="Y814" t="b">
        <f t="shared" si="311"/>
        <v>0</v>
      </c>
    </row>
    <row xmlns:x14ac="http://schemas.microsoft.com/office/spreadsheetml/2009/9/ac" r="815" x14ac:dyDescent="0.45">
      <c r="A815">
        <v>4.0399999999999396</v>
      </c>
      <c r="B815">
        <f t="shared" si="289"/>
        <v>0.16300000015771077</v>
      </c>
      <c r="C815" t="b">
        <f t="shared" si="302"/>
        <v>1</v>
      </c>
      <c r="D815" t="b">
        <f t="shared" si="290"/>
        <v>1</v>
      </c>
      <c r="E815">
        <f t="shared" si="298"/>
        <v>4.0399999999999396</v>
      </c>
      <c r="F815">
        <f t="shared" si="303"/>
        <v>0.16300000015771077</v>
      </c>
      <c r="G815">
        <f t="shared" si="291"/>
        <v>0.21057388352426404</v>
      </c>
      <c r="H815">
        <f t="shared" si="292"/>
        <v>3.5000000060657996E-2</v>
      </c>
      <c r="I815" t="b">
        <f t="shared" si="304"/>
        <v>1</v>
      </c>
      <c r="J815">
        <f t="shared" si="293"/>
        <v>4.0399999999999396</v>
      </c>
      <c r="K815">
        <f t="shared" si="305"/>
        <v>3.5000000060657996E-2</v>
      </c>
      <c r="L815">
        <f t="shared" si="294"/>
        <v>0.16913451078474237</v>
      </c>
      <c r="M815">
        <f t="shared" si="295"/>
        <v>0.19000000012131599</v>
      </c>
      <c r="N815">
        <f t="shared" si="296"/>
        <v>0.1880001903394718</v>
      </c>
      <c r="O815">
        <f t="shared" si="297"/>
        <v>0.15777777777778834</v>
      </c>
      <c r="P815">
        <f t="shared" si="310"/>
        <v>0.08</v>
      </c>
      <c r="Q815">
        <f t="shared" si="306"/>
        <v>0.08</v>
      </c>
      <c r="R815">
        <f t="shared" si="299"/>
        <v>0.08</v>
      </c>
      <c r="S815">
        <f t="shared" si="300"/>
        <v>0.06</v>
      </c>
      <c r="T815">
        <f t="shared" si="301"/>
        <v>0.1</v>
      </c>
      <c r="U815">
        <f t="shared" si="307"/>
        <v>0.08</v>
      </c>
      <c r="V815">
        <f t="shared" si="312"/>
        <v>0.1880001903394718</v>
      </c>
      <c r="W815">
        <f t="shared" si="308"/>
        <v>0.16911702674281545</v>
      </c>
      <c r="X815">
        <f t="shared" si="309"/>
        <v>0.21058547674047345</v>
      </c>
      <c r="Y815" t="b">
        <f t="shared" si="311"/>
        <v>0</v>
      </c>
    </row>
    <row xmlns:x14ac="http://schemas.microsoft.com/office/spreadsheetml/2009/9/ac" r="816" x14ac:dyDescent="0.45">
      <c r="A816">
        <v>4.0449999999999404</v>
      </c>
      <c r="B816">
        <f t="shared" si="289"/>
        <v>0.16300000016659946</v>
      </c>
      <c r="C816" t="b">
        <f t="shared" si="302"/>
        <v>1</v>
      </c>
      <c r="D816" t="b">
        <f t="shared" si="290"/>
        <v>1</v>
      </c>
      <c r="E816">
        <f t="shared" si="298"/>
        <v>4.0449999999999404</v>
      </c>
      <c r="F816">
        <f t="shared" si="303"/>
        <v>0.16300000016659946</v>
      </c>
      <c r="G816">
        <f t="shared" si="291"/>
        <v>0.21057102126824578</v>
      </c>
      <c r="H816">
        <f t="shared" si="292"/>
        <v>3.5000000064076719E-2</v>
      </c>
      <c r="I816" t="b">
        <f t="shared" si="304"/>
        <v>1</v>
      </c>
      <c r="J816">
        <f t="shared" si="293"/>
        <v>4.0449999999999404</v>
      </c>
      <c r="K816">
        <f t="shared" si="305"/>
        <v>3.5000000064076719E-2</v>
      </c>
      <c r="L816">
        <f t="shared" si="294"/>
        <v>0.16913882743021197</v>
      </c>
      <c r="M816">
        <f t="shared" si="295"/>
        <v>0.19000000012815343</v>
      </c>
      <c r="N816">
        <f t="shared" si="296"/>
        <v>0.18800019926677608</v>
      </c>
      <c r="O816">
        <f t="shared" si="297"/>
        <v>0.15777777777778906</v>
      </c>
      <c r="P816">
        <f t="shared" si="310"/>
        <v>0.08</v>
      </c>
      <c r="Q816">
        <f t="shared" si="306"/>
        <v>0.08</v>
      </c>
      <c r="R816">
        <f t="shared" si="299"/>
        <v>0.08</v>
      </c>
      <c r="S816">
        <f t="shared" si="300"/>
        <v>0.06</v>
      </c>
      <c r="T816">
        <f t="shared" si="301"/>
        <v>0.1</v>
      </c>
      <c r="U816">
        <f t="shared" si="307"/>
        <v>0.08</v>
      </c>
      <c r="V816">
        <f t="shared" si="312"/>
        <v>0.18800019926677608</v>
      </c>
      <c r="W816">
        <f t="shared" si="308"/>
        <v>0.16912143059030799</v>
      </c>
      <c r="X816">
        <f t="shared" si="309"/>
        <v>0.21058255666304815</v>
      </c>
      <c r="Y816" t="b">
        <f t="shared" si="311"/>
        <v>0</v>
      </c>
    </row>
    <row xmlns:x14ac="http://schemas.microsoft.com/office/spreadsheetml/2009/9/ac" r="817" x14ac:dyDescent="0.45">
      <c r="A817">
        <v>4.0499999999999403</v>
      </c>
      <c r="B817">
        <f t="shared" si="289"/>
        <v>0.16300000017425767</v>
      </c>
      <c r="C817" t="b">
        <f t="shared" si="302"/>
        <v>1</v>
      </c>
      <c r="D817" t="b">
        <f t="shared" si="290"/>
        <v>1</v>
      </c>
      <c r="E817">
        <f t="shared" si="298"/>
        <v>4.0499999999999403</v>
      </c>
      <c r="F817">
        <f t="shared" si="303"/>
        <v>0.16300000017425767</v>
      </c>
      <c r="G817">
        <f t="shared" si="291"/>
        <v>0.21056817328778898</v>
      </c>
      <c r="H817">
        <f t="shared" si="292"/>
        <v>3.5000000067022183E-2</v>
      </c>
      <c r="I817" t="b">
        <f t="shared" si="304"/>
        <v>1</v>
      </c>
      <c r="J817">
        <f t="shared" si="293"/>
        <v>4.0499999999999403</v>
      </c>
      <c r="K817">
        <f t="shared" si="305"/>
        <v>3.5000000067022183E-2</v>
      </c>
      <c r="L817">
        <f t="shared" si="294"/>
        <v>0.16914312254632247</v>
      </c>
      <c r="M817">
        <f t="shared" si="295"/>
        <v>0.19000000013404439</v>
      </c>
      <c r="N817">
        <f t="shared" si="296"/>
        <v>0.18800020702345516</v>
      </c>
      <c r="O817">
        <f t="shared" si="297"/>
        <v>0.15777777777778967</v>
      </c>
      <c r="P817">
        <f t="shared" si="310"/>
        <v>0.08</v>
      </c>
      <c r="Q817">
        <f t="shared" si="306"/>
        <v>0.08</v>
      </c>
      <c r="R817">
        <f t="shared" si="299"/>
        <v>0.08</v>
      </c>
      <c r="S817">
        <f t="shared" si="300"/>
        <v>0.06</v>
      </c>
      <c r="T817">
        <f t="shared" si="301"/>
        <v>0.1</v>
      </c>
      <c r="U817">
        <f t="shared" si="307"/>
        <v>0.08</v>
      </c>
      <c r="V817">
        <f t="shared" si="312"/>
        <v>0.18800020702345516</v>
      </c>
      <c r="W817">
        <f t="shared" si="308"/>
        <v>0.16912581247351949</v>
      </c>
      <c r="X817">
        <f t="shared" si="309"/>
        <v>0.21057965114956972</v>
      </c>
      <c r="Y817" t="b">
        <f t="shared" si="311"/>
        <v>0</v>
      </c>
    </row>
    <row xmlns:x14ac="http://schemas.microsoft.com/office/spreadsheetml/2009/9/ac" r="818" x14ac:dyDescent="0.45">
      <c r="A818">
        <v>4.0549999999999402</v>
      </c>
      <c r="B818">
        <f t="shared" si="289"/>
        <v>0.16300000018070882</v>
      </c>
      <c r="C818" t="b">
        <f t="shared" si="302"/>
        <v>1</v>
      </c>
      <c r="D818" t="b">
        <f t="shared" si="290"/>
        <v>1</v>
      </c>
      <c r="E818">
        <f t="shared" si="298"/>
        <v>4.0549999999999402</v>
      </c>
      <c r="F818">
        <f t="shared" si="303"/>
        <v>0.16300000018070882</v>
      </c>
      <c r="G818">
        <f t="shared" si="291"/>
        <v>0.21056533951169398</v>
      </c>
      <c r="H818">
        <f t="shared" si="292"/>
        <v>3.5000000069503392E-2</v>
      </c>
      <c r="I818" t="b">
        <f t="shared" si="304"/>
        <v>1</v>
      </c>
      <c r="J818">
        <f t="shared" si="293"/>
        <v>4.0549999999999402</v>
      </c>
      <c r="K818">
        <f t="shared" si="305"/>
        <v>3.5000000069503392E-2</v>
      </c>
      <c r="L818">
        <f t="shared" si="294"/>
        <v>0.169147396240452</v>
      </c>
      <c r="M818">
        <f t="shared" si="295"/>
        <v>0.19000000013900678</v>
      </c>
      <c r="N818">
        <f t="shared" si="296"/>
        <v>0.18800021361175226</v>
      </c>
      <c r="O818">
        <f t="shared" si="297"/>
        <v>0.15777777777779017</v>
      </c>
      <c r="P818">
        <f t="shared" si="310"/>
        <v>0.08</v>
      </c>
      <c r="Q818">
        <f t="shared" si="306"/>
        <v>0.08</v>
      </c>
      <c r="R818">
        <f t="shared" si="299"/>
        <v>0.08</v>
      </c>
      <c r="S818">
        <f t="shared" si="300"/>
        <v>0.06</v>
      </c>
      <c r="T818">
        <f t="shared" si="301"/>
        <v>0.1</v>
      </c>
      <c r="U818">
        <f t="shared" si="307"/>
        <v>0.08</v>
      </c>
      <c r="V818">
        <f t="shared" si="312"/>
        <v>0.18800021361175226</v>
      </c>
      <c r="W818">
        <f t="shared" si="308"/>
        <v>0.1691301725019973</v>
      </c>
      <c r="X818">
        <f t="shared" si="309"/>
        <v>0.21057676012740029</v>
      </c>
      <c r="Y818" t="b">
        <f t="shared" si="311"/>
        <v>0</v>
      </c>
    </row>
    <row xmlns:x14ac="http://schemas.microsoft.com/office/spreadsheetml/2009/9/ac" r="819" x14ac:dyDescent="0.45">
      <c r="A819">
        <v>4.0599999999999401</v>
      </c>
      <c r="B819">
        <f t="shared" si="289"/>
        <v>0.16300000018598085</v>
      </c>
      <c r="C819" t="b">
        <f t="shared" si="302"/>
        <v>1</v>
      </c>
      <c r="D819" t="b">
        <f t="shared" si="290"/>
        <v>1</v>
      </c>
      <c r="E819">
        <f t="shared" si="298"/>
        <v>4.0599999999999401</v>
      </c>
      <c r="F819">
        <f t="shared" si="303"/>
        <v>0.16300000018598085</v>
      </c>
      <c r="G819">
        <f t="shared" si="291"/>
        <v>0.21056251986911623</v>
      </c>
      <c r="H819">
        <f t="shared" si="292"/>
        <v>3.5000000071531104E-2</v>
      </c>
      <c r="I819" t="b">
        <f t="shared" si="304"/>
        <v>1</v>
      </c>
      <c r="J819">
        <f t="shared" si="293"/>
        <v>4.0599999999999401</v>
      </c>
      <c r="K819">
        <f t="shared" si="305"/>
        <v>3.5000000071531104E-2</v>
      </c>
      <c r="L819">
        <f t="shared" si="294"/>
        <v>0.16915164861944315</v>
      </c>
      <c r="M819">
        <f t="shared" si="295"/>
        <v>0.1900000001430622</v>
      </c>
      <c r="N819">
        <f t="shared" si="296"/>
        <v>0.18800021903905528</v>
      </c>
      <c r="O819">
        <f t="shared" si="297"/>
        <v>0.15777777777779056</v>
      </c>
      <c r="P819">
        <f t="shared" si="310"/>
        <v>0.08</v>
      </c>
      <c r="Q819">
        <f t="shared" si="306"/>
        <v>0.08</v>
      </c>
      <c r="R819">
        <f t="shared" si="299"/>
        <v>0.08</v>
      </c>
      <c r="S819">
        <f t="shared" si="300"/>
        <v>0.06</v>
      </c>
      <c r="T819">
        <f t="shared" si="301"/>
        <v>0.1</v>
      </c>
      <c r="U819">
        <f t="shared" si="307"/>
        <v>0.08</v>
      </c>
      <c r="V819">
        <f t="shared" si="312"/>
        <v>0.18800021903905528</v>
      </c>
      <c r="W819">
        <f t="shared" si="308"/>
        <v>0.16913451078474237</v>
      </c>
      <c r="X819">
        <f t="shared" si="309"/>
        <v>0.21057388352426404</v>
      </c>
      <c r="Y819" t="b">
        <f t="shared" si="311"/>
        <v>0</v>
      </c>
    </row>
    <row xmlns:x14ac="http://schemas.microsoft.com/office/spreadsheetml/2009/9/ac" r="820" x14ac:dyDescent="0.45">
      <c r="A820">
        <v>4.06499999999994</v>
      </c>
      <c r="B820">
        <f t="shared" si="289"/>
        <v>0.1630000001901061</v>
      </c>
      <c r="C820" t="b">
        <f t="shared" si="302"/>
        <v>1</v>
      </c>
      <c r="D820" t="b">
        <f t="shared" si="290"/>
        <v>1</v>
      </c>
      <c r="E820">
        <f t="shared" si="298"/>
        <v>4.06499999999994</v>
      </c>
      <c r="F820">
        <f t="shared" si="303"/>
        <v>0.1630000001901061</v>
      </c>
      <c r="G820">
        <f t="shared" si="291"/>
        <v>0.21055971428956449</v>
      </c>
      <c r="H820">
        <f t="shared" si="292"/>
        <v>3.5000000073117737E-2</v>
      </c>
      <c r="I820" t="b">
        <f t="shared" si="304"/>
        <v>1</v>
      </c>
      <c r="J820">
        <f t="shared" si="293"/>
        <v>4.06499999999994</v>
      </c>
      <c r="K820">
        <f t="shared" si="305"/>
        <v>3.5000000073117737E-2</v>
      </c>
      <c r="L820">
        <f t="shared" si="294"/>
        <v>0.16915587978960561</v>
      </c>
      <c r="M820">
        <f t="shared" si="295"/>
        <v>0.19000000014623547</v>
      </c>
      <c r="N820">
        <f t="shared" si="296"/>
        <v>0.18800022331770194</v>
      </c>
      <c r="O820">
        <f t="shared" si="297"/>
        <v>0.1577777777777909</v>
      </c>
      <c r="P820">
        <f t="shared" si="310"/>
        <v>0.08</v>
      </c>
      <c r="Q820">
        <f t="shared" si="306"/>
        <v>0.08</v>
      </c>
      <c r="R820">
        <f t="shared" si="299"/>
        <v>0.08</v>
      </c>
      <c r="S820">
        <f t="shared" si="300"/>
        <v>0.06</v>
      </c>
      <c r="T820">
        <f t="shared" si="301"/>
        <v>0.1</v>
      </c>
      <c r="U820">
        <f t="shared" si="307"/>
        <v>0.08</v>
      </c>
      <c r="V820">
        <f t="shared" si="312"/>
        <v>0.18800022331770194</v>
      </c>
      <c r="W820">
        <f t="shared" si="308"/>
        <v>0.16913882743021197</v>
      </c>
      <c r="X820">
        <f t="shared" si="309"/>
        <v>0.21057102126824578</v>
      </c>
      <c r="Y820" t="b">
        <f t="shared" si="311"/>
        <v>0</v>
      </c>
    </row>
    <row xmlns:x14ac="http://schemas.microsoft.com/office/spreadsheetml/2009/9/ac" r="821" x14ac:dyDescent="0.45">
      <c r="A821">
        <v>4.0699999999999399</v>
      </c>
      <c r="B821">
        <f t="shared" si="289"/>
        <v>0.16300000019312078</v>
      </c>
      <c r="C821" t="b">
        <f t="shared" si="302"/>
        <v>1</v>
      </c>
      <c r="D821" t="b">
        <f t="shared" si="290"/>
        <v>1</v>
      </c>
      <c r="E821">
        <f t="shared" si="298"/>
        <v>4.0699999999999399</v>
      </c>
      <c r="F821">
        <f t="shared" si="303"/>
        <v>0.16300000019312078</v>
      </c>
      <c r="G821">
        <f t="shared" si="291"/>
        <v>0.21055692270289911</v>
      </c>
      <c r="H821">
        <f t="shared" si="292"/>
        <v>3.5000000074277227E-2</v>
      </c>
      <c r="I821" t="b">
        <f t="shared" si="304"/>
        <v>1</v>
      </c>
      <c r="J821">
        <f t="shared" si="293"/>
        <v>4.0699999999999399</v>
      </c>
      <c r="K821">
        <f t="shared" si="305"/>
        <v>3.5000000074277227E-2</v>
      </c>
      <c r="L821">
        <f t="shared" si="294"/>
        <v>0.16916008985671882</v>
      </c>
      <c r="M821">
        <f t="shared" si="295"/>
        <v>0.19000000014855445</v>
      </c>
      <c r="N821">
        <f t="shared" si="296"/>
        <v>0.18800022646476849</v>
      </c>
      <c r="O821">
        <f t="shared" si="297"/>
        <v>0.15777777777779112</v>
      </c>
      <c r="P821">
        <f t="shared" si="310"/>
        <v>0.08</v>
      </c>
      <c r="Q821">
        <f t="shared" si="306"/>
        <v>0.08</v>
      </c>
      <c r="R821">
        <f t="shared" si="299"/>
        <v>0.08</v>
      </c>
      <c r="S821">
        <f t="shared" si="300"/>
        <v>0.06</v>
      </c>
      <c r="T821">
        <f t="shared" si="301"/>
        <v>0.1</v>
      </c>
      <c r="U821">
        <f t="shared" si="307"/>
        <v>0.08</v>
      </c>
      <c r="V821">
        <f t="shared" si="312"/>
        <v>0.18800022646476849</v>
      </c>
      <c r="W821">
        <f t="shared" si="308"/>
        <v>0.16914312254632247</v>
      </c>
      <c r="X821">
        <f t="shared" si="309"/>
        <v>0.21056817328778898</v>
      </c>
      <c r="Y821" t="b">
        <f t="shared" si="311"/>
        <v>0</v>
      </c>
    </row>
    <row xmlns:x14ac="http://schemas.microsoft.com/office/spreadsheetml/2009/9/ac" r="822" x14ac:dyDescent="0.45">
      <c r="A822">
        <v>4.0749999999999398</v>
      </c>
      <c r="B822">
        <f t="shared" si="289"/>
        <v>0.16300000019506461</v>
      </c>
      <c r="C822" t="b">
        <f t="shared" si="302"/>
        <v>1</v>
      </c>
      <c r="D822" t="b">
        <f t="shared" si="290"/>
        <v>1</v>
      </c>
      <c r="E822">
        <f t="shared" si="298"/>
        <v>4.0749999999999398</v>
      </c>
      <c r="F822">
        <f t="shared" si="303"/>
        <v>0.16300000019506461</v>
      </c>
      <c r="G822">
        <f t="shared" si="291"/>
        <v>0.21055414503933034</v>
      </c>
      <c r="H822">
        <f t="shared" si="292"/>
        <v>3.5000000075024851E-2</v>
      </c>
      <c r="I822" t="b">
        <f t="shared" si="304"/>
        <v>1</v>
      </c>
      <c r="J822">
        <f t="shared" si="293"/>
        <v>4.0749999999999398</v>
      </c>
      <c r="K822">
        <f t="shared" si="305"/>
        <v>3.5000000075024851E-2</v>
      </c>
      <c r="L822">
        <f t="shared" si="294"/>
        <v>0.16916427892603469</v>
      </c>
      <c r="M822">
        <f t="shared" si="295"/>
        <v>0.1900000001500497</v>
      </c>
      <c r="N822">
        <f t="shared" si="296"/>
        <v>0.18800022850184467</v>
      </c>
      <c r="O822">
        <f t="shared" si="297"/>
        <v>0.15777777777779123</v>
      </c>
      <c r="P822">
        <f t="shared" si="310"/>
        <v>0.08</v>
      </c>
      <c r="Q822">
        <f t="shared" si="306"/>
        <v>0.08</v>
      </c>
      <c r="R822">
        <f t="shared" si="299"/>
        <v>0.08</v>
      </c>
      <c r="S822">
        <f t="shared" si="300"/>
        <v>0.06</v>
      </c>
      <c r="T822">
        <f t="shared" si="301"/>
        <v>0.1</v>
      </c>
      <c r="U822">
        <f t="shared" si="307"/>
        <v>0.08</v>
      </c>
      <c r="V822">
        <f t="shared" si="312"/>
        <v>0.18800022850184467</v>
      </c>
      <c r="W822">
        <f t="shared" si="308"/>
        <v>0.169147396240452</v>
      </c>
      <c r="X822">
        <f t="shared" si="309"/>
        <v>0.21056533951169398</v>
      </c>
      <c r="Y822" t="b">
        <f t="shared" si="311"/>
        <v>0</v>
      </c>
    </row>
    <row xmlns:x14ac="http://schemas.microsoft.com/office/spreadsheetml/2009/9/ac" r="823" x14ac:dyDescent="0.45">
      <c r="A823">
        <v>4.0799999999999397</v>
      </c>
      <c r="B823">
        <f t="shared" si="289"/>
        <v>0.16300000019598049</v>
      </c>
      <c r="C823" t="b">
        <f t="shared" si="302"/>
        <v>1</v>
      </c>
      <c r="D823" t="b">
        <f t="shared" si="290"/>
        <v>1</v>
      </c>
      <c r="E823">
        <f t="shared" si="298"/>
        <v>4.0799999999999397</v>
      </c>
      <c r="F823">
        <f t="shared" si="303"/>
        <v>0.16300000019598049</v>
      </c>
      <c r="G823">
        <f t="shared" si="291"/>
        <v>0.21055138122941641</v>
      </c>
      <c r="H823">
        <f t="shared" si="292"/>
        <v>3.5000000075377111E-2</v>
      </c>
      <c r="I823" t="b">
        <f t="shared" si="304"/>
        <v>1</v>
      </c>
      <c r="J823">
        <f t="shared" si="293"/>
        <v>4.0799999999999397</v>
      </c>
      <c r="K823">
        <f t="shared" si="305"/>
        <v>3.5000000075377111E-2</v>
      </c>
      <c r="L823">
        <f t="shared" si="294"/>
        <v>0.16916844710228024</v>
      </c>
      <c r="M823">
        <f t="shared" si="295"/>
        <v>0.19000000015075424</v>
      </c>
      <c r="N823">
        <f t="shared" si="296"/>
        <v>0.18800022945479489</v>
      </c>
      <c r="O823">
        <f t="shared" si="297"/>
        <v>0.15777777777779128</v>
      </c>
      <c r="P823">
        <f t="shared" si="310"/>
        <v>0.08</v>
      </c>
      <c r="Q823">
        <f t="shared" si="306"/>
        <v>0.08</v>
      </c>
      <c r="R823">
        <f t="shared" si="299"/>
        <v>0.08</v>
      </c>
      <c r="S823">
        <f t="shared" si="300"/>
        <v>0.06</v>
      </c>
      <c r="T823">
        <f t="shared" si="301"/>
        <v>0.1</v>
      </c>
      <c r="U823">
        <f t="shared" si="307"/>
        <v>0.08</v>
      </c>
      <c r="V823">
        <f t="shared" si="312"/>
        <v>0.18800022945479489</v>
      </c>
      <c r="W823">
        <f t="shared" si="308"/>
        <v>0.16915164861944315</v>
      </c>
      <c r="X823">
        <f t="shared" si="309"/>
        <v>0.21056251986911623</v>
      </c>
      <c r="Y823" t="b">
        <f t="shared" si="311"/>
        <v>0</v>
      </c>
    </row>
    <row xmlns:x14ac="http://schemas.microsoft.com/office/spreadsheetml/2009/9/ac" r="824" x14ac:dyDescent="0.45">
      <c r="A824">
        <v>4.0849999999999396</v>
      </c>
      <c r="B824">
        <f t="shared" si="289"/>
        <v>0.16300000019591424</v>
      </c>
      <c r="C824" t="b">
        <f t="shared" si="302"/>
        <v>1</v>
      </c>
      <c r="D824" t="b">
        <f t="shared" si="290"/>
        <v>1</v>
      </c>
      <c r="E824">
        <f t="shared" si="298"/>
        <v>4.0849999999999396</v>
      </c>
      <c r="F824">
        <f t="shared" si="303"/>
        <v>0.16300000019591424</v>
      </c>
      <c r="G824">
        <f t="shared" si="291"/>
        <v>0.21054863120406192</v>
      </c>
      <c r="H824">
        <f t="shared" si="292"/>
        <v>3.5000000075351631E-2</v>
      </c>
      <c r="I824" t="b">
        <f t="shared" si="304"/>
        <v>1</v>
      </c>
      <c r="J824">
        <f t="shared" si="293"/>
        <v>4.0849999999999396</v>
      </c>
      <c r="K824">
        <f t="shared" si="305"/>
        <v>3.5000000075351631E-2</v>
      </c>
      <c r="L824">
        <f t="shared" si="294"/>
        <v>0.16917259448965999</v>
      </c>
      <c r="M824">
        <f t="shared" si="295"/>
        <v>0.19000000015070326</v>
      </c>
      <c r="N824">
        <f t="shared" si="296"/>
        <v>0.18800022935350824</v>
      </c>
      <c r="O824">
        <f t="shared" si="297"/>
        <v>0.15777777777779123</v>
      </c>
      <c r="P824">
        <f t="shared" si="310"/>
        <v>0.08</v>
      </c>
      <c r="Q824">
        <f t="shared" si="306"/>
        <v>0.08</v>
      </c>
      <c r="R824">
        <f t="shared" si="299"/>
        <v>0.08</v>
      </c>
      <c r="S824">
        <f t="shared" si="300"/>
        <v>0.06</v>
      </c>
      <c r="T824">
        <f t="shared" si="301"/>
        <v>0.1</v>
      </c>
      <c r="U824">
        <f t="shared" si="307"/>
        <v>0.08</v>
      </c>
      <c r="V824">
        <f t="shared" si="312"/>
        <v>0.18800022935350824</v>
      </c>
      <c r="W824">
        <f t="shared" si="308"/>
        <v>0.16915587978960561</v>
      </c>
      <c r="X824">
        <f t="shared" si="309"/>
        <v>0.21055971428956449</v>
      </c>
      <c r="Y824" t="b">
        <f t="shared" si="311"/>
        <v>0</v>
      </c>
    </row>
    <row xmlns:x14ac="http://schemas.microsoft.com/office/spreadsheetml/2009/9/ac" r="825" x14ac:dyDescent="0.45">
      <c r="A825">
        <v>4.0899999999999403</v>
      </c>
      <c r="B825">
        <f t="shared" si="289"/>
        <v>0.16300000019491398</v>
      </c>
      <c r="C825" t="b">
        <f t="shared" si="302"/>
        <v>1</v>
      </c>
      <c r="D825" t="b">
        <f t="shared" si="290"/>
        <v>1</v>
      </c>
      <c r="E825">
        <f t="shared" si="298"/>
        <v>4.0899999999999403</v>
      </c>
      <c r="F825">
        <f t="shared" si="303"/>
        <v>0.16300000019491398</v>
      </c>
      <c r="G825">
        <f t="shared" si="291"/>
        <v>0.21054589489451614</v>
      </c>
      <c r="H825">
        <f t="shared" si="292"/>
        <v>3.5000000074966925E-2</v>
      </c>
      <c r="I825" t="b">
        <f t="shared" si="304"/>
        <v>1</v>
      </c>
      <c r="J825">
        <f t="shared" si="293"/>
        <v>4.0899999999999403</v>
      </c>
      <c r="K825">
        <f t="shared" si="305"/>
        <v>3.5000000074966925E-2</v>
      </c>
      <c r="L825">
        <f t="shared" si="294"/>
        <v>0.16917672119185889</v>
      </c>
      <c r="M825">
        <f t="shared" si="295"/>
        <v>0.19000000014993385</v>
      </c>
      <c r="N825">
        <f t="shared" si="296"/>
        <v>0.18800022823163842</v>
      </c>
      <c r="O825">
        <f t="shared" si="297"/>
        <v>0.15777777777779114</v>
      </c>
      <c r="P825">
        <f t="shared" si="310"/>
        <v>0.08</v>
      </c>
      <c r="Q825">
        <f t="shared" si="306"/>
        <v>0.08</v>
      </c>
      <c r="R825">
        <f t="shared" si="299"/>
        <v>0.08</v>
      </c>
      <c r="S825">
        <f t="shared" si="300"/>
        <v>0.06</v>
      </c>
      <c r="T825">
        <f t="shared" si="301"/>
        <v>0.1</v>
      </c>
      <c r="U825">
        <f t="shared" si="307"/>
        <v>0.08</v>
      </c>
      <c r="V825">
        <f t="shared" si="312"/>
        <v>0.18800022823163842</v>
      </c>
      <c r="W825">
        <f t="shared" si="308"/>
        <v>0.16916008985671882</v>
      </c>
      <c r="X825">
        <f t="shared" si="309"/>
        <v>0.21055692270289911</v>
      </c>
      <c r="Y825" t="b">
        <f t="shared" si="311"/>
        <v>0</v>
      </c>
    </row>
    <row xmlns:x14ac="http://schemas.microsoft.com/office/spreadsheetml/2009/9/ac" r="826" x14ac:dyDescent="0.45">
      <c r="A826">
        <v>4.0949999999999402</v>
      </c>
      <c r="B826">
        <f t="shared" si="289"/>
        <v>0.16300000019303013</v>
      </c>
      <c r="C826" t="b">
        <f t="shared" si="302"/>
        <v>1</v>
      </c>
      <c r="D826" t="b">
        <f t="shared" si="290"/>
        <v>1</v>
      </c>
      <c r="E826">
        <f t="shared" si="298"/>
        <v>4.0949999999999402</v>
      </c>
      <c r="F826">
        <f t="shared" si="303"/>
        <v>0.16300000019303013</v>
      </c>
      <c r="G826">
        <f t="shared" si="291"/>
        <v>0.21054317223237112</v>
      </c>
      <c r="H826">
        <f t="shared" si="292"/>
        <v>3.5000000074242366E-2</v>
      </c>
      <c r="I826" t="b">
        <f t="shared" si="304"/>
        <v>1</v>
      </c>
      <c r="J826">
        <f t="shared" si="293"/>
        <v>4.0949999999999402</v>
      </c>
      <c r="K826">
        <f t="shared" si="305"/>
        <v>3.5000000074242366E-2</v>
      </c>
      <c r="L826">
        <f t="shared" si="294"/>
        <v>0.16918082731204473</v>
      </c>
      <c r="M826">
        <f t="shared" si="295"/>
        <v>0.19000000014848473</v>
      </c>
      <c r="N826">
        <f t="shared" si="296"/>
        <v>0.18800022612633474</v>
      </c>
      <c r="O826">
        <f t="shared" si="297"/>
        <v>0.15777777777779095</v>
      </c>
      <c r="P826">
        <f t="shared" si="310"/>
        <v>0.08</v>
      </c>
      <c r="Q826">
        <f t="shared" si="306"/>
        <v>0.08</v>
      </c>
      <c r="R826">
        <f t="shared" si="299"/>
        <v>0.08</v>
      </c>
      <c r="S826">
        <f t="shared" si="300"/>
        <v>0.06</v>
      </c>
      <c r="T826">
        <f t="shared" si="301"/>
        <v>0.1</v>
      </c>
      <c r="U826">
        <f t="shared" si="307"/>
        <v>0.08</v>
      </c>
      <c r="V826">
        <f t="shared" si="312"/>
        <v>0.18800022612633474</v>
      </c>
      <c r="W826">
        <f t="shared" si="308"/>
        <v>0.16916427892603469</v>
      </c>
      <c r="X826">
        <f t="shared" si="309"/>
        <v>0.21055414503933034</v>
      </c>
      <c r="Y826" t="b">
        <f t="shared" si="311"/>
        <v>0</v>
      </c>
    </row>
    <row xmlns:x14ac="http://schemas.microsoft.com/office/spreadsheetml/2009/9/ac" r="827" x14ac:dyDescent="0.45">
      <c r="A827">
        <v>4.0999999999999401</v>
      </c>
      <c r="B827">
        <f t="shared" si="289"/>
        <v>0.16300000019031477</v>
      </c>
      <c r="C827" t="b">
        <f t="shared" si="302"/>
        <v>1</v>
      </c>
      <c r="D827" t="b">
        <f t="shared" si="290"/>
        <v>1</v>
      </c>
      <c r="E827">
        <f t="shared" si="298"/>
        <v>4.0999999999999401</v>
      </c>
      <c r="F827">
        <f t="shared" si="303"/>
        <v>0.16300000019031477</v>
      </c>
      <c r="G827">
        <f t="shared" si="291"/>
        <v>0.21054046314956021</v>
      </c>
      <c r="H827">
        <f t="shared" si="292"/>
        <v>3.5000000073197993E-2</v>
      </c>
      <c r="I827" t="b">
        <f t="shared" si="304"/>
        <v>1</v>
      </c>
      <c r="J827">
        <f t="shared" si="293"/>
        <v>4.0999999999999401</v>
      </c>
      <c r="K827">
        <f t="shared" si="305"/>
        <v>3.5000000073197993E-2</v>
      </c>
      <c r="L827">
        <f t="shared" si="294"/>
        <v>0.16918491295287069</v>
      </c>
      <c r="M827">
        <f t="shared" si="295"/>
        <v>0.19000000014639598</v>
      </c>
      <c r="N827">
        <f t="shared" si="296"/>
        <v>0.18800022307796643</v>
      </c>
      <c r="O827">
        <f t="shared" si="297"/>
        <v>0.15777777777779073</v>
      </c>
      <c r="P827">
        <f t="shared" si="310"/>
        <v>0.08</v>
      </c>
      <c r="Q827">
        <f t="shared" si="306"/>
        <v>0.08</v>
      </c>
      <c r="R827">
        <f t="shared" si="299"/>
        <v>0.08</v>
      </c>
      <c r="S827">
        <f t="shared" si="300"/>
        <v>0.06</v>
      </c>
      <c r="T827">
        <f t="shared" si="301"/>
        <v>0.1</v>
      </c>
      <c r="U827">
        <f t="shared" si="307"/>
        <v>0.08</v>
      </c>
      <c r="V827">
        <f t="shared" si="312"/>
        <v>0.18800022307796643</v>
      </c>
      <c r="W827">
        <f t="shared" si="308"/>
        <v>0.16916844710228024</v>
      </c>
      <c r="X827">
        <f t="shared" si="309"/>
        <v>0.21055138122941641</v>
      </c>
      <c r="Y827" t="b">
        <f t="shared" si="311"/>
        <v>0</v>
      </c>
    </row>
    <row xmlns:x14ac="http://schemas.microsoft.com/office/spreadsheetml/2009/9/ac" r="828" x14ac:dyDescent="0.45">
      <c r="A828">
        <v>4.10499999999994</v>
      </c>
      <c r="B828">
        <f t="shared" si="289"/>
        <v>0.16300000018682143</v>
      </c>
      <c r="C828" t="b">
        <f t="shared" si="302"/>
        <v>1</v>
      </c>
      <c r="D828" t="b">
        <f t="shared" si="290"/>
        <v>1</v>
      </c>
      <c r="E828">
        <f t="shared" si="298"/>
        <v>4.10499999999994</v>
      </c>
      <c r="F828">
        <f t="shared" si="303"/>
        <v>0.16300000018682143</v>
      </c>
      <c r="G828">
        <f t="shared" si="291"/>
        <v>0.21053776757835618</v>
      </c>
      <c r="H828">
        <f t="shared" si="292"/>
        <v>3.5000000071854401E-2</v>
      </c>
      <c r="I828" t="b">
        <f t="shared" si="304"/>
        <v>1</v>
      </c>
      <c r="J828">
        <f t="shared" si="293"/>
        <v>4.10499999999994</v>
      </c>
      <c r="K828">
        <f t="shared" si="305"/>
        <v>3.5000000071854401E-2</v>
      </c>
      <c r="L828">
        <f t="shared" si="294"/>
        <v>0.16918897821647805</v>
      </c>
      <c r="M828">
        <f t="shared" si="295"/>
        <v>0.1900000001437088</v>
      </c>
      <c r="N828">
        <f t="shared" si="296"/>
        <v>0.18800021912984097</v>
      </c>
      <c r="O828">
        <f t="shared" si="297"/>
        <v>0.15777777777779045</v>
      </c>
      <c r="P828">
        <f t="shared" si="310"/>
        <v>0.08</v>
      </c>
      <c r="Q828">
        <f t="shared" si="306"/>
        <v>0.08</v>
      </c>
      <c r="R828">
        <f t="shared" si="299"/>
        <v>0.08</v>
      </c>
      <c r="S828">
        <f t="shared" si="300"/>
        <v>0.06</v>
      </c>
      <c r="T828">
        <f t="shared" si="301"/>
        <v>0.1</v>
      </c>
      <c r="U828">
        <f t="shared" si="307"/>
        <v>0.08</v>
      </c>
      <c r="V828">
        <f t="shared" si="312"/>
        <v>0.18800021912984097</v>
      </c>
      <c r="W828">
        <f t="shared" si="308"/>
        <v>0.16917259448965999</v>
      </c>
      <c r="X828">
        <f t="shared" si="309"/>
        <v>0.21054863120406192</v>
      </c>
      <c r="Y828" t="b">
        <f t="shared" si="311"/>
        <v>0</v>
      </c>
    </row>
    <row xmlns:x14ac="http://schemas.microsoft.com/office/spreadsheetml/2009/9/ac" r="829" x14ac:dyDescent="0.45">
      <c r="A829">
        <v>4.1099999999999399</v>
      </c>
      <c r="B829">
        <f t="shared" si="289"/>
        <v>0.1630000001826048</v>
      </c>
      <c r="C829" t="b">
        <f t="shared" si="302"/>
        <v>1</v>
      </c>
      <c r="D829" t="b">
        <f t="shared" si="290"/>
        <v>1</v>
      </c>
      <c r="E829">
        <f t="shared" si="298"/>
        <v>4.1099999999999399</v>
      </c>
      <c r="F829">
        <f t="shared" si="303"/>
        <v>0.1630000001826048</v>
      </c>
      <c r="G829">
        <f t="shared" si="291"/>
        <v>0.21053508545136962</v>
      </c>
      <c r="H829">
        <f t="shared" si="292"/>
        <v>3.5000000070232615E-2</v>
      </c>
      <c r="I829" t="b">
        <f t="shared" si="304"/>
        <v>1</v>
      </c>
      <c r="J829">
        <f t="shared" si="293"/>
        <v>4.1099999999999399</v>
      </c>
      <c r="K829">
        <f t="shared" si="305"/>
        <v>3.5000000070232615E-2</v>
      </c>
      <c r="L829">
        <f t="shared" si="294"/>
        <v>0.16919302320449853</v>
      </c>
      <c r="M829">
        <f t="shared" si="295"/>
        <v>0.19000000014046523</v>
      </c>
      <c r="N829">
        <f t="shared" si="296"/>
        <v>0.18800021432791811</v>
      </c>
      <c r="O829">
        <f t="shared" si="297"/>
        <v>0.15777777777779015</v>
      </c>
      <c r="P829">
        <f t="shared" si="310"/>
        <v>0.08</v>
      </c>
      <c r="Q829">
        <f t="shared" si="306"/>
        <v>0.08</v>
      </c>
      <c r="R829">
        <f t="shared" si="299"/>
        <v>0.08</v>
      </c>
      <c r="S829">
        <f t="shared" si="300"/>
        <v>0.06</v>
      </c>
      <c r="T829">
        <f t="shared" si="301"/>
        <v>0.1</v>
      </c>
      <c r="U829">
        <f t="shared" si="307"/>
        <v>0.08</v>
      </c>
      <c r="V829">
        <f t="shared" si="312"/>
        <v>0.18800021432791811</v>
      </c>
      <c r="W829">
        <f t="shared" si="308"/>
        <v>0.16917672119185889</v>
      </c>
      <c r="X829">
        <f t="shared" si="309"/>
        <v>0.21054589489451614</v>
      </c>
      <c r="Y829" t="b">
        <f t="shared" si="311"/>
        <v>0</v>
      </c>
    </row>
    <row xmlns:x14ac="http://schemas.microsoft.com/office/spreadsheetml/2009/9/ac" r="830" x14ac:dyDescent="0.45">
      <c r="A830">
        <v>4.1149999999999398</v>
      </c>
      <c r="B830">
        <f t="shared" si="289"/>
        <v>0.16300000017772026</v>
      </c>
      <c r="C830" t="b">
        <f t="shared" si="302"/>
        <v>1</v>
      </c>
      <c r="D830" t="b">
        <f t="shared" si="290"/>
        <v>1</v>
      </c>
      <c r="E830">
        <f t="shared" si="298"/>
        <v>4.1149999999999398</v>
      </c>
      <c r="F830">
        <f t="shared" si="303"/>
        <v>0.16300000017772026</v>
      </c>
      <c r="G830">
        <f t="shared" si="291"/>
        <v>0.21053241670154721</v>
      </c>
      <c r="H830">
        <f t="shared" si="292"/>
        <v>3.5000000068353951E-2</v>
      </c>
      <c r="I830" t="b">
        <f t="shared" si="304"/>
        <v>1</v>
      </c>
      <c r="J830">
        <f t="shared" si="293"/>
        <v>4.1149999999999398</v>
      </c>
      <c r="K830">
        <f t="shared" si="305"/>
        <v>3.5000000068353951E-2</v>
      </c>
      <c r="L830">
        <f t="shared" si="294"/>
        <v>0.16919704801805713</v>
      </c>
      <c r="M830">
        <f t="shared" si="295"/>
        <v>0.1900000001367079</v>
      </c>
      <c r="N830">
        <f t="shared" si="296"/>
        <v>0.18800020872052137</v>
      </c>
      <c r="O830">
        <f t="shared" si="297"/>
        <v>0.15777777777778978</v>
      </c>
      <c r="P830">
        <f t="shared" si="310"/>
        <v>0.08</v>
      </c>
      <c r="Q830">
        <f t="shared" si="306"/>
        <v>0.08</v>
      </c>
      <c r="R830">
        <f t="shared" si="299"/>
        <v>0.08</v>
      </c>
      <c r="S830">
        <f t="shared" si="300"/>
        <v>0.06</v>
      </c>
      <c r="T830">
        <f t="shared" si="301"/>
        <v>0.1</v>
      </c>
      <c r="U830">
        <f t="shared" si="307"/>
        <v>0.08</v>
      </c>
      <c r="V830">
        <f t="shared" si="312"/>
        <v>0.18800020872052137</v>
      </c>
      <c r="W830">
        <f t="shared" si="308"/>
        <v>0.16918082731204473</v>
      </c>
      <c r="X830">
        <f t="shared" si="309"/>
        <v>0.21054317223237112</v>
      </c>
      <c r="Y830" t="b">
        <f t="shared" si="311"/>
        <v>0</v>
      </c>
    </row>
    <row xmlns:x14ac="http://schemas.microsoft.com/office/spreadsheetml/2009/9/ac" r="831" x14ac:dyDescent="0.45">
      <c r="A831">
        <v>4.1199999999999397</v>
      </c>
      <c r="B831">
        <f t="shared" si="289"/>
        <v>0.1630000001722238</v>
      </c>
      <c r="C831" t="b">
        <f t="shared" si="302"/>
        <v>1</v>
      </c>
      <c r="D831" t="b">
        <f t="shared" si="290"/>
        <v>1</v>
      </c>
      <c r="E831">
        <f t="shared" si="298"/>
        <v>4.1199999999999397</v>
      </c>
      <c r="F831">
        <f t="shared" si="303"/>
        <v>0.1630000001722238</v>
      </c>
      <c r="G831">
        <f t="shared" si="291"/>
        <v>0.2105297612621701</v>
      </c>
      <c r="H831">
        <f t="shared" si="292"/>
        <v>3.500000006623992E-2</v>
      </c>
      <c r="I831" t="b">
        <f t="shared" si="304"/>
        <v>1</v>
      </c>
      <c r="J831">
        <f t="shared" si="293"/>
        <v>4.1199999999999397</v>
      </c>
      <c r="K831">
        <f t="shared" si="305"/>
        <v>3.500000006623992E-2</v>
      </c>
      <c r="L831">
        <f t="shared" si="294"/>
        <v>0.16920105275777433</v>
      </c>
      <c r="M831">
        <f t="shared" si="295"/>
        <v>0.19000000013247986</v>
      </c>
      <c r="N831">
        <f t="shared" si="296"/>
        <v>0.18800020235804782</v>
      </c>
      <c r="O831">
        <f t="shared" si="297"/>
        <v>0.15777777777778934</v>
      </c>
      <c r="P831">
        <f t="shared" si="310"/>
        <v>0.08</v>
      </c>
      <c r="Q831">
        <f t="shared" si="306"/>
        <v>0.08</v>
      </c>
      <c r="R831">
        <f t="shared" si="299"/>
        <v>0.08</v>
      </c>
      <c r="S831">
        <f t="shared" si="300"/>
        <v>0.06</v>
      </c>
      <c r="T831">
        <f t="shared" si="301"/>
        <v>0.1</v>
      </c>
      <c r="U831">
        <f t="shared" si="307"/>
        <v>0.08</v>
      </c>
      <c r="V831">
        <f t="shared" si="312"/>
        <v>0.18800020235804782</v>
      </c>
      <c r="W831">
        <f t="shared" si="308"/>
        <v>0.16918491295287069</v>
      </c>
      <c r="X831">
        <f t="shared" si="309"/>
        <v>0.21054046314956021</v>
      </c>
      <c r="Y831" t="b">
        <f t="shared" si="311"/>
        <v>0</v>
      </c>
    </row>
    <row xmlns:x14ac="http://schemas.microsoft.com/office/spreadsheetml/2009/9/ac" r="832" x14ac:dyDescent="0.45">
      <c r="A832">
        <v>4.1249999999999396</v>
      </c>
      <c r="B832">
        <f t="shared" si="289"/>
        <v>0.16300000016617155</v>
      </c>
      <c r="C832" t="b">
        <f t="shared" si="302"/>
        <v>1</v>
      </c>
      <c r="D832" t="b">
        <f t="shared" si="290"/>
        <v>1</v>
      </c>
      <c r="E832">
        <f t="shared" si="298"/>
        <v>4.1249999999999396</v>
      </c>
      <c r="F832">
        <f t="shared" si="303"/>
        <v>0.16300000016617155</v>
      </c>
      <c r="G832">
        <f t="shared" si="291"/>
        <v>0.21052711906685212</v>
      </c>
      <c r="H832">
        <f t="shared" si="292"/>
        <v>3.5000000063912143E-2</v>
      </c>
      <c r="I832" t="b">
        <f t="shared" si="304"/>
        <v>1</v>
      </c>
      <c r="J832">
        <f t="shared" si="293"/>
        <v>4.1249999999999396</v>
      </c>
      <c r="K832">
        <f t="shared" si="305"/>
        <v>3.5000000063912143E-2</v>
      </c>
      <c r="L832">
        <f t="shared" si="294"/>
        <v>0.16920503752376886</v>
      </c>
      <c r="M832">
        <f t="shared" si="295"/>
        <v>0.19000000012782428</v>
      </c>
      <c r="N832">
        <f t="shared" si="296"/>
        <v>0.18800019529267781</v>
      </c>
      <c r="O832">
        <f t="shared" si="297"/>
        <v>0.1577777777777889</v>
      </c>
      <c r="P832">
        <f t="shared" si="310"/>
        <v>0.08</v>
      </c>
      <c r="Q832">
        <f t="shared" si="306"/>
        <v>0.08</v>
      </c>
      <c r="R832">
        <f t="shared" si="299"/>
        <v>0.08</v>
      </c>
      <c r="S832">
        <f t="shared" si="300"/>
        <v>0.06</v>
      </c>
      <c r="T832">
        <f t="shared" si="301"/>
        <v>0.1</v>
      </c>
      <c r="U832">
        <f t="shared" si="307"/>
        <v>0.08</v>
      </c>
      <c r="V832">
        <f t="shared" si="312"/>
        <v>0.18800019529267781</v>
      </c>
      <c r="W832">
        <f t="shared" si="308"/>
        <v>0.16918897821647805</v>
      </c>
      <c r="X832">
        <f t="shared" si="309"/>
        <v>0.21053776757835618</v>
      </c>
      <c r="Y832" t="b">
        <f t="shared" si="311"/>
        <v>0</v>
      </c>
    </row>
    <row xmlns:x14ac="http://schemas.microsoft.com/office/spreadsheetml/2009/9/ac" r="833" x14ac:dyDescent="0.45">
      <c r="A833">
        <v>4.1299999999999404</v>
      </c>
      <c r="B833">
        <f t="shared" si="289"/>
        <v>0.16300000015961957</v>
      </c>
      <c r="C833" t="b">
        <f t="shared" si="302"/>
        <v>1</v>
      </c>
      <c r="D833" t="b">
        <f t="shared" si="290"/>
        <v>1</v>
      </c>
      <c r="E833">
        <f t="shared" si="298"/>
        <v>4.1299999999999404</v>
      </c>
      <c r="F833">
        <f t="shared" si="303"/>
        <v>0.16300000015961957</v>
      </c>
      <c r="G833">
        <f t="shared" si="291"/>
        <v>0.21052449004953827</v>
      </c>
      <c r="H833">
        <f t="shared" si="292"/>
        <v>3.5000000061392145E-2</v>
      </c>
      <c r="I833" t="b">
        <f t="shared" si="304"/>
        <v>1</v>
      </c>
      <c r="J833">
        <f t="shared" si="293"/>
        <v>4.1299999999999404</v>
      </c>
      <c r="K833">
        <f t="shared" si="305"/>
        <v>3.5000000061392145E-2</v>
      </c>
      <c r="L833">
        <f t="shared" si="294"/>
        <v>0.16920900241566011</v>
      </c>
      <c r="M833">
        <f t="shared" si="295"/>
        <v>0.19000000012278428</v>
      </c>
      <c r="N833">
        <f t="shared" si="296"/>
        <v>0.18800018757808584</v>
      </c>
      <c r="O833">
        <f t="shared" si="297"/>
        <v>0.15777777777778845</v>
      </c>
      <c r="P833">
        <f t="shared" si="310"/>
        <v>0.08</v>
      </c>
      <c r="Q833">
        <f t="shared" si="306"/>
        <v>0.08</v>
      </c>
      <c r="R833">
        <f t="shared" si="299"/>
        <v>0.08</v>
      </c>
      <c r="S833">
        <f t="shared" si="300"/>
        <v>0.06</v>
      </c>
      <c r="T833">
        <f t="shared" si="301"/>
        <v>0.1</v>
      </c>
      <c r="U833">
        <f t="shared" si="307"/>
        <v>0.08</v>
      </c>
      <c r="V833">
        <f t="shared" si="312"/>
        <v>0.18800018757808584</v>
      </c>
      <c r="W833">
        <f t="shared" si="308"/>
        <v>0.16919302320449853</v>
      </c>
      <c r="X833">
        <f t="shared" si="309"/>
        <v>0.21053508545136962</v>
      </c>
      <c r="Y833" t="b">
        <f t="shared" si="311"/>
        <v>0</v>
      </c>
    </row>
    <row xmlns:x14ac="http://schemas.microsoft.com/office/spreadsheetml/2009/9/ac" r="834" x14ac:dyDescent="0.45">
      <c r="A834">
        <v>4.1349999999999403</v>
      </c>
      <c r="B834">
        <f t="shared" si="289"/>
        <v>0.16300000015262356</v>
      </c>
      <c r="C834" t="b">
        <f t="shared" si="302"/>
        <v>1</v>
      </c>
      <c r="D834" t="b">
        <f t="shared" si="290"/>
        <v>1</v>
      </c>
      <c r="E834">
        <f t="shared" si="298"/>
        <v>4.1349999999999403</v>
      </c>
      <c r="F834">
        <f t="shared" si="303"/>
        <v>0.16300000015262356</v>
      </c>
      <c r="G834">
        <f t="shared" si="291"/>
        <v>0.21052187414450296</v>
      </c>
      <c r="H834">
        <f t="shared" si="292"/>
        <v>3.5000000058701367E-2</v>
      </c>
      <c r="I834" t="b">
        <f t="shared" si="304"/>
        <v>1</v>
      </c>
      <c r="J834">
        <f t="shared" si="293"/>
        <v>4.1349999999999403</v>
      </c>
      <c r="K834">
        <f t="shared" si="305"/>
        <v>3.5000000058701367E-2</v>
      </c>
      <c r="L834">
        <f t="shared" si="294"/>
        <v>0.16921294753257055</v>
      </c>
      <c r="M834">
        <f t="shared" si="295"/>
        <v>0.19000000011740276</v>
      </c>
      <c r="N834">
        <f t="shared" si="296"/>
        <v>0.18800017926915408</v>
      </c>
      <c r="O834">
        <f t="shared" si="297"/>
        <v>0.15777777777778795</v>
      </c>
      <c r="P834">
        <f t="shared" si="310"/>
        <v>0.08</v>
      </c>
      <c r="Q834">
        <f t="shared" si="306"/>
        <v>0.08</v>
      </c>
      <c r="R834">
        <f t="shared" si="299"/>
        <v>0.08</v>
      </c>
      <c r="S834">
        <f t="shared" si="300"/>
        <v>0.06</v>
      </c>
      <c r="T834">
        <f t="shared" si="301"/>
        <v>0.1</v>
      </c>
      <c r="U834">
        <f t="shared" si="307"/>
        <v>0.08</v>
      </c>
      <c r="V834">
        <f t="shared" si="312"/>
        <v>0.18800017926915408</v>
      </c>
      <c r="W834">
        <f t="shared" si="308"/>
        <v>0.16919704801805713</v>
      </c>
      <c r="X834">
        <f t="shared" si="309"/>
        <v>0.21053241670154721</v>
      </c>
      <c r="Y834" t="b">
        <f t="shared" si="311"/>
        <v>0</v>
      </c>
    </row>
    <row xmlns:x14ac="http://schemas.microsoft.com/office/spreadsheetml/2009/9/ac" r="835" x14ac:dyDescent="0.45">
      <c r="A835">
        <v>4.1399999999999402</v>
      </c>
      <c r="B835">
        <f t="shared" si="289"/>
        <v>0.16300000014523866</v>
      </c>
      <c r="C835" t="b">
        <f t="shared" si="302"/>
        <v>1</v>
      </c>
      <c r="D835" t="b">
        <f t="shared" si="290"/>
        <v>1</v>
      </c>
      <c r="E835">
        <f t="shared" si="298"/>
        <v>4.1399999999999402</v>
      </c>
      <c r="F835">
        <f t="shared" si="303"/>
        <v>0.16300000014523866</v>
      </c>
      <c r="G835">
        <f t="shared" si="291"/>
        <v>0.21051927128634845</v>
      </c>
      <c r="H835">
        <f t="shared" si="292"/>
        <v>3.5000000055861027E-2</v>
      </c>
      <c r="I835" t="b">
        <f t="shared" si="304"/>
        <v>1</v>
      </c>
      <c r="J835">
        <f t="shared" si="293"/>
        <v>4.1399999999999402</v>
      </c>
      <c r="K835">
        <f t="shared" si="305"/>
        <v>3.5000000055861027E-2</v>
      </c>
      <c r="L835">
        <f t="shared" si="294"/>
        <v>0.16921687297312832</v>
      </c>
      <c r="M835">
        <f t="shared" si="295"/>
        <v>0.19000000011172205</v>
      </c>
      <c r="N835">
        <f t="shared" si="296"/>
        <v>0.18800017042168909</v>
      </c>
      <c r="O835">
        <f t="shared" si="297"/>
        <v>0.15777777777778743</v>
      </c>
      <c r="P835">
        <f t="shared" si="310"/>
        <v>0.08</v>
      </c>
      <c r="Q835">
        <f t="shared" si="306"/>
        <v>0.08</v>
      </c>
      <c r="R835">
        <f t="shared" si="299"/>
        <v>0.08</v>
      </c>
      <c r="S835">
        <f t="shared" si="300"/>
        <v>0.06</v>
      </c>
      <c r="T835">
        <f t="shared" si="301"/>
        <v>0.1</v>
      </c>
      <c r="U835">
        <f t="shared" si="307"/>
        <v>0.08</v>
      </c>
      <c r="V835">
        <f t="shared" si="312"/>
        <v>0.18800017042168909</v>
      </c>
      <c r="W835">
        <f t="shared" si="308"/>
        <v>0.16920105275777433</v>
      </c>
      <c r="X835">
        <f t="shared" si="309"/>
        <v>0.2105297612621701</v>
      </c>
      <c r="Y835" t="b">
        <f t="shared" si="311"/>
        <v>0</v>
      </c>
    </row>
    <row xmlns:x14ac="http://schemas.microsoft.com/office/spreadsheetml/2009/9/ac" r="836" x14ac:dyDescent="0.45">
      <c r="A836">
        <v>4.1449999999999401</v>
      </c>
      <c r="B836">
        <f t="shared" si="289"/>
        <v>0.16300000013751914</v>
      </c>
      <c r="C836" t="b">
        <f t="shared" si="302"/>
        <v>1</v>
      </c>
      <c r="D836" t="b">
        <f t="shared" si="290"/>
        <v>1</v>
      </c>
      <c r="E836">
        <f t="shared" si="298"/>
        <v>4.1449999999999401</v>
      </c>
      <c r="F836">
        <f t="shared" si="303"/>
        <v>0.16300000013751914</v>
      </c>
      <c r="G836">
        <f t="shared" si="291"/>
        <v>0.21051668141000313</v>
      </c>
      <c r="H836">
        <f t="shared" si="292"/>
        <v>3.5000000052891986E-2</v>
      </c>
      <c r="I836" t="b">
        <f t="shared" si="304"/>
        <v>1</v>
      </c>
      <c r="J836">
        <f t="shared" si="293"/>
        <v>4.1449999999999401</v>
      </c>
      <c r="K836">
        <f t="shared" si="305"/>
        <v>3.5000000052891986E-2</v>
      </c>
      <c r="L836">
        <f t="shared" si="294"/>
        <v>0.1692207788354696</v>
      </c>
      <c r="M836">
        <f t="shared" si="295"/>
        <v>0.19000000010578397</v>
      </c>
      <c r="N836">
        <f t="shared" si="296"/>
        <v>0.18800016109214396</v>
      </c>
      <c r="O836">
        <f t="shared" si="297"/>
        <v>0.1577777777777869</v>
      </c>
      <c r="P836">
        <f t="shared" si="310"/>
        <v>0.08</v>
      </c>
      <c r="Q836">
        <f t="shared" si="306"/>
        <v>0.08</v>
      </c>
      <c r="R836">
        <f t="shared" si="299"/>
        <v>0.08</v>
      </c>
      <c r="S836">
        <f t="shared" si="300"/>
        <v>0.06</v>
      </c>
      <c r="T836">
        <f t="shared" si="301"/>
        <v>0.1</v>
      </c>
      <c r="U836">
        <f t="shared" si="307"/>
        <v>0.08</v>
      </c>
      <c r="V836">
        <f t="shared" si="312"/>
        <v>0.18800016109214396</v>
      </c>
      <c r="W836">
        <f t="shared" si="308"/>
        <v>0.16920503752376886</v>
      </c>
      <c r="X836">
        <f t="shared" si="309"/>
        <v>0.21052711906685212</v>
      </c>
      <c r="Y836" t="b">
        <f t="shared" si="311"/>
        <v>0</v>
      </c>
    </row>
    <row xmlns:x14ac="http://schemas.microsoft.com/office/spreadsheetml/2009/9/ac" r="837" x14ac:dyDescent="0.45">
      <c r="A837">
        <v>4.14999999999994</v>
      </c>
      <c r="B837">
        <f t="shared" si="289"/>
        <v>0.16300000012951829</v>
      </c>
      <c r="C837" t="b">
        <f t="shared" si="302"/>
        <v>1</v>
      </c>
      <c r="D837" t="b">
        <f t="shared" si="290"/>
        <v>1</v>
      </c>
      <c r="E837">
        <f t="shared" si="298"/>
        <v>4.14999999999994</v>
      </c>
      <c r="F837">
        <f t="shared" si="303"/>
        <v>0.16300000012951829</v>
      </c>
      <c r="G837">
        <f t="shared" si="291"/>
        <v>0.21051410445072</v>
      </c>
      <c r="H837">
        <f t="shared" si="292"/>
        <v>3.5000000049814725E-2</v>
      </c>
      <c r="I837" t="b">
        <f t="shared" si="304"/>
        <v>1</v>
      </c>
      <c r="J837">
        <f t="shared" si="293"/>
        <v>4.14999999999994</v>
      </c>
      <c r="K837">
        <f t="shared" si="305"/>
        <v>3.5000000049814725E-2</v>
      </c>
      <c r="L837">
        <f t="shared" si="294"/>
        <v>0.16922466521724122</v>
      </c>
      <c r="M837">
        <f t="shared" si="295"/>
        <v>0.19000000009962947</v>
      </c>
      <c r="N837">
        <f t="shared" si="296"/>
        <v>0.18800015133734557</v>
      </c>
      <c r="O837">
        <f t="shared" si="297"/>
        <v>0.15777777777778634</v>
      </c>
      <c r="P837">
        <f t="shared" si="310"/>
        <v>0.08</v>
      </c>
      <c r="Q837">
        <f t="shared" si="306"/>
        <v>0.08</v>
      </c>
      <c r="R837">
        <f t="shared" si="299"/>
        <v>0.08</v>
      </c>
      <c r="S837">
        <f t="shared" si="300"/>
        <v>0.06</v>
      </c>
      <c r="T837">
        <f t="shared" si="301"/>
        <v>0.1</v>
      </c>
      <c r="U837">
        <f t="shared" si="307"/>
        <v>0.08</v>
      </c>
      <c r="V837">
        <f t="shared" si="312"/>
        <v>0.18800015133734557</v>
      </c>
      <c r="W837">
        <f t="shared" si="308"/>
        <v>0.16920900241566011</v>
      </c>
      <c r="X837">
        <f t="shared" si="309"/>
        <v>0.21052449004953827</v>
      </c>
      <c r="Y837" t="b">
        <f t="shared" si="311"/>
        <v>0</v>
      </c>
    </row>
    <row xmlns:x14ac="http://schemas.microsoft.com/office/spreadsheetml/2009/9/ac" r="838" x14ac:dyDescent="0.45">
      <c r="A838">
        <v>4.1549999999999399</v>
      </c>
      <c r="B838">
        <f t="shared" si="289"/>
        <v>0.16300000012128804</v>
      </c>
      <c r="C838" t="b">
        <f t="shared" si="302"/>
        <v>1</v>
      </c>
      <c r="D838" t="b">
        <f t="shared" si="290"/>
        <v>1</v>
      </c>
      <c r="E838">
        <f t="shared" si="298"/>
        <v>4.1549999999999399</v>
      </c>
      <c r="F838">
        <f t="shared" si="303"/>
        <v>0.16300000012128804</v>
      </c>
      <c r="G838">
        <f t="shared" si="291"/>
        <v>0.21051154034407488</v>
      </c>
      <c r="H838">
        <f t="shared" si="292"/>
        <v>3.5000000046649243E-2</v>
      </c>
      <c r="I838" t="b">
        <f t="shared" si="304"/>
        <v>1</v>
      </c>
      <c r="J838">
        <f t="shared" si="293"/>
        <v>4.1549999999999399</v>
      </c>
      <c r="K838">
        <f t="shared" si="305"/>
        <v>3.5000000046649243E-2</v>
      </c>
      <c r="L838">
        <f t="shared" si="294"/>
        <v>0.16922853221560286</v>
      </c>
      <c r="M838">
        <f t="shared" si="295"/>
        <v>0.19000000009329848</v>
      </c>
      <c r="N838">
        <f t="shared" si="296"/>
        <v>0.18800014121422948</v>
      </c>
      <c r="O838">
        <f t="shared" si="297"/>
        <v>0.15777777777778579</v>
      </c>
      <c r="P838">
        <f t="shared" si="310"/>
        <v>0.08</v>
      </c>
      <c r="Q838">
        <f t="shared" si="306"/>
        <v>0.08</v>
      </c>
      <c r="R838">
        <f t="shared" si="299"/>
        <v>0.08</v>
      </c>
      <c r="S838">
        <f t="shared" si="300"/>
        <v>0.06</v>
      </c>
      <c r="T838">
        <f t="shared" si="301"/>
        <v>0.1</v>
      </c>
      <c r="U838">
        <f t="shared" si="307"/>
        <v>0.08</v>
      </c>
      <c r="V838">
        <f t="shared" si="312"/>
        <v>0.18800014121422948</v>
      </c>
      <c r="W838">
        <f t="shared" si="308"/>
        <v>0.16921294753257055</v>
      </c>
      <c r="X838">
        <f t="shared" si="309"/>
        <v>0.21052187414450296</v>
      </c>
      <c r="Y838" t="b">
        <f t="shared" si="311"/>
        <v>0</v>
      </c>
    </row>
    <row xmlns:x14ac="http://schemas.microsoft.com/office/spreadsheetml/2009/9/ac" r="839" x14ac:dyDescent="0.45">
      <c r="A839">
        <v>4.1599999999999397</v>
      </c>
      <c r="B839">
        <f t="shared" ref="B839:B902" si="313">-(1+Marge_haute)*(A+B/Tpll*EXP(-$A839/Tpll)+C_*EXP(-epsilon*Wn*$A839)*COS(Wd*$A839)+C_*(D/C_-epsilon*Wn)/Wd*EXP(-epsilon*Wn*$A839)*SIN(Wd*$A839))+SIGN(DeltaPexpected)*Tunnel</f>
        <v>0.16300000011287899</v>
      </c>
      <c r="C839" t="b">
        <f t="shared" si="302"/>
        <v>1</v>
      </c>
      <c r="D839" t="b">
        <f t="shared" ref="D839:D902" si="314">IF(D838,D838,IF(C839,B839&gt;B838,C839))</f>
        <v>1</v>
      </c>
      <c r="E839">
        <f t="shared" si="298"/>
        <v>4.1599999999999397</v>
      </c>
      <c r="F839">
        <f t="shared" si="303"/>
        <v>0.16300000011287899</v>
      </c>
      <c r="G839">
        <f t="shared" ref="G839:G902" si="315">P0-SIGN(Rocof)*IF(D839,DeltaPexpected+SIGN(DeltaPexpected)*Tunnel+(MIN(F$7:F$1495)-DeltaPexpected-+SIGN(DeltaPexpected)*Tunnel)*EXP(-(A839-MIN(E$7:E$1495))/Texpodecrease),B839)</f>
        <v>0.21050898902596504</v>
      </c>
      <c r="H839">
        <f t="shared" ref="H839:H902" si="316">-(1-marge_basse)*(A+B/Tpll*EXP(-$A839/Tpll)+C_*EXP(-epsilon*Wn*$A839)*COS(Wd*$A839)+C_*(D/C_-epsilon*Wn)/Wd*EXP(-epsilon*Wn*$A839)*SIN(Wd*$A839))-Tunnel</f>
        <v>3.5000000043414997E-2</v>
      </c>
      <c r="I839" t="b">
        <f t="shared" si="304"/>
        <v>1</v>
      </c>
      <c r="J839">
        <f t="shared" ref="J839:J902" si="317">IF(I839,A839,I839)</f>
        <v>4.1599999999999397</v>
      </c>
      <c r="K839">
        <f t="shared" si="305"/>
        <v>3.5000000043414997E-2</v>
      </c>
      <c r="L839">
        <f t="shared" ref="L839:L902" si="318">P0-SIGN(Rocof)*IF(I839,AF$23-AF$13+(MAX(K$7:K$1495)-AF$23+AF$13)*EXP(-(A839-MIN(J$7:J$1495))/AB$21),H839)</f>
        <v>0.16923237992722973</v>
      </c>
      <c r="M839">
        <f t="shared" ref="M839:M902" si="319">P0-(1)*(A+B/Tpll*EXP(-$A839/Tpll)+C_*EXP(-epsilon*Wn*$A839)*COS(Wd*$A839)+C_*(D/C_-epsilon*Wn)/Wd*EXP(-epsilon*Wn*$A839)*SIN(Wd*$A839))</f>
        <v>0.19000000008682999</v>
      </c>
      <c r="N839">
        <f t="shared" ref="N839:N902" si="320">AB$6-(AG$17+AG$16/AC$18*EXP(-$A839/AC$18)+AG$18*EXP(-AG$6*AG$12*$A839)*COS(AG$5*$A839)+AG$18*(AG$19/AG$18-AG$6*AG$12)/AG$5*EXP(-AG$6*AG$12*$A839)*SIN(AG$5*$A839))</f>
        <v>0.18800013077958211</v>
      </c>
      <c r="O839">
        <f t="shared" ref="O839:O902" si="321">AB$6-(AH$17+AH$16/AD$18*EXP(-$A839/AD$18)+AH$18*EXP(-AH$6*AH$12*$A839)*COS(AH$5*$A839)+AH$18*(AH$19/AH$18-AH$6*AH$12)/AH$5*EXP(-AH$6*AH$12*$A839)*SIN(AH$5*$A839))</f>
        <v>0.15777777777778523</v>
      </c>
      <c r="P839">
        <f t="shared" si="310"/>
        <v>0.08</v>
      </c>
      <c r="Q839">
        <f t="shared" si="306"/>
        <v>0.08</v>
      </c>
      <c r="R839">
        <f t="shared" si="299"/>
        <v>0.08</v>
      </c>
      <c r="S839">
        <f t="shared" si="300"/>
        <v>0.06</v>
      </c>
      <c r="T839">
        <f t="shared" si="301"/>
        <v>0.1</v>
      </c>
      <c r="U839">
        <f t="shared" si="307"/>
        <v>0.08</v>
      </c>
      <c r="V839">
        <f t="shared" si="312"/>
        <v>0.18800013077958211</v>
      </c>
      <c r="W839">
        <f t="shared" si="308"/>
        <v>0.16921687297312832</v>
      </c>
      <c r="X839">
        <f t="shared" si="309"/>
        <v>0.21051927128634845</v>
      </c>
      <c r="Y839" t="b">
        <f t="shared" si="311"/>
        <v>0</v>
      </c>
    </row>
    <row xmlns:x14ac="http://schemas.microsoft.com/office/spreadsheetml/2009/9/ac" r="840" x14ac:dyDescent="0.45">
      <c r="A840">
        <v>4.1649999999999396</v>
      </c>
      <c r="B840">
        <f t="shared" si="313"/>
        <v>0.1630000001043401</v>
      </c>
      <c r="C840" t="b">
        <f t="shared" si="302"/>
        <v>1</v>
      </c>
      <c r="D840" t="b">
        <f t="shared" si="314"/>
        <v>1</v>
      </c>
      <c r="E840">
        <f t="shared" ref="E840:E903" si="322">IF(D840,A840,D840)</f>
        <v>4.1649999999999396</v>
      </c>
      <c r="F840">
        <f t="shared" si="303"/>
        <v>0.1630000001043401</v>
      </c>
      <c r="G840">
        <f t="shared" si="315"/>
        <v>0.21050645043260735</v>
      </c>
      <c r="H840">
        <f t="shared" si="316"/>
        <v>3.5000000040130805E-2</v>
      </c>
      <c r="I840" t="b">
        <f t="shared" si="304"/>
        <v>1</v>
      </c>
      <c r="J840">
        <f t="shared" si="317"/>
        <v>4.1649999999999396</v>
      </c>
      <c r="K840">
        <f t="shared" si="305"/>
        <v>3.5000000040130805E-2</v>
      </c>
      <c r="L840">
        <f t="shared" si="318"/>
        <v>0.16923620844831477</v>
      </c>
      <c r="M840">
        <f t="shared" si="319"/>
        <v>0.19000000008026163</v>
      </c>
      <c r="N840">
        <f t="shared" si="320"/>
        <v>0.18800012008979219</v>
      </c>
      <c r="O840">
        <f t="shared" si="321"/>
        <v>0.15777777777778468</v>
      </c>
      <c r="P840">
        <f t="shared" si="310"/>
        <v>0.08</v>
      </c>
      <c r="Q840">
        <f t="shared" si="306"/>
        <v>0.08</v>
      </c>
      <c r="R840">
        <f t="shared" ref="R840:R903" si="323">$AB$6-(1+AB$17)*EXP(-AF$6*AF$12*A840)*(COS(AF$5*A840)-(AF$6*AF$12-1)/(AF$5)*SIN(AF$5*A840))*AF$15</f>
        <v>0.08</v>
      </c>
      <c r="S840">
        <f t="shared" ref="S840:S903" si="324">R840-AF$13</f>
        <v>0.06</v>
      </c>
      <c r="T840">
        <f t="shared" ref="T840:T903" si="325">R840+AF$13</f>
        <v>0.1</v>
      </c>
      <c r="U840">
        <f t="shared" si="307"/>
        <v>0.08</v>
      </c>
      <c r="V840">
        <f t="shared" si="312"/>
        <v>0.18800012008979219</v>
      </c>
      <c r="W840">
        <f t="shared" si="308"/>
        <v>0.1692207788354696</v>
      </c>
      <c r="X840">
        <f t="shared" si="309"/>
        <v>0.21051668141000313</v>
      </c>
      <c r="Y840" t="b">
        <f t="shared" si="311"/>
        <v>0</v>
      </c>
    </row>
    <row xmlns:x14ac="http://schemas.microsoft.com/office/spreadsheetml/2009/9/ac" r="841" x14ac:dyDescent="0.45">
      <c r="A841">
        <v>4.1699999999999404</v>
      </c>
      <c r="B841">
        <f t="shared" si="313"/>
        <v>0.16300000009571852</v>
      </c>
      <c r="C841" t="b">
        <f t="shared" ref="C841:C904" si="326">IF(C840,C840,(B841&lt;B840))</f>
        <v>1</v>
      </c>
      <c r="D841" t="b">
        <f t="shared" si="314"/>
        <v>1</v>
      </c>
      <c r="E841">
        <f t="shared" si="322"/>
        <v>4.1699999999999404</v>
      </c>
      <c r="F841">
        <f t="shared" ref="F841:F904" si="327">IF(D841,B841,D841)</f>
        <v>0.16300000009571852</v>
      </c>
      <c r="G841">
        <f t="shared" si="315"/>
        <v>0.21050392450053684</v>
      </c>
      <c r="H841">
        <f t="shared" si="316"/>
        <v>3.5000000036814818E-2</v>
      </c>
      <c r="I841" t="b">
        <f t="shared" ref="I841:I904" si="328">IF(I840,I840,H840&gt;H841)</f>
        <v>1</v>
      </c>
      <c r="J841">
        <f t="shared" si="317"/>
        <v>4.1699999999999404</v>
      </c>
      <c r="K841">
        <f t="shared" ref="K841:K904" si="329">IF(I841,H841,I841)</f>
        <v>3.5000000036814818E-2</v>
      </c>
      <c r="L841">
        <f t="shared" si="318"/>
        <v>0.16924001787457124</v>
      </c>
      <c r="M841">
        <f t="shared" si="319"/>
        <v>0.19000000007362963</v>
      </c>
      <c r="N841">
        <f t="shared" si="320"/>
        <v>0.18800010920061139</v>
      </c>
      <c r="O841">
        <f t="shared" si="321"/>
        <v>0.15777777777778412</v>
      </c>
      <c r="P841">
        <f t="shared" si="310"/>
        <v>0.08</v>
      </c>
      <c r="Q841">
        <f t="shared" ref="Q841:Q904" si="330">$AB$6-(1+AB$17)*EXP(-AF$6*AF$12*A839)*(COS(AF$5*A839)-(AF$6*AF$12-1)/(AF$5)*SIN(AF$5*A839))*AF$15</f>
        <v>0.08</v>
      </c>
      <c r="R841">
        <f t="shared" si="323"/>
        <v>0.08</v>
      </c>
      <c r="S841">
        <f t="shared" si="324"/>
        <v>0.06</v>
      </c>
      <c r="T841">
        <f t="shared" si="325"/>
        <v>0.1</v>
      </c>
      <c r="U841">
        <f t="shared" ref="U841:U904" si="331">$AB$6-AB$18*EXP(-AF$6*AF$12*A839)*(COS(AF$5*A839)-(AF$6*AF$12-1)/(AF$5)*SIN(AF$5*A839))*AF$15</f>
        <v>0.08</v>
      </c>
      <c r="V841">
        <f t="shared" si="312"/>
        <v>0.18800010920061139</v>
      </c>
      <c r="W841">
        <f t="shared" si="308"/>
        <v>0.16922466521724122</v>
      </c>
      <c r="X841">
        <f t="shared" si="309"/>
        <v>0.21051410445072</v>
      </c>
      <c r="Y841" t="b">
        <f t="shared" si="311"/>
        <v>0</v>
      </c>
    </row>
    <row xmlns:x14ac="http://schemas.microsoft.com/office/spreadsheetml/2009/9/ac" r="842" x14ac:dyDescent="0.45">
      <c r="A842">
        <v>4.1749999999999403</v>
      </c>
      <c r="B842">
        <f t="shared" si="313"/>
        <v>0.16300000008705953</v>
      </c>
      <c r="C842" t="b">
        <f t="shared" si="326"/>
        <v>1</v>
      </c>
      <c r="D842" t="b">
        <f t="shared" si="314"/>
        <v>1</v>
      </c>
      <c r="E842">
        <f t="shared" si="322"/>
        <v>4.1749999999999403</v>
      </c>
      <c r="F842">
        <f t="shared" si="327"/>
        <v>0.16300000008705953</v>
      </c>
      <c r="G842">
        <f t="shared" si="315"/>
        <v>0.21050141116660509</v>
      </c>
      <c r="H842">
        <f t="shared" si="316"/>
        <v>3.5000000033484441E-2</v>
      </c>
      <c r="I842" t="b">
        <f t="shared" si="328"/>
        <v>1</v>
      </c>
      <c r="J842">
        <f t="shared" si="317"/>
        <v>4.1749999999999403</v>
      </c>
      <c r="K842">
        <f t="shared" si="329"/>
        <v>3.5000000033484441E-2</v>
      </c>
      <c r="L842">
        <f t="shared" si="318"/>
        <v>0.16924380830123503</v>
      </c>
      <c r="M842">
        <f t="shared" si="319"/>
        <v>0.19000000006696888</v>
      </c>
      <c r="N842">
        <f t="shared" si="320"/>
        <v>0.18800009816692564</v>
      </c>
      <c r="O842">
        <f t="shared" si="321"/>
        <v>0.15777777777778357</v>
      </c>
      <c r="P842">
        <f t="shared" si="310"/>
        <v>0.08</v>
      </c>
      <c r="Q842">
        <f t="shared" si="330"/>
        <v>0.08</v>
      </c>
      <c r="R842">
        <f t="shared" si="323"/>
        <v>0.08</v>
      </c>
      <c r="S842">
        <f t="shared" si="324"/>
        <v>0.06</v>
      </c>
      <c r="T842">
        <f t="shared" si="325"/>
        <v>0.1</v>
      </c>
      <c r="U842">
        <f t="shared" si="331"/>
        <v>0.08</v>
      </c>
      <c r="V842">
        <f t="shared" si="312"/>
        <v>0.18800009816692564</v>
      </c>
      <c r="W842">
        <f t="shared" si="308"/>
        <v>0.16922853221560286</v>
      </c>
      <c r="X842">
        <f t="shared" si="309"/>
        <v>0.21051154034407488</v>
      </c>
      <c r="Y842" t="b">
        <f t="shared" si="311"/>
        <v>0</v>
      </c>
    </row>
    <row xmlns:x14ac="http://schemas.microsoft.com/office/spreadsheetml/2009/9/ac" r="843" x14ac:dyDescent="0.45">
      <c r="A843">
        <v>4.1799999999999402</v>
      </c>
      <c r="B843">
        <f t="shared" si="313"/>
        <v>0.16300000007840637</v>
      </c>
      <c r="C843" t="b">
        <f t="shared" si="326"/>
        <v>1</v>
      </c>
      <c r="D843" t="b">
        <f t="shared" si="314"/>
        <v>1</v>
      </c>
      <c r="E843">
        <f t="shared" si="322"/>
        <v>4.1799999999999402</v>
      </c>
      <c r="F843">
        <f t="shared" si="327"/>
        <v>0.16300000007840637</v>
      </c>
      <c r="G843">
        <f t="shared" si="315"/>
        <v>0.21049891036797863</v>
      </c>
      <c r="H843">
        <f t="shared" si="316"/>
        <v>3.5000000030156297E-2</v>
      </c>
      <c r="I843" t="b">
        <f t="shared" si="328"/>
        <v>1</v>
      </c>
      <c r="J843">
        <f t="shared" si="317"/>
        <v>4.1799999999999402</v>
      </c>
      <c r="K843">
        <f t="shared" si="329"/>
        <v>3.5000000030156297E-2</v>
      </c>
      <c r="L843">
        <f t="shared" si="318"/>
        <v>0.16924757982306693</v>
      </c>
      <c r="M843">
        <f t="shared" si="319"/>
        <v>0.19000000006031259</v>
      </c>
      <c r="N843">
        <f t="shared" si="320"/>
        <v>0.18800008704253729</v>
      </c>
      <c r="O843">
        <f t="shared" si="321"/>
        <v>0.15777777777778301</v>
      </c>
      <c r="P843">
        <f t="shared" si="310"/>
        <v>0.08</v>
      </c>
      <c r="Q843">
        <f t="shared" si="330"/>
        <v>0.08</v>
      </c>
      <c r="R843">
        <f t="shared" si="323"/>
        <v>0.08</v>
      </c>
      <c r="S843">
        <f t="shared" si="324"/>
        <v>0.06</v>
      </c>
      <c r="T843">
        <f t="shared" si="325"/>
        <v>0.1</v>
      </c>
      <c r="U843">
        <f t="shared" si="331"/>
        <v>0.08</v>
      </c>
      <c r="V843">
        <f t="shared" si="312"/>
        <v>0.18800008704253729</v>
      </c>
      <c r="W843">
        <f t="shared" ref="W843:W906" si="332">IF(EMT_Simulation,L839,L843)</f>
        <v>0.16923237992722973</v>
      </c>
      <c r="X843">
        <f t="shared" ref="X843:X906" si="333">IF(EMT_Simulation,G839,G843)</f>
        <v>0.21050898902596504</v>
      </c>
      <c r="Y843" t="b">
        <f t="shared" si="311"/>
        <v>0</v>
      </c>
    </row>
    <row xmlns:x14ac="http://schemas.microsoft.com/office/spreadsheetml/2009/9/ac" r="844" x14ac:dyDescent="0.45">
      <c r="A844">
        <v>4.1849999999999401</v>
      </c>
      <c r="B844">
        <f t="shared" si="313"/>
        <v>0.16300000006980017</v>
      </c>
      <c r="C844" t="b">
        <f t="shared" si="326"/>
        <v>1</v>
      </c>
      <c r="D844" t="b">
        <f t="shared" si="314"/>
        <v>1</v>
      </c>
      <c r="E844">
        <f t="shared" si="322"/>
        <v>4.1849999999999401</v>
      </c>
      <c r="F844">
        <f t="shared" si="327"/>
        <v>0.16300000006980017</v>
      </c>
      <c r="G844">
        <f t="shared" si="315"/>
        <v>0.21049642204213737</v>
      </c>
      <c r="H844">
        <f t="shared" si="316"/>
        <v>3.5000000026846223E-2</v>
      </c>
      <c r="I844" t="b">
        <f t="shared" si="328"/>
        <v>1</v>
      </c>
      <c r="J844">
        <f t="shared" si="317"/>
        <v>4.1849999999999401</v>
      </c>
      <c r="K844">
        <f t="shared" si="329"/>
        <v>3.5000000026846223E-2</v>
      </c>
      <c r="L844">
        <f t="shared" si="318"/>
        <v>0.1692513325343552</v>
      </c>
      <c r="M844">
        <f t="shared" si="319"/>
        <v>0.19000000005369244</v>
      </c>
      <c r="N844">
        <f t="shared" si="320"/>
        <v>0.18800007587995921</v>
      </c>
      <c r="O844">
        <f t="shared" si="321"/>
        <v>0.15777777777778249</v>
      </c>
      <c r="P844">
        <f t="shared" si="310"/>
        <v>0.08</v>
      </c>
      <c r="Q844">
        <f t="shared" si="330"/>
        <v>0.08</v>
      </c>
      <c r="R844">
        <f t="shared" si="323"/>
        <v>0.08</v>
      </c>
      <c r="S844">
        <f t="shared" si="324"/>
        <v>0.06</v>
      </c>
      <c r="T844">
        <f t="shared" si="325"/>
        <v>0.1</v>
      </c>
      <c r="U844">
        <f t="shared" si="331"/>
        <v>0.08</v>
      </c>
      <c r="V844">
        <f t="shared" si="312"/>
        <v>0.18800007587995921</v>
      </c>
      <c r="W844">
        <f t="shared" si="332"/>
        <v>0.16923620844831477</v>
      </c>
      <c r="X844">
        <f t="shared" si="333"/>
        <v>0.21050645043260735</v>
      </c>
      <c r="Y844" t="b">
        <f t="shared" si="311"/>
        <v>0</v>
      </c>
    </row>
    <row xmlns:x14ac="http://schemas.microsoft.com/office/spreadsheetml/2009/9/ac" r="845" x14ac:dyDescent="0.45">
      <c r="A845">
        <v>4.18999999999994</v>
      </c>
      <c r="B845">
        <f t="shared" si="313"/>
        <v>0.16300000006127982</v>
      </c>
      <c r="C845" t="b">
        <f t="shared" si="326"/>
        <v>1</v>
      </c>
      <c r="D845" t="b">
        <f t="shared" si="314"/>
        <v>1</v>
      </c>
      <c r="E845">
        <f t="shared" si="322"/>
        <v>4.18999999999994</v>
      </c>
      <c r="F845">
        <f t="shared" si="327"/>
        <v>0.16300000006127982</v>
      </c>
      <c r="G845">
        <f t="shared" si="315"/>
        <v>0.210493946126873</v>
      </c>
      <c r="H845">
        <f t="shared" si="316"/>
        <v>3.5000000023569164E-2</v>
      </c>
      <c r="I845" t="b">
        <f t="shared" si="328"/>
        <v>1</v>
      </c>
      <c r="J845">
        <f t="shared" si="317"/>
        <v>4.18999999999994</v>
      </c>
      <c r="K845">
        <f t="shared" si="329"/>
        <v>3.5000000023569164E-2</v>
      </c>
      <c r="L845">
        <f t="shared" si="318"/>
        <v>0.16925506652891789</v>
      </c>
      <c r="M845">
        <f t="shared" si="319"/>
        <v>0.19000000004713832</v>
      </c>
      <c r="N845">
        <f t="shared" si="320"/>
        <v>0.18800006473022091</v>
      </c>
      <c r="O845">
        <f t="shared" si="321"/>
        <v>0.15777777777778196</v>
      </c>
      <c r="P845">
        <f t="shared" si="310"/>
        <v>0.08</v>
      </c>
      <c r="Q845">
        <f t="shared" si="330"/>
        <v>0.08</v>
      </c>
      <c r="R845">
        <f t="shared" si="323"/>
        <v>0.08</v>
      </c>
      <c r="S845">
        <f t="shared" si="324"/>
        <v>0.06</v>
      </c>
      <c r="T845">
        <f t="shared" si="325"/>
        <v>0.1</v>
      </c>
      <c r="U845">
        <f t="shared" si="331"/>
        <v>0.08</v>
      </c>
      <c r="V845">
        <f t="shared" si="312"/>
        <v>0.18800006473022091</v>
      </c>
      <c r="W845">
        <f t="shared" si="332"/>
        <v>0.16924001787457124</v>
      </c>
      <c r="X845">
        <f t="shared" si="333"/>
        <v>0.21050392450053684</v>
      </c>
      <c r="Y845" t="b">
        <f t="shared" si="311"/>
        <v>0</v>
      </c>
    </row>
    <row xmlns:x14ac="http://schemas.microsoft.com/office/spreadsheetml/2009/9/ac" r="846" x14ac:dyDescent="0.45">
      <c r="A846">
        <v>4.1949999999999399</v>
      </c>
      <c r="B846">
        <f t="shared" si="313"/>
        <v>0.16300000005288187</v>
      </c>
      <c r="C846" t="b">
        <f t="shared" si="326"/>
        <v>1</v>
      </c>
      <c r="D846" t="b">
        <f t="shared" si="314"/>
        <v>1</v>
      </c>
      <c r="E846">
        <f t="shared" si="322"/>
        <v>4.1949999999999399</v>
      </c>
      <c r="F846">
        <f t="shared" si="327"/>
        <v>0.16300000005288187</v>
      </c>
      <c r="G846">
        <f t="shared" si="315"/>
        <v>0.21049148256028749</v>
      </c>
      <c r="H846">
        <f t="shared" si="316"/>
        <v>3.5000000020339178E-2</v>
      </c>
      <c r="I846" t="b">
        <f t="shared" si="328"/>
        <v>1</v>
      </c>
      <c r="J846">
        <f t="shared" si="317"/>
        <v>4.1949999999999399</v>
      </c>
      <c r="K846">
        <f t="shared" si="329"/>
        <v>3.5000000020339178E-2</v>
      </c>
      <c r="L846">
        <f t="shared" si="318"/>
        <v>0.16925878190010496</v>
      </c>
      <c r="M846">
        <f t="shared" si="319"/>
        <v>0.19000000004067835</v>
      </c>
      <c r="N846">
        <f t="shared" si="320"/>
        <v>0.18800005364268751</v>
      </c>
      <c r="O846">
        <f t="shared" si="321"/>
        <v>0.15777777777778146</v>
      </c>
      <c r="P846">
        <f t="shared" ref="P846:P909" si="334">$AB$6-EXP(-AF$6*AF$12*A846)*(COS(AF$5*A846)-(AF$6*AF$12-1)/(AF$5)*SIN(AF$5*A846))*AF$15</f>
        <v>0.08</v>
      </c>
      <c r="Q846">
        <f t="shared" si="330"/>
        <v>0.08</v>
      </c>
      <c r="R846">
        <f t="shared" si="323"/>
        <v>0.08</v>
      </c>
      <c r="S846">
        <f t="shared" si="324"/>
        <v>0.06</v>
      </c>
      <c r="T846">
        <f t="shared" si="325"/>
        <v>0.1</v>
      </c>
      <c r="U846">
        <f t="shared" si="331"/>
        <v>0.08</v>
      </c>
      <c r="V846">
        <f t="shared" si="312"/>
        <v>0.18800005364268751</v>
      </c>
      <c r="W846">
        <f t="shared" si="332"/>
        <v>0.16924380830123503</v>
      </c>
      <c r="X846">
        <f t="shared" si="333"/>
        <v>0.21050141116660509</v>
      </c>
      <c r="Y846" t="b">
        <f t="shared" si="311"/>
        <v>0</v>
      </c>
    </row>
    <row xmlns:x14ac="http://schemas.microsoft.com/office/spreadsheetml/2009/9/ac" r="847" x14ac:dyDescent="0.45">
      <c r="A847">
        <v>4.1999999999999398</v>
      </c>
      <c r="B847">
        <f t="shared" si="313"/>
        <v>0.16300000004464049</v>
      </c>
      <c r="C847" t="b">
        <f t="shared" si="326"/>
        <v>1</v>
      </c>
      <c r="D847" t="b">
        <f t="shared" si="314"/>
        <v>1</v>
      </c>
      <c r="E847">
        <f t="shared" si="322"/>
        <v>4.1999999999999398</v>
      </c>
      <c r="F847">
        <f t="shared" si="327"/>
        <v>0.16300000004464049</v>
      </c>
      <c r="G847">
        <f t="shared" si="315"/>
        <v>0.21048903128079166</v>
      </c>
      <c r="H847">
        <f t="shared" si="316"/>
        <v>3.5000000017169422E-2</v>
      </c>
      <c r="I847" t="b">
        <f t="shared" si="328"/>
        <v>1</v>
      </c>
      <c r="J847">
        <f t="shared" si="317"/>
        <v>4.1999999999999398</v>
      </c>
      <c r="K847">
        <f t="shared" si="329"/>
        <v>3.5000000017169422E-2</v>
      </c>
      <c r="L847">
        <f t="shared" si="318"/>
        <v>0.16926247874080097</v>
      </c>
      <c r="M847">
        <f t="shared" si="319"/>
        <v>0.19000000003433884</v>
      </c>
      <c r="N847">
        <f t="shared" si="320"/>
        <v>0.1880000426648917</v>
      </c>
      <c r="O847">
        <f t="shared" si="321"/>
        <v>0.15777777777778096</v>
      </c>
      <c r="P847">
        <f t="shared" si="334"/>
        <v>0.08</v>
      </c>
      <c r="Q847">
        <f t="shared" si="330"/>
        <v>0.08</v>
      </c>
      <c r="R847">
        <f t="shared" si="323"/>
        <v>0.08</v>
      </c>
      <c r="S847">
        <f t="shared" si="324"/>
        <v>0.06</v>
      </c>
      <c r="T847">
        <f t="shared" si="325"/>
        <v>0.1</v>
      </c>
      <c r="U847">
        <f t="shared" si="331"/>
        <v>0.08</v>
      </c>
      <c r="V847">
        <f t="shared" si="312"/>
        <v>0.1880000426648917</v>
      </c>
      <c r="W847">
        <f t="shared" si="332"/>
        <v>0.16924757982306693</v>
      </c>
      <c r="X847">
        <f t="shared" si="333"/>
        <v>0.21049891036797863</v>
      </c>
      <c r="Y847" t="b">
        <f t="shared" ref="Y847:Y910" si="335">IF(Y846,TRUE,IF(P847&lt;P846,TRUE))</f>
        <v>0</v>
      </c>
    </row>
    <row xmlns:x14ac="http://schemas.microsoft.com/office/spreadsheetml/2009/9/ac" r="848" x14ac:dyDescent="0.45">
      <c r="A848">
        <v>4.2049999999999397</v>
      </c>
      <c r="B848">
        <f t="shared" si="313"/>
        <v>0.16300000003658754</v>
      </c>
      <c r="C848" t="b">
        <f t="shared" si="326"/>
        <v>1</v>
      </c>
      <c r="D848" t="b">
        <f t="shared" si="314"/>
        <v>1</v>
      </c>
      <c r="E848">
        <f t="shared" si="322"/>
        <v>4.2049999999999397</v>
      </c>
      <c r="F848">
        <f t="shared" si="327"/>
        <v>0.16300000003658754</v>
      </c>
      <c r="G848">
        <f t="shared" si="315"/>
        <v>0.21048659222710325</v>
      </c>
      <c r="H848">
        <f t="shared" si="316"/>
        <v>3.5000000014072136E-2</v>
      </c>
      <c r="I848" t="b">
        <f t="shared" si="328"/>
        <v>1</v>
      </c>
      <c r="J848">
        <f t="shared" si="317"/>
        <v>4.2049999999999397</v>
      </c>
      <c r="K848">
        <f t="shared" si="329"/>
        <v>3.5000000014072136E-2</v>
      </c>
      <c r="L848">
        <f t="shared" si="318"/>
        <v>0.16926615714342708</v>
      </c>
      <c r="M848">
        <f t="shared" si="319"/>
        <v>0.19000000002814427</v>
      </c>
      <c r="N848">
        <f t="shared" si="320"/>
        <v>0.18800003184237948</v>
      </c>
      <c r="O848">
        <f t="shared" si="321"/>
        <v>0.15777777777778046</v>
      </c>
      <c r="P848">
        <f t="shared" si="334"/>
        <v>0.08</v>
      </c>
      <c r="Q848">
        <f t="shared" si="330"/>
        <v>0.08</v>
      </c>
      <c r="R848">
        <f t="shared" si="323"/>
        <v>0.08</v>
      </c>
      <c r="S848">
        <f t="shared" si="324"/>
        <v>0.06</v>
      </c>
      <c r="T848">
        <f t="shared" si="325"/>
        <v>0.1</v>
      </c>
      <c r="U848">
        <f t="shared" si="331"/>
        <v>0.08</v>
      </c>
      <c r="V848">
        <f t="shared" si="312"/>
        <v>0.18800003184237948</v>
      </c>
      <c r="W848">
        <f t="shared" si="332"/>
        <v>0.1692513325343552</v>
      </c>
      <c r="X848">
        <f t="shared" si="333"/>
        <v>0.21049642204213737</v>
      </c>
      <c r="Y848" t="b">
        <f t="shared" si="335"/>
        <v>0</v>
      </c>
    </row>
    <row xmlns:x14ac="http://schemas.microsoft.com/office/spreadsheetml/2009/9/ac" r="849" x14ac:dyDescent="0.45">
      <c r="A849">
        <v>4.2099999999999396</v>
      </c>
      <c r="B849">
        <f t="shared" si="313"/>
        <v>0.16300000002875228</v>
      </c>
      <c r="C849" t="b">
        <f t="shared" si="326"/>
        <v>1</v>
      </c>
      <c r="D849" t="b">
        <f t="shared" si="314"/>
        <v>1</v>
      </c>
      <c r="E849">
        <f t="shared" si="322"/>
        <v>4.2099999999999396</v>
      </c>
      <c r="F849">
        <f t="shared" si="327"/>
        <v>0.16300000002875228</v>
      </c>
      <c r="G849">
        <f t="shared" si="315"/>
        <v>0.21048416533824593</v>
      </c>
      <c r="H849">
        <f t="shared" si="316"/>
        <v>3.5000000011058574E-2</v>
      </c>
      <c r="I849" t="b">
        <f t="shared" si="328"/>
        <v>1</v>
      </c>
      <c r="J849">
        <f t="shared" si="317"/>
        <v>4.2099999999999396</v>
      </c>
      <c r="K849">
        <f t="shared" si="329"/>
        <v>3.5000000011058574E-2</v>
      </c>
      <c r="L849">
        <f t="shared" si="318"/>
        <v>0.16926981719994352</v>
      </c>
      <c r="M849">
        <f t="shared" si="319"/>
        <v>0.19000000002211714</v>
      </c>
      <c r="N849">
        <f t="shared" si="320"/>
        <v>0.18800002121856924</v>
      </c>
      <c r="O849">
        <f t="shared" si="321"/>
        <v>0.15777777777778002</v>
      </c>
      <c r="P849">
        <f t="shared" si="334"/>
        <v>0.08</v>
      </c>
      <c r="Q849">
        <f t="shared" si="330"/>
        <v>0.08</v>
      </c>
      <c r="R849">
        <f t="shared" si="323"/>
        <v>0.08</v>
      </c>
      <c r="S849">
        <f t="shared" si="324"/>
        <v>0.06</v>
      </c>
      <c r="T849">
        <f t="shared" si="325"/>
        <v>0.1</v>
      </c>
      <c r="U849">
        <f t="shared" si="331"/>
        <v>0.08</v>
      </c>
      <c r="V849">
        <f t="shared" si="312"/>
        <v>0.18800002121856924</v>
      </c>
      <c r="W849">
        <f t="shared" si="332"/>
        <v>0.16925506652891789</v>
      </c>
      <c r="X849">
        <f t="shared" si="333"/>
        <v>0.210493946126873</v>
      </c>
      <c r="Y849" t="b">
        <f t="shared" si="335"/>
        <v>0</v>
      </c>
    </row>
    <row xmlns:x14ac="http://schemas.microsoft.com/office/spreadsheetml/2009/9/ac" r="850" x14ac:dyDescent="0.45">
      <c r="A850">
        <v>4.2149999999999403</v>
      </c>
      <c r="B850">
        <f t="shared" si="313"/>
        <v>0.16300000002116163</v>
      </c>
      <c r="C850" t="b">
        <f t="shared" si="326"/>
        <v>1</v>
      </c>
      <c r="D850" t="b">
        <f t="shared" si="314"/>
        <v>1</v>
      </c>
      <c r="E850">
        <f t="shared" si="322"/>
        <v>4.2149999999999403</v>
      </c>
      <c r="F850">
        <f t="shared" si="327"/>
        <v>0.16300000002116163</v>
      </c>
      <c r="G850">
        <f t="shared" si="315"/>
        <v>0.21048175055354723</v>
      </c>
      <c r="H850">
        <f t="shared" si="316"/>
        <v>3.500000000813909E-2</v>
      </c>
      <c r="I850" t="b">
        <f t="shared" si="328"/>
        <v>1</v>
      </c>
      <c r="J850">
        <f t="shared" si="317"/>
        <v>4.2149999999999403</v>
      </c>
      <c r="K850">
        <f t="shared" si="329"/>
        <v>3.500000000813909E-2</v>
      </c>
      <c r="L850">
        <f t="shared" si="318"/>
        <v>0.16927345900185195</v>
      </c>
      <c r="M850">
        <f t="shared" si="319"/>
        <v>0.19000000001627818</v>
      </c>
      <c r="N850">
        <f t="shared" si="320"/>
        <v>0.18800001083462509</v>
      </c>
      <c r="O850">
        <f t="shared" si="321"/>
        <v>0.15777777777777957</v>
      </c>
      <c r="P850">
        <f t="shared" si="334"/>
        <v>0.08</v>
      </c>
      <c r="Q850">
        <f t="shared" si="330"/>
        <v>0.08</v>
      </c>
      <c r="R850">
        <f t="shared" si="323"/>
        <v>0.08</v>
      </c>
      <c r="S850">
        <f t="shared" si="324"/>
        <v>0.06</v>
      </c>
      <c r="T850">
        <f t="shared" si="325"/>
        <v>0.1</v>
      </c>
      <c r="U850">
        <f t="shared" si="331"/>
        <v>0.08</v>
      </c>
      <c r="V850">
        <f t="shared" si="312"/>
        <v>0.18800001083462509</v>
      </c>
      <c r="W850">
        <f t="shared" si="332"/>
        <v>0.16925878190010496</v>
      </c>
      <c r="X850">
        <f t="shared" si="333"/>
        <v>0.21049148256028749</v>
      </c>
      <c r="Y850" t="b">
        <f t="shared" si="335"/>
        <v>0</v>
      </c>
    </row>
    <row xmlns:x14ac="http://schemas.microsoft.com/office/spreadsheetml/2009/9/ac" r="851" x14ac:dyDescent="0.45">
      <c r="A851">
        <v>4.2199999999999402</v>
      </c>
      <c r="B851">
        <f t="shared" si="313"/>
        <v>0.16300000001383994</v>
      </c>
      <c r="C851" t="b">
        <f t="shared" si="326"/>
        <v>1</v>
      </c>
      <c r="D851" t="b">
        <f t="shared" si="314"/>
        <v>1</v>
      </c>
      <c r="E851">
        <f t="shared" si="322"/>
        <v>4.2199999999999402</v>
      </c>
      <c r="F851">
        <f t="shared" si="327"/>
        <v>0.16300000001383994</v>
      </c>
      <c r="G851">
        <f t="shared" si="315"/>
        <v>0.2104793478126375</v>
      </c>
      <c r="H851">
        <f t="shared" si="316"/>
        <v>3.5000000005323051E-2</v>
      </c>
      <c r="I851" t="b">
        <f t="shared" si="328"/>
        <v>1</v>
      </c>
      <c r="J851">
        <f t="shared" si="317"/>
        <v>4.2199999999999402</v>
      </c>
      <c r="K851">
        <f t="shared" si="329"/>
        <v>3.5000000005323051E-2</v>
      </c>
      <c r="L851">
        <f t="shared" si="318"/>
        <v>0.16927708264019758</v>
      </c>
      <c r="M851">
        <f t="shared" si="319"/>
        <v>0.1900000000106461</v>
      </c>
      <c r="N851">
        <f t="shared" si="320"/>
        <v>0.18800000072934389</v>
      </c>
      <c r="O851">
        <f t="shared" si="321"/>
        <v>0.15777777777777918</v>
      </c>
      <c r="P851">
        <f t="shared" si="334"/>
        <v>0.08</v>
      </c>
      <c r="Q851">
        <f t="shared" si="330"/>
        <v>0.08</v>
      </c>
      <c r="R851">
        <f t="shared" si="323"/>
        <v>0.08</v>
      </c>
      <c r="S851">
        <f t="shared" si="324"/>
        <v>0.06</v>
      </c>
      <c r="T851">
        <f t="shared" si="325"/>
        <v>0.1</v>
      </c>
      <c r="U851">
        <f t="shared" si="331"/>
        <v>0.08</v>
      </c>
      <c r="V851">
        <f t="shared" si="312"/>
        <v>0.18800000072934389</v>
      </c>
      <c r="W851">
        <f t="shared" si="332"/>
        <v>0.16926247874080097</v>
      </c>
      <c r="X851">
        <f t="shared" si="333"/>
        <v>0.21048903128079166</v>
      </c>
      <c r="Y851" t="b">
        <f t="shared" si="335"/>
        <v>0</v>
      </c>
    </row>
    <row xmlns:x14ac="http://schemas.microsoft.com/office/spreadsheetml/2009/9/ac" r="852" x14ac:dyDescent="0.45">
      <c r="A852">
        <v>4.2249999999999401</v>
      </c>
      <c r="B852">
        <f t="shared" si="313"/>
        <v>0.16300000000680914</v>
      </c>
      <c r="C852" t="b">
        <f t="shared" si="326"/>
        <v>1</v>
      </c>
      <c r="D852" t="b">
        <f t="shared" si="314"/>
        <v>1</v>
      </c>
      <c r="E852">
        <f t="shared" si="322"/>
        <v>4.2249999999999401</v>
      </c>
      <c r="F852">
        <f t="shared" si="327"/>
        <v>0.16300000000680914</v>
      </c>
      <c r="G852">
        <f t="shared" si="315"/>
        <v>0.210476957055448</v>
      </c>
      <c r="H852">
        <f t="shared" si="316"/>
        <v>3.5000000002618895E-2</v>
      </c>
      <c r="I852" t="b">
        <f t="shared" si="328"/>
        <v>1</v>
      </c>
      <c r="J852">
        <f t="shared" si="317"/>
        <v>4.2249999999999401</v>
      </c>
      <c r="K852">
        <f t="shared" si="329"/>
        <v>3.5000000002618895E-2</v>
      </c>
      <c r="L852">
        <f t="shared" si="318"/>
        <v>0.16928068820557157</v>
      </c>
      <c r="M852">
        <f t="shared" si="319"/>
        <v>0.19000000000523781</v>
      </c>
      <c r="N852">
        <f t="shared" si="320"/>
        <v>0.18799999093905695</v>
      </c>
      <c r="O852">
        <f t="shared" si="321"/>
        <v>0.15777777777777877</v>
      </c>
      <c r="P852">
        <f t="shared" si="334"/>
        <v>0.08</v>
      </c>
      <c r="Q852">
        <f t="shared" si="330"/>
        <v>0.08</v>
      </c>
      <c r="R852">
        <f t="shared" si="323"/>
        <v>0.08</v>
      </c>
      <c r="S852">
        <f t="shared" si="324"/>
        <v>0.06</v>
      </c>
      <c r="T852">
        <f t="shared" si="325"/>
        <v>0.1</v>
      </c>
      <c r="U852">
        <f t="shared" si="331"/>
        <v>0.08</v>
      </c>
      <c r="V852">
        <f t="shared" si="312"/>
        <v>0.18799999093905695</v>
      </c>
      <c r="W852">
        <f t="shared" si="332"/>
        <v>0.16926615714342708</v>
      </c>
      <c r="X852">
        <f t="shared" si="333"/>
        <v>0.21048659222710325</v>
      </c>
      <c r="Y852" t="b">
        <f t="shared" si="335"/>
        <v>0</v>
      </c>
    </row>
    <row xmlns:x14ac="http://schemas.microsoft.com/office/spreadsheetml/2009/9/ac" r="853" x14ac:dyDescent="0.45">
      <c r="A853">
        <v>4.22999999999994</v>
      </c>
      <c r="B853">
        <f t="shared" si="313"/>
        <v>0.16300000000008866</v>
      </c>
      <c r="C853" t="b">
        <f t="shared" si="326"/>
        <v>1</v>
      </c>
      <c r="D853" t="b">
        <f t="shared" si="314"/>
        <v>1</v>
      </c>
      <c r="E853">
        <f t="shared" si="322"/>
        <v>4.22999999999994</v>
      </c>
      <c r="F853">
        <f t="shared" si="327"/>
        <v>0.16300000000008866</v>
      </c>
      <c r="G853">
        <f t="shared" si="315"/>
        <v>0.21047457822220977</v>
      </c>
      <c r="H853">
        <f t="shared" si="316"/>
        <v>3.5000000000034101E-2</v>
      </c>
      <c r="I853" t="b">
        <f t="shared" si="328"/>
        <v>1</v>
      </c>
      <c r="J853">
        <f t="shared" si="317"/>
        <v>4.22999999999994</v>
      </c>
      <c r="K853">
        <f t="shared" si="329"/>
        <v>3.5000000000034101E-2</v>
      </c>
      <c r="L853">
        <f t="shared" si="318"/>
        <v>0.16928427578811323</v>
      </c>
      <c r="M853">
        <f t="shared" si="319"/>
        <v>0.1900000000000682</v>
      </c>
      <c r="N853">
        <f t="shared" si="320"/>
        <v>0.18799998149754527</v>
      </c>
      <c r="O853">
        <f t="shared" si="321"/>
        <v>0.15777777777777841</v>
      </c>
      <c r="P853">
        <f t="shared" si="334"/>
        <v>0.08</v>
      </c>
      <c r="Q853">
        <f t="shared" si="330"/>
        <v>0.08</v>
      </c>
      <c r="R853">
        <f t="shared" si="323"/>
        <v>0.08</v>
      </c>
      <c r="S853">
        <f t="shared" si="324"/>
        <v>0.06</v>
      </c>
      <c r="T853">
        <f t="shared" si="325"/>
        <v>0.1</v>
      </c>
      <c r="U853">
        <f t="shared" si="331"/>
        <v>0.08</v>
      </c>
      <c r="V853">
        <f t="shared" ref="V853:V916" si="336">MAX(IF(Y853,MAX(H853,$AB$6+$AF$13),MAX(T853,$AB$6+$AF$13)),O853,N853)</f>
        <v>0.18799998149754527</v>
      </c>
      <c r="W853">
        <f t="shared" si="332"/>
        <v>0.16926981719994352</v>
      </c>
      <c r="X853">
        <f t="shared" si="333"/>
        <v>0.21048416533824593</v>
      </c>
      <c r="Y853" t="b">
        <f t="shared" si="335"/>
        <v>0</v>
      </c>
    </row>
    <row xmlns:x14ac="http://schemas.microsoft.com/office/spreadsheetml/2009/9/ac" r="854" x14ac:dyDescent="0.45">
      <c r="A854">
        <v>4.2349999999999399</v>
      </c>
      <c r="B854">
        <f t="shared" si="313"/>
        <v>0.16299999999369549</v>
      </c>
      <c r="C854" t="b">
        <f t="shared" si="326"/>
        <v>1</v>
      </c>
      <c r="D854" t="b">
        <f t="shared" si="314"/>
        <v>1</v>
      </c>
      <c r="E854">
        <f t="shared" si="322"/>
        <v>4.2349999999999399</v>
      </c>
      <c r="F854">
        <f t="shared" si="327"/>
        <v>0.16299999999369549</v>
      </c>
      <c r="G854">
        <f t="shared" si="315"/>
        <v>0.21047221125345178</v>
      </c>
      <c r="H854">
        <f t="shared" si="316"/>
        <v>3.4999999997575193E-2</v>
      </c>
      <c r="I854" t="b">
        <f t="shared" si="328"/>
        <v>1</v>
      </c>
      <c r="J854">
        <f t="shared" si="317"/>
        <v>4.2349999999999399</v>
      </c>
      <c r="K854">
        <f t="shared" si="329"/>
        <v>3.4999999997575193E-2</v>
      </c>
      <c r="L854">
        <f t="shared" si="318"/>
        <v>0.1692878454775123</v>
      </c>
      <c r="M854">
        <f t="shared" si="319"/>
        <v>0.18999999999515038</v>
      </c>
      <c r="N854">
        <f t="shared" si="320"/>
        <v>0.18799997243596911</v>
      </c>
      <c r="O854">
        <f t="shared" si="321"/>
        <v>0.15777777777777804</v>
      </c>
      <c r="P854">
        <f t="shared" si="334"/>
        <v>0.08</v>
      </c>
      <c r="Q854">
        <f t="shared" si="330"/>
        <v>0.08</v>
      </c>
      <c r="R854">
        <f t="shared" si="323"/>
        <v>0.08</v>
      </c>
      <c r="S854">
        <f t="shared" si="324"/>
        <v>0.06</v>
      </c>
      <c r="T854">
        <f t="shared" si="325"/>
        <v>0.1</v>
      </c>
      <c r="U854">
        <f t="shared" si="331"/>
        <v>0.08</v>
      </c>
      <c r="V854">
        <f t="shared" si="336"/>
        <v>0.18799997243596911</v>
      </c>
      <c r="W854">
        <f t="shared" si="332"/>
        <v>0.16927345900185195</v>
      </c>
      <c r="X854">
        <f t="shared" si="333"/>
        <v>0.21048175055354723</v>
      </c>
      <c r="Y854" t="b">
        <f t="shared" si="335"/>
        <v>0</v>
      </c>
    </row>
    <row xmlns:x14ac="http://schemas.microsoft.com/office/spreadsheetml/2009/9/ac" r="855" x14ac:dyDescent="0.45">
      <c r="A855">
        <v>4.2399999999999398</v>
      </c>
      <c r="B855">
        <f t="shared" si="313"/>
        <v>0.16299999998764431</v>
      </c>
      <c r="C855" t="b">
        <f t="shared" si="326"/>
        <v>1</v>
      </c>
      <c r="D855" t="b">
        <f t="shared" si="314"/>
        <v>1</v>
      </c>
      <c r="E855">
        <f t="shared" si="322"/>
        <v>4.2399999999999398</v>
      </c>
      <c r="F855">
        <f t="shared" si="327"/>
        <v>0.16299999998764431</v>
      </c>
      <c r="G855">
        <f t="shared" si="315"/>
        <v>0.21046985608999974</v>
      </c>
      <c r="H855">
        <f t="shared" si="316"/>
        <v>3.4999999995247819E-2</v>
      </c>
      <c r="I855" t="b">
        <f t="shared" si="328"/>
        <v>1</v>
      </c>
      <c r="J855">
        <f t="shared" si="317"/>
        <v>4.2399999999999398</v>
      </c>
      <c r="K855">
        <f t="shared" si="329"/>
        <v>3.4999999995247819E-2</v>
      </c>
      <c r="L855">
        <f t="shared" si="318"/>
        <v>0.16929139736301124</v>
      </c>
      <c r="M855">
        <f t="shared" si="319"/>
        <v>0.18999999999049563</v>
      </c>
      <c r="N855">
        <f t="shared" si="320"/>
        <v>0.18799996378281142</v>
      </c>
      <c r="O855">
        <f t="shared" si="321"/>
        <v>0.15777777777777771</v>
      </c>
      <c r="P855">
        <f t="shared" si="334"/>
        <v>0.08</v>
      </c>
      <c r="Q855">
        <f t="shared" si="330"/>
        <v>0.08</v>
      </c>
      <c r="R855">
        <f t="shared" si="323"/>
        <v>0.08</v>
      </c>
      <c r="S855">
        <f t="shared" si="324"/>
        <v>0.06</v>
      </c>
      <c r="T855">
        <f t="shared" si="325"/>
        <v>0.1</v>
      </c>
      <c r="U855">
        <f t="shared" si="331"/>
        <v>0.08</v>
      </c>
      <c r="V855">
        <f t="shared" si="336"/>
        <v>0.18799996378281142</v>
      </c>
      <c r="W855">
        <f t="shared" si="332"/>
        <v>0.16927708264019758</v>
      </c>
      <c r="X855">
        <f t="shared" si="333"/>
        <v>0.2104793478126375</v>
      </c>
      <c r="Y855" t="b">
        <f t="shared" si="335"/>
        <v>0</v>
      </c>
    </row>
    <row xmlns:x14ac="http://schemas.microsoft.com/office/spreadsheetml/2009/9/ac" r="856" x14ac:dyDescent="0.45">
      <c r="A856">
        <v>4.2449999999999397</v>
      </c>
      <c r="B856">
        <f t="shared" si="313"/>
        <v>0.16299999998194734</v>
      </c>
      <c r="C856" t="b">
        <f t="shared" si="326"/>
        <v>1</v>
      </c>
      <c r="D856" t="b">
        <f t="shared" si="314"/>
        <v>1</v>
      </c>
      <c r="E856">
        <f t="shared" si="322"/>
        <v>4.2449999999999397</v>
      </c>
      <c r="F856">
        <f t="shared" si="327"/>
        <v>0.16299999998194734</v>
      </c>
      <c r="G856">
        <f t="shared" si="315"/>
        <v>0.21046751267297442</v>
      </c>
      <c r="H856">
        <f t="shared" si="316"/>
        <v>3.4999999993056669E-2</v>
      </c>
      <c r="I856" t="b">
        <f t="shared" si="328"/>
        <v>1</v>
      </c>
      <c r="J856">
        <f t="shared" si="317"/>
        <v>4.2449999999999397</v>
      </c>
      <c r="K856">
        <f t="shared" si="329"/>
        <v>3.4999999993056669E-2</v>
      </c>
      <c r="L856">
        <f t="shared" si="318"/>
        <v>0.16929493153340736</v>
      </c>
      <c r="M856">
        <f t="shared" si="319"/>
        <v>0.18999999998611333</v>
      </c>
      <c r="N856">
        <f t="shared" si="320"/>
        <v>0.18799995556383514</v>
      </c>
      <c r="O856">
        <f t="shared" si="321"/>
        <v>0.15777777777777741</v>
      </c>
      <c r="P856">
        <f t="shared" si="334"/>
        <v>0.08</v>
      </c>
      <c r="Q856">
        <f t="shared" si="330"/>
        <v>0.08</v>
      </c>
      <c r="R856">
        <f t="shared" si="323"/>
        <v>0.08</v>
      </c>
      <c r="S856">
        <f t="shared" si="324"/>
        <v>0.06</v>
      </c>
      <c r="T856">
        <f t="shared" si="325"/>
        <v>0.1</v>
      </c>
      <c r="U856">
        <f t="shared" si="331"/>
        <v>0.08</v>
      </c>
      <c r="V856">
        <f t="shared" si="336"/>
        <v>0.18799995556383514</v>
      </c>
      <c r="W856">
        <f t="shared" si="332"/>
        <v>0.16928068820557157</v>
      </c>
      <c r="X856">
        <f t="shared" si="333"/>
        <v>0.210476957055448</v>
      </c>
      <c r="Y856" t="b">
        <f t="shared" si="335"/>
        <v>0</v>
      </c>
    </row>
    <row xmlns:x14ac="http://schemas.microsoft.com/office/spreadsheetml/2009/9/ac" r="857" x14ac:dyDescent="0.45">
      <c r="A857">
        <v>4.2499999999999396</v>
      </c>
      <c r="B857">
        <f t="shared" si="313"/>
        <v>0.16299999997661457</v>
      </c>
      <c r="C857" t="b">
        <f t="shared" si="326"/>
        <v>1</v>
      </c>
      <c r="D857" t="b">
        <f t="shared" si="314"/>
        <v>1</v>
      </c>
      <c r="E857">
        <f t="shared" si="322"/>
        <v>4.2499999999999396</v>
      </c>
      <c r="F857">
        <f t="shared" si="327"/>
        <v>0.16299999997661457</v>
      </c>
      <c r="G857">
        <f t="shared" si="315"/>
        <v>0.2104651809437903</v>
      </c>
      <c r="H857">
        <f t="shared" si="316"/>
        <v>3.4999999991005615E-2</v>
      </c>
      <c r="I857" t="b">
        <f t="shared" si="328"/>
        <v>1</v>
      </c>
      <c r="J857">
        <f t="shared" si="317"/>
        <v>4.2499999999999396</v>
      </c>
      <c r="K857">
        <f t="shared" si="329"/>
        <v>3.4999999991005615E-2</v>
      </c>
      <c r="L857">
        <f t="shared" si="318"/>
        <v>0.16929844807705507</v>
      </c>
      <c r="M857">
        <f t="shared" si="319"/>
        <v>0.18999999998201123</v>
      </c>
      <c r="N857">
        <f t="shared" si="320"/>
        <v>0.18799994780205379</v>
      </c>
      <c r="O857">
        <f t="shared" si="321"/>
        <v>0.15777777777777713</v>
      </c>
      <c r="P857">
        <f t="shared" si="334"/>
        <v>0.08</v>
      </c>
      <c r="Q857">
        <f t="shared" si="330"/>
        <v>0.08</v>
      </c>
      <c r="R857">
        <f t="shared" si="323"/>
        <v>0.08</v>
      </c>
      <c r="S857">
        <f t="shared" si="324"/>
        <v>0.06</v>
      </c>
      <c r="T857">
        <f t="shared" si="325"/>
        <v>0.1</v>
      </c>
      <c r="U857">
        <f t="shared" si="331"/>
        <v>0.08</v>
      </c>
      <c r="V857">
        <f t="shared" si="336"/>
        <v>0.18799994780205379</v>
      </c>
      <c r="W857">
        <f t="shared" si="332"/>
        <v>0.16928427578811323</v>
      </c>
      <c r="X857">
        <f t="shared" si="333"/>
        <v>0.21047457822220977</v>
      </c>
      <c r="Y857" t="b">
        <f t="shared" si="335"/>
        <v>0</v>
      </c>
    </row>
    <row xmlns:x14ac="http://schemas.microsoft.com/office/spreadsheetml/2009/9/ac" r="858" x14ac:dyDescent="0.45">
      <c r="A858">
        <v>4.2549999999999404</v>
      </c>
      <c r="B858">
        <f t="shared" si="313"/>
        <v>0.16299999997165379</v>
      </c>
      <c r="C858" t="b">
        <f t="shared" si="326"/>
        <v>1</v>
      </c>
      <c r="D858" t="b">
        <f t="shared" si="314"/>
        <v>1</v>
      </c>
      <c r="E858">
        <f t="shared" si="322"/>
        <v>4.2549999999999404</v>
      </c>
      <c r="F858">
        <f t="shared" si="327"/>
        <v>0.16299999997165379</v>
      </c>
      <c r="G858">
        <f t="shared" si="315"/>
        <v>0.21046286084415394</v>
      </c>
      <c r="H858">
        <f t="shared" si="316"/>
        <v>3.4999999989097613E-2</v>
      </c>
      <c r="I858" t="b">
        <f t="shared" si="328"/>
        <v>1</v>
      </c>
      <c r="J858">
        <f t="shared" si="317"/>
        <v>4.2549999999999404</v>
      </c>
      <c r="K858">
        <f t="shared" si="329"/>
        <v>3.4999999989097613E-2</v>
      </c>
      <c r="L858">
        <f t="shared" si="318"/>
        <v>0.16930194708186816</v>
      </c>
      <c r="M858">
        <f t="shared" si="319"/>
        <v>0.18999999997819522</v>
      </c>
      <c r="N858">
        <f t="shared" si="320"/>
        <v>0.18799994051771518</v>
      </c>
      <c r="O858">
        <f t="shared" si="321"/>
        <v>0.15777777777777685</v>
      </c>
      <c r="P858">
        <f t="shared" si="334"/>
        <v>0.08</v>
      </c>
      <c r="Q858">
        <f t="shared" si="330"/>
        <v>0.08</v>
      </c>
      <c r="R858">
        <f t="shared" si="323"/>
        <v>0.08</v>
      </c>
      <c r="S858">
        <f t="shared" si="324"/>
        <v>0.06</v>
      </c>
      <c r="T858">
        <f t="shared" si="325"/>
        <v>0.1</v>
      </c>
      <c r="U858">
        <f t="shared" si="331"/>
        <v>0.08</v>
      </c>
      <c r="V858">
        <f t="shared" si="336"/>
        <v>0.18799994051771518</v>
      </c>
      <c r="W858">
        <f t="shared" si="332"/>
        <v>0.1692878454775123</v>
      </c>
      <c r="X858">
        <f t="shared" si="333"/>
        <v>0.21047221125345178</v>
      </c>
      <c r="Y858" t="b">
        <f t="shared" si="335"/>
        <v>0</v>
      </c>
    </row>
    <row xmlns:x14ac="http://schemas.microsoft.com/office/spreadsheetml/2009/9/ac" r="859" x14ac:dyDescent="0.45">
      <c r="A859">
        <v>4.2599999999999403</v>
      </c>
      <c r="B859">
        <f t="shared" si="313"/>
        <v>0.16299999996707049</v>
      </c>
      <c r="C859" t="b">
        <f t="shared" si="326"/>
        <v>1</v>
      </c>
      <c r="D859" t="b">
        <f t="shared" si="314"/>
        <v>1</v>
      </c>
      <c r="E859">
        <f t="shared" si="322"/>
        <v>4.2599999999999403</v>
      </c>
      <c r="F859">
        <f t="shared" si="327"/>
        <v>0.16299999996707049</v>
      </c>
      <c r="G859">
        <f t="shared" si="315"/>
        <v>0.21046055231606287</v>
      </c>
      <c r="H859">
        <f t="shared" si="316"/>
        <v>3.4999999987334801E-2</v>
      </c>
      <c r="I859" t="b">
        <f t="shared" si="328"/>
        <v>1</v>
      </c>
      <c r="J859">
        <f t="shared" si="317"/>
        <v>4.2599999999999403</v>
      </c>
      <c r="K859">
        <f t="shared" si="329"/>
        <v>3.4999999987334801E-2</v>
      </c>
      <c r="L859">
        <f t="shared" si="318"/>
        <v>0.16930542863532194</v>
      </c>
      <c r="M859">
        <f t="shared" si="319"/>
        <v>0.1899999999746696</v>
      </c>
      <c r="N859">
        <f t="shared" si="320"/>
        <v>0.1879999337282984</v>
      </c>
      <c r="O859">
        <f t="shared" si="321"/>
        <v>0.15777777777777663</v>
      </c>
      <c r="P859">
        <f t="shared" si="334"/>
        <v>0.08</v>
      </c>
      <c r="Q859">
        <f t="shared" si="330"/>
        <v>0.08</v>
      </c>
      <c r="R859">
        <f t="shared" si="323"/>
        <v>0.08</v>
      </c>
      <c r="S859">
        <f t="shared" si="324"/>
        <v>0.06</v>
      </c>
      <c r="T859">
        <f t="shared" si="325"/>
        <v>0.1</v>
      </c>
      <c r="U859">
        <f t="shared" si="331"/>
        <v>0.08</v>
      </c>
      <c r="V859">
        <f t="shared" si="336"/>
        <v>0.1879999337282984</v>
      </c>
      <c r="W859">
        <f t="shared" si="332"/>
        <v>0.16929139736301124</v>
      </c>
      <c r="X859">
        <f t="shared" si="333"/>
        <v>0.21046985608999974</v>
      </c>
      <c r="Y859" t="b">
        <f t="shared" si="335"/>
        <v>0</v>
      </c>
    </row>
    <row xmlns:x14ac="http://schemas.microsoft.com/office/spreadsheetml/2009/9/ac" r="860" x14ac:dyDescent="0.45">
      <c r="A860">
        <v>4.2649999999999402</v>
      </c>
      <c r="B860">
        <f t="shared" si="313"/>
        <v>0.16299999996286826</v>
      </c>
      <c r="C860" t="b">
        <f t="shared" si="326"/>
        <v>1</v>
      </c>
      <c r="D860" t="b">
        <f t="shared" si="314"/>
        <v>1</v>
      </c>
      <c r="E860">
        <f t="shared" si="322"/>
        <v>4.2649999999999402</v>
      </c>
      <c r="F860">
        <f t="shared" si="327"/>
        <v>0.16299999996286826</v>
      </c>
      <c r="G860">
        <f t="shared" si="315"/>
        <v>0.21045825530180362</v>
      </c>
      <c r="H860">
        <f t="shared" si="316"/>
        <v>3.4999999985718566E-2</v>
      </c>
      <c r="I860" t="b">
        <f t="shared" si="328"/>
        <v>1</v>
      </c>
      <c r="J860">
        <f t="shared" si="317"/>
        <v>4.2649999999999402</v>
      </c>
      <c r="K860">
        <f t="shared" si="329"/>
        <v>3.4999999985718566E-2</v>
      </c>
      <c r="L860">
        <f t="shared" si="318"/>
        <v>0.16930889282445544</v>
      </c>
      <c r="M860">
        <f t="shared" si="319"/>
        <v>0.18999999997143713</v>
      </c>
      <c r="N860">
        <f t="shared" si="320"/>
        <v>0.18799992744852281</v>
      </c>
      <c r="O860">
        <f t="shared" si="321"/>
        <v>0.15777777777777641</v>
      </c>
      <c r="P860">
        <f t="shared" si="334"/>
        <v>0.08</v>
      </c>
      <c r="Q860">
        <f t="shared" si="330"/>
        <v>0.08</v>
      </c>
      <c r="R860">
        <f t="shared" si="323"/>
        <v>0.08</v>
      </c>
      <c r="S860">
        <f t="shared" si="324"/>
        <v>0.06</v>
      </c>
      <c r="T860">
        <f t="shared" si="325"/>
        <v>0.1</v>
      </c>
      <c r="U860">
        <f t="shared" si="331"/>
        <v>0.08</v>
      </c>
      <c r="V860">
        <f t="shared" si="336"/>
        <v>0.18799992744852281</v>
      </c>
      <c r="W860">
        <f t="shared" si="332"/>
        <v>0.16929493153340736</v>
      </c>
      <c r="X860">
        <f t="shared" si="333"/>
        <v>0.21046751267297442</v>
      </c>
      <c r="Y860" t="b">
        <f t="shared" si="335"/>
        <v>0</v>
      </c>
    </row>
    <row xmlns:x14ac="http://schemas.microsoft.com/office/spreadsheetml/2009/9/ac" r="861" x14ac:dyDescent="0.45">
      <c r="A861">
        <v>4.2699999999999401</v>
      </c>
      <c r="B861">
        <f t="shared" si="313"/>
        <v>0.16299999995904862</v>
      </c>
      <c r="C861" t="b">
        <f t="shared" si="326"/>
        <v>1</v>
      </c>
      <c r="D861" t="b">
        <f t="shared" si="314"/>
        <v>1</v>
      </c>
      <c r="E861">
        <f t="shared" si="322"/>
        <v>4.2699999999999401</v>
      </c>
      <c r="F861">
        <f t="shared" si="327"/>
        <v>0.16299999995904862</v>
      </c>
      <c r="G861">
        <f t="shared" si="315"/>
        <v>0.21045596974395081</v>
      </c>
      <c r="H861">
        <f t="shared" si="316"/>
        <v>3.4999999984249477E-2</v>
      </c>
      <c r="I861" t="b">
        <f t="shared" si="328"/>
        <v>1</v>
      </c>
      <c r="J861">
        <f t="shared" si="317"/>
        <v>4.2699999999999401</v>
      </c>
      <c r="K861">
        <f t="shared" si="329"/>
        <v>3.4999999984249477E-2</v>
      </c>
      <c r="L861">
        <f t="shared" si="318"/>
        <v>0.16931233973587356</v>
      </c>
      <c r="M861">
        <f t="shared" si="319"/>
        <v>0.18999999996849895</v>
      </c>
      <c r="N861">
        <f t="shared" si="320"/>
        <v>0.18799992169036933</v>
      </c>
      <c r="O861">
        <f t="shared" si="321"/>
        <v>0.15777777777777621</v>
      </c>
      <c r="P861">
        <f t="shared" si="334"/>
        <v>0.08</v>
      </c>
      <c r="Q861">
        <f t="shared" si="330"/>
        <v>0.08</v>
      </c>
      <c r="R861">
        <f t="shared" si="323"/>
        <v>0.08</v>
      </c>
      <c r="S861">
        <f t="shared" si="324"/>
        <v>0.06</v>
      </c>
      <c r="T861">
        <f t="shared" si="325"/>
        <v>0.1</v>
      </c>
      <c r="U861">
        <f t="shared" si="331"/>
        <v>0.08</v>
      </c>
      <c r="V861">
        <f t="shared" si="336"/>
        <v>0.18799992169036933</v>
      </c>
      <c r="W861">
        <f t="shared" si="332"/>
        <v>0.16929844807705507</v>
      </c>
      <c r="X861">
        <f t="shared" si="333"/>
        <v>0.2104651809437903</v>
      </c>
      <c r="Y861" t="b">
        <f t="shared" si="335"/>
        <v>0</v>
      </c>
    </row>
    <row xmlns:x14ac="http://schemas.microsoft.com/office/spreadsheetml/2009/9/ac" r="862" x14ac:dyDescent="0.45">
      <c r="A862">
        <v>4.27499999999994</v>
      </c>
      <c r="B862">
        <f t="shared" si="313"/>
        <v>0.16299999995561115</v>
      </c>
      <c r="C862" t="b">
        <f t="shared" si="326"/>
        <v>1</v>
      </c>
      <c r="D862" t="b">
        <f t="shared" si="314"/>
        <v>1</v>
      </c>
      <c r="E862">
        <f t="shared" si="322"/>
        <v>4.27499999999994</v>
      </c>
      <c r="F862">
        <f t="shared" si="327"/>
        <v>0.16299999995561115</v>
      </c>
      <c r="G862">
        <f t="shared" si="315"/>
        <v>0.21045369558536536</v>
      </c>
      <c r="H862">
        <f t="shared" si="316"/>
        <v>3.4999999982927368E-2</v>
      </c>
      <c r="I862" t="b">
        <f t="shared" si="328"/>
        <v>1</v>
      </c>
      <c r="J862">
        <f t="shared" si="317"/>
        <v>4.27499999999994</v>
      </c>
      <c r="K862">
        <f t="shared" si="329"/>
        <v>3.4999999982927368E-2</v>
      </c>
      <c r="L862">
        <f t="shared" si="318"/>
        <v>0.16931576945574928</v>
      </c>
      <c r="M862">
        <f t="shared" si="319"/>
        <v>0.18999999996585476</v>
      </c>
      <c r="N862">
        <f t="shared" si="320"/>
        <v>0.18799991646311315</v>
      </c>
      <c r="O862">
        <f t="shared" si="321"/>
        <v>0.15777777777777607</v>
      </c>
      <c r="P862">
        <f t="shared" si="334"/>
        <v>0.08</v>
      </c>
      <c r="Q862">
        <f t="shared" si="330"/>
        <v>0.08</v>
      </c>
      <c r="R862">
        <f t="shared" si="323"/>
        <v>0.08</v>
      </c>
      <c r="S862">
        <f t="shared" si="324"/>
        <v>0.06</v>
      </c>
      <c r="T862">
        <f t="shared" si="325"/>
        <v>0.1</v>
      </c>
      <c r="U862">
        <f t="shared" si="331"/>
        <v>0.08</v>
      </c>
      <c r="V862">
        <f t="shared" si="336"/>
        <v>0.18799991646311315</v>
      </c>
      <c r="W862">
        <f t="shared" si="332"/>
        <v>0.16930194708186816</v>
      </c>
      <c r="X862">
        <f t="shared" si="333"/>
        <v>0.21046286084415394</v>
      </c>
      <c r="Y862" t="b">
        <f t="shared" si="335"/>
        <v>0</v>
      </c>
    </row>
    <row xmlns:x14ac="http://schemas.microsoft.com/office/spreadsheetml/2009/9/ac" r="863" x14ac:dyDescent="0.45">
      <c r="A863">
        <v>4.2799999999999399</v>
      </c>
      <c r="B863">
        <f t="shared" si="313"/>
        <v>0.16299999995255368</v>
      </c>
      <c r="C863" t="b">
        <f t="shared" si="326"/>
        <v>1</v>
      </c>
      <c r="D863" t="b">
        <f t="shared" si="314"/>
        <v>1</v>
      </c>
      <c r="E863">
        <f t="shared" si="322"/>
        <v>4.2799999999999399</v>
      </c>
      <c r="F863">
        <f t="shared" si="327"/>
        <v>0.16299999995255368</v>
      </c>
      <c r="G863">
        <f t="shared" si="315"/>
        <v>0.21045143276919315</v>
      </c>
      <c r="H863">
        <f t="shared" si="316"/>
        <v>3.499999998175142E-2</v>
      </c>
      <c r="I863" t="b">
        <f t="shared" si="328"/>
        <v>1</v>
      </c>
      <c r="J863">
        <f t="shared" si="317"/>
        <v>4.2799999999999399</v>
      </c>
      <c r="K863">
        <f t="shared" si="329"/>
        <v>3.499999998175142E-2</v>
      </c>
      <c r="L863">
        <f t="shared" si="318"/>
        <v>0.16931918206982571</v>
      </c>
      <c r="M863">
        <f t="shared" si="319"/>
        <v>0.18999999996350284</v>
      </c>
      <c r="N863">
        <f t="shared" si="320"/>
        <v>0.18799991177336756</v>
      </c>
      <c r="O863">
        <f t="shared" si="321"/>
        <v>0.15777777777777591</v>
      </c>
      <c r="P863">
        <f t="shared" si="334"/>
        <v>0.08</v>
      </c>
      <c r="Q863">
        <f t="shared" si="330"/>
        <v>0.08</v>
      </c>
      <c r="R863">
        <f t="shared" si="323"/>
        <v>0.08</v>
      </c>
      <c r="S863">
        <f t="shared" si="324"/>
        <v>0.06</v>
      </c>
      <c r="T863">
        <f t="shared" si="325"/>
        <v>0.1</v>
      </c>
      <c r="U863">
        <f t="shared" si="331"/>
        <v>0.08</v>
      </c>
      <c r="V863">
        <f t="shared" si="336"/>
        <v>0.18799991177336756</v>
      </c>
      <c r="W863">
        <f t="shared" si="332"/>
        <v>0.16930542863532194</v>
      </c>
      <c r="X863">
        <f t="shared" si="333"/>
        <v>0.21046055231606287</v>
      </c>
      <c r="Y863" t="b">
        <f t="shared" si="335"/>
        <v>0</v>
      </c>
    </row>
    <row xmlns:x14ac="http://schemas.microsoft.com/office/spreadsheetml/2009/9/ac" r="864" x14ac:dyDescent="0.45">
      <c r="A864">
        <v>4.2849999999999397</v>
      </c>
      <c r="B864">
        <f t="shared" si="313"/>
        <v>0.1629999999498723</v>
      </c>
      <c r="C864" t="b">
        <f t="shared" si="326"/>
        <v>1</v>
      </c>
      <c r="D864" t="b">
        <f t="shared" si="314"/>
        <v>1</v>
      </c>
      <c r="E864">
        <f t="shared" si="322"/>
        <v>4.2849999999999397</v>
      </c>
      <c r="F864">
        <f t="shared" si="327"/>
        <v>0.1629999999498723</v>
      </c>
      <c r="G864">
        <f t="shared" si="315"/>
        <v>0.21044918123886369</v>
      </c>
      <c r="H864">
        <f t="shared" si="316"/>
        <v>3.499999998072012E-2</v>
      </c>
      <c r="I864" t="b">
        <f t="shared" si="328"/>
        <v>1</v>
      </c>
      <c r="J864">
        <f t="shared" si="317"/>
        <v>4.2849999999999397</v>
      </c>
      <c r="K864">
        <f t="shared" si="329"/>
        <v>3.499999998072012E-2</v>
      </c>
      <c r="L864">
        <f t="shared" si="318"/>
        <v>0.16932257766341846</v>
      </c>
      <c r="M864">
        <f t="shared" si="319"/>
        <v>0.18999999996144024</v>
      </c>
      <c r="N864">
        <f t="shared" si="320"/>
        <v>0.18799990762513835</v>
      </c>
      <c r="O864">
        <f t="shared" si="321"/>
        <v>0.1577777777777758</v>
      </c>
      <c r="P864">
        <f t="shared" si="334"/>
        <v>0.08</v>
      </c>
      <c r="Q864">
        <f t="shared" si="330"/>
        <v>0.08</v>
      </c>
      <c r="R864">
        <f t="shared" si="323"/>
        <v>0.08</v>
      </c>
      <c r="S864">
        <f t="shared" si="324"/>
        <v>0.06</v>
      </c>
      <c r="T864">
        <f t="shared" si="325"/>
        <v>0.1</v>
      </c>
      <c r="U864">
        <f t="shared" si="331"/>
        <v>0.08</v>
      </c>
      <c r="V864">
        <f t="shared" si="336"/>
        <v>0.18799990762513835</v>
      </c>
      <c r="W864">
        <f t="shared" si="332"/>
        <v>0.16930889282445544</v>
      </c>
      <c r="X864">
        <f t="shared" si="333"/>
        <v>0.21045825530180362</v>
      </c>
      <c r="Y864" t="b">
        <f t="shared" si="335"/>
        <v>0</v>
      </c>
    </row>
    <row xmlns:x14ac="http://schemas.microsoft.com/office/spreadsheetml/2009/9/ac" r="865" x14ac:dyDescent="0.45">
      <c r="A865">
        <v>4.2899999999999396</v>
      </c>
      <c r="B865">
        <f t="shared" si="313"/>
        <v>0.16299999994756145</v>
      </c>
      <c r="C865" t="b">
        <f t="shared" si="326"/>
        <v>1</v>
      </c>
      <c r="D865" t="b">
        <f t="shared" si="314"/>
        <v>1</v>
      </c>
      <c r="E865">
        <f t="shared" si="322"/>
        <v>4.2899999999999396</v>
      </c>
      <c r="F865">
        <f t="shared" si="327"/>
        <v>0.16299999994756145</v>
      </c>
      <c r="G865">
        <f t="shared" si="315"/>
        <v>0.21044694093808863</v>
      </c>
      <c r="H865">
        <f t="shared" si="316"/>
        <v>3.4999999979831331E-2</v>
      </c>
      <c r="I865" t="b">
        <f t="shared" si="328"/>
        <v>1</v>
      </c>
      <c r="J865">
        <f t="shared" si="317"/>
        <v>4.2899999999999396</v>
      </c>
      <c r="K865">
        <f t="shared" si="329"/>
        <v>3.4999999979831331E-2</v>
      </c>
      <c r="L865">
        <f t="shared" si="318"/>
        <v>0.1693259563214175</v>
      </c>
      <c r="M865">
        <f t="shared" si="319"/>
        <v>0.18999999995966266</v>
      </c>
      <c r="N865">
        <f t="shared" si="320"/>
        <v>0.18799990401988786</v>
      </c>
      <c r="O865">
        <f t="shared" si="321"/>
        <v>0.15777777777777569</v>
      </c>
      <c r="P865">
        <f t="shared" si="334"/>
        <v>0.08</v>
      </c>
      <c r="Q865">
        <f t="shared" si="330"/>
        <v>0.08</v>
      </c>
      <c r="R865">
        <f t="shared" si="323"/>
        <v>0.08</v>
      </c>
      <c r="S865">
        <f t="shared" si="324"/>
        <v>0.06</v>
      </c>
      <c r="T865">
        <f t="shared" si="325"/>
        <v>0.1</v>
      </c>
      <c r="U865">
        <f t="shared" si="331"/>
        <v>0.08</v>
      </c>
      <c r="V865">
        <f t="shared" si="336"/>
        <v>0.18799990401988786</v>
      </c>
      <c r="W865">
        <f t="shared" si="332"/>
        <v>0.16931233973587356</v>
      </c>
      <c r="X865">
        <f t="shared" si="333"/>
        <v>0.21045596974395081</v>
      </c>
      <c r="Y865" t="b">
        <f t="shared" si="335"/>
        <v>0</v>
      </c>
    </row>
    <row xmlns:x14ac="http://schemas.microsoft.com/office/spreadsheetml/2009/9/ac" r="866" x14ac:dyDescent="0.45">
      <c r="A866">
        <v>4.2949999999999404</v>
      </c>
      <c r="B866">
        <f t="shared" si="313"/>
        <v>0.16299999994561418</v>
      </c>
      <c r="C866" t="b">
        <f t="shared" si="326"/>
        <v>1</v>
      </c>
      <c r="D866" t="b">
        <f t="shared" si="314"/>
        <v>1</v>
      </c>
      <c r="E866">
        <f t="shared" si="322"/>
        <v>4.2949999999999404</v>
      </c>
      <c r="F866">
        <f t="shared" si="327"/>
        <v>0.16299999994561418</v>
      </c>
      <c r="G866">
        <f t="shared" si="315"/>
        <v>0.21044471181086027</v>
      </c>
      <c r="H866">
        <f t="shared" si="316"/>
        <v>3.4999999979082375E-2</v>
      </c>
      <c r="I866" t="b">
        <f t="shared" si="328"/>
        <v>1</v>
      </c>
      <c r="J866">
        <f t="shared" si="317"/>
        <v>4.2949999999999404</v>
      </c>
      <c r="K866">
        <f t="shared" si="329"/>
        <v>3.4999999979082375E-2</v>
      </c>
      <c r="L866">
        <f t="shared" si="318"/>
        <v>0.16932931812828947</v>
      </c>
      <c r="M866">
        <f t="shared" si="319"/>
        <v>0.18999999995816474</v>
      </c>
      <c r="N866">
        <f t="shared" si="320"/>
        <v>0.18799990095660873</v>
      </c>
      <c r="O866">
        <f t="shared" si="321"/>
        <v>0.15777777777777557</v>
      </c>
      <c r="P866">
        <f t="shared" si="334"/>
        <v>0.08</v>
      </c>
      <c r="Q866">
        <f t="shared" si="330"/>
        <v>0.08</v>
      </c>
      <c r="R866">
        <f t="shared" si="323"/>
        <v>0.08</v>
      </c>
      <c r="S866">
        <f t="shared" si="324"/>
        <v>0.06</v>
      </c>
      <c r="T866">
        <f t="shared" si="325"/>
        <v>0.1</v>
      </c>
      <c r="U866">
        <f t="shared" si="331"/>
        <v>0.08</v>
      </c>
      <c r="V866">
        <f t="shared" si="336"/>
        <v>0.18799990095660873</v>
      </c>
      <c r="W866">
        <f t="shared" si="332"/>
        <v>0.16931576945574928</v>
      </c>
      <c r="X866">
        <f t="shared" si="333"/>
        <v>0.21045369558536536</v>
      </c>
      <c r="Y866" t="b">
        <f t="shared" si="335"/>
        <v>0</v>
      </c>
    </row>
    <row xmlns:x14ac="http://schemas.microsoft.com/office/spreadsheetml/2009/9/ac" r="867" x14ac:dyDescent="0.45">
      <c r="A867">
        <v>4.2999999999999403</v>
      </c>
      <c r="B867">
        <f t="shared" si="313"/>
        <v>0.16299999994402203</v>
      </c>
      <c r="C867" t="b">
        <f t="shared" si="326"/>
        <v>1</v>
      </c>
      <c r="D867" t="b">
        <f t="shared" si="314"/>
        <v>1</v>
      </c>
      <c r="E867">
        <f t="shared" si="322"/>
        <v>4.2999999999999403</v>
      </c>
      <c r="F867">
        <f t="shared" si="327"/>
        <v>0.16299999994402203</v>
      </c>
      <c r="G867">
        <f t="shared" si="315"/>
        <v>0.2104424938014503</v>
      </c>
      <c r="H867">
        <f t="shared" si="316"/>
        <v>3.4999999978470017E-2</v>
      </c>
      <c r="I867" t="b">
        <f t="shared" si="328"/>
        <v>1</v>
      </c>
      <c r="J867">
        <f t="shared" si="317"/>
        <v>4.2999999999999403</v>
      </c>
      <c r="K867">
        <f t="shared" si="329"/>
        <v>3.4999999978470017E-2</v>
      </c>
      <c r="L867">
        <f t="shared" si="318"/>
        <v>0.16933266316807971</v>
      </c>
      <c r="M867">
        <f t="shared" si="319"/>
        <v>0.18999999995694003</v>
      </c>
      <c r="N867">
        <f t="shared" si="320"/>
        <v>0.18799989843190607</v>
      </c>
      <c r="O867">
        <f t="shared" si="321"/>
        <v>0.15777777777777552</v>
      </c>
      <c r="P867">
        <f t="shared" si="334"/>
        <v>0.08</v>
      </c>
      <c r="Q867">
        <f t="shared" si="330"/>
        <v>0.08</v>
      </c>
      <c r="R867">
        <f t="shared" si="323"/>
        <v>0.08</v>
      </c>
      <c r="S867">
        <f t="shared" si="324"/>
        <v>0.06</v>
      </c>
      <c r="T867">
        <f t="shared" si="325"/>
        <v>0.1</v>
      </c>
      <c r="U867">
        <f t="shared" si="331"/>
        <v>0.08</v>
      </c>
      <c r="V867">
        <f t="shared" si="336"/>
        <v>0.18799989843190607</v>
      </c>
      <c r="W867">
        <f t="shared" si="332"/>
        <v>0.16931918206982571</v>
      </c>
      <c r="X867">
        <f t="shared" si="333"/>
        <v>0.21045143276919315</v>
      </c>
      <c r="Y867" t="b">
        <f t="shared" si="335"/>
        <v>0</v>
      </c>
    </row>
    <row xmlns:x14ac="http://schemas.microsoft.com/office/spreadsheetml/2009/9/ac" r="868" x14ac:dyDescent="0.45">
      <c r="A868">
        <v>4.3049999999999402</v>
      </c>
      <c r="B868">
        <f t="shared" si="313"/>
        <v>0.16299999994277531</v>
      </c>
      <c r="C868" t="b">
        <f t="shared" si="326"/>
        <v>1</v>
      </c>
      <c r="D868" t="b">
        <f t="shared" si="314"/>
        <v>1</v>
      </c>
      <c r="E868">
        <f t="shared" si="322"/>
        <v>4.3049999999999402</v>
      </c>
      <c r="F868">
        <f t="shared" si="327"/>
        <v>0.16299999994277531</v>
      </c>
      <c r="G868">
        <f t="shared" si="315"/>
        <v>0.21044028685440846</v>
      </c>
      <c r="H868">
        <f t="shared" si="316"/>
        <v>3.4999999977990512E-2</v>
      </c>
      <c r="I868" t="b">
        <f t="shared" si="328"/>
        <v>1</v>
      </c>
      <c r="J868">
        <f t="shared" si="317"/>
        <v>4.3049999999999402</v>
      </c>
      <c r="K868">
        <f t="shared" si="329"/>
        <v>3.4999999977990512E-2</v>
      </c>
      <c r="L868">
        <f t="shared" si="318"/>
        <v>0.16933599152441442</v>
      </c>
      <c r="M868">
        <f t="shared" si="319"/>
        <v>0.18999999995598102</v>
      </c>
      <c r="N868">
        <f t="shared" si="320"/>
        <v>0.18799989644008791</v>
      </c>
      <c r="O868">
        <f t="shared" si="321"/>
        <v>0.15777777777777546</v>
      </c>
      <c r="P868">
        <f t="shared" si="334"/>
        <v>0.08</v>
      </c>
      <c r="Q868">
        <f t="shared" si="330"/>
        <v>0.08</v>
      </c>
      <c r="R868">
        <f t="shared" si="323"/>
        <v>0.08</v>
      </c>
      <c r="S868">
        <f t="shared" si="324"/>
        <v>0.06</v>
      </c>
      <c r="T868">
        <f t="shared" si="325"/>
        <v>0.1</v>
      </c>
      <c r="U868">
        <f t="shared" si="331"/>
        <v>0.08</v>
      </c>
      <c r="V868">
        <f t="shared" si="336"/>
        <v>0.18799989644008791</v>
      </c>
      <c r="W868">
        <f t="shared" si="332"/>
        <v>0.16932257766341846</v>
      </c>
      <c r="X868">
        <f t="shared" si="333"/>
        <v>0.21044918123886369</v>
      </c>
      <c r="Y868" t="b">
        <f t="shared" si="335"/>
        <v>0</v>
      </c>
    </row>
    <row xmlns:x14ac="http://schemas.microsoft.com/office/spreadsheetml/2009/9/ac" r="869" x14ac:dyDescent="0.45">
      <c r="A869">
        <v>4.3099999999999401</v>
      </c>
      <c r="B869">
        <f t="shared" si="313"/>
        <v>0.16299999994186312</v>
      </c>
      <c r="C869" t="b">
        <f t="shared" si="326"/>
        <v>1</v>
      </c>
      <c r="D869" t="b">
        <f t="shared" si="314"/>
        <v>1</v>
      </c>
      <c r="E869">
        <f t="shared" si="322"/>
        <v>4.3099999999999401</v>
      </c>
      <c r="F869">
        <f t="shared" si="327"/>
        <v>0.16299999994186312</v>
      </c>
      <c r="G869">
        <f t="shared" si="315"/>
        <v>0.21043809091456095</v>
      </c>
      <c r="H869">
        <f t="shared" si="316"/>
        <v>3.4999999977639668E-2</v>
      </c>
      <c r="I869" t="b">
        <f t="shared" si="328"/>
        <v>1</v>
      </c>
      <c r="J869">
        <f t="shared" si="317"/>
        <v>4.3099999999999401</v>
      </c>
      <c r="K869">
        <f t="shared" si="329"/>
        <v>3.4999999977639668E-2</v>
      </c>
      <c r="L869">
        <f t="shared" si="318"/>
        <v>0.16933930328050262</v>
      </c>
      <c r="M869">
        <f t="shared" si="319"/>
        <v>0.18999999995527933</v>
      </c>
      <c r="N869">
        <f t="shared" si="320"/>
        <v>0.1879998949732628</v>
      </c>
      <c r="O869">
        <f t="shared" si="321"/>
        <v>0.15777777777777541</v>
      </c>
      <c r="P869">
        <f t="shared" si="334"/>
        <v>0.08</v>
      </c>
      <c r="Q869">
        <f t="shared" si="330"/>
        <v>0.08</v>
      </c>
      <c r="R869">
        <f t="shared" si="323"/>
        <v>0.08</v>
      </c>
      <c r="S869">
        <f t="shared" si="324"/>
        <v>0.06</v>
      </c>
      <c r="T869">
        <f t="shared" si="325"/>
        <v>0.1</v>
      </c>
      <c r="U869">
        <f t="shared" si="331"/>
        <v>0.08</v>
      </c>
      <c r="V869">
        <f t="shared" si="336"/>
        <v>0.1879998949732628</v>
      </c>
      <c r="W869">
        <f t="shared" si="332"/>
        <v>0.1693259563214175</v>
      </c>
      <c r="X869">
        <f t="shared" si="333"/>
        <v>0.21044694093808863</v>
      </c>
      <c r="Y869" t="b">
        <f t="shared" si="335"/>
        <v>0</v>
      </c>
    </row>
    <row xmlns:x14ac="http://schemas.microsoft.com/office/spreadsheetml/2009/9/ac" r="870" x14ac:dyDescent="0.45">
      <c r="A870">
        <v>4.31499999999994</v>
      </c>
      <c r="B870">
        <f t="shared" si="313"/>
        <v>0.16299999994127357</v>
      </c>
      <c r="C870" t="b">
        <f t="shared" si="326"/>
        <v>1</v>
      </c>
      <c r="D870" t="b">
        <f t="shared" si="314"/>
        <v>1</v>
      </c>
      <c r="E870">
        <f t="shared" si="322"/>
        <v>4.31499999999994</v>
      </c>
      <c r="F870">
        <f t="shared" si="327"/>
        <v>0.16299999994127357</v>
      </c>
      <c r="G870">
        <f t="shared" si="315"/>
        <v>0.21043590592700906</v>
      </c>
      <c r="H870">
        <f t="shared" si="316"/>
        <v>3.4999999977412904E-2</v>
      </c>
      <c r="I870" t="b">
        <f t="shared" si="328"/>
        <v>1</v>
      </c>
      <c r="J870">
        <f t="shared" si="317"/>
        <v>4.31499999999994</v>
      </c>
      <c r="K870">
        <f t="shared" si="329"/>
        <v>3.4999999977412904E-2</v>
      </c>
      <c r="L870">
        <f t="shared" si="318"/>
        <v>0.16934259851913847</v>
      </c>
      <c r="M870">
        <f t="shared" si="319"/>
        <v>0.1899999999548258</v>
      </c>
      <c r="N870">
        <f t="shared" si="320"/>
        <v>0.18799989402144449</v>
      </c>
      <c r="O870">
        <f t="shared" si="321"/>
        <v>0.15777777777777541</v>
      </c>
      <c r="P870">
        <f t="shared" si="334"/>
        <v>0.08</v>
      </c>
      <c r="Q870">
        <f t="shared" si="330"/>
        <v>0.08</v>
      </c>
      <c r="R870">
        <f t="shared" si="323"/>
        <v>0.08</v>
      </c>
      <c r="S870">
        <f t="shared" si="324"/>
        <v>0.06</v>
      </c>
      <c r="T870">
        <f t="shared" si="325"/>
        <v>0.1</v>
      </c>
      <c r="U870">
        <f t="shared" si="331"/>
        <v>0.08</v>
      </c>
      <c r="V870">
        <f t="shared" si="336"/>
        <v>0.18799989402144449</v>
      </c>
      <c r="W870">
        <f t="shared" si="332"/>
        <v>0.16932931812828947</v>
      </c>
      <c r="X870">
        <f t="shared" si="333"/>
        <v>0.21044471181086027</v>
      </c>
      <c r="Y870" t="b">
        <f t="shared" si="335"/>
        <v>0</v>
      </c>
    </row>
    <row xmlns:x14ac="http://schemas.microsoft.com/office/spreadsheetml/2009/9/ac" r="871" x14ac:dyDescent="0.45">
      <c r="A871">
        <v>4.3199999999999399</v>
      </c>
      <c r="B871">
        <f t="shared" si="313"/>
        <v>0.16299999994099365</v>
      </c>
      <c r="C871" t="b">
        <f t="shared" si="326"/>
        <v>1</v>
      </c>
      <c r="D871" t="b">
        <f t="shared" si="314"/>
        <v>1</v>
      </c>
      <c r="E871">
        <f t="shared" si="322"/>
        <v>4.3199999999999399</v>
      </c>
      <c r="F871">
        <f t="shared" si="327"/>
        <v>0.16299999994099365</v>
      </c>
      <c r="G871">
        <f t="shared" si="315"/>
        <v>0.21043373183712805</v>
      </c>
      <c r="H871">
        <f t="shared" si="316"/>
        <v>3.4999999977305254E-2</v>
      </c>
      <c r="I871" t="b">
        <f t="shared" si="328"/>
        <v>1</v>
      </c>
      <c r="J871">
        <f t="shared" si="317"/>
        <v>4.3199999999999399</v>
      </c>
      <c r="K871">
        <f t="shared" si="329"/>
        <v>3.4999999977305254E-2</v>
      </c>
      <c r="L871">
        <f t="shared" si="318"/>
        <v>0.16934587732270301</v>
      </c>
      <c r="M871">
        <f t="shared" si="319"/>
        <v>0.1899999999546105</v>
      </c>
      <c r="N871">
        <f t="shared" si="320"/>
        <v>0.18799989357266228</v>
      </c>
      <c r="O871">
        <f t="shared" si="321"/>
        <v>0.15777777777777541</v>
      </c>
      <c r="P871">
        <f t="shared" si="334"/>
        <v>0.08</v>
      </c>
      <c r="Q871">
        <f t="shared" si="330"/>
        <v>0.08</v>
      </c>
      <c r="R871">
        <f t="shared" si="323"/>
        <v>0.08</v>
      </c>
      <c r="S871">
        <f t="shared" si="324"/>
        <v>0.06</v>
      </c>
      <c r="T871">
        <f t="shared" si="325"/>
        <v>0.1</v>
      </c>
      <c r="U871">
        <f t="shared" si="331"/>
        <v>0.08</v>
      </c>
      <c r="V871">
        <f t="shared" si="336"/>
        <v>0.18799989357266228</v>
      </c>
      <c r="W871">
        <f t="shared" si="332"/>
        <v>0.16933266316807971</v>
      </c>
      <c r="X871">
        <f t="shared" si="333"/>
        <v>0.2104424938014503</v>
      </c>
      <c r="Y871" t="b">
        <f t="shared" si="335"/>
        <v>0</v>
      </c>
    </row>
    <row xmlns:x14ac="http://schemas.microsoft.com/office/spreadsheetml/2009/9/ac" r="872" x14ac:dyDescent="0.45">
      <c r="A872">
        <v>4.3249999999999398</v>
      </c>
      <c r="B872">
        <f t="shared" si="313"/>
        <v>0.16299999994100967</v>
      </c>
      <c r="C872" t="b">
        <f t="shared" si="326"/>
        <v>1</v>
      </c>
      <c r="D872" t="b">
        <f t="shared" si="314"/>
        <v>1</v>
      </c>
      <c r="E872">
        <f t="shared" si="322"/>
        <v>4.3249999999999398</v>
      </c>
      <c r="F872">
        <f t="shared" si="327"/>
        <v>0.16299999994100967</v>
      </c>
      <c r="G872">
        <f t="shared" si="315"/>
        <v>0.21043156859056561</v>
      </c>
      <c r="H872">
        <f t="shared" si="316"/>
        <v>3.4999999977311416E-2</v>
      </c>
      <c r="I872" t="b">
        <f t="shared" si="328"/>
        <v>1</v>
      </c>
      <c r="J872">
        <f t="shared" si="317"/>
        <v>4.3249999999999398</v>
      </c>
      <c r="K872">
        <f t="shared" si="329"/>
        <v>3.4999999977311416E-2</v>
      </c>
      <c r="L872">
        <f t="shared" si="318"/>
        <v>0.16934913977316657</v>
      </c>
      <c r="M872">
        <f t="shared" si="319"/>
        <v>0.18999999995462283</v>
      </c>
      <c r="N872">
        <f t="shared" si="320"/>
        <v>0.18799989361307706</v>
      </c>
      <c r="O872">
        <f t="shared" si="321"/>
        <v>0.15777777777777541</v>
      </c>
      <c r="P872">
        <f t="shared" si="334"/>
        <v>0.08</v>
      </c>
      <c r="Q872">
        <f t="shared" si="330"/>
        <v>0.08</v>
      </c>
      <c r="R872">
        <f t="shared" si="323"/>
        <v>0.08</v>
      </c>
      <c r="S872">
        <f t="shared" si="324"/>
        <v>0.06</v>
      </c>
      <c r="T872">
        <f t="shared" si="325"/>
        <v>0.1</v>
      </c>
      <c r="U872">
        <f t="shared" si="331"/>
        <v>0.08</v>
      </c>
      <c r="V872">
        <f t="shared" si="336"/>
        <v>0.18799989361307706</v>
      </c>
      <c r="W872">
        <f t="shared" si="332"/>
        <v>0.16933599152441442</v>
      </c>
      <c r="X872">
        <f t="shared" si="333"/>
        <v>0.21044028685440846</v>
      </c>
      <c r="Y872" t="b">
        <f t="shared" si="335"/>
        <v>0</v>
      </c>
    </row>
    <row xmlns:x14ac="http://schemas.microsoft.com/office/spreadsheetml/2009/9/ac" r="873" x14ac:dyDescent="0.45">
      <c r="A873">
        <v>4.3299999999999397</v>
      </c>
      <c r="B873">
        <f t="shared" si="313"/>
        <v>0.16299999994130712</v>
      </c>
      <c r="C873" t="b">
        <f t="shared" si="326"/>
        <v>1</v>
      </c>
      <c r="D873" t="b">
        <f t="shared" si="314"/>
        <v>1</v>
      </c>
      <c r="E873">
        <f t="shared" si="322"/>
        <v>4.3299999999999397</v>
      </c>
      <c r="F873">
        <f t="shared" si="327"/>
        <v>0.16299999994130712</v>
      </c>
      <c r="G873">
        <f t="shared" si="315"/>
        <v>0.21042941613324034</v>
      </c>
      <c r="H873">
        <f t="shared" si="316"/>
        <v>3.4999999977425811E-2</v>
      </c>
      <c r="I873" t="b">
        <f t="shared" si="328"/>
        <v>1</v>
      </c>
      <c r="J873">
        <f t="shared" si="317"/>
        <v>4.3299999999999397</v>
      </c>
      <c r="K873">
        <f t="shared" si="329"/>
        <v>3.4999999977425811E-2</v>
      </c>
      <c r="L873">
        <f t="shared" si="318"/>
        <v>0.16935238595209057</v>
      </c>
      <c r="M873">
        <f t="shared" si="319"/>
        <v>0.18999999995485162</v>
      </c>
      <c r="N873">
        <f t="shared" si="320"/>
        <v>0.187999894127102</v>
      </c>
      <c r="O873">
        <f t="shared" si="321"/>
        <v>0.15777777777777541</v>
      </c>
      <c r="P873">
        <f t="shared" si="334"/>
        <v>0.08</v>
      </c>
      <c r="Q873">
        <f t="shared" si="330"/>
        <v>0.08</v>
      </c>
      <c r="R873">
        <f t="shared" si="323"/>
        <v>0.08</v>
      </c>
      <c r="S873">
        <f t="shared" si="324"/>
        <v>0.06</v>
      </c>
      <c r="T873">
        <f t="shared" si="325"/>
        <v>0.1</v>
      </c>
      <c r="U873">
        <f t="shared" si="331"/>
        <v>0.08</v>
      </c>
      <c r="V873">
        <f t="shared" si="336"/>
        <v>0.187999894127102</v>
      </c>
      <c r="W873">
        <f t="shared" si="332"/>
        <v>0.16933930328050262</v>
      </c>
      <c r="X873">
        <f t="shared" si="333"/>
        <v>0.21043809091456095</v>
      </c>
      <c r="Y873" t="b">
        <f t="shared" si="335"/>
        <v>0</v>
      </c>
    </row>
    <row xmlns:x14ac="http://schemas.microsoft.com/office/spreadsheetml/2009/9/ac" r="874" x14ac:dyDescent="0.45">
      <c r="A874">
        <v>4.3349999999999396</v>
      </c>
      <c r="B874">
        <f t="shared" si="313"/>
        <v>0.16299999994187081</v>
      </c>
      <c r="C874" t="b">
        <f t="shared" si="326"/>
        <v>1</v>
      </c>
      <c r="D874" t="b">
        <f t="shared" si="314"/>
        <v>1</v>
      </c>
      <c r="E874">
        <f t="shared" si="322"/>
        <v>4.3349999999999396</v>
      </c>
      <c r="F874">
        <f t="shared" si="327"/>
        <v>0.16299999994187081</v>
      </c>
      <c r="G874">
        <f t="shared" si="315"/>
        <v>0.21042727441134085</v>
      </c>
      <c r="H874">
        <f t="shared" si="316"/>
        <v>3.4999999977642623E-2</v>
      </c>
      <c r="I874" t="b">
        <f t="shared" si="328"/>
        <v>1</v>
      </c>
      <c r="J874">
        <f t="shared" si="317"/>
        <v>4.3349999999999396</v>
      </c>
      <c r="K874">
        <f t="shared" si="329"/>
        <v>3.4999999977642623E-2</v>
      </c>
      <c r="L874">
        <f t="shared" si="318"/>
        <v>0.16935561594062959</v>
      </c>
      <c r="M874">
        <f t="shared" si="319"/>
        <v>0.18999999995528524</v>
      </c>
      <c r="N874">
        <f t="shared" si="320"/>
        <v>0.18799989509752699</v>
      </c>
      <c r="O874">
        <f t="shared" si="321"/>
        <v>0.15777777777777544</v>
      </c>
      <c r="P874">
        <f t="shared" si="334"/>
        <v>0.08</v>
      </c>
      <c r="Q874">
        <f t="shared" si="330"/>
        <v>0.08</v>
      </c>
      <c r="R874">
        <f t="shared" si="323"/>
        <v>0.08</v>
      </c>
      <c r="S874">
        <f t="shared" si="324"/>
        <v>0.06</v>
      </c>
      <c r="T874">
        <f t="shared" si="325"/>
        <v>0.1</v>
      </c>
      <c r="U874">
        <f t="shared" si="331"/>
        <v>0.08</v>
      </c>
      <c r="V874">
        <f t="shared" si="336"/>
        <v>0.18799989509752699</v>
      </c>
      <c r="W874">
        <f t="shared" si="332"/>
        <v>0.16934259851913847</v>
      </c>
      <c r="X874">
        <f t="shared" si="333"/>
        <v>0.21043590592700906</v>
      </c>
      <c r="Y874" t="b">
        <f t="shared" si="335"/>
        <v>0</v>
      </c>
    </row>
    <row xmlns:x14ac="http://schemas.microsoft.com/office/spreadsheetml/2009/9/ac" r="875" x14ac:dyDescent="0.45">
      <c r="A875">
        <v>4.3399999999999403</v>
      </c>
      <c r="B875">
        <f t="shared" si="313"/>
        <v>0.16299999994268508</v>
      </c>
      <c r="C875" t="b">
        <f t="shared" si="326"/>
        <v>1</v>
      </c>
      <c r="D875" t="b">
        <f t="shared" si="314"/>
        <v>1</v>
      </c>
      <c r="E875">
        <f t="shared" si="322"/>
        <v>4.3399999999999403</v>
      </c>
      <c r="F875">
        <f t="shared" si="327"/>
        <v>0.16299999994268508</v>
      </c>
      <c r="G875">
        <f t="shared" si="315"/>
        <v>0.21042514337132384</v>
      </c>
      <c r="H875">
        <f t="shared" si="316"/>
        <v>3.4999999977955804E-2</v>
      </c>
      <c r="I875" t="b">
        <f t="shared" si="328"/>
        <v>1</v>
      </c>
      <c r="J875">
        <f t="shared" si="317"/>
        <v>4.3399999999999403</v>
      </c>
      <c r="K875">
        <f t="shared" si="329"/>
        <v>3.4999999977955804E-2</v>
      </c>
      <c r="L875">
        <f t="shared" si="318"/>
        <v>0.16935882981953362</v>
      </c>
      <c r="M875">
        <f t="shared" si="319"/>
        <v>0.1899999999559116</v>
      </c>
      <c r="N875">
        <f t="shared" si="320"/>
        <v>0.18799989650564675</v>
      </c>
      <c r="O875">
        <f t="shared" si="321"/>
        <v>0.15777777777777546</v>
      </c>
      <c r="P875">
        <f t="shared" si="334"/>
        <v>0.08</v>
      </c>
      <c r="Q875">
        <f t="shared" si="330"/>
        <v>0.08</v>
      </c>
      <c r="R875">
        <f t="shared" si="323"/>
        <v>0.08</v>
      </c>
      <c r="S875">
        <f t="shared" si="324"/>
        <v>0.06</v>
      </c>
      <c r="T875">
        <f t="shared" si="325"/>
        <v>0.1</v>
      </c>
      <c r="U875">
        <f t="shared" si="331"/>
        <v>0.08</v>
      </c>
      <c r="V875">
        <f t="shared" si="336"/>
        <v>0.18799989650564675</v>
      </c>
      <c r="W875">
        <f t="shared" si="332"/>
        <v>0.16934587732270301</v>
      </c>
      <c r="X875">
        <f t="shared" si="333"/>
        <v>0.21043373183712805</v>
      </c>
      <c r="Y875" t="b">
        <f t="shared" si="335"/>
        <v>0</v>
      </c>
    </row>
    <row xmlns:x14ac="http://schemas.microsoft.com/office/spreadsheetml/2009/9/ac" r="876" x14ac:dyDescent="0.45">
      <c r="A876">
        <v>4.3449999999999402</v>
      </c>
      <c r="B876">
        <f t="shared" si="313"/>
        <v>0.16299999994373379</v>
      </c>
      <c r="C876" t="b">
        <f t="shared" si="326"/>
        <v>1</v>
      </c>
      <c r="D876" t="b">
        <f t="shared" si="314"/>
        <v>1</v>
      </c>
      <c r="E876">
        <f t="shared" si="322"/>
        <v>4.3449999999999402</v>
      </c>
      <c r="F876">
        <f t="shared" si="327"/>
        <v>0.16299999994373379</v>
      </c>
      <c r="G876">
        <f t="shared" si="315"/>
        <v>0.21042302295991328</v>
      </c>
      <c r="H876">
        <f t="shared" si="316"/>
        <v>3.4999999978359148E-2</v>
      </c>
      <c r="I876" t="b">
        <f t="shared" si="328"/>
        <v>1</v>
      </c>
      <c r="J876">
        <f t="shared" si="317"/>
        <v>4.3449999999999402</v>
      </c>
      <c r="K876">
        <f t="shared" si="329"/>
        <v>3.4999999978359148E-2</v>
      </c>
      <c r="L876">
        <f t="shared" si="318"/>
        <v>0.16936202766914973</v>
      </c>
      <c r="M876">
        <f t="shared" si="319"/>
        <v>0.18999999995671829</v>
      </c>
      <c r="N876">
        <f t="shared" si="320"/>
        <v>0.18799989833139125</v>
      </c>
      <c r="O876">
        <f t="shared" si="321"/>
        <v>0.15777777777777552</v>
      </c>
      <c r="P876">
        <f t="shared" si="334"/>
        <v>0.08</v>
      </c>
      <c r="Q876">
        <f t="shared" si="330"/>
        <v>0.08</v>
      </c>
      <c r="R876">
        <f t="shared" si="323"/>
        <v>0.08</v>
      </c>
      <c r="S876">
        <f t="shared" si="324"/>
        <v>0.06</v>
      </c>
      <c r="T876">
        <f t="shared" si="325"/>
        <v>0.1</v>
      </c>
      <c r="U876">
        <f t="shared" si="331"/>
        <v>0.08</v>
      </c>
      <c r="V876">
        <f t="shared" si="336"/>
        <v>0.18799989833139125</v>
      </c>
      <c r="W876">
        <f t="shared" si="332"/>
        <v>0.16934913977316657</v>
      </c>
      <c r="X876">
        <f t="shared" si="333"/>
        <v>0.21043156859056561</v>
      </c>
      <c r="Y876" t="b">
        <f t="shared" si="335"/>
        <v>0</v>
      </c>
    </row>
    <row xmlns:x14ac="http://schemas.microsoft.com/office/spreadsheetml/2009/9/ac" r="877" x14ac:dyDescent="0.45">
      <c r="A877">
        <v>4.3499999999999401</v>
      </c>
      <c r="B877">
        <f t="shared" si="313"/>
        <v>0.16299999994500053</v>
      </c>
      <c r="C877" t="b">
        <f t="shared" si="326"/>
        <v>1</v>
      </c>
      <c r="D877" t="b">
        <f t="shared" si="314"/>
        <v>1</v>
      </c>
      <c r="E877">
        <f t="shared" si="322"/>
        <v>4.3499999999999401</v>
      </c>
      <c r="F877">
        <f t="shared" si="327"/>
        <v>0.16299999994500053</v>
      </c>
      <c r="G877">
        <f t="shared" si="315"/>
        <v>0.21042091312409872</v>
      </c>
      <c r="H877">
        <f t="shared" si="316"/>
        <v>3.4999999978846355E-2</v>
      </c>
      <c r="I877" t="b">
        <f t="shared" si="328"/>
        <v>1</v>
      </c>
      <c r="J877">
        <f t="shared" si="317"/>
        <v>4.3499999999999401</v>
      </c>
      <c r="K877">
        <f t="shared" si="329"/>
        <v>3.4999999978846355E-2</v>
      </c>
      <c r="L877">
        <f t="shared" si="318"/>
        <v>0.16936520956942436</v>
      </c>
      <c r="M877">
        <f t="shared" si="319"/>
        <v>0.18999999995769273</v>
      </c>
      <c r="N877">
        <f t="shared" si="320"/>
        <v>0.18799990055345844</v>
      </c>
      <c r="O877">
        <f t="shared" si="321"/>
        <v>0.15777777777777557</v>
      </c>
      <c r="P877">
        <f t="shared" si="334"/>
        <v>0.08</v>
      </c>
      <c r="Q877">
        <f t="shared" si="330"/>
        <v>0.08</v>
      </c>
      <c r="R877">
        <f t="shared" si="323"/>
        <v>0.08</v>
      </c>
      <c r="S877">
        <f t="shared" si="324"/>
        <v>0.06</v>
      </c>
      <c r="T877">
        <f t="shared" si="325"/>
        <v>0.1</v>
      </c>
      <c r="U877">
        <f t="shared" si="331"/>
        <v>0.08</v>
      </c>
      <c r="V877">
        <f t="shared" si="336"/>
        <v>0.18799990055345844</v>
      </c>
      <c r="W877">
        <f t="shared" si="332"/>
        <v>0.16935238595209057</v>
      </c>
      <c r="X877">
        <f t="shared" si="333"/>
        <v>0.21042941613324034</v>
      </c>
      <c r="Y877" t="b">
        <f t="shared" si="335"/>
        <v>0</v>
      </c>
    </row>
    <row xmlns:x14ac="http://schemas.microsoft.com/office/spreadsheetml/2009/9/ac" r="878" x14ac:dyDescent="0.45">
      <c r="A878">
        <v>4.35499999999994</v>
      </c>
      <c r="B878">
        <f t="shared" si="313"/>
        <v>0.16299999994646858</v>
      </c>
      <c r="C878" t="b">
        <f t="shared" si="326"/>
        <v>1</v>
      </c>
      <c r="D878" t="b">
        <f t="shared" si="314"/>
        <v>1</v>
      </c>
      <c r="E878">
        <f t="shared" si="322"/>
        <v>4.35499999999994</v>
      </c>
      <c r="F878">
        <f t="shared" si="327"/>
        <v>0.16299999994646858</v>
      </c>
      <c r="G878">
        <f t="shared" si="315"/>
        <v>0.2104188138111342</v>
      </c>
      <c r="H878">
        <f t="shared" si="316"/>
        <v>3.4999999979411001E-2</v>
      </c>
      <c r="I878" t="b">
        <f t="shared" si="328"/>
        <v>1</v>
      </c>
      <c r="J878">
        <f t="shared" si="317"/>
        <v>4.35499999999994</v>
      </c>
      <c r="K878">
        <f t="shared" si="329"/>
        <v>3.4999999979411001E-2</v>
      </c>
      <c r="L878">
        <f t="shared" si="318"/>
        <v>0.16936837559990511</v>
      </c>
      <c r="M878">
        <f t="shared" si="319"/>
        <v>0.189999999958822</v>
      </c>
      <c r="N878">
        <f t="shared" si="320"/>
        <v>0.18799990314944809</v>
      </c>
      <c r="O878">
        <f t="shared" si="321"/>
        <v>0.15777777777777566</v>
      </c>
      <c r="P878">
        <f t="shared" si="334"/>
        <v>0.08</v>
      </c>
      <c r="Q878">
        <f t="shared" si="330"/>
        <v>0.08</v>
      </c>
      <c r="R878">
        <f t="shared" si="323"/>
        <v>0.08</v>
      </c>
      <c r="S878">
        <f t="shared" si="324"/>
        <v>0.06</v>
      </c>
      <c r="T878">
        <f t="shared" si="325"/>
        <v>0.1</v>
      </c>
      <c r="U878">
        <f t="shared" si="331"/>
        <v>0.08</v>
      </c>
      <c r="V878">
        <f t="shared" si="336"/>
        <v>0.18799990314944809</v>
      </c>
      <c r="W878">
        <f t="shared" si="332"/>
        <v>0.16935561594062959</v>
      </c>
      <c r="X878">
        <f t="shared" si="333"/>
        <v>0.21042727441134085</v>
      </c>
      <c r="Y878" t="b">
        <f t="shared" si="335"/>
        <v>0</v>
      </c>
    </row>
    <row xmlns:x14ac="http://schemas.microsoft.com/office/spreadsheetml/2009/9/ac" r="879" x14ac:dyDescent="0.45">
      <c r="A879">
        <v>4.3599999999999302</v>
      </c>
      <c r="B879">
        <f t="shared" si="313"/>
        <v>0.16299999994812112</v>
      </c>
      <c r="C879" t="b">
        <f t="shared" si="326"/>
        <v>1</v>
      </c>
      <c r="D879" t="b">
        <f t="shared" si="314"/>
        <v>1</v>
      </c>
      <c r="E879">
        <f t="shared" si="322"/>
        <v>4.3599999999999302</v>
      </c>
      <c r="F879">
        <f t="shared" si="327"/>
        <v>0.16299999994812112</v>
      </c>
      <c r="G879">
        <f t="shared" si="315"/>
        <v>0.21041672496853681</v>
      </c>
      <c r="H879">
        <f t="shared" si="316"/>
        <v>3.4999999980046589E-2</v>
      </c>
      <c r="I879" t="b">
        <f t="shared" si="328"/>
        <v>1</v>
      </c>
      <c r="J879">
        <f t="shared" si="317"/>
        <v>4.3599999999999302</v>
      </c>
      <c r="K879">
        <f t="shared" si="329"/>
        <v>3.4999999980046589E-2</v>
      </c>
      <c r="L879">
        <f t="shared" si="318"/>
        <v>0.16937152583974299</v>
      </c>
      <c r="M879">
        <f t="shared" si="319"/>
        <v>0.18999999996009317</v>
      </c>
      <c r="N879">
        <f t="shared" si="320"/>
        <v>0.18799990609599626</v>
      </c>
      <c r="O879">
        <f t="shared" si="321"/>
        <v>0.15777777777777574</v>
      </c>
      <c r="P879">
        <f t="shared" si="334"/>
        <v>0.08</v>
      </c>
      <c r="Q879">
        <f t="shared" si="330"/>
        <v>0.08</v>
      </c>
      <c r="R879">
        <f t="shared" si="323"/>
        <v>0.08</v>
      </c>
      <c r="S879">
        <f t="shared" si="324"/>
        <v>0.06</v>
      </c>
      <c r="T879">
        <f t="shared" si="325"/>
        <v>0.1</v>
      </c>
      <c r="U879">
        <f t="shared" si="331"/>
        <v>0.08</v>
      </c>
      <c r="V879">
        <f t="shared" si="336"/>
        <v>0.18799990609599626</v>
      </c>
      <c r="W879">
        <f t="shared" si="332"/>
        <v>0.16935882981953362</v>
      </c>
      <c r="X879">
        <f t="shared" si="333"/>
        <v>0.21042514337132384</v>
      </c>
      <c r="Y879" t="b">
        <f t="shared" si="335"/>
        <v>0</v>
      </c>
    </row>
    <row xmlns:x14ac="http://schemas.microsoft.com/office/spreadsheetml/2009/9/ac" r="880" x14ac:dyDescent="0.45">
      <c r="A880">
        <v>4.36499999999993</v>
      </c>
      <c r="B880">
        <f t="shared" si="313"/>
        <v>0.16299999994994124</v>
      </c>
      <c r="C880" t="b">
        <f t="shared" si="326"/>
        <v>1</v>
      </c>
      <c r="D880" t="b">
        <f t="shared" si="314"/>
        <v>1</v>
      </c>
      <c r="E880">
        <f t="shared" si="322"/>
        <v>4.36499999999993</v>
      </c>
      <c r="F880">
        <f t="shared" si="327"/>
        <v>0.16299999994994124</v>
      </c>
      <c r="G880">
        <f t="shared" si="315"/>
        <v>0.21041464654408526</v>
      </c>
      <c r="H880">
        <f t="shared" si="316"/>
        <v>3.4999999980746627E-2</v>
      </c>
      <c r="I880" t="b">
        <f t="shared" si="328"/>
        <v>1</v>
      </c>
      <c r="J880">
        <f t="shared" si="317"/>
        <v>4.36499999999993</v>
      </c>
      <c r="K880">
        <f t="shared" si="329"/>
        <v>3.4999999980746627E-2</v>
      </c>
      <c r="L880">
        <f t="shared" si="318"/>
        <v>0.16937466036769414</v>
      </c>
      <c r="M880">
        <f t="shared" si="319"/>
        <v>0.18999999996149325</v>
      </c>
      <c r="N880">
        <f t="shared" si="320"/>
        <v>0.18799990936891003</v>
      </c>
      <c r="O880">
        <f t="shared" si="321"/>
        <v>0.1577777777777758</v>
      </c>
      <c r="P880">
        <f t="shared" si="334"/>
        <v>0.08</v>
      </c>
      <c r="Q880">
        <f t="shared" si="330"/>
        <v>0.08</v>
      </c>
      <c r="R880">
        <f t="shared" si="323"/>
        <v>0.08</v>
      </c>
      <c r="S880">
        <f t="shared" si="324"/>
        <v>0.06</v>
      </c>
      <c r="T880">
        <f t="shared" si="325"/>
        <v>0.1</v>
      </c>
      <c r="U880">
        <f t="shared" si="331"/>
        <v>0.08</v>
      </c>
      <c r="V880">
        <f t="shared" si="336"/>
        <v>0.18799990936891003</v>
      </c>
      <c r="W880">
        <f t="shared" si="332"/>
        <v>0.16936202766914973</v>
      </c>
      <c r="X880">
        <f t="shared" si="333"/>
        <v>0.21042302295991328</v>
      </c>
      <c r="Y880" t="b">
        <f t="shared" si="335"/>
        <v>0</v>
      </c>
    </row>
    <row xmlns:x14ac="http://schemas.microsoft.com/office/spreadsheetml/2009/9/ac" r="881" x14ac:dyDescent="0.45">
      <c r="A881">
        <v>4.3699999999999299</v>
      </c>
      <c r="B881">
        <f t="shared" si="313"/>
        <v>0.16299999995191206</v>
      </c>
      <c r="C881" t="b">
        <f t="shared" si="326"/>
        <v>1</v>
      </c>
      <c r="D881" t="b">
        <f t="shared" si="314"/>
        <v>1</v>
      </c>
      <c r="E881">
        <f t="shared" si="322"/>
        <v>4.3699999999999299</v>
      </c>
      <c r="F881">
        <f t="shared" si="327"/>
        <v>0.16299999995191206</v>
      </c>
      <c r="G881">
        <f t="shared" si="315"/>
        <v>0.21041257848581896</v>
      </c>
      <c r="H881">
        <f t="shared" si="316"/>
        <v>3.4999999981504631E-2</v>
      </c>
      <c r="I881" t="b">
        <f t="shared" si="328"/>
        <v>1</v>
      </c>
      <c r="J881">
        <f t="shared" si="317"/>
        <v>4.3699999999999299</v>
      </c>
      <c r="K881">
        <f t="shared" si="329"/>
        <v>3.4999999981504631E-2</v>
      </c>
      <c r="L881">
        <f t="shared" si="318"/>
        <v>0.16937777926212189</v>
      </c>
      <c r="M881">
        <f t="shared" si="319"/>
        <v>0.18999999996300926</v>
      </c>
      <c r="N881">
        <f t="shared" si="320"/>
        <v>0.18799991294330168</v>
      </c>
      <c r="O881">
        <f t="shared" si="321"/>
        <v>0.15777777777777588</v>
      </c>
      <c r="P881">
        <f t="shared" si="334"/>
        <v>0.08</v>
      </c>
      <c r="Q881">
        <f t="shared" si="330"/>
        <v>0.08</v>
      </c>
      <c r="R881">
        <f t="shared" si="323"/>
        <v>0.08</v>
      </c>
      <c r="S881">
        <f t="shared" si="324"/>
        <v>0.06</v>
      </c>
      <c r="T881">
        <f t="shared" si="325"/>
        <v>0.1</v>
      </c>
      <c r="U881">
        <f t="shared" si="331"/>
        <v>0.08</v>
      </c>
      <c r="V881">
        <f t="shared" si="336"/>
        <v>0.18799991294330168</v>
      </c>
      <c r="W881">
        <f t="shared" si="332"/>
        <v>0.16936520956942436</v>
      </c>
      <c r="X881">
        <f t="shared" si="333"/>
        <v>0.21042091312409872</v>
      </c>
      <c r="Y881" t="b">
        <f t="shared" si="335"/>
        <v>0</v>
      </c>
    </row>
    <row xmlns:x14ac="http://schemas.microsoft.com/office/spreadsheetml/2009/9/ac" r="882" x14ac:dyDescent="0.45">
      <c r="A882">
        <v>4.3749999999999298</v>
      </c>
      <c r="B882">
        <f t="shared" si="313"/>
        <v>0.16299999995401679</v>
      </c>
      <c r="C882" t="b">
        <f t="shared" si="326"/>
        <v>1</v>
      </c>
      <c r="D882" t="b">
        <f t="shared" si="314"/>
        <v>1</v>
      </c>
      <c r="E882">
        <f t="shared" si="322"/>
        <v>4.3749999999999298</v>
      </c>
      <c r="F882">
        <f t="shared" si="327"/>
        <v>0.16299999995401679</v>
      </c>
      <c r="G882">
        <f t="shared" si="315"/>
        <v>0.21041052074203631</v>
      </c>
      <c r="H882">
        <f t="shared" si="316"/>
        <v>3.4999999982314151E-2</v>
      </c>
      <c r="I882" t="b">
        <f t="shared" si="328"/>
        <v>1</v>
      </c>
      <c r="J882">
        <f t="shared" si="317"/>
        <v>4.3749999999999298</v>
      </c>
      <c r="K882">
        <f t="shared" si="329"/>
        <v>3.4999999982314151E-2</v>
      </c>
      <c r="L882">
        <f t="shared" si="318"/>
        <v>0.16938088260099882</v>
      </c>
      <c r="M882">
        <f t="shared" si="319"/>
        <v>0.1899999999646283</v>
      </c>
      <c r="N882">
        <f t="shared" si="320"/>
        <v>0.18799991679372147</v>
      </c>
      <c r="O882">
        <f t="shared" si="321"/>
        <v>0.15777777777777596</v>
      </c>
      <c r="P882">
        <f t="shared" si="334"/>
        <v>0.08</v>
      </c>
      <c r="Q882">
        <f t="shared" si="330"/>
        <v>0.08</v>
      </c>
      <c r="R882">
        <f t="shared" si="323"/>
        <v>0.08</v>
      </c>
      <c r="S882">
        <f t="shared" si="324"/>
        <v>0.06</v>
      </c>
      <c r="T882">
        <f t="shared" si="325"/>
        <v>0.1</v>
      </c>
      <c r="U882">
        <f t="shared" si="331"/>
        <v>0.08</v>
      </c>
      <c r="V882">
        <f t="shared" si="336"/>
        <v>0.18799991679372147</v>
      </c>
      <c r="W882">
        <f t="shared" si="332"/>
        <v>0.16936837559990511</v>
      </c>
      <c r="X882">
        <f t="shared" si="333"/>
        <v>0.2104188138111342</v>
      </c>
      <c r="Y882" t="b">
        <f t="shared" si="335"/>
        <v>0</v>
      </c>
    </row>
    <row xmlns:x14ac="http://schemas.microsoft.com/office/spreadsheetml/2009/9/ac" r="883" x14ac:dyDescent="0.45">
      <c r="A883">
        <v>4.3799999999999297</v>
      </c>
      <c r="B883">
        <f t="shared" si="313"/>
        <v>0.16299999995623884</v>
      </c>
      <c r="C883" t="b">
        <f t="shared" si="326"/>
        <v>1</v>
      </c>
      <c r="D883" t="b">
        <f t="shared" si="314"/>
        <v>1</v>
      </c>
      <c r="E883">
        <f t="shared" si="322"/>
        <v>4.3799999999999297</v>
      </c>
      <c r="F883">
        <f t="shared" si="327"/>
        <v>0.16299999995623884</v>
      </c>
      <c r="G883">
        <f t="shared" si="315"/>
        <v>0.21040847326129358</v>
      </c>
      <c r="H883">
        <f t="shared" si="316"/>
        <v>3.4999999983168786E-2</v>
      </c>
      <c r="I883" t="b">
        <f t="shared" si="328"/>
        <v>1</v>
      </c>
      <c r="J883">
        <f t="shared" si="317"/>
        <v>4.3799999999999297</v>
      </c>
      <c r="K883">
        <f t="shared" si="329"/>
        <v>3.4999999983168786E-2</v>
      </c>
      <c r="L883">
        <f t="shared" si="318"/>
        <v>0.16938397046190851</v>
      </c>
      <c r="M883">
        <f t="shared" si="319"/>
        <v>0.18999999996633757</v>
      </c>
      <c r="N883">
        <f t="shared" si="320"/>
        <v>0.18799992089428905</v>
      </c>
      <c r="O883">
        <f t="shared" si="321"/>
        <v>0.15777777777777607</v>
      </c>
      <c r="P883">
        <f t="shared" si="334"/>
        <v>0.08</v>
      </c>
      <c r="Q883">
        <f t="shared" si="330"/>
        <v>0.08</v>
      </c>
      <c r="R883">
        <f t="shared" si="323"/>
        <v>0.08</v>
      </c>
      <c r="S883">
        <f t="shared" si="324"/>
        <v>0.06</v>
      </c>
      <c r="T883">
        <f t="shared" si="325"/>
        <v>0.1</v>
      </c>
      <c r="U883">
        <f t="shared" si="331"/>
        <v>0.08</v>
      </c>
      <c r="V883">
        <f t="shared" si="336"/>
        <v>0.18799992089428905</v>
      </c>
      <c r="W883">
        <f t="shared" si="332"/>
        <v>0.16937152583974299</v>
      </c>
      <c r="X883">
        <f t="shared" si="333"/>
        <v>0.21041672496853681</v>
      </c>
      <c r="Y883" t="b">
        <f t="shared" si="335"/>
        <v>0</v>
      </c>
    </row>
    <row xmlns:x14ac="http://schemas.microsoft.com/office/spreadsheetml/2009/9/ac" r="884" x14ac:dyDescent="0.45">
      <c r="A884">
        <v>4.3849999999999296</v>
      </c>
      <c r="B884">
        <f t="shared" si="313"/>
        <v>0.16299999995856185</v>
      </c>
      <c r="C884" t="b">
        <f t="shared" si="326"/>
        <v>1</v>
      </c>
      <c r="D884" t="b">
        <f t="shared" si="314"/>
        <v>1</v>
      </c>
      <c r="E884">
        <f t="shared" si="322"/>
        <v>4.3849999999999296</v>
      </c>
      <c r="F884">
        <f t="shared" si="327"/>
        <v>0.16299999995856185</v>
      </c>
      <c r="G884">
        <f t="shared" si="315"/>
        <v>0.21040643599240361</v>
      </c>
      <c r="H884">
        <f t="shared" si="316"/>
        <v>3.4999999984062252E-2</v>
      </c>
      <c r="I884" t="b">
        <f t="shared" si="328"/>
        <v>1</v>
      </c>
      <c r="J884">
        <f t="shared" si="317"/>
        <v>4.3849999999999296</v>
      </c>
      <c r="K884">
        <f t="shared" si="329"/>
        <v>3.4999999984062252E-2</v>
      </c>
      <c r="L884">
        <f t="shared" si="318"/>
        <v>0.16938704292204765</v>
      </c>
      <c r="M884">
        <f t="shared" si="319"/>
        <v>0.1899999999681245</v>
      </c>
      <c r="N884">
        <f t="shared" si="320"/>
        <v>0.18799992521882264</v>
      </c>
      <c r="O884">
        <f t="shared" si="321"/>
        <v>0.15777777777777618</v>
      </c>
      <c r="P884">
        <f t="shared" si="334"/>
        <v>0.08</v>
      </c>
      <c r="Q884">
        <f t="shared" si="330"/>
        <v>0.08</v>
      </c>
      <c r="R884">
        <f t="shared" si="323"/>
        <v>0.08</v>
      </c>
      <c r="S884">
        <f t="shared" si="324"/>
        <v>0.06</v>
      </c>
      <c r="T884">
        <f t="shared" si="325"/>
        <v>0.1</v>
      </c>
      <c r="U884">
        <f t="shared" si="331"/>
        <v>0.08</v>
      </c>
      <c r="V884">
        <f t="shared" si="336"/>
        <v>0.18799992521882264</v>
      </c>
      <c r="W884">
        <f t="shared" si="332"/>
        <v>0.16937466036769414</v>
      </c>
      <c r="X884">
        <f t="shared" si="333"/>
        <v>0.21041464654408526</v>
      </c>
      <c r="Y884" t="b">
        <f t="shared" si="335"/>
        <v>0</v>
      </c>
    </row>
    <row xmlns:x14ac="http://schemas.microsoft.com/office/spreadsheetml/2009/9/ac" r="885" x14ac:dyDescent="0.45">
      <c r="A885">
        <v>4.3899999999999304</v>
      </c>
      <c r="B885">
        <f t="shared" si="313"/>
        <v>0.16299999996096978</v>
      </c>
      <c r="C885" t="b">
        <f t="shared" si="326"/>
        <v>1</v>
      </c>
      <c r="D885" t="b">
        <f t="shared" si="314"/>
        <v>1</v>
      </c>
      <c r="E885">
        <f t="shared" si="322"/>
        <v>4.3899999999999304</v>
      </c>
      <c r="F885">
        <f t="shared" si="327"/>
        <v>0.16299999996096978</v>
      </c>
      <c r="G885">
        <f t="shared" si="315"/>
        <v>0.21040440888443468</v>
      </c>
      <c r="H885">
        <f t="shared" si="316"/>
        <v>3.4999999984988386E-2</v>
      </c>
      <c r="I885" t="b">
        <f t="shared" si="328"/>
        <v>1</v>
      </c>
      <c r="J885">
        <f t="shared" si="317"/>
        <v>4.3899999999999304</v>
      </c>
      <c r="K885">
        <f t="shared" si="329"/>
        <v>3.4999999984988386E-2</v>
      </c>
      <c r="L885">
        <f t="shared" si="318"/>
        <v>0.16939010005822794</v>
      </c>
      <c r="M885">
        <f t="shared" si="319"/>
        <v>0.18999999996997677</v>
      </c>
      <c r="N885">
        <f t="shared" si="320"/>
        <v>0.18799992974096513</v>
      </c>
      <c r="O885">
        <f t="shared" si="321"/>
        <v>0.15777777777777627</v>
      </c>
      <c r="P885">
        <f t="shared" si="334"/>
        <v>0.08</v>
      </c>
      <c r="Q885">
        <f t="shared" si="330"/>
        <v>0.08</v>
      </c>
      <c r="R885">
        <f t="shared" si="323"/>
        <v>0.08</v>
      </c>
      <c r="S885">
        <f t="shared" si="324"/>
        <v>0.06</v>
      </c>
      <c r="T885">
        <f t="shared" si="325"/>
        <v>0.1</v>
      </c>
      <c r="U885">
        <f t="shared" si="331"/>
        <v>0.08</v>
      </c>
      <c r="V885">
        <f t="shared" si="336"/>
        <v>0.18799992974096513</v>
      </c>
      <c r="W885">
        <f t="shared" si="332"/>
        <v>0.16937777926212189</v>
      </c>
      <c r="X885">
        <f t="shared" si="333"/>
        <v>0.21041257848581896</v>
      </c>
      <c r="Y885" t="b">
        <f t="shared" si="335"/>
        <v>0</v>
      </c>
    </row>
    <row xmlns:x14ac="http://schemas.microsoft.com/office/spreadsheetml/2009/9/ac" r="886" x14ac:dyDescent="0.45">
      <c r="A886">
        <v>4.3949999999999303</v>
      </c>
      <c r="B886">
        <f t="shared" si="313"/>
        <v>0.162999999963447</v>
      </c>
      <c r="C886" t="b">
        <f t="shared" si="326"/>
        <v>1</v>
      </c>
      <c r="D886" t="b">
        <f t="shared" si="314"/>
        <v>1</v>
      </c>
      <c r="E886">
        <f t="shared" si="322"/>
        <v>4.3949999999999303</v>
      </c>
      <c r="F886">
        <f t="shared" si="327"/>
        <v>0.162999999963447</v>
      </c>
      <c r="G886">
        <f t="shared" si="315"/>
        <v>0.21040239188670889</v>
      </c>
      <c r="H886">
        <f t="shared" si="316"/>
        <v>3.4999999985941152E-2</v>
      </c>
      <c r="I886" t="b">
        <f t="shared" si="328"/>
        <v>1</v>
      </c>
      <c r="J886">
        <f t="shared" si="317"/>
        <v>4.3949999999999303</v>
      </c>
      <c r="K886">
        <f t="shared" si="329"/>
        <v>3.4999999985941152E-2</v>
      </c>
      <c r="L886">
        <f t="shared" si="318"/>
        <v>0.16939314194687791</v>
      </c>
      <c r="M886">
        <f t="shared" si="319"/>
        <v>0.18999999997188233</v>
      </c>
      <c r="N886">
        <f t="shared" si="320"/>
        <v>0.1879999344343076</v>
      </c>
      <c r="O886">
        <f t="shared" si="321"/>
        <v>0.15777777777777635</v>
      </c>
      <c r="P886">
        <f t="shared" si="334"/>
        <v>0.08</v>
      </c>
      <c r="Q886">
        <f t="shared" si="330"/>
        <v>0.08</v>
      </c>
      <c r="R886">
        <f t="shared" si="323"/>
        <v>0.08</v>
      </c>
      <c r="S886">
        <f t="shared" si="324"/>
        <v>0.06</v>
      </c>
      <c r="T886">
        <f t="shared" si="325"/>
        <v>0.1</v>
      </c>
      <c r="U886">
        <f t="shared" si="331"/>
        <v>0.08</v>
      </c>
      <c r="V886">
        <f t="shared" si="336"/>
        <v>0.1879999344343076</v>
      </c>
      <c r="W886">
        <f t="shared" si="332"/>
        <v>0.16938088260099882</v>
      </c>
      <c r="X886">
        <f t="shared" si="333"/>
        <v>0.21041052074203631</v>
      </c>
      <c r="Y886" t="b">
        <f t="shared" si="335"/>
        <v>0</v>
      </c>
    </row>
    <row xmlns:x14ac="http://schemas.microsoft.com/office/spreadsheetml/2009/9/ac" r="887" x14ac:dyDescent="0.45">
      <c r="A887">
        <v>4.3999999999999302</v>
      </c>
      <c r="B887">
        <f t="shared" si="313"/>
        <v>0.16299999996597825</v>
      </c>
      <c r="C887" t="b">
        <f t="shared" si="326"/>
        <v>1</v>
      </c>
      <c r="D887" t="b">
        <f t="shared" si="314"/>
        <v>1</v>
      </c>
      <c r="E887">
        <f t="shared" si="322"/>
        <v>4.3999999999999302</v>
      </c>
      <c r="F887">
        <f t="shared" si="327"/>
        <v>0.16299999996597825</v>
      </c>
      <c r="G887">
        <f t="shared" si="315"/>
        <v>0.21040038494880126</v>
      </c>
      <c r="H887">
        <f t="shared" si="316"/>
        <v>3.499999998691472E-2</v>
      </c>
      <c r="I887" t="b">
        <f t="shared" si="328"/>
        <v>1</v>
      </c>
      <c r="J887">
        <f t="shared" si="317"/>
        <v>4.3999999999999302</v>
      </c>
      <c r="K887">
        <f t="shared" si="329"/>
        <v>3.499999998691472E-2</v>
      </c>
      <c r="L887">
        <f t="shared" si="318"/>
        <v>0.16939616866404494</v>
      </c>
      <c r="M887">
        <f t="shared" si="319"/>
        <v>0.18999999997382944</v>
      </c>
      <c r="N887">
        <f t="shared" si="320"/>
        <v>0.18799993927250847</v>
      </c>
      <c r="O887">
        <f t="shared" si="321"/>
        <v>0.15777777777777646</v>
      </c>
      <c r="P887">
        <f t="shared" si="334"/>
        <v>0.08</v>
      </c>
      <c r="Q887">
        <f t="shared" si="330"/>
        <v>0.08</v>
      </c>
      <c r="R887">
        <f t="shared" si="323"/>
        <v>0.08</v>
      </c>
      <c r="S887">
        <f t="shared" si="324"/>
        <v>0.06</v>
      </c>
      <c r="T887">
        <f t="shared" si="325"/>
        <v>0.1</v>
      </c>
      <c r="U887">
        <f t="shared" si="331"/>
        <v>0.08</v>
      </c>
      <c r="V887">
        <f t="shared" si="336"/>
        <v>0.18799993927250847</v>
      </c>
      <c r="W887">
        <f t="shared" si="332"/>
        <v>0.16938397046190851</v>
      </c>
      <c r="X887">
        <f t="shared" si="333"/>
        <v>0.21040847326129358</v>
      </c>
      <c r="Y887" t="b">
        <f t="shared" si="335"/>
        <v>0</v>
      </c>
    </row>
    <row xmlns:x14ac="http://schemas.microsoft.com/office/spreadsheetml/2009/9/ac" r="888" x14ac:dyDescent="0.45">
      <c r="A888">
        <v>4.4049999999999301</v>
      </c>
      <c r="B888">
        <f t="shared" si="313"/>
        <v>0.1629999999685488</v>
      </c>
      <c r="C888" t="b">
        <f t="shared" si="326"/>
        <v>1</v>
      </c>
      <c r="D888" t="b">
        <f t="shared" si="314"/>
        <v>1</v>
      </c>
      <c r="E888">
        <f t="shared" si="322"/>
        <v>4.4049999999999301</v>
      </c>
      <c r="F888">
        <f t="shared" si="327"/>
        <v>0.1629999999685488</v>
      </c>
      <c r="G888">
        <f t="shared" si="315"/>
        <v>0.21039838802053817</v>
      </c>
      <c r="H888">
        <f t="shared" si="316"/>
        <v>3.4999999987903388E-2</v>
      </c>
      <c r="I888" t="b">
        <f t="shared" si="328"/>
        <v>1</v>
      </c>
      <c r="J888">
        <f t="shared" si="317"/>
        <v>4.4049999999999301</v>
      </c>
      <c r="K888">
        <f t="shared" si="329"/>
        <v>3.4999999987903388E-2</v>
      </c>
      <c r="L888">
        <f t="shared" si="318"/>
        <v>0.16939918028539713</v>
      </c>
      <c r="M888">
        <f t="shared" si="319"/>
        <v>0.1899999999758068</v>
      </c>
      <c r="N888">
        <f t="shared" si="320"/>
        <v>0.18799994422940919</v>
      </c>
      <c r="O888">
        <f t="shared" si="321"/>
        <v>0.15777777777777657</v>
      </c>
      <c r="P888">
        <f t="shared" si="334"/>
        <v>0.08</v>
      </c>
      <c r="Q888">
        <f t="shared" si="330"/>
        <v>0.08</v>
      </c>
      <c r="R888">
        <f t="shared" si="323"/>
        <v>0.08</v>
      </c>
      <c r="S888">
        <f t="shared" si="324"/>
        <v>0.06</v>
      </c>
      <c r="T888">
        <f t="shared" si="325"/>
        <v>0.1</v>
      </c>
      <c r="U888">
        <f t="shared" si="331"/>
        <v>0.08</v>
      </c>
      <c r="V888">
        <f t="shared" si="336"/>
        <v>0.18799994422940919</v>
      </c>
      <c r="W888">
        <f t="shared" si="332"/>
        <v>0.16938704292204765</v>
      </c>
      <c r="X888">
        <f t="shared" si="333"/>
        <v>0.21040643599240361</v>
      </c>
      <c r="Y888" t="b">
        <f t="shared" si="335"/>
        <v>0</v>
      </c>
    </row>
    <row xmlns:x14ac="http://schemas.microsoft.com/office/spreadsheetml/2009/9/ac" r="889" x14ac:dyDescent="0.45">
      <c r="A889">
        <v>4.40999999999993</v>
      </c>
      <c r="B889">
        <f t="shared" si="313"/>
        <v>0.16299999997114445</v>
      </c>
      <c r="C889" t="b">
        <f t="shared" si="326"/>
        <v>1</v>
      </c>
      <c r="D889" t="b">
        <f t="shared" si="314"/>
        <v>1</v>
      </c>
      <c r="E889">
        <f t="shared" si="322"/>
        <v>4.40999999999993</v>
      </c>
      <c r="F889">
        <f t="shared" si="327"/>
        <v>0.16299999997114445</v>
      </c>
      <c r="G889">
        <f t="shared" si="315"/>
        <v>0.21039640105199631</v>
      </c>
      <c r="H889">
        <f t="shared" si="316"/>
        <v>3.4999999988901714E-2</v>
      </c>
      <c r="I889" t="b">
        <f t="shared" si="328"/>
        <v>1</v>
      </c>
      <c r="J889">
        <f t="shared" si="317"/>
        <v>4.40999999999993</v>
      </c>
      <c r="K889">
        <f t="shared" si="329"/>
        <v>3.4999999988901714E-2</v>
      </c>
      <c r="L889">
        <f t="shared" si="318"/>
        <v>0.16940217688622516</v>
      </c>
      <c r="M889">
        <f t="shared" si="319"/>
        <v>0.18999999997780342</v>
      </c>
      <c r="N889">
        <f t="shared" si="320"/>
        <v>0.18799994927914532</v>
      </c>
      <c r="O889">
        <f t="shared" si="321"/>
        <v>0.15777777777777666</v>
      </c>
      <c r="P889">
        <f t="shared" si="334"/>
        <v>0.08</v>
      </c>
      <c r="Q889">
        <f t="shared" si="330"/>
        <v>0.08</v>
      </c>
      <c r="R889">
        <f t="shared" si="323"/>
        <v>0.08</v>
      </c>
      <c r="S889">
        <f t="shared" si="324"/>
        <v>0.06</v>
      </c>
      <c r="T889">
        <f t="shared" si="325"/>
        <v>0.1</v>
      </c>
      <c r="U889">
        <f t="shared" si="331"/>
        <v>0.08</v>
      </c>
      <c r="V889">
        <f t="shared" si="336"/>
        <v>0.18799994927914532</v>
      </c>
      <c r="W889">
        <f t="shared" si="332"/>
        <v>0.16939010005822794</v>
      </c>
      <c r="X889">
        <f t="shared" si="333"/>
        <v>0.21040440888443468</v>
      </c>
      <c r="Y889" t="b">
        <f t="shared" si="335"/>
        <v>0</v>
      </c>
    </row>
    <row xmlns:x14ac="http://schemas.microsoft.com/office/spreadsheetml/2009/9/ac" r="890" x14ac:dyDescent="0.45">
      <c r="A890">
        <v>4.4149999999999299</v>
      </c>
      <c r="B890">
        <f t="shared" si="313"/>
        <v>0.16299999997375153</v>
      </c>
      <c r="C890" t="b">
        <f t="shared" si="326"/>
        <v>1</v>
      </c>
      <c r="D890" t="b">
        <f t="shared" si="314"/>
        <v>1</v>
      </c>
      <c r="E890">
        <f t="shared" si="322"/>
        <v>4.4149999999999299</v>
      </c>
      <c r="F890">
        <f t="shared" si="327"/>
        <v>0.16299999997375153</v>
      </c>
      <c r="G890">
        <f t="shared" si="315"/>
        <v>0.21039442399350144</v>
      </c>
      <c r="H890">
        <f t="shared" si="316"/>
        <v>3.499999998990444E-2</v>
      </c>
      <c r="I890" t="b">
        <f t="shared" si="328"/>
        <v>1</v>
      </c>
      <c r="J890">
        <f t="shared" si="317"/>
        <v>4.4149999999999299</v>
      </c>
      <c r="K890">
        <f t="shared" si="329"/>
        <v>3.499999998990444E-2</v>
      </c>
      <c r="L890">
        <f t="shared" si="318"/>
        <v>0.16940515854144422</v>
      </c>
      <c r="M890">
        <f t="shared" si="319"/>
        <v>0.18999999997980888</v>
      </c>
      <c r="N890">
        <f t="shared" si="320"/>
        <v>0.18799995439625236</v>
      </c>
      <c r="O890">
        <f t="shared" si="321"/>
        <v>0.15777777777777674</v>
      </c>
      <c r="P890">
        <f t="shared" si="334"/>
        <v>0.08</v>
      </c>
      <c r="Q890">
        <f t="shared" si="330"/>
        <v>0.08</v>
      </c>
      <c r="R890">
        <f t="shared" si="323"/>
        <v>0.08</v>
      </c>
      <c r="S890">
        <f t="shared" si="324"/>
        <v>0.06</v>
      </c>
      <c r="T890">
        <f t="shared" si="325"/>
        <v>0.1</v>
      </c>
      <c r="U890">
        <f t="shared" si="331"/>
        <v>0.08</v>
      </c>
      <c r="V890">
        <f t="shared" si="336"/>
        <v>0.18799995439625236</v>
      </c>
      <c r="W890">
        <f t="shared" si="332"/>
        <v>0.16939314194687791</v>
      </c>
      <c r="X890">
        <f t="shared" si="333"/>
        <v>0.21040239188670889</v>
      </c>
      <c r="Y890" t="b">
        <f t="shared" si="335"/>
        <v>0</v>
      </c>
    </row>
    <row xmlns:x14ac="http://schemas.microsoft.com/office/spreadsheetml/2009/9/ac" r="891" x14ac:dyDescent="0.45">
      <c r="A891">
        <v>4.4199999999999298</v>
      </c>
      <c r="B891">
        <f t="shared" si="313"/>
        <v>0.16299999997635703</v>
      </c>
      <c r="C891" t="b">
        <f t="shared" si="326"/>
        <v>1</v>
      </c>
      <c r="D891" t="b">
        <f t="shared" si="314"/>
        <v>1</v>
      </c>
      <c r="E891">
        <f t="shared" si="322"/>
        <v>4.4199999999999298</v>
      </c>
      <c r="F891">
        <f t="shared" si="327"/>
        <v>0.16299999997635703</v>
      </c>
      <c r="G891">
        <f t="shared" si="315"/>
        <v>0.21039245679562696</v>
      </c>
      <c r="H891">
        <f t="shared" si="316"/>
        <v>3.4999999990906555E-2</v>
      </c>
      <c r="I891" t="b">
        <f t="shared" si="328"/>
        <v>1</v>
      </c>
      <c r="J891">
        <f t="shared" si="317"/>
        <v>4.4199999999999298</v>
      </c>
      <c r="K891">
        <f t="shared" si="329"/>
        <v>3.4999999990906555E-2</v>
      </c>
      <c r="L891">
        <f t="shared" si="318"/>
        <v>0.16940812532559579</v>
      </c>
      <c r="M891">
        <f t="shared" si="319"/>
        <v>0.18999999998181311</v>
      </c>
      <c r="N891">
        <f t="shared" si="320"/>
        <v>0.18799995955576723</v>
      </c>
      <c r="O891">
        <f t="shared" si="321"/>
        <v>0.15777777777777685</v>
      </c>
      <c r="P891">
        <f t="shared" si="334"/>
        <v>0.08</v>
      </c>
      <c r="Q891">
        <f t="shared" si="330"/>
        <v>0.08</v>
      </c>
      <c r="R891">
        <f t="shared" si="323"/>
        <v>0.08</v>
      </c>
      <c r="S891">
        <f t="shared" si="324"/>
        <v>0.06</v>
      </c>
      <c r="T891">
        <f t="shared" si="325"/>
        <v>0.1</v>
      </c>
      <c r="U891">
        <f t="shared" si="331"/>
        <v>0.08</v>
      </c>
      <c r="V891">
        <f t="shared" si="336"/>
        <v>0.18799995955576723</v>
      </c>
      <c r="W891">
        <f t="shared" si="332"/>
        <v>0.16939616866404494</v>
      </c>
      <c r="X891">
        <f t="shared" si="333"/>
        <v>0.21040038494880126</v>
      </c>
      <c r="Y891" t="b">
        <f t="shared" si="335"/>
        <v>0</v>
      </c>
    </row>
    <row xmlns:x14ac="http://schemas.microsoft.com/office/spreadsheetml/2009/9/ac" r="892" x14ac:dyDescent="0.45">
      <c r="A892">
        <v>4.4249999999999297</v>
      </c>
      <c r="B892">
        <f t="shared" si="313"/>
        <v>0.16299999997894854</v>
      </c>
      <c r="C892" t="b">
        <f t="shared" si="326"/>
        <v>1</v>
      </c>
      <c r="D892" t="b">
        <f t="shared" si="314"/>
        <v>1</v>
      </c>
      <c r="E892">
        <f t="shared" si="322"/>
        <v>4.4249999999999297</v>
      </c>
      <c r="F892">
        <f t="shared" si="327"/>
        <v>0.16299999997894854</v>
      </c>
      <c r="G892">
        <f t="shared" si="315"/>
        <v>0.2103904994091928</v>
      </c>
      <c r="H892">
        <f t="shared" si="316"/>
        <v>3.4999999991903286E-2</v>
      </c>
      <c r="I892" t="b">
        <f t="shared" si="328"/>
        <v>1</v>
      </c>
      <c r="J892">
        <f t="shared" si="317"/>
        <v>4.4249999999999297</v>
      </c>
      <c r="K892">
        <f t="shared" si="329"/>
        <v>3.4999999991903286E-2</v>
      </c>
      <c r="L892">
        <f t="shared" si="318"/>
        <v>0.16941107731284971</v>
      </c>
      <c r="M892">
        <f t="shared" si="319"/>
        <v>0.18999999998380657</v>
      </c>
      <c r="N892">
        <f t="shared" si="320"/>
        <v>0.18799996473332364</v>
      </c>
      <c r="O892">
        <f t="shared" si="321"/>
        <v>0.15777777777777696</v>
      </c>
      <c r="P892">
        <f t="shared" si="334"/>
        <v>0.08</v>
      </c>
      <c r="Q892">
        <f t="shared" si="330"/>
        <v>0.08</v>
      </c>
      <c r="R892">
        <f t="shared" si="323"/>
        <v>0.08</v>
      </c>
      <c r="S892">
        <f t="shared" si="324"/>
        <v>0.06</v>
      </c>
      <c r="T892">
        <f t="shared" si="325"/>
        <v>0.1</v>
      </c>
      <c r="U892">
        <f t="shared" si="331"/>
        <v>0.08</v>
      </c>
      <c r="V892">
        <f t="shared" si="336"/>
        <v>0.18799996473332364</v>
      </c>
      <c r="W892">
        <f t="shared" si="332"/>
        <v>0.16939918028539713</v>
      </c>
      <c r="X892">
        <f t="shared" si="333"/>
        <v>0.21039838802053817</v>
      </c>
      <c r="Y892" t="b">
        <f t="shared" si="335"/>
        <v>0</v>
      </c>
    </row>
    <row xmlns:x14ac="http://schemas.microsoft.com/office/spreadsheetml/2009/9/ac" r="893" x14ac:dyDescent="0.45">
      <c r="A893">
        <v>4.4299999999999304</v>
      </c>
      <c r="B893">
        <f t="shared" si="313"/>
        <v>0.1629999999815144</v>
      </c>
      <c r="C893" t="b">
        <f t="shared" si="326"/>
        <v>1</v>
      </c>
      <c r="D893" t="b">
        <f t="shared" si="314"/>
        <v>1</v>
      </c>
      <c r="E893">
        <f t="shared" si="322"/>
        <v>4.4299999999999304</v>
      </c>
      <c r="F893">
        <f t="shared" si="327"/>
        <v>0.1629999999815144</v>
      </c>
      <c r="G893">
        <f t="shared" si="315"/>
        <v>0.21038855178526422</v>
      </c>
      <c r="H893">
        <f t="shared" si="316"/>
        <v>3.4999999992890163E-2</v>
      </c>
      <c r="I893" t="b">
        <f t="shared" si="328"/>
        <v>1</v>
      </c>
      <c r="J893">
        <f t="shared" si="317"/>
        <v>4.4299999999999304</v>
      </c>
      <c r="K893">
        <f t="shared" si="329"/>
        <v>3.4999999992890163E-2</v>
      </c>
      <c r="L893">
        <f t="shared" si="318"/>
        <v>0.16941401457700578</v>
      </c>
      <c r="M893">
        <f t="shared" si="319"/>
        <v>0.18999999998578032</v>
      </c>
      <c r="N893">
        <f t="shared" si="320"/>
        <v>0.18799996990524218</v>
      </c>
      <c r="O893">
        <f t="shared" si="321"/>
        <v>0.15777777777777702</v>
      </c>
      <c r="P893">
        <f t="shared" si="334"/>
        <v>0.08</v>
      </c>
      <c r="Q893">
        <f t="shared" si="330"/>
        <v>0.08</v>
      </c>
      <c r="R893">
        <f t="shared" si="323"/>
        <v>0.08</v>
      </c>
      <c r="S893">
        <f t="shared" si="324"/>
        <v>0.06</v>
      </c>
      <c r="T893">
        <f t="shared" si="325"/>
        <v>0.1</v>
      </c>
      <c r="U893">
        <f t="shared" si="331"/>
        <v>0.08</v>
      </c>
      <c r="V893">
        <f t="shared" si="336"/>
        <v>0.18799996990524218</v>
      </c>
      <c r="W893">
        <f t="shared" si="332"/>
        <v>0.16940217688622516</v>
      </c>
      <c r="X893">
        <f t="shared" si="333"/>
        <v>0.21039640105199631</v>
      </c>
      <c r="Y893" t="b">
        <f t="shared" si="335"/>
        <v>0</v>
      </c>
    </row>
    <row xmlns:x14ac="http://schemas.microsoft.com/office/spreadsheetml/2009/9/ac" r="894" x14ac:dyDescent="0.45">
      <c r="A894">
        <v>4.4349999999999303</v>
      </c>
      <c r="B894">
        <f t="shared" si="313"/>
        <v>0.16299999998404352</v>
      </c>
      <c r="C894" t="b">
        <f t="shared" si="326"/>
        <v>1</v>
      </c>
      <c r="D894" t="b">
        <f t="shared" si="314"/>
        <v>1</v>
      </c>
      <c r="E894">
        <f t="shared" si="322"/>
        <v>4.4349999999999303</v>
      </c>
      <c r="F894">
        <f t="shared" si="327"/>
        <v>0.16299999998404352</v>
      </c>
      <c r="G894">
        <f t="shared" si="315"/>
        <v>0.21038661387515051</v>
      </c>
      <c r="H894">
        <f t="shared" si="316"/>
        <v>3.4999999993862899E-2</v>
      </c>
      <c r="I894" t="b">
        <f t="shared" si="328"/>
        <v>1</v>
      </c>
      <c r="J894">
        <f t="shared" si="317"/>
        <v>4.4349999999999303</v>
      </c>
      <c r="K894">
        <f t="shared" si="329"/>
        <v>3.4999999993862899E-2</v>
      </c>
      <c r="L894">
        <f t="shared" si="318"/>
        <v>0.16941693719149575</v>
      </c>
      <c r="M894">
        <f t="shared" si="319"/>
        <v>0.18999999998772579</v>
      </c>
      <c r="N894">
        <f t="shared" si="320"/>
        <v>0.18799997504861432</v>
      </c>
      <c r="O894">
        <f t="shared" si="321"/>
        <v>0.15777777777777713</v>
      </c>
      <c r="P894">
        <f t="shared" si="334"/>
        <v>0.08</v>
      </c>
      <c r="Q894">
        <f t="shared" si="330"/>
        <v>0.08</v>
      </c>
      <c r="R894">
        <f t="shared" si="323"/>
        <v>0.08</v>
      </c>
      <c r="S894">
        <f t="shared" si="324"/>
        <v>0.06</v>
      </c>
      <c r="T894">
        <f t="shared" si="325"/>
        <v>0.1</v>
      </c>
      <c r="U894">
        <f t="shared" si="331"/>
        <v>0.08</v>
      </c>
      <c r="V894">
        <f t="shared" si="336"/>
        <v>0.18799997504861432</v>
      </c>
      <c r="W894">
        <f t="shared" si="332"/>
        <v>0.16940515854144422</v>
      </c>
      <c r="X894">
        <f t="shared" si="333"/>
        <v>0.21039442399350144</v>
      </c>
      <c r="Y894" t="b">
        <f t="shared" si="335"/>
        <v>0</v>
      </c>
    </row>
    <row xmlns:x14ac="http://schemas.microsoft.com/office/spreadsheetml/2009/9/ac" r="895" x14ac:dyDescent="0.45">
      <c r="A895">
        <v>4.4399999999999302</v>
      </c>
      <c r="B895">
        <f t="shared" si="313"/>
        <v>0.16299999998652565</v>
      </c>
      <c r="C895" t="b">
        <f t="shared" si="326"/>
        <v>1</v>
      </c>
      <c r="D895" t="b">
        <f t="shared" si="314"/>
        <v>1</v>
      </c>
      <c r="E895">
        <f t="shared" si="322"/>
        <v>4.4399999999999302</v>
      </c>
      <c r="F895">
        <f t="shared" si="327"/>
        <v>0.16299999998652565</v>
      </c>
      <c r="G895">
        <f t="shared" si="315"/>
        <v>0.21038468563040374</v>
      </c>
      <c r="H895">
        <f t="shared" si="316"/>
        <v>3.4999999994817566E-2</v>
      </c>
      <c r="I895" t="b">
        <f t="shared" si="328"/>
        <v>1</v>
      </c>
      <c r="J895">
        <f t="shared" si="317"/>
        <v>4.4399999999999302</v>
      </c>
      <c r="K895">
        <f t="shared" si="329"/>
        <v>3.4999999994817566E-2</v>
      </c>
      <c r="L895">
        <f t="shared" si="318"/>
        <v>0.16941984522938514</v>
      </c>
      <c r="M895">
        <f t="shared" si="319"/>
        <v>0.18999999998963513</v>
      </c>
      <c r="N895">
        <f t="shared" si="320"/>
        <v>0.18799998014138042</v>
      </c>
      <c r="O895">
        <f t="shared" si="321"/>
        <v>0.15777777777777724</v>
      </c>
      <c r="P895">
        <f t="shared" si="334"/>
        <v>0.08</v>
      </c>
      <c r="Q895">
        <f t="shared" si="330"/>
        <v>0.08</v>
      </c>
      <c r="R895">
        <f t="shared" si="323"/>
        <v>0.08</v>
      </c>
      <c r="S895">
        <f t="shared" si="324"/>
        <v>0.06</v>
      </c>
      <c r="T895">
        <f t="shared" si="325"/>
        <v>0.1</v>
      </c>
      <c r="U895">
        <f t="shared" si="331"/>
        <v>0.08</v>
      </c>
      <c r="V895">
        <f t="shared" si="336"/>
        <v>0.18799998014138042</v>
      </c>
      <c r="W895">
        <f t="shared" si="332"/>
        <v>0.16940812532559579</v>
      </c>
      <c r="X895">
        <f t="shared" si="333"/>
        <v>0.21039245679562696</v>
      </c>
      <c r="Y895" t="b">
        <f t="shared" si="335"/>
        <v>0</v>
      </c>
    </row>
    <row xmlns:x14ac="http://schemas.microsoft.com/office/spreadsheetml/2009/9/ac" r="896" x14ac:dyDescent="0.45">
      <c r="A896">
        <v>4.4449999999999301</v>
      </c>
      <c r="B896">
        <f t="shared" si="313"/>
        <v>0.16299999998895115</v>
      </c>
      <c r="C896" t="b">
        <f t="shared" si="326"/>
        <v>1</v>
      </c>
      <c r="D896" t="b">
        <f t="shared" si="314"/>
        <v>1</v>
      </c>
      <c r="E896">
        <f t="shared" si="322"/>
        <v>4.4449999999999301</v>
      </c>
      <c r="F896">
        <f t="shared" si="327"/>
        <v>0.16299999998895115</v>
      </c>
      <c r="G896">
        <f t="shared" si="315"/>
        <v>0.21038276700281783</v>
      </c>
      <c r="H896">
        <f t="shared" si="316"/>
        <v>3.4999999995750444E-2</v>
      </c>
      <c r="I896" t="b">
        <f t="shared" si="328"/>
        <v>1</v>
      </c>
      <c r="J896">
        <f t="shared" si="317"/>
        <v>4.4449999999999301</v>
      </c>
      <c r="K896">
        <f t="shared" si="329"/>
        <v>3.4999999995750444E-2</v>
      </c>
      <c r="L896">
        <f t="shared" si="318"/>
        <v>0.16942273876337505</v>
      </c>
      <c r="M896">
        <f t="shared" si="319"/>
        <v>0.18999999999150091</v>
      </c>
      <c r="N896">
        <f t="shared" si="320"/>
        <v>0.18799998516240152</v>
      </c>
      <c r="O896">
        <f t="shared" si="321"/>
        <v>0.15777777777777729</v>
      </c>
      <c r="P896">
        <f t="shared" si="334"/>
        <v>0.08</v>
      </c>
      <c r="Q896">
        <f t="shared" si="330"/>
        <v>0.08</v>
      </c>
      <c r="R896">
        <f t="shared" si="323"/>
        <v>0.08</v>
      </c>
      <c r="S896">
        <f t="shared" si="324"/>
        <v>0.06</v>
      </c>
      <c r="T896">
        <f t="shared" si="325"/>
        <v>0.1</v>
      </c>
      <c r="U896">
        <f t="shared" si="331"/>
        <v>0.08</v>
      </c>
      <c r="V896">
        <f t="shared" si="336"/>
        <v>0.18799998516240152</v>
      </c>
      <c r="W896">
        <f t="shared" si="332"/>
        <v>0.16941107731284971</v>
      </c>
      <c r="X896">
        <f t="shared" si="333"/>
        <v>0.2103904994091928</v>
      </c>
      <c r="Y896" t="b">
        <f t="shared" si="335"/>
        <v>0</v>
      </c>
    </row>
    <row xmlns:x14ac="http://schemas.microsoft.com/office/spreadsheetml/2009/9/ac" r="897" x14ac:dyDescent="0.45">
      <c r="A897">
        <v>4.44999999999993</v>
      </c>
      <c r="B897">
        <f t="shared" si="313"/>
        <v>0.16299999999131123</v>
      </c>
      <c r="C897" t="b">
        <f t="shared" si="326"/>
        <v>1</v>
      </c>
      <c r="D897" t="b">
        <f t="shared" si="314"/>
        <v>1</v>
      </c>
      <c r="E897">
        <f t="shared" si="322"/>
        <v>4.44999999999993</v>
      </c>
      <c r="F897">
        <f t="shared" si="327"/>
        <v>0.16299999999131123</v>
      </c>
      <c r="G897">
        <f t="shared" si="315"/>
        <v>0.21038085794442696</v>
      </c>
      <c r="H897">
        <f t="shared" si="316"/>
        <v>3.4999999996658177E-2</v>
      </c>
      <c r="I897" t="b">
        <f t="shared" si="328"/>
        <v>1</v>
      </c>
      <c r="J897">
        <f t="shared" si="317"/>
        <v>4.44999999999993</v>
      </c>
      <c r="K897">
        <f t="shared" si="329"/>
        <v>3.4999999996658177E-2</v>
      </c>
      <c r="L897">
        <f t="shared" si="318"/>
        <v>0.16942561786580396</v>
      </c>
      <c r="M897">
        <f t="shared" si="319"/>
        <v>0.18999999999331635</v>
      </c>
      <c r="N897">
        <f t="shared" si="320"/>
        <v>0.1879999900915246</v>
      </c>
      <c r="O897">
        <f t="shared" si="321"/>
        <v>0.15777777777777738</v>
      </c>
      <c r="P897">
        <f t="shared" si="334"/>
        <v>0.08</v>
      </c>
      <c r="Q897">
        <f t="shared" si="330"/>
        <v>0.08</v>
      </c>
      <c r="R897">
        <f t="shared" si="323"/>
        <v>0.08</v>
      </c>
      <c r="S897">
        <f t="shared" si="324"/>
        <v>0.06</v>
      </c>
      <c r="T897">
        <f t="shared" si="325"/>
        <v>0.1</v>
      </c>
      <c r="U897">
        <f t="shared" si="331"/>
        <v>0.08</v>
      </c>
      <c r="V897">
        <f t="shared" si="336"/>
        <v>0.1879999900915246</v>
      </c>
      <c r="W897">
        <f t="shared" si="332"/>
        <v>0.16941401457700578</v>
      </c>
      <c r="X897">
        <f t="shared" si="333"/>
        <v>0.21038855178526422</v>
      </c>
      <c r="Y897" t="b">
        <f t="shared" si="335"/>
        <v>0</v>
      </c>
    </row>
    <row xmlns:x14ac="http://schemas.microsoft.com/office/spreadsheetml/2009/9/ac" r="898" x14ac:dyDescent="0.45">
      <c r="A898">
        <v>4.4549999999999299</v>
      </c>
      <c r="B898">
        <f t="shared" si="313"/>
        <v>0.16299999999359777</v>
      </c>
      <c r="C898" t="b">
        <f t="shared" si="326"/>
        <v>1</v>
      </c>
      <c r="D898" t="b">
        <f t="shared" si="314"/>
        <v>1</v>
      </c>
      <c r="E898">
        <f t="shared" si="322"/>
        <v>4.4549999999999299</v>
      </c>
      <c r="F898">
        <f t="shared" si="327"/>
        <v>0.16299999999359777</v>
      </c>
      <c r="G898">
        <f t="shared" si="315"/>
        <v>0.21037895840750448</v>
      </c>
      <c r="H898">
        <f t="shared" si="316"/>
        <v>3.4999999997537612E-2</v>
      </c>
      <c r="I898" t="b">
        <f t="shared" si="328"/>
        <v>1</v>
      </c>
      <c r="J898">
        <f t="shared" si="317"/>
        <v>4.4549999999999299</v>
      </c>
      <c r="K898">
        <f t="shared" si="329"/>
        <v>3.4999999997537612E-2</v>
      </c>
      <c r="L898">
        <f t="shared" si="318"/>
        <v>0.16942848260864962</v>
      </c>
      <c r="M898">
        <f t="shared" si="319"/>
        <v>0.18999999999507522</v>
      </c>
      <c r="N898">
        <f t="shared" si="320"/>
        <v>0.18799999490964153</v>
      </c>
      <c r="O898">
        <f t="shared" si="321"/>
        <v>0.15777777777777746</v>
      </c>
      <c r="P898">
        <f t="shared" si="334"/>
        <v>0.08</v>
      </c>
      <c r="Q898">
        <f t="shared" si="330"/>
        <v>0.08</v>
      </c>
      <c r="R898">
        <f t="shared" si="323"/>
        <v>0.08</v>
      </c>
      <c r="S898">
        <f t="shared" si="324"/>
        <v>0.06</v>
      </c>
      <c r="T898">
        <f t="shared" si="325"/>
        <v>0.1</v>
      </c>
      <c r="U898">
        <f t="shared" si="331"/>
        <v>0.08</v>
      </c>
      <c r="V898">
        <f t="shared" si="336"/>
        <v>0.18799999490964153</v>
      </c>
      <c r="W898">
        <f t="shared" si="332"/>
        <v>0.16941693719149575</v>
      </c>
      <c r="X898">
        <f t="shared" si="333"/>
        <v>0.21038661387515051</v>
      </c>
      <c r="Y898" t="b">
        <f t="shared" si="335"/>
        <v>0</v>
      </c>
    </row>
    <row xmlns:x14ac="http://schemas.microsoft.com/office/spreadsheetml/2009/9/ac" r="899" x14ac:dyDescent="0.45">
      <c r="A899">
        <v>4.4599999999999298</v>
      </c>
      <c r="B899">
        <f t="shared" si="313"/>
        <v>0.16299999999580342</v>
      </c>
      <c r="C899" t="b">
        <f t="shared" si="326"/>
        <v>1</v>
      </c>
      <c r="D899" t="b">
        <f t="shared" si="314"/>
        <v>1</v>
      </c>
      <c r="E899">
        <f t="shared" si="322"/>
        <v>4.4599999999999298</v>
      </c>
      <c r="F899">
        <f t="shared" si="327"/>
        <v>0.16299999999580342</v>
      </c>
      <c r="G899">
        <f t="shared" si="315"/>
        <v>0.21037706834456193</v>
      </c>
      <c r="H899">
        <f t="shared" si="316"/>
        <v>3.4999999998385933E-2</v>
      </c>
      <c r="I899" t="b">
        <f t="shared" si="328"/>
        <v>1</v>
      </c>
      <c r="J899">
        <f t="shared" si="317"/>
        <v>4.4599999999999298</v>
      </c>
      <c r="K899">
        <f t="shared" si="329"/>
        <v>3.4999999998385933E-2</v>
      </c>
      <c r="L899">
        <f t="shared" si="318"/>
        <v>0.16943133306353075</v>
      </c>
      <c r="M899">
        <f t="shared" si="319"/>
        <v>0.18999999999677186</v>
      </c>
      <c r="N899">
        <f t="shared" si="320"/>
        <v>0.18799999959874153</v>
      </c>
      <c r="O899">
        <f t="shared" si="321"/>
        <v>0.15777777777777752</v>
      </c>
      <c r="P899">
        <f t="shared" si="334"/>
        <v>0.08</v>
      </c>
      <c r="Q899">
        <f t="shared" si="330"/>
        <v>0.08</v>
      </c>
      <c r="R899">
        <f t="shared" si="323"/>
        <v>0.08</v>
      </c>
      <c r="S899">
        <f t="shared" si="324"/>
        <v>0.06</v>
      </c>
      <c r="T899">
        <f t="shared" si="325"/>
        <v>0.1</v>
      </c>
      <c r="U899">
        <f t="shared" si="331"/>
        <v>0.08</v>
      </c>
      <c r="V899">
        <f t="shared" si="336"/>
        <v>0.18799999959874153</v>
      </c>
      <c r="W899">
        <f t="shared" si="332"/>
        <v>0.16941984522938514</v>
      </c>
      <c r="X899">
        <f t="shared" si="333"/>
        <v>0.21038468563040374</v>
      </c>
      <c r="Y899" t="b">
        <f t="shared" si="335"/>
        <v>0</v>
      </c>
    </row>
    <row xmlns:x14ac="http://schemas.microsoft.com/office/spreadsheetml/2009/9/ac" r="900" x14ac:dyDescent="0.45">
      <c r="A900">
        <v>4.4649999999999297</v>
      </c>
      <c r="B900">
        <f t="shared" si="313"/>
        <v>0.16299999999792159</v>
      </c>
      <c r="C900" t="b">
        <f t="shared" si="326"/>
        <v>1</v>
      </c>
      <c r="D900" t="b">
        <f t="shared" si="314"/>
        <v>1</v>
      </c>
      <c r="E900">
        <f t="shared" si="322"/>
        <v>4.4649999999999297</v>
      </c>
      <c r="F900">
        <f t="shared" si="327"/>
        <v>0.16299999999792159</v>
      </c>
      <c r="G900">
        <f t="shared" si="315"/>
        <v>0.21037518770834768</v>
      </c>
      <c r="H900">
        <f t="shared" si="316"/>
        <v>3.4999999999200615E-2</v>
      </c>
      <c r="I900" t="b">
        <f t="shared" si="328"/>
        <v>1</v>
      </c>
      <c r="J900">
        <f t="shared" si="317"/>
        <v>4.4649999999999297</v>
      </c>
      <c r="K900">
        <f t="shared" si="329"/>
        <v>3.4999999999200615E-2</v>
      </c>
      <c r="L900">
        <f t="shared" si="318"/>
        <v>0.16943416930170879</v>
      </c>
      <c r="M900">
        <f t="shared" si="319"/>
        <v>0.18999999999840123</v>
      </c>
      <c r="N900">
        <f t="shared" si="320"/>
        <v>0.18800000414195683</v>
      </c>
      <c r="O900">
        <f t="shared" si="321"/>
        <v>0.15777777777777763</v>
      </c>
      <c r="P900">
        <f t="shared" si="334"/>
        <v>0.08</v>
      </c>
      <c r="Q900">
        <f t="shared" si="330"/>
        <v>0.08</v>
      </c>
      <c r="R900">
        <f t="shared" si="323"/>
        <v>0.08</v>
      </c>
      <c r="S900">
        <f t="shared" si="324"/>
        <v>0.06</v>
      </c>
      <c r="T900">
        <f t="shared" si="325"/>
        <v>0.1</v>
      </c>
      <c r="U900">
        <f t="shared" si="331"/>
        <v>0.08</v>
      </c>
      <c r="V900">
        <f t="shared" si="336"/>
        <v>0.18800000414195683</v>
      </c>
      <c r="W900">
        <f t="shared" si="332"/>
        <v>0.16942273876337505</v>
      </c>
      <c r="X900">
        <f t="shared" si="333"/>
        <v>0.21038276700281783</v>
      </c>
      <c r="Y900" t="b">
        <f t="shared" si="335"/>
        <v>0</v>
      </c>
    </row>
    <row xmlns:x14ac="http://schemas.microsoft.com/office/spreadsheetml/2009/9/ac" r="901" x14ac:dyDescent="0.45">
      <c r="A901">
        <v>4.4699999999999296</v>
      </c>
      <c r="B901">
        <f t="shared" si="313"/>
        <v>0.16299999999994635</v>
      </c>
      <c r="C901" t="b">
        <f t="shared" si="326"/>
        <v>1</v>
      </c>
      <c r="D901" t="b">
        <f t="shared" si="314"/>
        <v>1</v>
      </c>
      <c r="E901">
        <f t="shared" si="322"/>
        <v>4.4699999999999296</v>
      </c>
      <c r="F901">
        <f t="shared" si="327"/>
        <v>0.16299999999994635</v>
      </c>
      <c r="G901">
        <f t="shared" si="315"/>
        <v>0.21037331645184565</v>
      </c>
      <c r="H901">
        <f t="shared" si="316"/>
        <v>3.4999999999979367E-2</v>
      </c>
      <c r="I901" t="b">
        <f t="shared" si="328"/>
        <v>1</v>
      </c>
      <c r="J901">
        <f t="shared" si="317"/>
        <v>4.4699999999999296</v>
      </c>
      <c r="K901">
        <f t="shared" si="329"/>
        <v>3.4999999999979367E-2</v>
      </c>
      <c r="L901">
        <f t="shared" si="318"/>
        <v>0.16943699139408996</v>
      </c>
      <c r="M901">
        <f t="shared" si="319"/>
        <v>0.18999999999995876</v>
      </c>
      <c r="N901">
        <f t="shared" si="320"/>
        <v>0.18800000852360216</v>
      </c>
      <c r="O901">
        <f t="shared" si="321"/>
        <v>0.15777777777777768</v>
      </c>
      <c r="P901">
        <f t="shared" si="334"/>
        <v>0.08</v>
      </c>
      <c r="Q901">
        <f t="shared" si="330"/>
        <v>0.08</v>
      </c>
      <c r="R901">
        <f t="shared" si="323"/>
        <v>0.08</v>
      </c>
      <c r="S901">
        <f t="shared" si="324"/>
        <v>0.06</v>
      </c>
      <c r="T901">
        <f t="shared" si="325"/>
        <v>0.1</v>
      </c>
      <c r="U901">
        <f t="shared" si="331"/>
        <v>0.08</v>
      </c>
      <c r="V901">
        <f t="shared" si="336"/>
        <v>0.18800000852360216</v>
      </c>
      <c r="W901">
        <f t="shared" si="332"/>
        <v>0.16942561786580396</v>
      </c>
      <c r="X901">
        <f t="shared" si="333"/>
        <v>0.21038085794442696</v>
      </c>
      <c r="Y901" t="b">
        <f t="shared" si="335"/>
        <v>0</v>
      </c>
    </row>
    <row xmlns:x14ac="http://schemas.microsoft.com/office/spreadsheetml/2009/9/ac" r="902" x14ac:dyDescent="0.45">
      <c r="A902">
        <v>4.4749999999999304</v>
      </c>
      <c r="B902">
        <f t="shared" si="313"/>
        <v>0.16300000000187267</v>
      </c>
      <c r="C902" t="b">
        <f t="shared" si="326"/>
        <v>1</v>
      </c>
      <c r="D902" t="b">
        <f t="shared" si="314"/>
        <v>1</v>
      </c>
      <c r="E902">
        <f t="shared" si="322"/>
        <v>4.4749999999999304</v>
      </c>
      <c r="F902">
        <f t="shared" si="327"/>
        <v>0.16300000000187267</v>
      </c>
      <c r="G902">
        <f t="shared" si="315"/>
        <v>0.21037145452827433</v>
      </c>
      <c r="H902">
        <f t="shared" si="316"/>
        <v>3.5000000000720261E-2</v>
      </c>
      <c r="I902" t="b">
        <f t="shared" si="328"/>
        <v>1</v>
      </c>
      <c r="J902">
        <f t="shared" si="317"/>
        <v>4.4749999999999304</v>
      </c>
      <c r="K902">
        <f t="shared" si="329"/>
        <v>3.5000000000720261E-2</v>
      </c>
      <c r="L902">
        <f t="shared" si="318"/>
        <v>0.16943979941122661</v>
      </c>
      <c r="M902">
        <f t="shared" si="319"/>
        <v>0.19000000000144052</v>
      </c>
      <c r="N902">
        <f t="shared" si="320"/>
        <v>0.18800001272920744</v>
      </c>
      <c r="O902">
        <f t="shared" si="321"/>
        <v>0.15777777777777774</v>
      </c>
      <c r="P902">
        <f t="shared" si="334"/>
        <v>0.08</v>
      </c>
      <c r="Q902">
        <f t="shared" si="330"/>
        <v>0.08</v>
      </c>
      <c r="R902">
        <f t="shared" si="323"/>
        <v>0.08</v>
      </c>
      <c r="S902">
        <f t="shared" si="324"/>
        <v>0.06</v>
      </c>
      <c r="T902">
        <f t="shared" si="325"/>
        <v>0.1</v>
      </c>
      <c r="U902">
        <f t="shared" si="331"/>
        <v>0.08</v>
      </c>
      <c r="V902">
        <f t="shared" si="336"/>
        <v>0.18800001272920744</v>
      </c>
      <c r="W902">
        <f t="shared" si="332"/>
        <v>0.16942848260864962</v>
      </c>
      <c r="X902">
        <f t="shared" si="333"/>
        <v>0.21037895840750448</v>
      </c>
      <c r="Y902" t="b">
        <f t="shared" si="335"/>
        <v>0</v>
      </c>
    </row>
    <row xmlns:x14ac="http://schemas.microsoft.com/office/spreadsheetml/2009/9/ac" r="903" x14ac:dyDescent="0.45">
      <c r="A903">
        <v>4.4799999999999303</v>
      </c>
      <c r="B903">
        <f t="shared" ref="B903:B966" si="337">-(1+Marge_haute)*(A+B/Tpll*EXP(-$A903/Tpll)+C_*EXP(-epsilon*Wn*$A903)*COS(Wd*$A903)+C_*(D/C_-epsilon*Wn)/Wd*EXP(-epsilon*Wn*$A903)*SIN(Wd*$A903))+SIGN(DeltaPexpected)*Tunnel</f>
        <v>0.16300000000369605</v>
      </c>
      <c r="C903" t="b">
        <f t="shared" si="326"/>
        <v>1</v>
      </c>
      <c r="D903" t="b">
        <f t="shared" ref="D903:D966" si="338">IF(D902,D902,IF(C903,B903&gt;B902,C903))</f>
        <v>1</v>
      </c>
      <c r="E903">
        <f t="shared" si="322"/>
        <v>4.4799999999999303</v>
      </c>
      <c r="F903">
        <f t="shared" si="327"/>
        <v>0.16300000000369605</v>
      </c>
      <c r="G903">
        <f t="shared" ref="G903:G966" si="339">P0-SIGN(Rocof)*IF(D903,DeltaPexpected+SIGN(DeltaPexpected)*Tunnel+(MIN(F$7:F$1495)-DeltaPexpected-+SIGN(DeltaPexpected)*Tunnel)*EXP(-(A903-MIN(E$7:E$1495))/Texpodecrease),B903)</f>
        <v>0.21036960189108561</v>
      </c>
      <c r="H903">
        <f t="shared" ref="H903:H966" si="340">-(1-marge_basse)*(A+B/Tpll*EXP(-$A903/Tpll)+C_*EXP(-epsilon*Wn*$A903)*COS(Wd*$A903)+C_*(D/C_-epsilon*Wn)/Wd*EXP(-epsilon*Wn*$A903)*SIN(Wd*$A903))-Tunnel</f>
        <v>3.5000000001421561E-2</v>
      </c>
      <c r="I903" t="b">
        <f t="shared" si="328"/>
        <v>1</v>
      </c>
      <c r="J903">
        <f t="shared" ref="J903:J966" si="341">IF(I903,A903,I903)</f>
        <v>4.4799999999999303</v>
      </c>
      <c r="K903">
        <f t="shared" si="329"/>
        <v>3.5000000001421561E-2</v>
      </c>
      <c r="L903">
        <f t="shared" ref="L903:L966" si="342">P0-SIGN(Rocof)*IF(I903,AF$23-AF$13+(MAX(K$7:K$1495)-AF$23+AF$13)*EXP(-(A903-MIN(J$7:J$1495))/AB$21),H903)</f>
        <v>0.16944259342331941</v>
      </c>
      <c r="M903">
        <f t="shared" ref="M903:M966" si="343">P0-(1)*(A+B/Tpll*EXP(-$A903/Tpll)+C_*EXP(-epsilon*Wn*$A903)*COS(Wd*$A903)+C_*(D/C_-epsilon*Wn)/Wd*EXP(-epsilon*Wn*$A903)*SIN(Wd*$A903))</f>
        <v>0.19000000000284312</v>
      </c>
      <c r="N903">
        <f t="shared" ref="N903:N966" si="344">AB$6-(AG$17+AG$16/AC$18*EXP(-$A903/AC$18)+AG$18*EXP(-AG$6*AG$12*$A903)*COS(AG$5*$A903)+AG$18*(AG$19/AG$18-AG$6*AG$12)/AG$5*EXP(-AG$6*AG$12*$A903)*SIN(AG$5*$A903))</f>
        <v>0.18800001674554401</v>
      </c>
      <c r="O903">
        <f t="shared" ref="O903:O966" si="345">AB$6-(AH$17+AH$16/AD$18*EXP(-$A903/AD$18)+AH$18*EXP(-AH$6*AH$12*$A903)*COS(AH$5*$A903)+AH$18*(AH$19/AH$18-AH$6*AH$12)/AH$5*EXP(-AH$6*AH$12*$A903)*SIN(AH$5*$A903))</f>
        <v>0.15777777777777779</v>
      </c>
      <c r="P903">
        <f t="shared" si="334"/>
        <v>0.08</v>
      </c>
      <c r="Q903">
        <f t="shared" si="330"/>
        <v>0.08</v>
      </c>
      <c r="R903">
        <f t="shared" si="323"/>
        <v>0.08</v>
      </c>
      <c r="S903">
        <f t="shared" si="324"/>
        <v>0.06</v>
      </c>
      <c r="T903">
        <f t="shared" si="325"/>
        <v>0.1</v>
      </c>
      <c r="U903">
        <f t="shared" si="331"/>
        <v>0.08</v>
      </c>
      <c r="V903">
        <f t="shared" si="336"/>
        <v>0.18800001674554401</v>
      </c>
      <c r="W903">
        <f t="shared" si="332"/>
        <v>0.16943133306353075</v>
      </c>
      <c r="X903">
        <f t="shared" si="333"/>
        <v>0.21037706834456193</v>
      </c>
      <c r="Y903" t="b">
        <f t="shared" si="335"/>
        <v>0</v>
      </c>
    </row>
    <row xmlns:x14ac="http://schemas.microsoft.com/office/spreadsheetml/2009/9/ac" r="904" x14ac:dyDescent="0.45">
      <c r="A904">
        <v>4.4849999999999302</v>
      </c>
      <c r="B904">
        <f t="shared" si="337"/>
        <v>0.16300000000541284</v>
      </c>
      <c r="C904" t="b">
        <f t="shared" si="326"/>
        <v>1</v>
      </c>
      <c r="D904" t="b">
        <f t="shared" si="338"/>
        <v>1</v>
      </c>
      <c r="E904">
        <f t="shared" ref="E904:E967" si="346">IF(D904,A904,D904)</f>
        <v>4.4849999999999302</v>
      </c>
      <c r="F904">
        <f t="shared" si="327"/>
        <v>0.16300000000541284</v>
      </c>
      <c r="G904">
        <f t="shared" si="339"/>
        <v>0.21036775849396339</v>
      </c>
      <c r="H904">
        <f t="shared" si="340"/>
        <v>3.5000000002081866E-2</v>
      </c>
      <c r="I904" t="b">
        <f t="shared" si="328"/>
        <v>1</v>
      </c>
      <c r="J904">
        <f t="shared" si="341"/>
        <v>4.4849999999999302</v>
      </c>
      <c r="K904">
        <f t="shared" si="329"/>
        <v>3.5000000002081866E-2</v>
      </c>
      <c r="L904">
        <f t="shared" si="342"/>
        <v>0.16944537350021874</v>
      </c>
      <c r="M904">
        <f t="shared" si="343"/>
        <v>0.19000000000416373</v>
      </c>
      <c r="N904">
        <f t="shared" si="344"/>
        <v>0.18800002056064474</v>
      </c>
      <c r="O904">
        <f t="shared" si="345"/>
        <v>0.15777777777777785</v>
      </c>
      <c r="P904">
        <f t="shared" si="334"/>
        <v>0.08</v>
      </c>
      <c r="Q904">
        <f t="shared" si="330"/>
        <v>0.08</v>
      </c>
      <c r="R904">
        <f t="shared" ref="R904:R967" si="347">$AB$6-(1+AB$17)*EXP(-AF$6*AF$12*A904)*(COS(AF$5*A904)-(AF$6*AF$12-1)/(AF$5)*SIN(AF$5*A904))*AF$15</f>
        <v>0.08</v>
      </c>
      <c r="S904">
        <f t="shared" ref="S904:S967" si="348">R904-AF$13</f>
        <v>0.06</v>
      </c>
      <c r="T904">
        <f t="shared" ref="T904:T967" si="349">R904+AF$13</f>
        <v>0.1</v>
      </c>
      <c r="U904">
        <f t="shared" si="331"/>
        <v>0.08</v>
      </c>
      <c r="V904">
        <f t="shared" si="336"/>
        <v>0.18800002056064474</v>
      </c>
      <c r="W904">
        <f t="shared" si="332"/>
        <v>0.16943416930170879</v>
      </c>
      <c r="X904">
        <f t="shared" si="333"/>
        <v>0.21037518770834768</v>
      </c>
      <c r="Y904" t="b">
        <f t="shared" si="335"/>
        <v>0</v>
      </c>
    </row>
    <row xmlns:x14ac="http://schemas.microsoft.com/office/spreadsheetml/2009/9/ac" r="905" x14ac:dyDescent="0.45">
      <c r="A905">
        <v>4.48999999999993</v>
      </c>
      <c r="B905">
        <f t="shared" si="337"/>
        <v>0.16300000000702</v>
      </c>
      <c r="C905" t="b">
        <f t="shared" ref="C905:C968" si="350">IF(C904,C904,(B905&lt;B904))</f>
        <v>1</v>
      </c>
      <c r="D905" t="b">
        <f t="shared" si="338"/>
        <v>1</v>
      </c>
      <c r="E905">
        <f t="shared" si="346"/>
        <v>4.48999999999993</v>
      </c>
      <c r="F905">
        <f t="shared" ref="F905:F968" si="351">IF(D905,B905,D905)</f>
        <v>0.16300000000702</v>
      </c>
      <c r="G905">
        <f t="shared" si="339"/>
        <v>0.21036592429082268</v>
      </c>
      <c r="H905">
        <f t="shared" si="340"/>
        <v>3.5000000002699996E-2</v>
      </c>
      <c r="I905" t="b">
        <f t="shared" ref="I905:I968" si="352">IF(I904,I904,H904&gt;H905)</f>
        <v>1</v>
      </c>
      <c r="J905">
        <f t="shared" si="341"/>
        <v>4.48999999999993</v>
      </c>
      <c r="K905">
        <f t="shared" ref="K905:K968" si="353">IF(I905,H905,I905)</f>
        <v>3.5000000002699996E-2</v>
      </c>
      <c r="L905">
        <f t="shared" si="342"/>
        <v>0.16944813971142669</v>
      </c>
      <c r="M905">
        <f t="shared" si="343"/>
        <v>0.19000000000540002</v>
      </c>
      <c r="N905">
        <f t="shared" si="344"/>
        <v>0.1880000241638177</v>
      </c>
      <c r="O905">
        <f t="shared" si="345"/>
        <v>0.15777777777777791</v>
      </c>
      <c r="P905">
        <f t="shared" si="334"/>
        <v>0.08</v>
      </c>
      <c r="Q905">
        <f t="shared" ref="Q905:Q968" si="354">$AB$6-(1+AB$17)*EXP(-AF$6*AF$12*A903)*(COS(AF$5*A903)-(AF$6*AF$12-1)/(AF$5)*SIN(AF$5*A903))*AF$15</f>
        <v>0.08</v>
      </c>
      <c r="R905">
        <f t="shared" si="347"/>
        <v>0.08</v>
      </c>
      <c r="S905">
        <f t="shared" si="348"/>
        <v>0.06</v>
      </c>
      <c r="T905">
        <f t="shared" si="349"/>
        <v>0.1</v>
      </c>
      <c r="U905">
        <f t="shared" ref="U905:U968" si="355">$AB$6-AB$18*EXP(-AF$6*AF$12*A903)*(COS(AF$5*A903)-(AF$6*AF$12-1)/(AF$5)*SIN(AF$5*A903))*AF$15</f>
        <v>0.08</v>
      </c>
      <c r="V905">
        <f t="shared" si="336"/>
        <v>0.1880000241638177</v>
      </c>
      <c r="W905">
        <f t="shared" si="332"/>
        <v>0.16943699139408996</v>
      </c>
      <c r="X905">
        <f t="shared" si="333"/>
        <v>0.21037331645184565</v>
      </c>
      <c r="Y905" t="b">
        <f t="shared" si="335"/>
        <v>0</v>
      </c>
    </row>
    <row xmlns:x14ac="http://schemas.microsoft.com/office/spreadsheetml/2009/9/ac" r="906" x14ac:dyDescent="0.45">
      <c r="A906">
        <v>4.4949999999999299</v>
      </c>
      <c r="B906">
        <f t="shared" si="337"/>
        <v>0.16300000000851519</v>
      </c>
      <c r="C906" t="b">
        <f t="shared" si="350"/>
        <v>1</v>
      </c>
      <c r="D906" t="b">
        <f t="shared" si="338"/>
        <v>1</v>
      </c>
      <c r="E906">
        <f t="shared" si="346"/>
        <v>4.4949999999999299</v>
      </c>
      <c r="F906">
        <f t="shared" si="351"/>
        <v>0.16300000000851519</v>
      </c>
      <c r="G906">
        <f t="shared" si="339"/>
        <v>0.21036409923580829</v>
      </c>
      <c r="H906">
        <f t="shared" si="340"/>
        <v>3.5000000003275078E-2</v>
      </c>
      <c r="I906" t="b">
        <f t="shared" si="352"/>
        <v>1</v>
      </c>
      <c r="J906">
        <f t="shared" si="341"/>
        <v>4.4949999999999299</v>
      </c>
      <c r="K906">
        <f t="shared" si="353"/>
        <v>3.5000000003275078E-2</v>
      </c>
      <c r="L906">
        <f t="shared" si="342"/>
        <v>0.16945089212609868</v>
      </c>
      <c r="M906">
        <f t="shared" si="343"/>
        <v>0.19000000000655015</v>
      </c>
      <c r="N906">
        <f t="shared" si="344"/>
        <v>0.18800002754565354</v>
      </c>
      <c r="O906">
        <f t="shared" si="345"/>
        <v>0.15777777777777796</v>
      </c>
      <c r="P906">
        <f t="shared" si="334"/>
        <v>0.08</v>
      </c>
      <c r="Q906">
        <f t="shared" si="354"/>
        <v>0.08</v>
      </c>
      <c r="R906">
        <f t="shared" si="347"/>
        <v>0.08</v>
      </c>
      <c r="S906">
        <f t="shared" si="348"/>
        <v>0.06</v>
      </c>
      <c r="T906">
        <f t="shared" si="349"/>
        <v>0.1</v>
      </c>
      <c r="U906">
        <f t="shared" si="355"/>
        <v>0.08</v>
      </c>
      <c r="V906">
        <f t="shared" si="336"/>
        <v>0.18800002754565354</v>
      </c>
      <c r="W906">
        <f t="shared" si="332"/>
        <v>0.16943979941122661</v>
      </c>
      <c r="X906">
        <f t="shared" si="333"/>
        <v>0.21037145452827433</v>
      </c>
      <c r="Y906" t="b">
        <f t="shared" si="335"/>
        <v>0</v>
      </c>
    </row>
    <row xmlns:x14ac="http://schemas.microsoft.com/office/spreadsheetml/2009/9/ac" r="907" x14ac:dyDescent="0.45">
      <c r="A907">
        <v>4.4999999999999298</v>
      </c>
      <c r="B907">
        <f t="shared" si="337"/>
        <v>0.16300000000989676</v>
      </c>
      <c r="C907" t="b">
        <f t="shared" si="350"/>
        <v>1</v>
      </c>
      <c r="D907" t="b">
        <f t="shared" si="338"/>
        <v>1</v>
      </c>
      <c r="E907">
        <f t="shared" si="346"/>
        <v>4.4999999999999298</v>
      </c>
      <c r="F907">
        <f t="shared" si="351"/>
        <v>0.16300000000989676</v>
      </c>
      <c r="G907">
        <f t="shared" si="339"/>
        <v>0.21036228328329376</v>
      </c>
      <c r="H907">
        <f t="shared" si="340"/>
        <v>3.5000000003806445E-2</v>
      </c>
      <c r="I907" t="b">
        <f t="shared" si="352"/>
        <v>1</v>
      </c>
      <c r="J907">
        <f t="shared" si="341"/>
        <v>4.4999999999999298</v>
      </c>
      <c r="K907">
        <f t="shared" si="353"/>
        <v>3.5000000003806445E-2</v>
      </c>
      <c r="L907">
        <f t="shared" si="342"/>
        <v>0.16945363081304521</v>
      </c>
      <c r="M907">
        <f t="shared" si="343"/>
        <v>0.19000000000761288</v>
      </c>
      <c r="N907">
        <f t="shared" si="344"/>
        <v>0.18800003069802734</v>
      </c>
      <c r="O907">
        <f t="shared" si="345"/>
        <v>0.15777777777777799</v>
      </c>
      <c r="P907">
        <f t="shared" si="334"/>
        <v>0.08</v>
      </c>
      <c r="Q907">
        <f t="shared" si="354"/>
        <v>0.08</v>
      </c>
      <c r="R907">
        <f t="shared" si="347"/>
        <v>0.08</v>
      </c>
      <c r="S907">
        <f t="shared" si="348"/>
        <v>0.06</v>
      </c>
      <c r="T907">
        <f t="shared" si="349"/>
        <v>0.1</v>
      </c>
      <c r="U907">
        <f t="shared" si="355"/>
        <v>0.08</v>
      </c>
      <c r="V907">
        <f t="shared" si="336"/>
        <v>0.18800003069802734</v>
      </c>
      <c r="W907">
        <f t="shared" ref="W907:W970" si="356">IF(EMT_Simulation,L903,L907)</f>
        <v>0.16944259342331941</v>
      </c>
      <c r="X907">
        <f t="shared" ref="X907:X970" si="357">IF(EMT_Simulation,G903,G907)</f>
        <v>0.21036960189108561</v>
      </c>
      <c r="Y907" t="b">
        <f t="shared" si="335"/>
        <v>0</v>
      </c>
    </row>
    <row xmlns:x14ac="http://schemas.microsoft.com/office/spreadsheetml/2009/9/ac" r="908" x14ac:dyDescent="0.45">
      <c r="A908">
        <v>4.5049999999999297</v>
      </c>
      <c r="B908">
        <f t="shared" si="337"/>
        <v>0.16300000001116358</v>
      </c>
      <c r="C908" t="b">
        <f t="shared" si="350"/>
        <v>1</v>
      </c>
      <c r="D908" t="b">
        <f t="shared" si="338"/>
        <v>1</v>
      </c>
      <c r="E908">
        <f t="shared" si="346"/>
        <v>4.5049999999999297</v>
      </c>
      <c r="F908">
        <f t="shared" si="351"/>
        <v>0.16300000001116358</v>
      </c>
      <c r="G908">
        <f t="shared" si="339"/>
        <v>0.21036047638788019</v>
      </c>
      <c r="H908">
        <f t="shared" si="340"/>
        <v>3.500000000429368E-2</v>
      </c>
      <c r="I908" t="b">
        <f t="shared" si="352"/>
        <v>1</v>
      </c>
      <c r="J908">
        <f t="shared" si="341"/>
        <v>4.5049999999999297</v>
      </c>
      <c r="K908">
        <f t="shared" si="353"/>
        <v>3.500000000429368E-2</v>
      </c>
      <c r="L908">
        <f t="shared" si="342"/>
        <v>0.16945635584073365</v>
      </c>
      <c r="M908">
        <f t="shared" si="343"/>
        <v>0.19000000000858736</v>
      </c>
      <c r="N908">
        <f t="shared" si="344"/>
        <v>0.18800003361409429</v>
      </c>
      <c r="O908">
        <f t="shared" si="345"/>
        <v>0.15777777777777802</v>
      </c>
      <c r="P908">
        <f t="shared" si="334"/>
        <v>0.08</v>
      </c>
      <c r="Q908">
        <f t="shared" si="354"/>
        <v>0.08</v>
      </c>
      <c r="R908">
        <f t="shared" si="347"/>
        <v>0.08</v>
      </c>
      <c r="S908">
        <f t="shared" si="348"/>
        <v>0.06</v>
      </c>
      <c r="T908">
        <f t="shared" si="349"/>
        <v>0.1</v>
      </c>
      <c r="U908">
        <f t="shared" si="355"/>
        <v>0.08</v>
      </c>
      <c r="V908">
        <f t="shared" si="336"/>
        <v>0.18800003361409429</v>
      </c>
      <c r="W908">
        <f t="shared" si="356"/>
        <v>0.16944537350021874</v>
      </c>
      <c r="X908">
        <f t="shared" si="357"/>
        <v>0.21036775849396339</v>
      </c>
      <c r="Y908" t="b">
        <f t="shared" si="335"/>
        <v>0</v>
      </c>
    </row>
    <row xmlns:x14ac="http://schemas.microsoft.com/office/spreadsheetml/2009/9/ac" r="909" x14ac:dyDescent="0.45">
      <c r="A909">
        <v>4.5099999999999296</v>
      </c>
      <c r="B909">
        <f t="shared" si="337"/>
        <v>0.16300000001231518</v>
      </c>
      <c r="C909" t="b">
        <f t="shared" si="350"/>
        <v>1</v>
      </c>
      <c r="D909" t="b">
        <f t="shared" si="338"/>
        <v>1</v>
      </c>
      <c r="E909">
        <f t="shared" si="346"/>
        <v>4.5099999999999296</v>
      </c>
      <c r="F909">
        <f t="shared" si="351"/>
        <v>0.16300000001231518</v>
      </c>
      <c r="G909">
        <f t="shared" si="339"/>
        <v>0.2103586785043951</v>
      </c>
      <c r="H909">
        <f t="shared" si="340"/>
        <v>3.5000000004736617E-2</v>
      </c>
      <c r="I909" t="b">
        <f t="shared" si="352"/>
        <v>1</v>
      </c>
      <c r="J909">
        <f t="shared" si="341"/>
        <v>4.5099999999999296</v>
      </c>
      <c r="K909">
        <f t="shared" si="353"/>
        <v>3.5000000004736617E-2</v>
      </c>
      <c r="L909">
        <f t="shared" si="342"/>
        <v>0.16945906727728977</v>
      </c>
      <c r="M909">
        <f t="shared" si="343"/>
        <v>0.19000000000947323</v>
      </c>
      <c r="N909">
        <f t="shared" si="344"/>
        <v>0.18800003628827996</v>
      </c>
      <c r="O909">
        <f t="shared" si="345"/>
        <v>0.15777777777777807</v>
      </c>
      <c r="P909">
        <f t="shared" si="334"/>
        <v>0.08</v>
      </c>
      <c r="Q909">
        <f t="shared" si="354"/>
        <v>0.08</v>
      </c>
      <c r="R909">
        <f t="shared" si="347"/>
        <v>0.08</v>
      </c>
      <c r="S909">
        <f t="shared" si="348"/>
        <v>0.06</v>
      </c>
      <c r="T909">
        <f t="shared" si="349"/>
        <v>0.1</v>
      </c>
      <c r="U909">
        <f t="shared" si="355"/>
        <v>0.08</v>
      </c>
      <c r="V909">
        <f t="shared" si="336"/>
        <v>0.18800003628827996</v>
      </c>
      <c r="W909">
        <f t="shared" si="356"/>
        <v>0.16944813971142669</v>
      </c>
      <c r="X909">
        <f t="shared" si="357"/>
        <v>0.21036592429082268</v>
      </c>
      <c r="Y909" t="b">
        <f t="shared" si="335"/>
        <v>0</v>
      </c>
    </row>
    <row xmlns:x14ac="http://schemas.microsoft.com/office/spreadsheetml/2009/9/ac" r="910" x14ac:dyDescent="0.45">
      <c r="A910">
        <v>4.5149999999999304</v>
      </c>
      <c r="B910">
        <f t="shared" si="337"/>
        <v>0.16300000001335177</v>
      </c>
      <c r="C910" t="b">
        <f t="shared" si="350"/>
        <v>1</v>
      </c>
      <c r="D910" t="b">
        <f t="shared" si="338"/>
        <v>1</v>
      </c>
      <c r="E910">
        <f t="shared" si="346"/>
        <v>4.5149999999999304</v>
      </c>
      <c r="F910">
        <f t="shared" si="351"/>
        <v>0.16300000001335177</v>
      </c>
      <c r="G910">
        <f t="shared" si="339"/>
        <v>0.21035688958789128</v>
      </c>
      <c r="H910">
        <f t="shared" si="340"/>
        <v>3.5000000005135298E-2</v>
      </c>
      <c r="I910" t="b">
        <f t="shared" si="352"/>
        <v>1</v>
      </c>
      <c r="J910">
        <f t="shared" si="341"/>
        <v>4.5149999999999304</v>
      </c>
      <c r="K910">
        <f t="shared" si="353"/>
        <v>3.5000000005135298E-2</v>
      </c>
      <c r="L910">
        <f t="shared" si="342"/>
        <v>0.16946176519049963</v>
      </c>
      <c r="M910">
        <f t="shared" si="343"/>
        <v>0.19000000001027059</v>
      </c>
      <c r="N910">
        <f t="shared" si="344"/>
        <v>0.18800003871626514</v>
      </c>
      <c r="O910">
        <f t="shared" si="345"/>
        <v>0.15777777777777807</v>
      </c>
      <c r="P910">
        <f t="shared" ref="P910:P973" si="358">$AB$6-EXP(-AF$6*AF$12*A910)*(COS(AF$5*A910)-(AF$6*AF$12-1)/(AF$5)*SIN(AF$5*A910))*AF$15</f>
        <v>0.08</v>
      </c>
      <c r="Q910">
        <f t="shared" si="354"/>
        <v>0.08</v>
      </c>
      <c r="R910">
        <f t="shared" si="347"/>
        <v>0.08</v>
      </c>
      <c r="S910">
        <f t="shared" si="348"/>
        <v>0.06</v>
      </c>
      <c r="T910">
        <f t="shared" si="349"/>
        <v>0.1</v>
      </c>
      <c r="U910">
        <f t="shared" si="355"/>
        <v>0.08</v>
      </c>
      <c r="V910">
        <f t="shared" si="336"/>
        <v>0.18800003871626514</v>
      </c>
      <c r="W910">
        <f t="shared" si="356"/>
        <v>0.16945089212609868</v>
      </c>
      <c r="X910">
        <f t="shared" si="357"/>
        <v>0.21036409923580829</v>
      </c>
      <c r="Y910" t="b">
        <f t="shared" si="335"/>
        <v>0</v>
      </c>
    </row>
    <row xmlns:x14ac="http://schemas.microsoft.com/office/spreadsheetml/2009/9/ac" r="911" x14ac:dyDescent="0.45">
      <c r="A911">
        <v>4.5199999999999303</v>
      </c>
      <c r="B911">
        <f t="shared" si="337"/>
        <v>0.16300000001427389</v>
      </c>
      <c r="C911" t="b">
        <f t="shared" si="350"/>
        <v>1</v>
      </c>
      <c r="D911" t="b">
        <f t="shared" si="338"/>
        <v>1</v>
      </c>
      <c r="E911">
        <f t="shared" si="346"/>
        <v>4.5199999999999303</v>
      </c>
      <c r="F911">
        <f t="shared" si="351"/>
        <v>0.16300000001427389</v>
      </c>
      <c r="G911">
        <f t="shared" si="339"/>
        <v>0.21035510959364578</v>
      </c>
      <c r="H911">
        <f t="shared" si="340"/>
        <v>3.5000000005489959E-2</v>
      </c>
      <c r="I911" t="b">
        <f t="shared" si="352"/>
        <v>1</v>
      </c>
      <c r="J911">
        <f t="shared" si="341"/>
        <v>4.5199999999999303</v>
      </c>
      <c r="K911">
        <f t="shared" si="353"/>
        <v>3.5000000005489959E-2</v>
      </c>
      <c r="L911">
        <f t="shared" si="342"/>
        <v>0.16946444964781124</v>
      </c>
      <c r="M911">
        <f t="shared" si="343"/>
        <v>0.19000000001097994</v>
      </c>
      <c r="N911">
        <f t="shared" si="344"/>
        <v>0.18800004089496564</v>
      </c>
      <c r="O911">
        <f t="shared" si="345"/>
        <v>0.15777777777777813</v>
      </c>
      <c r="P911">
        <f t="shared" si="358"/>
        <v>0.08</v>
      </c>
      <c r="Q911">
        <f t="shared" si="354"/>
        <v>0.08</v>
      </c>
      <c r="R911">
        <f t="shared" si="347"/>
        <v>0.08</v>
      </c>
      <c r="S911">
        <f t="shared" si="348"/>
        <v>0.06</v>
      </c>
      <c r="T911">
        <f t="shared" si="349"/>
        <v>0.1</v>
      </c>
      <c r="U911">
        <f t="shared" si="355"/>
        <v>0.08</v>
      </c>
      <c r="V911">
        <f t="shared" si="336"/>
        <v>0.18800004089496564</v>
      </c>
      <c r="W911">
        <f t="shared" si="356"/>
        <v>0.16945363081304521</v>
      </c>
      <c r="X911">
        <f t="shared" si="357"/>
        <v>0.21036228328329376</v>
      </c>
      <c r="Y911" t="b">
        <f t="shared" ref="Y911:Y974" si="359">IF(Y910,TRUE,IF(P911&lt;P910,TRUE))</f>
        <v>0</v>
      </c>
    </row>
    <row xmlns:x14ac="http://schemas.microsoft.com/office/spreadsheetml/2009/9/ac" r="912" x14ac:dyDescent="0.45">
      <c r="A912">
        <v>4.5249999999999302</v>
      </c>
      <c r="B912">
        <f t="shared" si="337"/>
        <v>0.1630000000150828</v>
      </c>
      <c r="C912" t="b">
        <f t="shared" si="350"/>
        <v>1</v>
      </c>
      <c r="D912" t="b">
        <f t="shared" si="338"/>
        <v>1</v>
      </c>
      <c r="E912">
        <f t="shared" si="346"/>
        <v>4.5249999999999302</v>
      </c>
      <c r="F912">
        <f t="shared" si="351"/>
        <v>0.1630000000150828</v>
      </c>
      <c r="G912">
        <f t="shared" si="339"/>
        <v>0.21035333847715859</v>
      </c>
      <c r="H912">
        <f t="shared" si="340"/>
        <v>3.5000000005801071E-2</v>
      </c>
      <c r="I912" t="b">
        <f t="shared" si="352"/>
        <v>1</v>
      </c>
      <c r="J912">
        <f t="shared" si="341"/>
        <v>4.5249999999999302</v>
      </c>
      <c r="K912">
        <f t="shared" si="353"/>
        <v>3.5000000005801071E-2</v>
      </c>
      <c r="L912">
        <f t="shared" si="342"/>
        <v>0.16946712071633613</v>
      </c>
      <c r="M912">
        <f t="shared" si="343"/>
        <v>0.19000000001160217</v>
      </c>
      <c r="N912">
        <f t="shared" si="344"/>
        <v>0.18800004282250721</v>
      </c>
      <c r="O912">
        <f t="shared" si="345"/>
        <v>0.15777777777777813</v>
      </c>
      <c r="P912">
        <f t="shared" si="358"/>
        <v>0.08</v>
      </c>
      <c r="Q912">
        <f t="shared" si="354"/>
        <v>0.08</v>
      </c>
      <c r="R912">
        <f t="shared" si="347"/>
        <v>0.08</v>
      </c>
      <c r="S912">
        <f t="shared" si="348"/>
        <v>0.06</v>
      </c>
      <c r="T912">
        <f t="shared" si="349"/>
        <v>0.1</v>
      </c>
      <c r="U912">
        <f t="shared" si="355"/>
        <v>0.08</v>
      </c>
      <c r="V912">
        <f t="shared" si="336"/>
        <v>0.18800004282250721</v>
      </c>
      <c r="W912">
        <f t="shared" si="356"/>
        <v>0.16945635584073365</v>
      </c>
      <c r="X912">
        <f t="shared" si="357"/>
        <v>0.21036047638788019</v>
      </c>
      <c r="Y912" t="b">
        <f t="shared" si="359"/>
        <v>0</v>
      </c>
    </row>
    <row xmlns:x14ac="http://schemas.microsoft.com/office/spreadsheetml/2009/9/ac" r="913" x14ac:dyDescent="0.45">
      <c r="A913">
        <v>4.5299999999999301</v>
      </c>
      <c r="B913">
        <f t="shared" si="337"/>
        <v>0.16300000001578005</v>
      </c>
      <c r="C913" t="b">
        <f t="shared" si="350"/>
        <v>1</v>
      </c>
      <c r="D913" t="b">
        <f t="shared" si="338"/>
        <v>1</v>
      </c>
      <c r="E913">
        <f t="shared" si="346"/>
        <v>4.5299999999999301</v>
      </c>
      <c r="F913">
        <f t="shared" si="351"/>
        <v>0.16300000001578005</v>
      </c>
      <c r="G913">
        <f t="shared" si="339"/>
        <v>0.21035157619415173</v>
      </c>
      <c r="H913">
        <f t="shared" si="340"/>
        <v>3.500000000606926E-2</v>
      </c>
      <c r="I913" t="b">
        <f t="shared" si="352"/>
        <v>1</v>
      </c>
      <c r="J913">
        <f t="shared" si="341"/>
        <v>4.5299999999999301</v>
      </c>
      <c r="K913">
        <f t="shared" si="353"/>
        <v>3.500000000606926E-2</v>
      </c>
      <c r="L913">
        <f t="shared" si="342"/>
        <v>0.16946977846285122</v>
      </c>
      <c r="M913">
        <f t="shared" si="343"/>
        <v>0.19000000001213851</v>
      </c>
      <c r="N913">
        <f t="shared" si="344"/>
        <v>0.18800004449819557</v>
      </c>
      <c r="O913">
        <f t="shared" si="345"/>
        <v>0.15777777777777816</v>
      </c>
      <c r="P913">
        <f t="shared" si="358"/>
        <v>0.08</v>
      </c>
      <c r="Q913">
        <f t="shared" si="354"/>
        <v>0.08</v>
      </c>
      <c r="R913">
        <f t="shared" si="347"/>
        <v>0.08</v>
      </c>
      <c r="S913">
        <f t="shared" si="348"/>
        <v>0.06</v>
      </c>
      <c r="T913">
        <f t="shared" si="349"/>
        <v>0.1</v>
      </c>
      <c r="U913">
        <f t="shared" si="355"/>
        <v>0.08</v>
      </c>
      <c r="V913">
        <f t="shared" si="336"/>
        <v>0.18800004449819557</v>
      </c>
      <c r="W913">
        <f t="shared" si="356"/>
        <v>0.16945906727728977</v>
      </c>
      <c r="X913">
        <f t="shared" si="357"/>
        <v>0.2103586785043951</v>
      </c>
      <c r="Y913" t="b">
        <f t="shared" si="359"/>
        <v>0</v>
      </c>
    </row>
    <row xmlns:x14ac="http://schemas.microsoft.com/office/spreadsheetml/2009/9/ac" r="914" x14ac:dyDescent="0.45">
      <c r="A914">
        <v>4.53499999999993</v>
      </c>
      <c r="B914">
        <f t="shared" si="337"/>
        <v>0.16300000001636783</v>
      </c>
      <c r="C914" t="b">
        <f t="shared" si="350"/>
        <v>1</v>
      </c>
      <c r="D914" t="b">
        <f t="shared" si="338"/>
        <v>1</v>
      </c>
      <c r="E914">
        <f t="shared" si="346"/>
        <v>4.53499999999993</v>
      </c>
      <c r="F914">
        <f t="shared" si="351"/>
        <v>0.16300000001636783</v>
      </c>
      <c r="G914">
        <f t="shared" si="339"/>
        <v>0.21034982270056801</v>
      </c>
      <c r="H914">
        <f t="shared" si="340"/>
        <v>3.5000000006295329E-2</v>
      </c>
      <c r="I914" t="b">
        <f t="shared" si="352"/>
        <v>1</v>
      </c>
      <c r="J914">
        <f t="shared" si="341"/>
        <v>4.53499999999993</v>
      </c>
      <c r="K914">
        <f t="shared" si="353"/>
        <v>3.5000000006295329E-2</v>
      </c>
      <c r="L914">
        <f t="shared" si="342"/>
        <v>0.16947242295380022</v>
      </c>
      <c r="M914">
        <f t="shared" si="343"/>
        <v>0.19000000001259065</v>
      </c>
      <c r="N914">
        <f t="shared" si="344"/>
        <v>0.18800004592248271</v>
      </c>
      <c r="O914">
        <f t="shared" si="345"/>
        <v>0.15777777777777818</v>
      </c>
      <c r="P914">
        <f t="shared" si="358"/>
        <v>0.08</v>
      </c>
      <c r="Q914">
        <f t="shared" si="354"/>
        <v>0.08</v>
      </c>
      <c r="R914">
        <f t="shared" si="347"/>
        <v>0.08</v>
      </c>
      <c r="S914">
        <f t="shared" si="348"/>
        <v>0.06</v>
      </c>
      <c r="T914">
        <f t="shared" si="349"/>
        <v>0.1</v>
      </c>
      <c r="U914">
        <f t="shared" si="355"/>
        <v>0.08</v>
      </c>
      <c r="V914">
        <f t="shared" si="336"/>
        <v>0.18800004592248271</v>
      </c>
      <c r="W914">
        <f t="shared" si="356"/>
        <v>0.16946176519049963</v>
      </c>
      <c r="X914">
        <f t="shared" si="357"/>
        <v>0.21035688958789128</v>
      </c>
      <c r="Y914" t="b">
        <f t="shared" si="359"/>
        <v>0</v>
      </c>
    </row>
    <row xmlns:x14ac="http://schemas.microsoft.com/office/spreadsheetml/2009/9/ac" r="915" x14ac:dyDescent="0.45">
      <c r="A915">
        <v>4.5399999999999299</v>
      </c>
      <c r="B915">
        <f t="shared" si="337"/>
        <v>0.16300000001684867</v>
      </c>
      <c r="C915" t="b">
        <f t="shared" si="350"/>
        <v>1</v>
      </c>
      <c r="D915" t="b">
        <f t="shared" si="338"/>
        <v>1</v>
      </c>
      <c r="E915">
        <f t="shared" si="346"/>
        <v>4.5399999999999299</v>
      </c>
      <c r="F915">
        <f t="shared" si="351"/>
        <v>0.16300000001684867</v>
      </c>
      <c r="G915">
        <f t="shared" si="339"/>
        <v>0.2103480779525701</v>
      </c>
      <c r="H915">
        <f t="shared" si="340"/>
        <v>3.5000000006480264E-2</v>
      </c>
      <c r="I915" t="b">
        <f t="shared" si="352"/>
        <v>1</v>
      </c>
      <c r="J915">
        <f t="shared" si="341"/>
        <v>4.5399999999999299</v>
      </c>
      <c r="K915">
        <f t="shared" si="353"/>
        <v>3.5000000006480264E-2</v>
      </c>
      <c r="L915">
        <f t="shared" si="342"/>
        <v>0.1694750542552956</v>
      </c>
      <c r="M915">
        <f t="shared" si="343"/>
        <v>0.19000000001296052</v>
      </c>
      <c r="N915">
        <f t="shared" si="344"/>
        <v>0.18800004709692839</v>
      </c>
      <c r="O915">
        <f t="shared" si="345"/>
        <v>0.15777777777777818</v>
      </c>
      <c r="P915">
        <f t="shared" si="358"/>
        <v>0.08</v>
      </c>
      <c r="Q915">
        <f t="shared" si="354"/>
        <v>0.08</v>
      </c>
      <c r="R915">
        <f t="shared" si="347"/>
        <v>0.08</v>
      </c>
      <c r="S915">
        <f t="shared" si="348"/>
        <v>0.06</v>
      </c>
      <c r="T915">
        <f t="shared" si="349"/>
        <v>0.1</v>
      </c>
      <c r="U915">
        <f t="shared" si="355"/>
        <v>0.08</v>
      </c>
      <c r="V915">
        <f t="shared" si="336"/>
        <v>0.18800004709692839</v>
      </c>
      <c r="W915">
        <f t="shared" si="356"/>
        <v>0.16946444964781124</v>
      </c>
      <c r="X915">
        <f t="shared" si="357"/>
        <v>0.21035510959364578</v>
      </c>
      <c r="Y915" t="b">
        <f t="shared" si="359"/>
        <v>0</v>
      </c>
    </row>
    <row xmlns:x14ac="http://schemas.microsoft.com/office/spreadsheetml/2009/9/ac" r="916" x14ac:dyDescent="0.45">
      <c r="A916">
        <v>4.5449999999999298</v>
      </c>
      <c r="B916">
        <f t="shared" si="337"/>
        <v>0.16300000001722545</v>
      </c>
      <c r="C916" t="b">
        <f t="shared" si="350"/>
        <v>1</v>
      </c>
      <c r="D916" t="b">
        <f t="shared" si="338"/>
        <v>1</v>
      </c>
      <c r="E916">
        <f t="shared" si="346"/>
        <v>4.5449999999999298</v>
      </c>
      <c r="F916">
        <f t="shared" si="351"/>
        <v>0.16300000001722545</v>
      </c>
      <c r="G916">
        <f t="shared" si="339"/>
        <v>0.21034634190653906</v>
      </c>
      <c r="H916">
        <f t="shared" si="340"/>
        <v>3.5000000006625176E-2</v>
      </c>
      <c r="I916" t="b">
        <f t="shared" si="352"/>
        <v>1</v>
      </c>
      <c r="J916">
        <f t="shared" si="341"/>
        <v>4.5449999999999298</v>
      </c>
      <c r="K916">
        <f t="shared" si="353"/>
        <v>3.5000000006625176E-2</v>
      </c>
      <c r="L916">
        <f t="shared" si="342"/>
        <v>0.16947767243312004</v>
      </c>
      <c r="M916">
        <f t="shared" si="343"/>
        <v>0.19000000001325035</v>
      </c>
      <c r="N916">
        <f t="shared" si="344"/>
        <v>0.18800004802415859</v>
      </c>
      <c r="O916">
        <f t="shared" si="345"/>
        <v>0.15777777777777818</v>
      </c>
      <c r="P916">
        <f t="shared" si="358"/>
        <v>0.08</v>
      </c>
      <c r="Q916">
        <f t="shared" si="354"/>
        <v>0.08</v>
      </c>
      <c r="R916">
        <f t="shared" si="347"/>
        <v>0.08</v>
      </c>
      <c r="S916">
        <f t="shared" si="348"/>
        <v>0.06</v>
      </c>
      <c r="T916">
        <f t="shared" si="349"/>
        <v>0.1</v>
      </c>
      <c r="U916">
        <f t="shared" si="355"/>
        <v>0.08</v>
      </c>
      <c r="V916">
        <f t="shared" si="336"/>
        <v>0.18800004802415859</v>
      </c>
      <c r="W916">
        <f t="shared" si="356"/>
        <v>0.16946712071633613</v>
      </c>
      <c r="X916">
        <f t="shared" si="357"/>
        <v>0.21035333847715859</v>
      </c>
      <c r="Y916" t="b">
        <f t="shared" si="359"/>
        <v>0</v>
      </c>
    </row>
    <row xmlns:x14ac="http://schemas.microsoft.com/office/spreadsheetml/2009/9/ac" r="917" x14ac:dyDescent="0.45">
      <c r="A917">
        <v>4.5499999999999297</v>
      </c>
      <c r="B917">
        <f t="shared" si="337"/>
        <v>0.16300000001750145</v>
      </c>
      <c r="C917" t="b">
        <f t="shared" si="350"/>
        <v>1</v>
      </c>
      <c r="D917" t="b">
        <f t="shared" si="338"/>
        <v>1</v>
      </c>
      <c r="E917">
        <f t="shared" si="346"/>
        <v>4.5499999999999297</v>
      </c>
      <c r="F917">
        <f t="shared" si="351"/>
        <v>0.16300000001750145</v>
      </c>
      <c r="G917">
        <f t="shared" si="339"/>
        <v>0.21034461451907377</v>
      </c>
      <c r="H917">
        <f t="shared" si="340"/>
        <v>3.5000000006731327E-2</v>
      </c>
      <c r="I917" t="b">
        <f t="shared" si="352"/>
        <v>1</v>
      </c>
      <c r="J917">
        <f t="shared" si="341"/>
        <v>4.5499999999999297</v>
      </c>
      <c r="K917">
        <f t="shared" si="353"/>
        <v>3.5000000006731327E-2</v>
      </c>
      <c r="L917">
        <f t="shared" si="342"/>
        <v>0.1694802775527281</v>
      </c>
      <c r="M917">
        <f t="shared" si="343"/>
        <v>0.19000000001346265</v>
      </c>
      <c r="N917">
        <f t="shared" si="344"/>
        <v>0.18800004870782011</v>
      </c>
      <c r="O917">
        <f t="shared" si="345"/>
        <v>0.15777777777777818</v>
      </c>
      <c r="P917">
        <f t="shared" si="358"/>
        <v>0.08</v>
      </c>
      <c r="Q917">
        <f t="shared" si="354"/>
        <v>0.08</v>
      </c>
      <c r="R917">
        <f t="shared" si="347"/>
        <v>0.08</v>
      </c>
      <c r="S917">
        <f t="shared" si="348"/>
        <v>0.06</v>
      </c>
      <c r="T917">
        <f t="shared" si="349"/>
        <v>0.1</v>
      </c>
      <c r="U917">
        <f t="shared" si="355"/>
        <v>0.08</v>
      </c>
      <c r="V917">
        <f t="shared" ref="V917:V980" si="360">MAX(IF(Y917,MAX(H917,$AB$6+$AF$13),MAX(T917,$AB$6+$AF$13)),O917,N917)</f>
        <v>0.18800004870782011</v>
      </c>
      <c r="W917">
        <f t="shared" si="356"/>
        <v>0.16946977846285122</v>
      </c>
      <c r="X917">
        <f t="shared" si="357"/>
        <v>0.21035157619415173</v>
      </c>
      <c r="Y917" t="b">
        <f t="shared" si="359"/>
        <v>0</v>
      </c>
    </row>
    <row xmlns:x14ac="http://schemas.microsoft.com/office/spreadsheetml/2009/9/ac" r="918" x14ac:dyDescent="0.45">
      <c r="A918">
        <v>4.5549999999999304</v>
      </c>
      <c r="B918">
        <f t="shared" si="337"/>
        <v>0.16300000001768025</v>
      </c>
      <c r="C918" t="b">
        <f t="shared" si="350"/>
        <v>1</v>
      </c>
      <c r="D918" t="b">
        <f t="shared" si="338"/>
        <v>1</v>
      </c>
      <c r="E918">
        <f t="shared" si="346"/>
        <v>4.5549999999999304</v>
      </c>
      <c r="F918">
        <f t="shared" si="351"/>
        <v>0.16300000001768025</v>
      </c>
      <c r="G918">
        <f t="shared" si="339"/>
        <v>0.21034289574698939</v>
      </c>
      <c r="H918">
        <f t="shared" si="340"/>
        <v>3.5000000006800092E-2</v>
      </c>
      <c r="I918" t="b">
        <f t="shared" si="352"/>
        <v>1</v>
      </c>
      <c r="J918">
        <f t="shared" si="341"/>
        <v>4.5549999999999304</v>
      </c>
      <c r="K918">
        <f t="shared" si="353"/>
        <v>3.5000000006800092E-2</v>
      </c>
      <c r="L918">
        <f t="shared" si="342"/>
        <v>0.16948286967924789</v>
      </c>
      <c r="M918">
        <f t="shared" si="343"/>
        <v>0.19000000001360018</v>
      </c>
      <c r="N918">
        <f t="shared" si="344"/>
        <v>0.18800004915253199</v>
      </c>
      <c r="O918">
        <f t="shared" si="345"/>
        <v>0.15777777777777821</v>
      </c>
      <c r="P918">
        <f t="shared" si="358"/>
        <v>0.08</v>
      </c>
      <c r="Q918">
        <f t="shared" si="354"/>
        <v>0.08</v>
      </c>
      <c r="R918">
        <f t="shared" si="347"/>
        <v>0.08</v>
      </c>
      <c r="S918">
        <f t="shared" si="348"/>
        <v>0.06</v>
      </c>
      <c r="T918">
        <f t="shared" si="349"/>
        <v>0.1</v>
      </c>
      <c r="U918">
        <f t="shared" si="355"/>
        <v>0.08</v>
      </c>
      <c r="V918">
        <f t="shared" si="360"/>
        <v>0.18800004915253199</v>
      </c>
      <c r="W918">
        <f t="shared" si="356"/>
        <v>0.16947242295380022</v>
      </c>
      <c r="X918">
        <f t="shared" si="357"/>
        <v>0.21034982270056801</v>
      </c>
      <c r="Y918" t="b">
        <f t="shared" si="359"/>
        <v>0</v>
      </c>
    </row>
    <row xmlns:x14ac="http://schemas.microsoft.com/office/spreadsheetml/2009/9/ac" r="919" x14ac:dyDescent="0.45">
      <c r="A919">
        <v>4.5599999999999303</v>
      </c>
      <c r="B919">
        <f t="shared" si="337"/>
        <v>0.16300000001776577</v>
      </c>
      <c r="C919" t="b">
        <f t="shared" si="350"/>
        <v>1</v>
      </c>
      <c r="D919" t="b">
        <f t="shared" si="338"/>
        <v>1</v>
      </c>
      <c r="E919">
        <f t="shared" si="346"/>
        <v>4.5599999999999303</v>
      </c>
      <c r="F919">
        <f t="shared" si="351"/>
        <v>0.16300000001776577</v>
      </c>
      <c r="G919">
        <f t="shared" si="339"/>
        <v>0.21034118554731651</v>
      </c>
      <c r="H919">
        <f t="shared" si="340"/>
        <v>3.5000000006832982E-2</v>
      </c>
      <c r="I919" t="b">
        <f t="shared" si="352"/>
        <v>1</v>
      </c>
      <c r="J919">
        <f t="shared" si="341"/>
        <v>4.5599999999999303</v>
      </c>
      <c r="K919">
        <f t="shared" si="353"/>
        <v>3.5000000006832982E-2</v>
      </c>
      <c r="L919">
        <f t="shared" si="342"/>
        <v>0.16948544887748274</v>
      </c>
      <c r="M919">
        <f t="shared" si="343"/>
        <v>0.19000000001366596</v>
      </c>
      <c r="N919">
        <f t="shared" si="344"/>
        <v>0.18800004936383458</v>
      </c>
      <c r="O919">
        <f t="shared" si="345"/>
        <v>0.15777777777777821</v>
      </c>
      <c r="P919">
        <f t="shared" si="358"/>
        <v>0.08</v>
      </c>
      <c r="Q919">
        <f t="shared" si="354"/>
        <v>0.08</v>
      </c>
      <c r="R919">
        <f t="shared" si="347"/>
        <v>0.08</v>
      </c>
      <c r="S919">
        <f t="shared" si="348"/>
        <v>0.06</v>
      </c>
      <c r="T919">
        <f t="shared" si="349"/>
        <v>0.1</v>
      </c>
      <c r="U919">
        <f t="shared" si="355"/>
        <v>0.08</v>
      </c>
      <c r="V919">
        <f t="shared" si="360"/>
        <v>0.18800004936383458</v>
      </c>
      <c r="W919">
        <f t="shared" si="356"/>
        <v>0.1694750542552956</v>
      </c>
      <c r="X919">
        <f t="shared" si="357"/>
        <v>0.2103480779525701</v>
      </c>
      <c r="Y919" t="b">
        <f t="shared" si="359"/>
        <v>0</v>
      </c>
    </row>
    <row xmlns:x14ac="http://schemas.microsoft.com/office/spreadsheetml/2009/9/ac" r="920" x14ac:dyDescent="0.45">
      <c r="A920">
        <v>4.5649999999999302</v>
      </c>
      <c r="B920">
        <f t="shared" si="337"/>
        <v>0.16300000001776213</v>
      </c>
      <c r="C920" t="b">
        <f t="shared" si="350"/>
        <v>1</v>
      </c>
      <c r="D920" t="b">
        <f t="shared" si="338"/>
        <v>1</v>
      </c>
      <c r="E920">
        <f t="shared" si="346"/>
        <v>4.5649999999999302</v>
      </c>
      <c r="F920">
        <f t="shared" si="351"/>
        <v>0.16300000001776213</v>
      </c>
      <c r="G920">
        <f t="shared" si="339"/>
        <v>0.21033948387730012</v>
      </c>
      <c r="H920">
        <f t="shared" si="340"/>
        <v>3.5000000006831594E-2</v>
      </c>
      <c r="I920" t="b">
        <f t="shared" si="352"/>
        <v>1</v>
      </c>
      <c r="J920">
        <f t="shared" si="341"/>
        <v>4.5649999999999302</v>
      </c>
      <c r="K920">
        <f t="shared" si="353"/>
        <v>3.5000000006831594E-2</v>
      </c>
      <c r="L920">
        <f t="shared" si="342"/>
        <v>0.1694880152119127</v>
      </c>
      <c r="M920">
        <f t="shared" si="343"/>
        <v>0.19000000001366318</v>
      </c>
      <c r="N920">
        <f t="shared" si="344"/>
        <v>0.18800004934813547</v>
      </c>
      <c r="O920">
        <f t="shared" si="345"/>
        <v>0.15777777777777821</v>
      </c>
      <c r="P920">
        <f t="shared" si="358"/>
        <v>0.08</v>
      </c>
      <c r="Q920">
        <f t="shared" si="354"/>
        <v>0.08</v>
      </c>
      <c r="R920">
        <f t="shared" si="347"/>
        <v>0.08</v>
      </c>
      <c r="S920">
        <f t="shared" si="348"/>
        <v>0.06</v>
      </c>
      <c r="T920">
        <f t="shared" si="349"/>
        <v>0.1</v>
      </c>
      <c r="U920">
        <f t="shared" si="355"/>
        <v>0.08</v>
      </c>
      <c r="V920">
        <f t="shared" si="360"/>
        <v>0.18800004934813547</v>
      </c>
      <c r="W920">
        <f t="shared" si="356"/>
        <v>0.16947767243312004</v>
      </c>
      <c r="X920">
        <f t="shared" si="357"/>
        <v>0.21034634190653906</v>
      </c>
      <c r="Y920" t="b">
        <f t="shared" si="359"/>
        <v>0</v>
      </c>
    </row>
    <row xmlns:x14ac="http://schemas.microsoft.com/office/spreadsheetml/2009/9/ac" r="921" x14ac:dyDescent="0.45">
      <c r="A921">
        <v>4.5699999999999301</v>
      </c>
      <c r="B921">
        <f t="shared" si="337"/>
        <v>0.1630000000176737</v>
      </c>
      <c r="C921" t="b">
        <f t="shared" si="350"/>
        <v>1</v>
      </c>
      <c r="D921" t="b">
        <f t="shared" si="338"/>
        <v>1</v>
      </c>
      <c r="E921">
        <f t="shared" si="346"/>
        <v>4.5699999999999301</v>
      </c>
      <c r="F921">
        <f t="shared" si="351"/>
        <v>0.1630000000176737</v>
      </c>
      <c r="G921">
        <f t="shared" si="339"/>
        <v>0.21033779069439834</v>
      </c>
      <c r="H921">
        <f t="shared" si="340"/>
        <v>3.500000000679758E-2</v>
      </c>
      <c r="I921" t="b">
        <f t="shared" si="352"/>
        <v>1</v>
      </c>
      <c r="J921">
        <f t="shared" si="341"/>
        <v>4.5699999999999301</v>
      </c>
      <c r="K921">
        <f t="shared" si="353"/>
        <v>3.500000000679758E-2</v>
      </c>
      <c r="L921">
        <f t="shared" si="342"/>
        <v>0.16949056874669632</v>
      </c>
      <c r="M921">
        <f t="shared" si="343"/>
        <v>0.19000000001359516</v>
      </c>
      <c r="N921">
        <f t="shared" si="344"/>
        <v>0.18800004911265383</v>
      </c>
      <c r="O921">
        <f t="shared" si="345"/>
        <v>0.15777777777777821</v>
      </c>
      <c r="P921">
        <f t="shared" si="358"/>
        <v>0.08</v>
      </c>
      <c r="Q921">
        <f t="shared" si="354"/>
        <v>0.08</v>
      </c>
      <c r="R921">
        <f t="shared" si="347"/>
        <v>0.08</v>
      </c>
      <c r="S921">
        <f t="shared" si="348"/>
        <v>0.06</v>
      </c>
      <c r="T921">
        <f t="shared" si="349"/>
        <v>0.1</v>
      </c>
      <c r="U921">
        <f t="shared" si="355"/>
        <v>0.08</v>
      </c>
      <c r="V921">
        <f t="shared" si="360"/>
        <v>0.18800004911265383</v>
      </c>
      <c r="W921">
        <f t="shared" si="356"/>
        <v>0.1694802775527281</v>
      </c>
      <c r="X921">
        <f t="shared" si="357"/>
        <v>0.21034461451907377</v>
      </c>
      <c r="Y921" t="b">
        <f t="shared" si="359"/>
        <v>0</v>
      </c>
    </row>
    <row xmlns:x14ac="http://schemas.microsoft.com/office/spreadsheetml/2009/9/ac" r="922" x14ac:dyDescent="0.45">
      <c r="A922">
        <v>4.57499999999993</v>
      </c>
      <c r="B922">
        <f t="shared" si="337"/>
        <v>0.16300000001750503</v>
      </c>
      <c r="C922" t="b">
        <f t="shared" si="350"/>
        <v>1</v>
      </c>
      <c r="D922" t="b">
        <f t="shared" si="338"/>
        <v>1</v>
      </c>
      <c r="E922">
        <f t="shared" si="346"/>
        <v>4.57499999999993</v>
      </c>
      <c r="F922">
        <f t="shared" si="351"/>
        <v>0.16300000001750503</v>
      </c>
      <c r="G922">
        <f t="shared" si="339"/>
        <v>0.21033610595628149</v>
      </c>
      <c r="H922">
        <f t="shared" si="340"/>
        <v>3.5000000006732701E-2</v>
      </c>
      <c r="I922" t="b">
        <f t="shared" si="352"/>
        <v>1</v>
      </c>
      <c r="J922">
        <f t="shared" si="341"/>
        <v>4.57499999999993</v>
      </c>
      <c r="K922">
        <f t="shared" si="353"/>
        <v>3.5000000006732701E-2</v>
      </c>
      <c r="L922">
        <f t="shared" si="342"/>
        <v>0.16949310954567209</v>
      </c>
      <c r="M922">
        <f t="shared" si="343"/>
        <v>0.1900000000134654</v>
      </c>
      <c r="N922">
        <f t="shared" si="344"/>
        <v>0.18800004866536246</v>
      </c>
      <c r="O922">
        <f t="shared" si="345"/>
        <v>0.15777777777777818</v>
      </c>
      <c r="P922">
        <f t="shared" si="358"/>
        <v>0.08</v>
      </c>
      <c r="Q922">
        <f t="shared" si="354"/>
        <v>0.08</v>
      </c>
      <c r="R922">
        <f t="shared" si="347"/>
        <v>0.08</v>
      </c>
      <c r="S922">
        <f t="shared" si="348"/>
        <v>0.06</v>
      </c>
      <c r="T922">
        <f t="shared" si="349"/>
        <v>0.1</v>
      </c>
      <c r="U922">
        <f t="shared" si="355"/>
        <v>0.08</v>
      </c>
      <c r="V922">
        <f t="shared" si="360"/>
        <v>0.18800004866536246</v>
      </c>
      <c r="W922">
        <f t="shared" si="356"/>
        <v>0.16948286967924789</v>
      </c>
      <c r="X922">
        <f t="shared" si="357"/>
        <v>0.21034289574698939</v>
      </c>
      <c r="Y922" t="b">
        <f t="shared" si="359"/>
        <v>0</v>
      </c>
    </row>
    <row xmlns:x14ac="http://schemas.microsoft.com/office/spreadsheetml/2009/9/ac" r="923" x14ac:dyDescent="0.45">
      <c r="A923">
        <v>4.5799999999999299</v>
      </c>
      <c r="B923">
        <f t="shared" si="337"/>
        <v>0.16300000001726087</v>
      </c>
      <c r="C923" t="b">
        <f t="shared" si="350"/>
        <v>1</v>
      </c>
      <c r="D923" t="b">
        <f t="shared" si="338"/>
        <v>1</v>
      </c>
      <c r="E923">
        <f t="shared" si="346"/>
        <v>4.5799999999999299</v>
      </c>
      <c r="F923">
        <f t="shared" si="351"/>
        <v>0.16300000001726087</v>
      </c>
      <c r="G923">
        <f t="shared" si="339"/>
        <v>0.2103344296208311</v>
      </c>
      <c r="H923">
        <f t="shared" si="340"/>
        <v>3.500000000663879E-2</v>
      </c>
      <c r="I923" t="b">
        <f t="shared" si="352"/>
        <v>1</v>
      </c>
      <c r="J923">
        <f t="shared" si="341"/>
        <v>4.5799999999999299</v>
      </c>
      <c r="K923">
        <f t="shared" si="353"/>
        <v>3.500000000663879E-2</v>
      </c>
      <c r="L923">
        <f t="shared" si="342"/>
        <v>0.16949563767236009</v>
      </c>
      <c r="M923">
        <f t="shared" si="343"/>
        <v>0.1900000000132776</v>
      </c>
      <c r="N923">
        <f t="shared" si="344"/>
        <v>0.18800004801492864</v>
      </c>
      <c r="O923">
        <f t="shared" si="345"/>
        <v>0.15777777777777818</v>
      </c>
      <c r="P923">
        <f t="shared" si="358"/>
        <v>0.08</v>
      </c>
      <c r="Q923">
        <f t="shared" si="354"/>
        <v>0.08</v>
      </c>
      <c r="R923">
        <f t="shared" si="347"/>
        <v>0.08</v>
      </c>
      <c r="S923">
        <f t="shared" si="348"/>
        <v>0.06</v>
      </c>
      <c r="T923">
        <f t="shared" si="349"/>
        <v>0.1</v>
      </c>
      <c r="U923">
        <f t="shared" si="355"/>
        <v>0.08</v>
      </c>
      <c r="V923">
        <f t="shared" si="360"/>
        <v>0.18800004801492864</v>
      </c>
      <c r="W923">
        <f t="shared" si="356"/>
        <v>0.16948544887748274</v>
      </c>
      <c r="X923">
        <f t="shared" si="357"/>
        <v>0.21034118554731651</v>
      </c>
      <c r="Y923" t="b">
        <f t="shared" si="359"/>
        <v>0</v>
      </c>
    </row>
    <row xmlns:x14ac="http://schemas.microsoft.com/office/spreadsheetml/2009/9/ac" r="924" x14ac:dyDescent="0.45">
      <c r="A924">
        <v>4.5849999999999298</v>
      </c>
      <c r="B924">
        <f t="shared" si="337"/>
        <v>0.16300000001694603</v>
      </c>
      <c r="C924" t="b">
        <f t="shared" si="350"/>
        <v>1</v>
      </c>
      <c r="D924" t="b">
        <f t="shared" si="338"/>
        <v>1</v>
      </c>
      <c r="E924">
        <f t="shared" si="346"/>
        <v>4.5849999999999298</v>
      </c>
      <c r="F924">
        <f t="shared" si="351"/>
        <v>0.16300000001694603</v>
      </c>
      <c r="G924">
        <f t="shared" si="339"/>
        <v>0.21033276164613862</v>
      </c>
      <c r="H924">
        <f t="shared" si="340"/>
        <v>3.5000000006517706E-2</v>
      </c>
      <c r="I924" t="b">
        <f t="shared" si="352"/>
        <v>1</v>
      </c>
      <c r="J924">
        <f t="shared" si="341"/>
        <v>4.5849999999999298</v>
      </c>
      <c r="K924">
        <f t="shared" si="353"/>
        <v>3.5000000006517706E-2</v>
      </c>
      <c r="L924">
        <f t="shared" si="342"/>
        <v>0.16949815318996359</v>
      </c>
      <c r="M924">
        <f t="shared" si="343"/>
        <v>0.19000000001303541</v>
      </c>
      <c r="N924">
        <f t="shared" si="344"/>
        <v>0.18800004717065333</v>
      </c>
      <c r="O924">
        <f t="shared" si="345"/>
        <v>0.15777777777777818</v>
      </c>
      <c r="P924">
        <f t="shared" si="358"/>
        <v>0.08</v>
      </c>
      <c r="Q924">
        <f t="shared" si="354"/>
        <v>0.08</v>
      </c>
      <c r="R924">
        <f t="shared" si="347"/>
        <v>0.08</v>
      </c>
      <c r="S924">
        <f t="shared" si="348"/>
        <v>0.06</v>
      </c>
      <c r="T924">
        <f t="shared" si="349"/>
        <v>0.1</v>
      </c>
      <c r="U924">
        <f t="shared" si="355"/>
        <v>0.08</v>
      </c>
      <c r="V924">
        <f t="shared" si="360"/>
        <v>0.18800004717065333</v>
      </c>
      <c r="W924">
        <f t="shared" si="356"/>
        <v>0.1694880152119127</v>
      </c>
      <c r="X924">
        <f t="shared" si="357"/>
        <v>0.21033948387730012</v>
      </c>
      <c r="Y924" t="b">
        <f t="shared" si="359"/>
        <v>0</v>
      </c>
    </row>
    <row xmlns:x14ac="http://schemas.microsoft.com/office/spreadsheetml/2009/9/ac" r="925" x14ac:dyDescent="0.45">
      <c r="A925">
        <v>4.5899999999999297</v>
      </c>
      <c r="B925">
        <f t="shared" si="337"/>
        <v>0.1630000000165655</v>
      </c>
      <c r="C925" t="b">
        <f t="shared" si="350"/>
        <v>1</v>
      </c>
      <c r="D925" t="b">
        <f t="shared" si="338"/>
        <v>1</v>
      </c>
      <c r="E925">
        <f t="shared" si="346"/>
        <v>4.5899999999999297</v>
      </c>
      <c r="F925">
        <f t="shared" si="351"/>
        <v>0.1630000000165655</v>
      </c>
      <c r="G925">
        <f t="shared" si="339"/>
        <v>0.21033110199050464</v>
      </c>
      <c r="H925">
        <f t="shared" si="340"/>
        <v>3.5000000006371351E-2</v>
      </c>
      <c r="I925" t="b">
        <f t="shared" si="352"/>
        <v>1</v>
      </c>
      <c r="J925">
        <f t="shared" si="341"/>
        <v>4.5899999999999297</v>
      </c>
      <c r="K925">
        <f t="shared" si="353"/>
        <v>3.5000000006371351E-2</v>
      </c>
      <c r="L925">
        <f t="shared" si="342"/>
        <v>0.16950065616137075</v>
      </c>
      <c r="M925">
        <f t="shared" si="343"/>
        <v>0.1900000000127427</v>
      </c>
      <c r="N925">
        <f t="shared" si="344"/>
        <v>0.18800004614240984</v>
      </c>
      <c r="O925">
        <f t="shared" si="345"/>
        <v>0.15777777777777818</v>
      </c>
      <c r="P925">
        <f t="shared" si="358"/>
        <v>0.08</v>
      </c>
      <c r="Q925">
        <f t="shared" si="354"/>
        <v>0.08</v>
      </c>
      <c r="R925">
        <f t="shared" si="347"/>
        <v>0.08</v>
      </c>
      <c r="S925">
        <f t="shared" si="348"/>
        <v>0.06</v>
      </c>
      <c r="T925">
        <f t="shared" si="349"/>
        <v>0.1</v>
      </c>
      <c r="U925">
        <f t="shared" si="355"/>
        <v>0.08</v>
      </c>
      <c r="V925">
        <f t="shared" si="360"/>
        <v>0.18800004614240984</v>
      </c>
      <c r="W925">
        <f t="shared" si="356"/>
        <v>0.16949056874669632</v>
      </c>
      <c r="X925">
        <f t="shared" si="357"/>
        <v>0.21033779069439834</v>
      </c>
      <c r="Y925" t="b">
        <f t="shared" si="359"/>
        <v>0</v>
      </c>
    </row>
    <row xmlns:x14ac="http://schemas.microsoft.com/office/spreadsheetml/2009/9/ac" r="926" x14ac:dyDescent="0.45">
      <c r="A926">
        <v>4.5949999999999296</v>
      </c>
      <c r="B926">
        <f t="shared" si="337"/>
        <v>0.16300000001612425</v>
      </c>
      <c r="C926" t="b">
        <f t="shared" si="350"/>
        <v>1</v>
      </c>
      <c r="D926" t="b">
        <f t="shared" si="338"/>
        <v>1</v>
      </c>
      <c r="E926">
        <f t="shared" si="346"/>
        <v>4.5949999999999296</v>
      </c>
      <c r="F926">
        <f t="shared" si="351"/>
        <v>0.16300000001612425</v>
      </c>
      <c r="G926">
        <f t="shared" si="339"/>
        <v>0.21032945061243763</v>
      </c>
      <c r="H926">
        <f t="shared" si="340"/>
        <v>3.500000000620164E-2</v>
      </c>
      <c r="I926" t="b">
        <f t="shared" si="352"/>
        <v>1</v>
      </c>
      <c r="J926">
        <f t="shared" si="341"/>
        <v>4.5949999999999296</v>
      </c>
      <c r="K926">
        <f t="shared" si="353"/>
        <v>3.500000000620164E-2</v>
      </c>
      <c r="L926">
        <f t="shared" si="342"/>
        <v>0.16950314664915592</v>
      </c>
      <c r="M926">
        <f t="shared" si="343"/>
        <v>0.19000000001240328</v>
      </c>
      <c r="N926">
        <f t="shared" si="344"/>
        <v>0.18800004494058181</v>
      </c>
      <c r="O926">
        <f t="shared" si="345"/>
        <v>0.15777777777777818</v>
      </c>
      <c r="P926">
        <f t="shared" si="358"/>
        <v>0.08</v>
      </c>
      <c r="Q926">
        <f t="shared" si="354"/>
        <v>0.08</v>
      </c>
      <c r="R926">
        <f t="shared" si="347"/>
        <v>0.08</v>
      </c>
      <c r="S926">
        <f t="shared" si="348"/>
        <v>0.06</v>
      </c>
      <c r="T926">
        <f t="shared" si="349"/>
        <v>0.1</v>
      </c>
      <c r="U926">
        <f t="shared" si="355"/>
        <v>0.08</v>
      </c>
      <c r="V926">
        <f t="shared" si="360"/>
        <v>0.18800004494058181</v>
      </c>
      <c r="W926">
        <f t="shared" si="356"/>
        <v>0.16949310954567209</v>
      </c>
      <c r="X926">
        <f t="shared" si="357"/>
        <v>0.21033610595628149</v>
      </c>
      <c r="Y926" t="b">
        <f t="shared" si="359"/>
        <v>0</v>
      </c>
    </row>
    <row xmlns:x14ac="http://schemas.microsoft.com/office/spreadsheetml/2009/9/ac" r="927" x14ac:dyDescent="0.45">
      <c r="A927">
        <v>4.5999999999999304</v>
      </c>
      <c r="B927">
        <f t="shared" si="337"/>
        <v>0.16300000001562742</v>
      </c>
      <c r="C927" t="b">
        <f t="shared" si="350"/>
        <v>1</v>
      </c>
      <c r="D927" t="b">
        <f t="shared" si="338"/>
        <v>1</v>
      </c>
      <c r="E927">
        <f t="shared" si="346"/>
        <v>4.5999999999999304</v>
      </c>
      <c r="F927">
        <f t="shared" si="351"/>
        <v>0.16300000001562742</v>
      </c>
      <c r="G927">
        <f t="shared" si="339"/>
        <v>0.21032780747065311</v>
      </c>
      <c r="H927">
        <f t="shared" si="340"/>
        <v>3.5000000006010543E-2</v>
      </c>
      <c r="I927" t="b">
        <f t="shared" si="352"/>
        <v>1</v>
      </c>
      <c r="J927">
        <f t="shared" si="341"/>
        <v>4.5999999999999304</v>
      </c>
      <c r="K927">
        <f t="shared" si="353"/>
        <v>3.5000000006010543E-2</v>
      </c>
      <c r="L927">
        <f t="shared" si="342"/>
        <v>0.16950562471558145</v>
      </c>
      <c r="M927">
        <f t="shared" si="343"/>
        <v>0.19000000001202111</v>
      </c>
      <c r="N927">
        <f t="shared" si="344"/>
        <v>0.18800004357600064</v>
      </c>
      <c r="O927">
        <f t="shared" si="345"/>
        <v>0.15777777777777813</v>
      </c>
      <c r="P927">
        <f t="shared" si="358"/>
        <v>0.08</v>
      </c>
      <c r="Q927">
        <f t="shared" si="354"/>
        <v>0.08</v>
      </c>
      <c r="R927">
        <f t="shared" si="347"/>
        <v>0.08</v>
      </c>
      <c r="S927">
        <f t="shared" si="348"/>
        <v>0.06</v>
      </c>
      <c r="T927">
        <f t="shared" si="349"/>
        <v>0.1</v>
      </c>
      <c r="U927">
        <f t="shared" si="355"/>
        <v>0.08</v>
      </c>
      <c r="V927">
        <f t="shared" si="360"/>
        <v>0.18800004357600064</v>
      </c>
      <c r="W927">
        <f t="shared" si="356"/>
        <v>0.16949563767236009</v>
      </c>
      <c r="X927">
        <f t="shared" si="357"/>
        <v>0.2103344296208311</v>
      </c>
      <c r="Y927" t="b">
        <f t="shared" si="359"/>
        <v>0</v>
      </c>
    </row>
    <row xmlns:x14ac="http://schemas.microsoft.com/office/spreadsheetml/2009/9/ac" r="928" x14ac:dyDescent="0.45">
      <c r="A928">
        <v>4.6049999999999303</v>
      </c>
      <c r="B928">
        <f t="shared" si="337"/>
        <v>0.16300000001508005</v>
      </c>
      <c r="C928" t="b">
        <f t="shared" si="350"/>
        <v>1</v>
      </c>
      <c r="D928" t="b">
        <f t="shared" si="338"/>
        <v>1</v>
      </c>
      <c r="E928">
        <f t="shared" si="346"/>
        <v>4.6049999999999303</v>
      </c>
      <c r="F928">
        <f t="shared" si="351"/>
        <v>0.16300000001508005</v>
      </c>
      <c r="G928">
        <f t="shared" si="339"/>
        <v>0.21032617252407243</v>
      </c>
      <c r="H928">
        <f t="shared" si="340"/>
        <v>3.5000000005800017E-2</v>
      </c>
      <c r="I928" t="b">
        <f t="shared" si="352"/>
        <v>1</v>
      </c>
      <c r="J928">
        <f t="shared" si="341"/>
        <v>4.6049999999999303</v>
      </c>
      <c r="K928">
        <f t="shared" si="353"/>
        <v>3.5000000005800017E-2</v>
      </c>
      <c r="L928">
        <f t="shared" si="342"/>
        <v>0.16950809042259909</v>
      </c>
      <c r="M928">
        <f t="shared" si="343"/>
        <v>0.19000000001160006</v>
      </c>
      <c r="N928">
        <f t="shared" si="344"/>
        <v>0.18800004205988313</v>
      </c>
      <c r="O928">
        <f t="shared" si="345"/>
        <v>0.15777777777777813</v>
      </c>
      <c r="P928">
        <f t="shared" si="358"/>
        <v>0.08</v>
      </c>
      <c r="Q928">
        <f t="shared" si="354"/>
        <v>0.08</v>
      </c>
      <c r="R928">
        <f t="shared" si="347"/>
        <v>0.08</v>
      </c>
      <c r="S928">
        <f t="shared" si="348"/>
        <v>0.06</v>
      </c>
      <c r="T928">
        <f t="shared" si="349"/>
        <v>0.1</v>
      </c>
      <c r="U928">
        <f t="shared" si="355"/>
        <v>0.08</v>
      </c>
      <c r="V928">
        <f t="shared" si="360"/>
        <v>0.18800004205988313</v>
      </c>
      <c r="W928">
        <f t="shared" si="356"/>
        <v>0.16949815318996359</v>
      </c>
      <c r="X928">
        <f t="shared" si="357"/>
        <v>0.21033276164613862</v>
      </c>
      <c r="Y928" t="b">
        <f t="shared" si="359"/>
        <v>0</v>
      </c>
    </row>
    <row xmlns:x14ac="http://schemas.microsoft.com/office/spreadsheetml/2009/9/ac" r="929" x14ac:dyDescent="0.45">
      <c r="A929">
        <v>4.6099999999999302</v>
      </c>
      <c r="B929">
        <f t="shared" si="337"/>
        <v>0.16300000001448725</v>
      </c>
      <c r="C929" t="b">
        <f t="shared" si="350"/>
        <v>1</v>
      </c>
      <c r="D929" t="b">
        <f t="shared" si="338"/>
        <v>1</v>
      </c>
      <c r="E929">
        <f t="shared" si="346"/>
        <v>4.6099999999999302</v>
      </c>
      <c r="F929">
        <f t="shared" si="351"/>
        <v>0.16300000001448725</v>
      </c>
      <c r="G929">
        <f t="shared" si="339"/>
        <v>0.21032454573182185</v>
      </c>
      <c r="H929">
        <f t="shared" si="340"/>
        <v>3.5000000005572018E-2</v>
      </c>
      <c r="I929" t="b">
        <f t="shared" si="352"/>
        <v>1</v>
      </c>
      <c r="J929">
        <f t="shared" si="341"/>
        <v>4.6099999999999302</v>
      </c>
      <c r="K929">
        <f t="shared" si="353"/>
        <v>3.5000000005572018E-2</v>
      </c>
      <c r="L929">
        <f t="shared" si="342"/>
        <v>0.16951054383185171</v>
      </c>
      <c r="M929">
        <f t="shared" si="343"/>
        <v>0.19000000001114403</v>
      </c>
      <c r="N929">
        <f t="shared" si="344"/>
        <v>0.18800004040376922</v>
      </c>
      <c r="O929">
        <f t="shared" si="345"/>
        <v>0.15777777777777813</v>
      </c>
      <c r="P929">
        <f t="shared" si="358"/>
        <v>0.08</v>
      </c>
      <c r="Q929">
        <f t="shared" si="354"/>
        <v>0.08</v>
      </c>
      <c r="R929">
        <f t="shared" si="347"/>
        <v>0.08</v>
      </c>
      <c r="S929">
        <f t="shared" si="348"/>
        <v>0.06</v>
      </c>
      <c r="T929">
        <f t="shared" si="349"/>
        <v>0.1</v>
      </c>
      <c r="U929">
        <f t="shared" si="355"/>
        <v>0.08</v>
      </c>
      <c r="V929">
        <f t="shared" si="360"/>
        <v>0.18800004040376922</v>
      </c>
      <c r="W929">
        <f t="shared" si="356"/>
        <v>0.16950065616137075</v>
      </c>
      <c r="X929">
        <f t="shared" si="357"/>
        <v>0.21033110199050464</v>
      </c>
      <c r="Y929" t="b">
        <f t="shared" si="359"/>
        <v>0</v>
      </c>
    </row>
    <row xmlns:x14ac="http://schemas.microsoft.com/office/spreadsheetml/2009/9/ac" r="930" x14ac:dyDescent="0.45">
      <c r="A930">
        <v>4.61499999999993</v>
      </c>
      <c r="B930">
        <f t="shared" si="337"/>
        <v>0.16300000001385404</v>
      </c>
      <c r="C930" t="b">
        <f t="shared" si="350"/>
        <v>1</v>
      </c>
      <c r="D930" t="b">
        <f t="shared" si="338"/>
        <v>1</v>
      </c>
      <c r="E930">
        <f t="shared" si="346"/>
        <v>4.61499999999993</v>
      </c>
      <c r="F930">
        <f t="shared" si="351"/>
        <v>0.16300000001385404</v>
      </c>
      <c r="G930">
        <f t="shared" si="339"/>
        <v>0.21032292705323147</v>
      </c>
      <c r="H930">
        <f t="shared" si="340"/>
        <v>3.5000000005328477E-2</v>
      </c>
      <c r="I930" t="b">
        <f t="shared" si="352"/>
        <v>1</v>
      </c>
      <c r="J930">
        <f t="shared" si="341"/>
        <v>4.61499999999993</v>
      </c>
      <c r="K930">
        <f t="shared" si="353"/>
        <v>3.5000000005328477E-2</v>
      </c>
      <c r="L930">
        <f t="shared" si="342"/>
        <v>0.1695129850046746</v>
      </c>
      <c r="M930">
        <f t="shared" si="343"/>
        <v>0.19000000001065698</v>
      </c>
      <c r="N930">
        <f t="shared" si="344"/>
        <v>0.1880000386194603</v>
      </c>
      <c r="O930">
        <f t="shared" si="345"/>
        <v>0.1577777777777781</v>
      </c>
      <c r="P930">
        <f t="shared" si="358"/>
        <v>0.08</v>
      </c>
      <c r="Q930">
        <f t="shared" si="354"/>
        <v>0.08</v>
      </c>
      <c r="R930">
        <f t="shared" si="347"/>
        <v>0.08</v>
      </c>
      <c r="S930">
        <f t="shared" si="348"/>
        <v>0.06</v>
      </c>
      <c r="T930">
        <f t="shared" si="349"/>
        <v>0.1</v>
      </c>
      <c r="U930">
        <f t="shared" si="355"/>
        <v>0.08</v>
      </c>
      <c r="V930">
        <f t="shared" si="360"/>
        <v>0.1880000386194603</v>
      </c>
      <c r="W930">
        <f t="shared" si="356"/>
        <v>0.16950314664915592</v>
      </c>
      <c r="X930">
        <f t="shared" si="357"/>
        <v>0.21032945061243763</v>
      </c>
      <c r="Y930" t="b">
        <f t="shared" si="359"/>
        <v>0</v>
      </c>
    </row>
    <row xmlns:x14ac="http://schemas.microsoft.com/office/spreadsheetml/2009/9/ac" r="931" x14ac:dyDescent="0.45">
      <c r="A931">
        <v>4.6199999999999299</v>
      </c>
      <c r="B931">
        <f t="shared" si="337"/>
        <v>0.16300000001318543</v>
      </c>
      <c r="C931" t="b">
        <f t="shared" si="350"/>
        <v>1</v>
      </c>
      <c r="D931" t="b">
        <f t="shared" si="338"/>
        <v>1</v>
      </c>
      <c r="E931">
        <f t="shared" si="346"/>
        <v>4.6199999999999299</v>
      </c>
      <c r="F931">
        <f t="shared" si="351"/>
        <v>0.16300000001318543</v>
      </c>
      <c r="G931">
        <f t="shared" si="339"/>
        <v>0.21032131644783425</v>
      </c>
      <c r="H931">
        <f t="shared" si="340"/>
        <v>3.5000000005071322E-2</v>
      </c>
      <c r="I931" t="b">
        <f t="shared" si="352"/>
        <v>1</v>
      </c>
      <c r="J931">
        <f t="shared" si="341"/>
        <v>4.6199999999999299</v>
      </c>
      <c r="K931">
        <f t="shared" si="353"/>
        <v>3.5000000005071322E-2</v>
      </c>
      <c r="L931">
        <f t="shared" si="342"/>
        <v>0.16951541400209727</v>
      </c>
      <c r="M931">
        <f t="shared" si="343"/>
        <v>0.19000000001014267</v>
      </c>
      <c r="N931">
        <f t="shared" si="344"/>
        <v>0.18800003671895837</v>
      </c>
      <c r="O931">
        <f t="shared" si="345"/>
        <v>0.15777777777777807</v>
      </c>
      <c r="P931">
        <f t="shared" si="358"/>
        <v>0.08</v>
      </c>
      <c r="Q931">
        <f t="shared" si="354"/>
        <v>0.08</v>
      </c>
      <c r="R931">
        <f t="shared" si="347"/>
        <v>0.08</v>
      </c>
      <c r="S931">
        <f t="shared" si="348"/>
        <v>0.06</v>
      </c>
      <c r="T931">
        <f t="shared" si="349"/>
        <v>0.1</v>
      </c>
      <c r="U931">
        <f t="shared" si="355"/>
        <v>0.08</v>
      </c>
      <c r="V931">
        <f t="shared" si="360"/>
        <v>0.18800003671895837</v>
      </c>
      <c r="W931">
        <f t="shared" si="356"/>
        <v>0.16950562471558145</v>
      </c>
      <c r="X931">
        <f t="shared" si="357"/>
        <v>0.21032780747065311</v>
      </c>
      <c r="Y931" t="b">
        <f t="shared" si="359"/>
        <v>0</v>
      </c>
    </row>
    <row xmlns:x14ac="http://schemas.microsoft.com/office/spreadsheetml/2009/9/ac" r="932" x14ac:dyDescent="0.45">
      <c r="A932">
        <v>4.6249999999999298</v>
      </c>
      <c r="B932">
        <f t="shared" si="337"/>
        <v>0.16300000001248641</v>
      </c>
      <c r="C932" t="b">
        <f t="shared" si="350"/>
        <v>1</v>
      </c>
      <c r="D932" t="b">
        <f t="shared" si="338"/>
        <v>1</v>
      </c>
      <c r="E932">
        <f t="shared" si="346"/>
        <v>4.6249999999999298</v>
      </c>
      <c r="F932">
        <f t="shared" si="351"/>
        <v>0.16300000001248641</v>
      </c>
      <c r="G932">
        <f t="shared" si="339"/>
        <v>0.21031971387536491</v>
      </c>
      <c r="H932">
        <f t="shared" si="340"/>
        <v>3.5000000004802467E-2</v>
      </c>
      <c r="I932" t="b">
        <f t="shared" si="352"/>
        <v>1</v>
      </c>
      <c r="J932">
        <f t="shared" si="341"/>
        <v>4.6249999999999298</v>
      </c>
      <c r="K932">
        <f t="shared" si="353"/>
        <v>3.5000000004802467E-2</v>
      </c>
      <c r="L932">
        <f t="shared" si="342"/>
        <v>0.16951783088484473</v>
      </c>
      <c r="M932">
        <f t="shared" si="343"/>
        <v>0.19000000000960493</v>
      </c>
      <c r="N932">
        <f t="shared" si="344"/>
        <v>0.18800003471440607</v>
      </c>
      <c r="O932">
        <f t="shared" si="345"/>
        <v>0.15777777777777807</v>
      </c>
      <c r="P932">
        <f t="shared" si="358"/>
        <v>0.08</v>
      </c>
      <c r="Q932">
        <f t="shared" si="354"/>
        <v>0.08</v>
      </c>
      <c r="R932">
        <f t="shared" si="347"/>
        <v>0.08</v>
      </c>
      <c r="S932">
        <f t="shared" si="348"/>
        <v>0.06</v>
      </c>
      <c r="T932">
        <f t="shared" si="349"/>
        <v>0.1</v>
      </c>
      <c r="U932">
        <f t="shared" si="355"/>
        <v>0.08</v>
      </c>
      <c r="V932">
        <f t="shared" si="360"/>
        <v>0.18800003471440607</v>
      </c>
      <c r="W932">
        <f t="shared" si="356"/>
        <v>0.16950809042259909</v>
      </c>
      <c r="X932">
        <f t="shared" si="357"/>
        <v>0.21032617252407243</v>
      </c>
      <c r="Y932" t="b">
        <f t="shared" si="359"/>
        <v>0</v>
      </c>
    </row>
    <row xmlns:x14ac="http://schemas.microsoft.com/office/spreadsheetml/2009/9/ac" r="933" x14ac:dyDescent="0.45">
      <c r="A933">
        <v>4.6299999999999297</v>
      </c>
      <c r="B933">
        <f t="shared" si="337"/>
        <v>0.16300000001176168</v>
      </c>
      <c r="C933" t="b">
        <f t="shared" si="350"/>
        <v>1</v>
      </c>
      <c r="D933" t="b">
        <f t="shared" si="338"/>
        <v>1</v>
      </c>
      <c r="E933">
        <f t="shared" si="346"/>
        <v>4.6299999999999297</v>
      </c>
      <c r="F933">
        <f t="shared" si="351"/>
        <v>0.16300000001176168</v>
      </c>
      <c r="G933">
        <f t="shared" si="339"/>
        <v>0.21031811929575916</v>
      </c>
      <c r="H933">
        <f t="shared" si="340"/>
        <v>3.5000000004523732E-2</v>
      </c>
      <c r="I933" t="b">
        <f t="shared" si="352"/>
        <v>1</v>
      </c>
      <c r="J933">
        <f t="shared" si="341"/>
        <v>4.6299999999999297</v>
      </c>
      <c r="K933">
        <f t="shared" si="353"/>
        <v>3.5000000004523732E-2</v>
      </c>
      <c r="L933">
        <f t="shared" si="342"/>
        <v>0.16952023571333924</v>
      </c>
      <c r="M933">
        <f t="shared" si="343"/>
        <v>0.19000000000904746</v>
      </c>
      <c r="N933">
        <f t="shared" si="344"/>
        <v>0.18800003261802811</v>
      </c>
      <c r="O933">
        <f t="shared" si="345"/>
        <v>0.15777777777777807</v>
      </c>
      <c r="P933">
        <f t="shared" si="358"/>
        <v>0.08</v>
      </c>
      <c r="Q933">
        <f t="shared" si="354"/>
        <v>0.08</v>
      </c>
      <c r="R933">
        <f t="shared" si="347"/>
        <v>0.08</v>
      </c>
      <c r="S933">
        <f t="shared" si="348"/>
        <v>0.06</v>
      </c>
      <c r="T933">
        <f t="shared" si="349"/>
        <v>0.1</v>
      </c>
      <c r="U933">
        <f t="shared" si="355"/>
        <v>0.08</v>
      </c>
      <c r="V933">
        <f t="shared" si="360"/>
        <v>0.18800003261802811</v>
      </c>
      <c r="W933">
        <f t="shared" si="356"/>
        <v>0.16951054383185171</v>
      </c>
      <c r="X933">
        <f t="shared" si="357"/>
        <v>0.21032454573182185</v>
      </c>
      <c r="Y933" t="b">
        <f t="shared" si="359"/>
        <v>0</v>
      </c>
    </row>
    <row xmlns:x14ac="http://schemas.microsoft.com/office/spreadsheetml/2009/9/ac" r="934" x14ac:dyDescent="0.45">
      <c r="A934">
        <v>4.6349999999999296</v>
      </c>
      <c r="B934">
        <f t="shared" si="337"/>
        <v>0.16300000001101608</v>
      </c>
      <c r="C934" t="b">
        <f t="shared" si="350"/>
        <v>1</v>
      </c>
      <c r="D934" t="b">
        <f t="shared" si="338"/>
        <v>1</v>
      </c>
      <c r="E934">
        <f t="shared" si="346"/>
        <v>4.6349999999999296</v>
      </c>
      <c r="F934">
        <f t="shared" si="351"/>
        <v>0.16300000001101608</v>
      </c>
      <c r="G934">
        <f t="shared" si="339"/>
        <v>0.21031653266915235</v>
      </c>
      <c r="H934">
        <f t="shared" si="340"/>
        <v>3.5000000004236961E-2</v>
      </c>
      <c r="I934" t="b">
        <f t="shared" si="352"/>
        <v>1</v>
      </c>
      <c r="J934">
        <f t="shared" si="341"/>
        <v>4.6349999999999296</v>
      </c>
      <c r="K934">
        <f t="shared" si="353"/>
        <v>3.5000000004236961E-2</v>
      </c>
      <c r="L934">
        <f t="shared" si="342"/>
        <v>0.16952262854770156</v>
      </c>
      <c r="M934">
        <f t="shared" si="343"/>
        <v>0.19000000000847392</v>
      </c>
      <c r="N934">
        <f t="shared" si="344"/>
        <v>0.18800003044207406</v>
      </c>
      <c r="O934">
        <f t="shared" si="345"/>
        <v>0.15777777777777802</v>
      </c>
      <c r="P934">
        <f t="shared" si="358"/>
        <v>0.08</v>
      </c>
      <c r="Q934">
        <f t="shared" si="354"/>
        <v>0.08</v>
      </c>
      <c r="R934">
        <f t="shared" si="347"/>
        <v>0.08</v>
      </c>
      <c r="S934">
        <f t="shared" si="348"/>
        <v>0.06</v>
      </c>
      <c r="T934">
        <f t="shared" si="349"/>
        <v>0.1</v>
      </c>
      <c r="U934">
        <f t="shared" si="355"/>
        <v>0.08</v>
      </c>
      <c r="V934">
        <f t="shared" si="360"/>
        <v>0.18800003044207406</v>
      </c>
      <c r="W934">
        <f t="shared" si="356"/>
        <v>0.1695129850046746</v>
      </c>
      <c r="X934">
        <f t="shared" si="357"/>
        <v>0.21032292705323147</v>
      </c>
      <c r="Y934" t="b">
        <f t="shared" si="359"/>
        <v>0</v>
      </c>
    </row>
    <row xmlns:x14ac="http://schemas.microsoft.com/office/spreadsheetml/2009/9/ac" r="935" x14ac:dyDescent="0.45">
      <c r="A935">
        <v>4.6399999999999304</v>
      </c>
      <c r="B935">
        <f t="shared" si="337"/>
        <v>0.16300000001025414</v>
      </c>
      <c r="C935" t="b">
        <f t="shared" si="350"/>
        <v>1</v>
      </c>
      <c r="D935" t="b">
        <f t="shared" si="338"/>
        <v>1</v>
      </c>
      <c r="E935">
        <f t="shared" si="346"/>
        <v>4.6399999999999304</v>
      </c>
      <c r="F935">
        <f t="shared" si="351"/>
        <v>0.16300000001025414</v>
      </c>
      <c r="G935">
        <f t="shared" si="339"/>
        <v>0.21031495395587874</v>
      </c>
      <c r="H935">
        <f t="shared" si="340"/>
        <v>3.5000000003943904E-2</v>
      </c>
      <c r="I935" t="b">
        <f t="shared" si="352"/>
        <v>1</v>
      </c>
      <c r="J935">
        <f t="shared" si="341"/>
        <v>4.6399999999999304</v>
      </c>
      <c r="K935">
        <f t="shared" si="353"/>
        <v>3.5000000003943904E-2</v>
      </c>
      <c r="L935">
        <f t="shared" si="342"/>
        <v>0.16952500944775273</v>
      </c>
      <c r="M935">
        <f t="shared" si="343"/>
        <v>0.1900000000078878</v>
      </c>
      <c r="N935">
        <f t="shared" si="344"/>
        <v>0.18800002819876288</v>
      </c>
      <c r="O935">
        <f t="shared" si="345"/>
        <v>0.15777777777777802</v>
      </c>
      <c r="P935">
        <f t="shared" si="358"/>
        <v>0.08</v>
      </c>
      <c r="Q935">
        <f t="shared" si="354"/>
        <v>0.08</v>
      </c>
      <c r="R935">
        <f t="shared" si="347"/>
        <v>0.08</v>
      </c>
      <c r="S935">
        <f t="shared" si="348"/>
        <v>0.06</v>
      </c>
      <c r="T935">
        <f t="shared" si="349"/>
        <v>0.1</v>
      </c>
      <c r="U935">
        <f t="shared" si="355"/>
        <v>0.08</v>
      </c>
      <c r="V935">
        <f t="shared" si="360"/>
        <v>0.18800002819876288</v>
      </c>
      <c r="W935">
        <f t="shared" si="356"/>
        <v>0.16951541400209727</v>
      </c>
      <c r="X935">
        <f t="shared" si="357"/>
        <v>0.21032131644783425</v>
      </c>
      <c r="Y935" t="b">
        <f t="shared" si="359"/>
        <v>0</v>
      </c>
    </row>
    <row xmlns:x14ac="http://schemas.microsoft.com/office/spreadsheetml/2009/9/ac" r="936" x14ac:dyDescent="0.45">
      <c r="A936">
        <v>4.6449999999999303</v>
      </c>
      <c r="B936">
        <f t="shared" si="337"/>
        <v>0.16300000000948031</v>
      </c>
      <c r="C936" t="b">
        <f t="shared" si="350"/>
        <v>1</v>
      </c>
      <c r="D936" t="b">
        <f t="shared" si="338"/>
        <v>1</v>
      </c>
      <c r="E936">
        <f t="shared" si="346"/>
        <v>4.6449999999999303</v>
      </c>
      <c r="F936">
        <f t="shared" si="351"/>
        <v>0.16300000000948031</v>
      </c>
      <c r="G936">
        <f t="shared" si="339"/>
        <v>0.21031338311647046</v>
      </c>
      <c r="H936">
        <f t="shared" si="340"/>
        <v>3.5000000003646267E-2</v>
      </c>
      <c r="I936" t="b">
        <f t="shared" si="352"/>
        <v>1</v>
      </c>
      <c r="J936">
        <f t="shared" si="341"/>
        <v>4.6449999999999303</v>
      </c>
      <c r="K936">
        <f t="shared" si="353"/>
        <v>3.5000000003646267E-2</v>
      </c>
      <c r="L936">
        <f t="shared" si="342"/>
        <v>0.16952737847301533</v>
      </c>
      <c r="M936">
        <f t="shared" si="343"/>
        <v>0.19000000000729256</v>
      </c>
      <c r="N936">
        <f t="shared" si="344"/>
        <v>0.18800002590022949</v>
      </c>
      <c r="O936">
        <f t="shared" si="345"/>
        <v>0.15777777777777802</v>
      </c>
      <c r="P936">
        <f t="shared" si="358"/>
        <v>0.08</v>
      </c>
      <c r="Q936">
        <f t="shared" si="354"/>
        <v>0.08</v>
      </c>
      <c r="R936">
        <f t="shared" si="347"/>
        <v>0.08</v>
      </c>
      <c r="S936">
        <f t="shared" si="348"/>
        <v>0.06</v>
      </c>
      <c r="T936">
        <f t="shared" si="349"/>
        <v>0.1</v>
      </c>
      <c r="U936">
        <f t="shared" si="355"/>
        <v>0.08</v>
      </c>
      <c r="V936">
        <f t="shared" si="360"/>
        <v>0.18800002590022949</v>
      </c>
      <c r="W936">
        <f t="shared" si="356"/>
        <v>0.16951783088484473</v>
      </c>
      <c r="X936">
        <f t="shared" si="357"/>
        <v>0.21031971387536491</v>
      </c>
      <c r="Y936" t="b">
        <f t="shared" si="359"/>
        <v>0</v>
      </c>
    </row>
    <row xmlns:x14ac="http://schemas.microsoft.com/office/spreadsheetml/2009/9/ac" r="937" x14ac:dyDescent="0.45">
      <c r="A937">
        <v>4.6499999999999302</v>
      </c>
      <c r="B937">
        <f t="shared" si="337"/>
        <v>0.16300000000869883</v>
      </c>
      <c r="C937" t="b">
        <f t="shared" si="350"/>
        <v>1</v>
      </c>
      <c r="D937" t="b">
        <f t="shared" si="338"/>
        <v>1</v>
      </c>
      <c r="E937">
        <f t="shared" si="346"/>
        <v>4.6499999999999302</v>
      </c>
      <c r="F937">
        <f t="shared" si="351"/>
        <v>0.16300000000869883</v>
      </c>
      <c r="G937">
        <f t="shared" si="339"/>
        <v>0.21031182011165639</v>
      </c>
      <c r="H937">
        <f t="shared" si="340"/>
        <v>3.5000000003345702E-2</v>
      </c>
      <c r="I937" t="b">
        <f t="shared" si="352"/>
        <v>1</v>
      </c>
      <c r="J937">
        <f t="shared" si="341"/>
        <v>4.6499999999999302</v>
      </c>
      <c r="K937">
        <f t="shared" si="353"/>
        <v>3.5000000003345702E-2</v>
      </c>
      <c r="L937">
        <f t="shared" si="342"/>
        <v>0.16952973568271515</v>
      </c>
      <c r="M937">
        <f t="shared" si="343"/>
        <v>0.19000000000669143</v>
      </c>
      <c r="N937">
        <f t="shared" si="344"/>
        <v>0.18800002355847301</v>
      </c>
      <c r="O937">
        <f t="shared" si="345"/>
        <v>0.15777777777777796</v>
      </c>
      <c r="P937">
        <f t="shared" si="358"/>
        <v>0.08</v>
      </c>
      <c r="Q937">
        <f t="shared" si="354"/>
        <v>0.08</v>
      </c>
      <c r="R937">
        <f t="shared" si="347"/>
        <v>0.08</v>
      </c>
      <c r="S937">
        <f t="shared" si="348"/>
        <v>0.06</v>
      </c>
      <c r="T937">
        <f t="shared" si="349"/>
        <v>0.1</v>
      </c>
      <c r="U937">
        <f t="shared" si="355"/>
        <v>0.08</v>
      </c>
      <c r="V937">
        <f t="shared" si="360"/>
        <v>0.18800002355847301</v>
      </c>
      <c r="W937">
        <f t="shared" si="356"/>
        <v>0.16952023571333924</v>
      </c>
      <c r="X937">
        <f t="shared" si="357"/>
        <v>0.21031811929575916</v>
      </c>
      <c r="Y937" t="b">
        <f t="shared" si="359"/>
        <v>0</v>
      </c>
    </row>
    <row xmlns:x14ac="http://schemas.microsoft.com/office/spreadsheetml/2009/9/ac" r="938" x14ac:dyDescent="0.45">
      <c r="A938">
        <v>4.6549999999999301</v>
      </c>
      <c r="B938">
        <f t="shared" si="337"/>
        <v>0.16300000000791387</v>
      </c>
      <c r="C938" t="b">
        <f t="shared" si="350"/>
        <v>1</v>
      </c>
      <c r="D938" t="b">
        <f t="shared" si="338"/>
        <v>1</v>
      </c>
      <c r="E938">
        <f t="shared" si="346"/>
        <v>4.6549999999999301</v>
      </c>
      <c r="F938">
        <f t="shared" si="351"/>
        <v>0.16300000000791387</v>
      </c>
      <c r="G938">
        <f t="shared" si="339"/>
        <v>0.21031026490236138</v>
      </c>
      <c r="H938">
        <f t="shared" si="340"/>
        <v>3.5000000003043805E-2</v>
      </c>
      <c r="I938" t="b">
        <f t="shared" si="352"/>
        <v>1</v>
      </c>
      <c r="J938">
        <f t="shared" si="341"/>
        <v>4.6549999999999301</v>
      </c>
      <c r="K938">
        <f t="shared" si="353"/>
        <v>3.5000000003043805E-2</v>
      </c>
      <c r="L938">
        <f t="shared" si="342"/>
        <v>0.16953208113578255</v>
      </c>
      <c r="M938">
        <f t="shared" si="343"/>
        <v>0.1900000000060876</v>
      </c>
      <c r="N938">
        <f t="shared" si="344"/>
        <v>0.18800002118530773</v>
      </c>
      <c r="O938">
        <f t="shared" si="345"/>
        <v>0.15777777777777796</v>
      </c>
      <c r="P938">
        <f t="shared" si="358"/>
        <v>0.08</v>
      </c>
      <c r="Q938">
        <f t="shared" si="354"/>
        <v>0.08</v>
      </c>
      <c r="R938">
        <f t="shared" si="347"/>
        <v>0.08</v>
      </c>
      <c r="S938">
        <f t="shared" si="348"/>
        <v>0.06</v>
      </c>
      <c r="T938">
        <f t="shared" si="349"/>
        <v>0.1</v>
      </c>
      <c r="U938">
        <f t="shared" si="355"/>
        <v>0.08</v>
      </c>
      <c r="V938">
        <f t="shared" si="360"/>
        <v>0.18800002118530773</v>
      </c>
      <c r="W938">
        <f t="shared" si="356"/>
        <v>0.16952262854770156</v>
      </c>
      <c r="X938">
        <f t="shared" si="357"/>
        <v>0.21031653266915235</v>
      </c>
      <c r="Y938" t="b">
        <f t="shared" si="359"/>
        <v>0</v>
      </c>
    </row>
    <row xmlns:x14ac="http://schemas.microsoft.com/office/spreadsheetml/2009/9/ac" r="939" x14ac:dyDescent="0.45">
      <c r="A939">
        <v>4.65999999999993</v>
      </c>
      <c r="B939">
        <f t="shared" si="337"/>
        <v>0.16300000000712939</v>
      </c>
      <c r="C939" t="b">
        <f t="shared" si="350"/>
        <v>1</v>
      </c>
      <c r="D939" t="b">
        <f t="shared" si="338"/>
        <v>1</v>
      </c>
      <c r="E939">
        <f t="shared" si="346"/>
        <v>4.65999999999993</v>
      </c>
      <c r="F939">
        <f t="shared" si="351"/>
        <v>0.16300000000712939</v>
      </c>
      <c r="G939">
        <f t="shared" si="339"/>
        <v>0.21030871744970508</v>
      </c>
      <c r="H939">
        <f t="shared" si="340"/>
        <v>3.5000000002742074E-2</v>
      </c>
      <c r="I939" t="b">
        <f t="shared" si="352"/>
        <v>1</v>
      </c>
      <c r="J939">
        <f t="shared" si="341"/>
        <v>4.65999999999993</v>
      </c>
      <c r="K939">
        <f t="shared" si="353"/>
        <v>3.5000000002742074E-2</v>
      </c>
      <c r="L939">
        <f t="shared" si="342"/>
        <v>0.16953441489085397</v>
      </c>
      <c r="M939">
        <f t="shared" si="343"/>
        <v>0.19000000000548414</v>
      </c>
      <c r="N939">
        <f t="shared" si="344"/>
        <v>0.18800001879231593</v>
      </c>
      <c r="O939">
        <f t="shared" si="345"/>
        <v>0.15777777777777796</v>
      </c>
      <c r="P939">
        <f t="shared" si="358"/>
        <v>0.08</v>
      </c>
      <c r="Q939">
        <f t="shared" si="354"/>
        <v>0.08</v>
      </c>
      <c r="R939">
        <f t="shared" si="347"/>
        <v>0.08</v>
      </c>
      <c r="S939">
        <f t="shared" si="348"/>
        <v>0.06</v>
      </c>
      <c r="T939">
        <f t="shared" si="349"/>
        <v>0.1</v>
      </c>
      <c r="U939">
        <f t="shared" si="355"/>
        <v>0.08</v>
      </c>
      <c r="V939">
        <f t="shared" si="360"/>
        <v>0.18800001879231593</v>
      </c>
      <c r="W939">
        <f t="shared" si="356"/>
        <v>0.16952500944775273</v>
      </c>
      <c r="X939">
        <f t="shared" si="357"/>
        <v>0.21031495395587874</v>
      </c>
      <c r="Y939" t="b">
        <f t="shared" si="359"/>
        <v>0</v>
      </c>
    </row>
    <row xmlns:x14ac="http://schemas.microsoft.com/office/spreadsheetml/2009/9/ac" r="940" x14ac:dyDescent="0.45">
      <c r="A940">
        <v>4.6649999999999299</v>
      </c>
      <c r="B940">
        <f t="shared" si="337"/>
        <v>0.16300000000634898</v>
      </c>
      <c r="C940" t="b">
        <f t="shared" si="350"/>
        <v>1</v>
      </c>
      <c r="D940" t="b">
        <f t="shared" si="338"/>
        <v>1</v>
      </c>
      <c r="E940">
        <f t="shared" si="346"/>
        <v>4.6649999999999299</v>
      </c>
      <c r="F940">
        <f t="shared" si="351"/>
        <v>0.16300000000634898</v>
      </c>
      <c r="G940">
        <f t="shared" si="339"/>
        <v>0.21030717771500107</v>
      </c>
      <c r="H940">
        <f t="shared" si="340"/>
        <v>3.5000000002441925E-2</v>
      </c>
      <c r="I940" t="b">
        <f t="shared" si="352"/>
        <v>1</v>
      </c>
      <c r="J940">
        <f t="shared" si="341"/>
        <v>4.6649999999999299</v>
      </c>
      <c r="K940">
        <f t="shared" si="353"/>
        <v>3.5000000002441925E-2</v>
      </c>
      <c r="L940">
        <f t="shared" si="342"/>
        <v>0.16953673700627342</v>
      </c>
      <c r="M940">
        <f t="shared" si="343"/>
        <v>0.19000000000488385</v>
      </c>
      <c r="N940">
        <f t="shared" si="344"/>
        <v>0.18800001639080369</v>
      </c>
      <c r="O940">
        <f t="shared" si="345"/>
        <v>0.15777777777777793</v>
      </c>
      <c r="P940">
        <f t="shared" si="358"/>
        <v>0.08</v>
      </c>
      <c r="Q940">
        <f t="shared" si="354"/>
        <v>0.08</v>
      </c>
      <c r="R940">
        <f t="shared" si="347"/>
        <v>0.08</v>
      </c>
      <c r="S940">
        <f t="shared" si="348"/>
        <v>0.06</v>
      </c>
      <c r="T940">
        <f t="shared" si="349"/>
        <v>0.1</v>
      </c>
      <c r="U940">
        <f t="shared" si="355"/>
        <v>0.08</v>
      </c>
      <c r="V940">
        <f t="shared" si="360"/>
        <v>0.18800001639080369</v>
      </c>
      <c r="W940">
        <f t="shared" si="356"/>
        <v>0.16952737847301533</v>
      </c>
      <c r="X940">
        <f t="shared" si="357"/>
        <v>0.21031338311647046</v>
      </c>
      <c r="Y940" t="b">
        <f t="shared" si="359"/>
        <v>0</v>
      </c>
    </row>
    <row xmlns:x14ac="http://schemas.microsoft.com/office/spreadsheetml/2009/9/ac" r="941" x14ac:dyDescent="0.45">
      <c r="A941">
        <v>4.6699999999999298</v>
      </c>
      <c r="B941">
        <f t="shared" si="337"/>
        <v>0.16300000000557632</v>
      </c>
      <c r="C941" t="b">
        <f t="shared" si="350"/>
        <v>1</v>
      </c>
      <c r="D941" t="b">
        <f t="shared" si="338"/>
        <v>1</v>
      </c>
      <c r="E941">
        <f t="shared" si="346"/>
        <v>4.6699999999999298</v>
      </c>
      <c r="F941">
        <f t="shared" si="351"/>
        <v>0.16300000000557632</v>
      </c>
      <c r="G941">
        <f t="shared" si="339"/>
        <v>0.21030564565975596</v>
      </c>
      <c r="H941">
        <f t="shared" si="340"/>
        <v>3.5000000002144746E-2</v>
      </c>
      <c r="I941" t="b">
        <f t="shared" si="352"/>
        <v>1</v>
      </c>
      <c r="J941">
        <f t="shared" si="341"/>
        <v>4.6699999999999298</v>
      </c>
      <c r="K941">
        <f t="shared" si="353"/>
        <v>3.5000000002144746E-2</v>
      </c>
      <c r="L941">
        <f t="shared" si="342"/>
        <v>0.16953904754009388</v>
      </c>
      <c r="M941">
        <f t="shared" si="343"/>
        <v>0.19000000000428949</v>
      </c>
      <c r="N941">
        <f t="shared" si="344"/>
        <v>0.18800001399175911</v>
      </c>
      <c r="O941">
        <f t="shared" si="345"/>
        <v>0.15777777777777791</v>
      </c>
      <c r="P941">
        <f t="shared" si="358"/>
        <v>0.08</v>
      </c>
      <c r="Q941">
        <f t="shared" si="354"/>
        <v>0.08</v>
      </c>
      <c r="R941">
        <f t="shared" si="347"/>
        <v>0.08</v>
      </c>
      <c r="S941">
        <f t="shared" si="348"/>
        <v>0.06</v>
      </c>
      <c r="T941">
        <f t="shared" si="349"/>
        <v>0.1</v>
      </c>
      <c r="U941">
        <f t="shared" si="355"/>
        <v>0.08</v>
      </c>
      <c r="V941">
        <f t="shared" si="360"/>
        <v>0.18800001399175911</v>
      </c>
      <c r="W941">
        <f t="shared" si="356"/>
        <v>0.16952973568271515</v>
      </c>
      <c r="X941">
        <f t="shared" si="357"/>
        <v>0.21031182011165639</v>
      </c>
      <c r="Y941" t="b">
        <f t="shared" si="359"/>
        <v>0</v>
      </c>
    </row>
    <row xmlns:x14ac="http://schemas.microsoft.com/office/spreadsheetml/2009/9/ac" r="942" x14ac:dyDescent="0.45">
      <c r="A942">
        <v>4.6749999999999297</v>
      </c>
      <c r="B942">
        <f t="shared" si="337"/>
        <v>0.16300000000481465</v>
      </c>
      <c r="C942" t="b">
        <f t="shared" si="350"/>
        <v>1</v>
      </c>
      <c r="D942" t="b">
        <f t="shared" si="338"/>
        <v>1</v>
      </c>
      <c r="E942">
        <f t="shared" si="346"/>
        <v>4.6749999999999297</v>
      </c>
      <c r="F942">
        <f t="shared" si="351"/>
        <v>0.16300000000481465</v>
      </c>
      <c r="G942">
        <f t="shared" si="339"/>
        <v>0.21030412124566827</v>
      </c>
      <c r="H942">
        <f t="shared" si="340"/>
        <v>3.5000000001851786E-2</v>
      </c>
      <c r="I942" t="b">
        <f t="shared" si="352"/>
        <v>1</v>
      </c>
      <c r="J942">
        <f t="shared" si="341"/>
        <v>4.6749999999999297</v>
      </c>
      <c r="K942">
        <f t="shared" si="353"/>
        <v>3.5000000001851786E-2</v>
      </c>
      <c r="L942">
        <f t="shared" si="342"/>
        <v>0.16954134655007885</v>
      </c>
      <c r="M942">
        <f t="shared" si="343"/>
        <v>0.1900000000037036</v>
      </c>
      <c r="N942">
        <f t="shared" si="344"/>
        <v>0.18800001160581314</v>
      </c>
      <c r="O942">
        <f t="shared" si="345"/>
        <v>0.15777777777777791</v>
      </c>
      <c r="P942">
        <f t="shared" si="358"/>
        <v>0.08</v>
      </c>
      <c r="Q942">
        <f t="shared" si="354"/>
        <v>0.08</v>
      </c>
      <c r="R942">
        <f t="shared" si="347"/>
        <v>0.08</v>
      </c>
      <c r="S942">
        <f t="shared" si="348"/>
        <v>0.06</v>
      </c>
      <c r="T942">
        <f t="shared" si="349"/>
        <v>0.1</v>
      </c>
      <c r="U942">
        <f t="shared" si="355"/>
        <v>0.08</v>
      </c>
      <c r="V942">
        <f t="shared" si="360"/>
        <v>0.18800001160581314</v>
      </c>
      <c r="W942">
        <f t="shared" si="356"/>
        <v>0.16953208113578255</v>
      </c>
      <c r="X942">
        <f t="shared" si="357"/>
        <v>0.21031026490236138</v>
      </c>
      <c r="Y942" t="b">
        <f t="shared" si="359"/>
        <v>0</v>
      </c>
    </row>
    <row xmlns:x14ac="http://schemas.microsoft.com/office/spreadsheetml/2009/9/ac" r="943" x14ac:dyDescent="0.45">
      <c r="A943">
        <v>4.6799999999999304</v>
      </c>
      <c r="B943">
        <f t="shared" si="337"/>
        <v>0.16300000000406709</v>
      </c>
      <c r="C943" t="b">
        <f t="shared" si="350"/>
        <v>1</v>
      </c>
      <c r="D943" t="b">
        <f t="shared" si="338"/>
        <v>1</v>
      </c>
      <c r="E943">
        <f t="shared" si="346"/>
        <v>4.6799999999999304</v>
      </c>
      <c r="F943">
        <f t="shared" si="351"/>
        <v>0.16300000000406709</v>
      </c>
      <c r="G943">
        <f t="shared" si="339"/>
        <v>0.21030260443462756</v>
      </c>
      <c r="H943">
        <f t="shared" si="340"/>
        <v>3.5000000001564266E-2</v>
      </c>
      <c r="I943" t="b">
        <f t="shared" si="352"/>
        <v>1</v>
      </c>
      <c r="J943">
        <f t="shared" si="341"/>
        <v>4.6799999999999304</v>
      </c>
      <c r="K943">
        <f t="shared" si="353"/>
        <v>3.5000000001564266E-2</v>
      </c>
      <c r="L943">
        <f t="shared" si="342"/>
        <v>0.16954363409370368</v>
      </c>
      <c r="M943">
        <f t="shared" si="343"/>
        <v>0.19000000000312856</v>
      </c>
      <c r="N943">
        <f t="shared" si="344"/>
        <v>0.18800000924320354</v>
      </c>
      <c r="O943">
        <f t="shared" si="345"/>
        <v>0.15777777777777788</v>
      </c>
      <c r="P943">
        <f t="shared" si="358"/>
        <v>0.08</v>
      </c>
      <c r="Q943">
        <f t="shared" si="354"/>
        <v>0.08</v>
      </c>
      <c r="R943">
        <f t="shared" si="347"/>
        <v>0.08</v>
      </c>
      <c r="S943">
        <f t="shared" si="348"/>
        <v>0.06</v>
      </c>
      <c r="T943">
        <f t="shared" si="349"/>
        <v>0.1</v>
      </c>
      <c r="U943">
        <f t="shared" si="355"/>
        <v>0.08</v>
      </c>
      <c r="V943">
        <f t="shared" si="360"/>
        <v>0.18800000924320354</v>
      </c>
      <c r="W943">
        <f t="shared" si="356"/>
        <v>0.16953441489085397</v>
      </c>
      <c r="X943">
        <f t="shared" si="357"/>
        <v>0.21030871744970508</v>
      </c>
      <c r="Y943" t="b">
        <f t="shared" si="359"/>
        <v>0</v>
      </c>
    </row>
    <row xmlns:x14ac="http://schemas.microsoft.com/office/spreadsheetml/2009/9/ac" r="944" x14ac:dyDescent="0.45">
      <c r="A944">
        <v>4.6849999999999303</v>
      </c>
      <c r="B944">
        <f t="shared" si="337"/>
        <v>0.16300000000333653</v>
      </c>
      <c r="C944" t="b">
        <f t="shared" si="350"/>
        <v>1</v>
      </c>
      <c r="D944" t="b">
        <f t="shared" si="338"/>
        <v>1</v>
      </c>
      <c r="E944">
        <f t="shared" si="346"/>
        <v>4.6849999999999303</v>
      </c>
      <c r="F944">
        <f t="shared" si="351"/>
        <v>0.16300000000333653</v>
      </c>
      <c r="G944">
        <f t="shared" si="339"/>
        <v>0.21030109518871348</v>
      </c>
      <c r="H944">
        <f t="shared" si="340"/>
        <v>3.5000000001283282E-2</v>
      </c>
      <c r="I944" t="b">
        <f t="shared" si="352"/>
        <v>1</v>
      </c>
      <c r="J944">
        <f t="shared" si="341"/>
        <v>4.6849999999999303</v>
      </c>
      <c r="K944">
        <f t="shared" si="353"/>
        <v>3.5000000001283282E-2</v>
      </c>
      <c r="L944">
        <f t="shared" si="342"/>
        <v>0.16954591022815707</v>
      </c>
      <c r="M944">
        <f t="shared" si="343"/>
        <v>0.19000000000256656</v>
      </c>
      <c r="N944">
        <f t="shared" si="344"/>
        <v>0.18800000691374136</v>
      </c>
      <c r="O944">
        <f t="shared" si="345"/>
        <v>0.15777777777777785</v>
      </c>
      <c r="P944">
        <f t="shared" si="358"/>
        <v>0.08</v>
      </c>
      <c r="Q944">
        <f t="shared" si="354"/>
        <v>0.08</v>
      </c>
      <c r="R944">
        <f t="shared" si="347"/>
        <v>0.08</v>
      </c>
      <c r="S944">
        <f t="shared" si="348"/>
        <v>0.06</v>
      </c>
      <c r="T944">
        <f t="shared" si="349"/>
        <v>0.1</v>
      </c>
      <c r="U944">
        <f t="shared" si="355"/>
        <v>0.08</v>
      </c>
      <c r="V944">
        <f t="shared" si="360"/>
        <v>0.18800000691374136</v>
      </c>
      <c r="W944">
        <f t="shared" si="356"/>
        <v>0.16953673700627342</v>
      </c>
      <c r="X944">
        <f t="shared" si="357"/>
        <v>0.21030717771500107</v>
      </c>
      <c r="Y944" t="b">
        <f t="shared" si="359"/>
        <v>0</v>
      </c>
    </row>
    <row xmlns:x14ac="http://schemas.microsoft.com/office/spreadsheetml/2009/9/ac" r="945" x14ac:dyDescent="0.45">
      <c r="A945">
        <v>4.6899999999999302</v>
      </c>
      <c r="B945">
        <f t="shared" si="337"/>
        <v>0.16300000000262566</v>
      </c>
      <c r="C945" t="b">
        <f t="shared" si="350"/>
        <v>1</v>
      </c>
      <c r="D945" t="b">
        <f t="shared" si="338"/>
        <v>1</v>
      </c>
      <c r="E945">
        <f t="shared" si="346"/>
        <v>4.6899999999999302</v>
      </c>
      <c r="F945">
        <f t="shared" si="351"/>
        <v>0.16300000000262566</v>
      </c>
      <c r="G945">
        <f t="shared" si="339"/>
        <v>0.21029959347019478</v>
      </c>
      <c r="H945">
        <f t="shared" si="340"/>
        <v>3.5000000001009876E-2</v>
      </c>
      <c r="I945" t="b">
        <f t="shared" si="352"/>
        <v>1</v>
      </c>
      <c r="J945">
        <f t="shared" si="341"/>
        <v>4.6899999999999302</v>
      </c>
      <c r="K945">
        <f t="shared" si="353"/>
        <v>3.5000000001009876E-2</v>
      </c>
      <c r="L945">
        <f t="shared" si="342"/>
        <v>0.16954817501034253</v>
      </c>
      <c r="M945">
        <f t="shared" si="343"/>
        <v>0.19000000000201975</v>
      </c>
      <c r="N945">
        <f t="shared" si="344"/>
        <v>0.18800000462678082</v>
      </c>
      <c r="O945">
        <f t="shared" si="345"/>
        <v>0.15777777777777785</v>
      </c>
      <c r="P945">
        <f t="shared" si="358"/>
        <v>0.08</v>
      </c>
      <c r="Q945">
        <f t="shared" si="354"/>
        <v>0.08</v>
      </c>
      <c r="R945">
        <f t="shared" si="347"/>
        <v>0.08</v>
      </c>
      <c r="S945">
        <f t="shared" si="348"/>
        <v>0.06</v>
      </c>
      <c r="T945">
        <f t="shared" si="349"/>
        <v>0.1</v>
      </c>
      <c r="U945">
        <f t="shared" si="355"/>
        <v>0.08</v>
      </c>
      <c r="V945">
        <f t="shared" si="360"/>
        <v>0.18800000462678082</v>
      </c>
      <c r="W945">
        <f t="shared" si="356"/>
        <v>0.16953904754009388</v>
      </c>
      <c r="X945">
        <f t="shared" si="357"/>
        <v>0.21030564565975596</v>
      </c>
      <c r="Y945" t="b">
        <f t="shared" si="359"/>
        <v>0</v>
      </c>
    </row>
    <row xmlns:x14ac="http://schemas.microsoft.com/office/spreadsheetml/2009/9/ac" r="946" x14ac:dyDescent="0.45">
      <c r="A946">
        <v>4.6949999999999301</v>
      </c>
      <c r="B946">
        <f t="shared" si="337"/>
        <v>0.1630000000019369</v>
      </c>
      <c r="C946" t="b">
        <f t="shared" si="350"/>
        <v>1</v>
      </c>
      <c r="D946" t="b">
        <f t="shared" si="338"/>
        <v>1</v>
      </c>
      <c r="E946">
        <f t="shared" si="346"/>
        <v>4.6949999999999301</v>
      </c>
      <c r="F946">
        <f t="shared" si="351"/>
        <v>0.1630000000019369</v>
      </c>
      <c r="G946">
        <f t="shared" si="339"/>
        <v>0.21029809924152842</v>
      </c>
      <c r="H946">
        <f t="shared" si="340"/>
        <v>3.5000000000744963E-2</v>
      </c>
      <c r="I946" t="b">
        <f t="shared" si="352"/>
        <v>1</v>
      </c>
      <c r="J946">
        <f t="shared" si="341"/>
        <v>4.6949999999999301</v>
      </c>
      <c r="K946">
        <f t="shared" si="353"/>
        <v>3.5000000000744963E-2</v>
      </c>
      <c r="L946">
        <f t="shared" si="342"/>
        <v>0.16955042849687973</v>
      </c>
      <c r="M946">
        <f t="shared" si="343"/>
        <v>0.19000000000148992</v>
      </c>
      <c r="N946">
        <f t="shared" si="344"/>
        <v>0.18800000239119175</v>
      </c>
      <c r="O946">
        <f t="shared" si="345"/>
        <v>0.15777777777777785</v>
      </c>
      <c r="P946">
        <f t="shared" si="358"/>
        <v>0.08</v>
      </c>
      <c r="Q946">
        <f t="shared" si="354"/>
        <v>0.08</v>
      </c>
      <c r="R946">
        <f t="shared" si="347"/>
        <v>0.08</v>
      </c>
      <c r="S946">
        <f t="shared" si="348"/>
        <v>0.06</v>
      </c>
      <c r="T946">
        <f t="shared" si="349"/>
        <v>0.1</v>
      </c>
      <c r="U946">
        <f t="shared" si="355"/>
        <v>0.08</v>
      </c>
      <c r="V946">
        <f t="shared" si="360"/>
        <v>0.18800000239119175</v>
      </c>
      <c r="W946">
        <f t="shared" si="356"/>
        <v>0.16954134655007885</v>
      </c>
      <c r="X946">
        <f t="shared" si="357"/>
        <v>0.21030412124566827</v>
      </c>
      <c r="Y946" t="b">
        <f t="shared" si="359"/>
        <v>0</v>
      </c>
    </row>
    <row xmlns:x14ac="http://schemas.microsoft.com/office/spreadsheetml/2009/9/ac" r="947" x14ac:dyDescent="0.45">
      <c r="A947">
        <v>4.69999999999993</v>
      </c>
      <c r="B947">
        <f t="shared" si="337"/>
        <v>0.1630000000012724</v>
      </c>
      <c r="C947" t="b">
        <f t="shared" si="350"/>
        <v>1</v>
      </c>
      <c r="D947" t="b">
        <f t="shared" si="338"/>
        <v>1</v>
      </c>
      <c r="E947">
        <f t="shared" si="346"/>
        <v>4.69999999999993</v>
      </c>
      <c r="F947">
        <f t="shared" si="351"/>
        <v>0.1630000000012724</v>
      </c>
      <c r="G947">
        <f t="shared" si="339"/>
        <v>0.21029661246535869</v>
      </c>
      <c r="H947">
        <f t="shared" si="340"/>
        <v>3.500000000048939E-2</v>
      </c>
      <c r="I947" t="b">
        <f t="shared" si="352"/>
        <v>1</v>
      </c>
      <c r="J947">
        <f t="shared" si="341"/>
        <v>4.69999999999993</v>
      </c>
      <c r="K947">
        <f t="shared" si="353"/>
        <v>3.500000000048939E-2</v>
      </c>
      <c r="L947">
        <f t="shared" si="342"/>
        <v>0.1695526707441059</v>
      </c>
      <c r="M947">
        <f t="shared" si="343"/>
        <v>0.19000000000097877</v>
      </c>
      <c r="N947">
        <f t="shared" si="344"/>
        <v>0.18800000021533536</v>
      </c>
      <c r="O947">
        <f t="shared" si="345"/>
        <v>0.15777777777777782</v>
      </c>
      <c r="P947">
        <f t="shared" si="358"/>
        <v>0.08</v>
      </c>
      <c r="Q947">
        <f t="shared" si="354"/>
        <v>0.08</v>
      </c>
      <c r="R947">
        <f t="shared" si="347"/>
        <v>0.08</v>
      </c>
      <c r="S947">
        <f t="shared" si="348"/>
        <v>0.06</v>
      </c>
      <c r="T947">
        <f t="shared" si="349"/>
        <v>0.1</v>
      </c>
      <c r="U947">
        <f t="shared" si="355"/>
        <v>0.08</v>
      </c>
      <c r="V947">
        <f t="shared" si="360"/>
        <v>0.18800000021533536</v>
      </c>
      <c r="W947">
        <f t="shared" si="356"/>
        <v>0.16954363409370368</v>
      </c>
      <c r="X947">
        <f t="shared" si="357"/>
        <v>0.21030260443462756</v>
      </c>
      <c r="Y947" t="b">
        <f t="shared" si="359"/>
        <v>0</v>
      </c>
    </row>
    <row xmlns:x14ac="http://schemas.microsoft.com/office/spreadsheetml/2009/9/ac" r="948" x14ac:dyDescent="0.45">
      <c r="A948">
        <v>4.7049999999999299</v>
      </c>
      <c r="B948">
        <f t="shared" si="337"/>
        <v>0.1630000000006343</v>
      </c>
      <c r="C948" t="b">
        <f t="shared" si="350"/>
        <v>1</v>
      </c>
      <c r="D948" t="b">
        <f t="shared" si="338"/>
        <v>1</v>
      </c>
      <c r="E948">
        <f t="shared" si="346"/>
        <v>4.7049999999999299</v>
      </c>
      <c r="F948">
        <f t="shared" si="351"/>
        <v>0.1630000000006343</v>
      </c>
      <c r="G948">
        <f t="shared" si="339"/>
        <v>0.21029513310451597</v>
      </c>
      <c r="H948">
        <f t="shared" si="340"/>
        <v>3.5000000000243961E-2</v>
      </c>
      <c r="I948" t="b">
        <f t="shared" si="352"/>
        <v>1</v>
      </c>
      <c r="J948">
        <f t="shared" si="341"/>
        <v>4.7049999999999299</v>
      </c>
      <c r="K948">
        <f t="shared" si="353"/>
        <v>3.5000000000243961E-2</v>
      </c>
      <c r="L948">
        <f t="shared" si="342"/>
        <v>0.16955490180807742</v>
      </c>
      <c r="M948">
        <f t="shared" si="343"/>
        <v>0.19000000000048795</v>
      </c>
      <c r="N948">
        <f t="shared" si="344"/>
        <v>0.18799999810704296</v>
      </c>
      <c r="O948">
        <f t="shared" si="345"/>
        <v>0.15777777777777782</v>
      </c>
      <c r="P948">
        <f t="shared" si="358"/>
        <v>0.08</v>
      </c>
      <c r="Q948">
        <f t="shared" si="354"/>
        <v>0.08</v>
      </c>
      <c r="R948">
        <f t="shared" si="347"/>
        <v>0.08</v>
      </c>
      <c r="S948">
        <f t="shared" si="348"/>
        <v>0.06</v>
      </c>
      <c r="T948">
        <f t="shared" si="349"/>
        <v>0.1</v>
      </c>
      <c r="U948">
        <f t="shared" si="355"/>
        <v>0.08</v>
      </c>
      <c r="V948">
        <f t="shared" si="360"/>
        <v>0.18799999810704296</v>
      </c>
      <c r="W948">
        <f t="shared" si="356"/>
        <v>0.16954591022815707</v>
      </c>
      <c r="X948">
        <f t="shared" si="357"/>
        <v>0.21030109518871348</v>
      </c>
      <c r="Y948" t="b">
        <f t="shared" si="359"/>
        <v>0</v>
      </c>
    </row>
    <row xmlns:x14ac="http://schemas.microsoft.com/office/spreadsheetml/2009/9/ac" r="949" x14ac:dyDescent="0.45">
      <c r="A949">
        <v>4.7099999999999298</v>
      </c>
      <c r="B949">
        <f t="shared" si="337"/>
        <v>0.16300000000002424</v>
      </c>
      <c r="C949" t="b">
        <f t="shared" si="350"/>
        <v>1</v>
      </c>
      <c r="D949" t="b">
        <f t="shared" si="338"/>
        <v>1</v>
      </c>
      <c r="E949">
        <f t="shared" si="346"/>
        <v>4.7099999999999298</v>
      </c>
      <c r="F949">
        <f t="shared" si="351"/>
        <v>0.16300000000002424</v>
      </c>
      <c r="G949">
        <f t="shared" si="339"/>
        <v>0.21029366112201631</v>
      </c>
      <c r="H949">
        <f t="shared" si="340"/>
        <v>3.5000000000009329E-2</v>
      </c>
      <c r="I949" t="b">
        <f t="shared" si="352"/>
        <v>1</v>
      </c>
      <c r="J949">
        <f t="shared" si="341"/>
        <v>4.7099999999999298</v>
      </c>
      <c r="K949">
        <f t="shared" si="353"/>
        <v>3.5000000000009329E-2</v>
      </c>
      <c r="L949">
        <f t="shared" si="342"/>
        <v>0.16955712174457094</v>
      </c>
      <c r="M949">
        <f t="shared" si="343"/>
        <v>0.19000000000001865</v>
      </c>
      <c r="N949">
        <f t="shared" si="344"/>
        <v>0.18799999607359752</v>
      </c>
      <c r="O949">
        <f t="shared" si="345"/>
        <v>0.15777777777777779</v>
      </c>
      <c r="P949">
        <f t="shared" si="358"/>
        <v>0.08</v>
      </c>
      <c r="Q949">
        <f t="shared" si="354"/>
        <v>0.08</v>
      </c>
      <c r="R949">
        <f t="shared" si="347"/>
        <v>0.08</v>
      </c>
      <c r="S949">
        <f t="shared" si="348"/>
        <v>0.06</v>
      </c>
      <c r="T949">
        <f t="shared" si="349"/>
        <v>0.1</v>
      </c>
      <c r="U949">
        <f t="shared" si="355"/>
        <v>0.08</v>
      </c>
      <c r="V949">
        <f t="shared" si="360"/>
        <v>0.18799999607359752</v>
      </c>
      <c r="W949">
        <f t="shared" si="356"/>
        <v>0.16954817501034253</v>
      </c>
      <c r="X949">
        <f t="shared" si="357"/>
        <v>0.21029959347019478</v>
      </c>
      <c r="Y949" t="b">
        <f t="shared" si="359"/>
        <v>0</v>
      </c>
    </row>
    <row xmlns:x14ac="http://schemas.microsoft.com/office/spreadsheetml/2009/9/ac" r="950" x14ac:dyDescent="0.45">
      <c r="A950">
        <v>4.7149999999999297</v>
      </c>
      <c r="B950">
        <f t="shared" si="337"/>
        <v>0.16299999999944387</v>
      </c>
      <c r="C950" t="b">
        <f t="shared" si="350"/>
        <v>1</v>
      </c>
      <c r="D950" t="b">
        <f t="shared" si="338"/>
        <v>1</v>
      </c>
      <c r="E950">
        <f t="shared" si="346"/>
        <v>4.7149999999999297</v>
      </c>
      <c r="F950">
        <f t="shared" si="351"/>
        <v>0.16299999999944387</v>
      </c>
      <c r="G950">
        <f t="shared" si="339"/>
        <v>0.21029219648105996</v>
      </c>
      <c r="H950">
        <f t="shared" si="340"/>
        <v>3.4999999999786105E-2</v>
      </c>
      <c r="I950" t="b">
        <f t="shared" si="352"/>
        <v>1</v>
      </c>
      <c r="J950">
        <f t="shared" si="341"/>
        <v>4.7149999999999297</v>
      </c>
      <c r="K950">
        <f t="shared" si="353"/>
        <v>3.4999999999786105E-2</v>
      </c>
      <c r="L950">
        <f t="shared" si="342"/>
        <v>0.16955933060908498</v>
      </c>
      <c r="M950">
        <f t="shared" si="343"/>
        <v>0.18999999999957221</v>
      </c>
      <c r="N950">
        <f t="shared" si="344"/>
        <v>0.18799999412171869</v>
      </c>
      <c r="O950">
        <f t="shared" si="345"/>
        <v>0.15777777777777779</v>
      </c>
      <c r="P950">
        <f t="shared" si="358"/>
        <v>0.08</v>
      </c>
      <c r="Q950">
        <f t="shared" si="354"/>
        <v>0.08</v>
      </c>
      <c r="R950">
        <f t="shared" si="347"/>
        <v>0.08</v>
      </c>
      <c r="S950">
        <f t="shared" si="348"/>
        <v>0.06</v>
      </c>
      <c r="T950">
        <f t="shared" si="349"/>
        <v>0.1</v>
      </c>
      <c r="U950">
        <f t="shared" si="355"/>
        <v>0.08</v>
      </c>
      <c r="V950">
        <f t="shared" si="360"/>
        <v>0.18799999412171869</v>
      </c>
      <c r="W950">
        <f t="shared" si="356"/>
        <v>0.16955042849687973</v>
      </c>
      <c r="X950">
        <f t="shared" si="357"/>
        <v>0.21029809924152842</v>
      </c>
      <c r="Y950" t="b">
        <f t="shared" si="359"/>
        <v>0</v>
      </c>
    </row>
    <row xmlns:x14ac="http://schemas.microsoft.com/office/spreadsheetml/2009/9/ac" r="951" x14ac:dyDescent="0.45">
      <c r="A951">
        <v>4.7199999999999296</v>
      </c>
      <c r="B951">
        <f t="shared" si="337"/>
        <v>0.16299999999889442</v>
      </c>
      <c r="C951" t="b">
        <f t="shared" si="350"/>
        <v>1</v>
      </c>
      <c r="D951" t="b">
        <f t="shared" si="338"/>
        <v>1</v>
      </c>
      <c r="E951">
        <f t="shared" si="346"/>
        <v>4.7199999999999296</v>
      </c>
      <c r="F951">
        <f t="shared" si="351"/>
        <v>0.16299999999889442</v>
      </c>
      <c r="G951">
        <f t="shared" si="339"/>
        <v>0.21029073914503082</v>
      </c>
      <c r="H951">
        <f t="shared" si="340"/>
        <v>3.4999999999574774E-2</v>
      </c>
      <c r="I951" t="b">
        <f t="shared" si="352"/>
        <v>1</v>
      </c>
      <c r="J951">
        <f t="shared" si="341"/>
        <v>4.7199999999999296</v>
      </c>
      <c r="K951">
        <f t="shared" si="353"/>
        <v>3.4999999999574774E-2</v>
      </c>
      <c r="L951">
        <f t="shared" si="342"/>
        <v>0.1695615284568413</v>
      </c>
      <c r="M951">
        <f t="shared" si="343"/>
        <v>0.18999999999914957</v>
      </c>
      <c r="N951">
        <f t="shared" si="344"/>
        <v>0.18799999225755024</v>
      </c>
      <c r="O951">
        <f t="shared" si="345"/>
        <v>0.15777777777777779</v>
      </c>
      <c r="P951">
        <f t="shared" si="358"/>
        <v>0.08</v>
      </c>
      <c r="Q951">
        <f t="shared" si="354"/>
        <v>0.08</v>
      </c>
      <c r="R951">
        <f t="shared" si="347"/>
        <v>0.08</v>
      </c>
      <c r="S951">
        <f t="shared" si="348"/>
        <v>0.06</v>
      </c>
      <c r="T951">
        <f t="shared" si="349"/>
        <v>0.1</v>
      </c>
      <c r="U951">
        <f t="shared" si="355"/>
        <v>0.08</v>
      </c>
      <c r="V951">
        <f t="shared" si="360"/>
        <v>0.18799999225755024</v>
      </c>
      <c r="W951">
        <f t="shared" si="356"/>
        <v>0.1695526707441059</v>
      </c>
      <c r="X951">
        <f t="shared" si="357"/>
        <v>0.21029661246535869</v>
      </c>
      <c r="Y951" t="b">
        <f t="shared" si="359"/>
        <v>0</v>
      </c>
    </row>
    <row xmlns:x14ac="http://schemas.microsoft.com/office/spreadsheetml/2009/9/ac" r="952" x14ac:dyDescent="0.45">
      <c r="A952">
        <v>4.7249999999999304</v>
      </c>
      <c r="B952">
        <f t="shared" si="337"/>
        <v>0.16299999999837705</v>
      </c>
      <c r="C952" t="b">
        <f t="shared" si="350"/>
        <v>1</v>
      </c>
      <c r="D952" t="b">
        <f t="shared" si="338"/>
        <v>1</v>
      </c>
      <c r="E952">
        <f t="shared" si="346"/>
        <v>4.7249999999999304</v>
      </c>
      <c r="F952">
        <f t="shared" si="351"/>
        <v>0.16299999999837705</v>
      </c>
      <c r="G952">
        <f t="shared" si="339"/>
        <v>0.2102892890774955</v>
      </c>
      <c r="H952">
        <f t="shared" si="340"/>
        <v>3.4999999999375794E-2</v>
      </c>
      <c r="I952" t="b">
        <f t="shared" si="352"/>
        <v>1</v>
      </c>
      <c r="J952">
        <f t="shared" si="341"/>
        <v>4.7249999999999304</v>
      </c>
      <c r="K952">
        <f t="shared" si="353"/>
        <v>3.4999999999375794E-2</v>
      </c>
      <c r="L952">
        <f t="shared" si="342"/>
        <v>0.16956371534278625</v>
      </c>
      <c r="M952">
        <f t="shared" si="343"/>
        <v>0.18999999999875158</v>
      </c>
      <c r="N952">
        <f t="shared" si="344"/>
        <v>0.18799999048665106</v>
      </c>
      <c r="O952">
        <f t="shared" si="345"/>
        <v>0.15777777777777777</v>
      </c>
      <c r="P952">
        <f t="shared" si="358"/>
        <v>0.08</v>
      </c>
      <c r="Q952">
        <f t="shared" si="354"/>
        <v>0.08</v>
      </c>
      <c r="R952">
        <f t="shared" si="347"/>
        <v>0.08</v>
      </c>
      <c r="S952">
        <f t="shared" si="348"/>
        <v>0.06</v>
      </c>
      <c r="T952">
        <f t="shared" si="349"/>
        <v>0.1</v>
      </c>
      <c r="U952">
        <f t="shared" si="355"/>
        <v>0.08</v>
      </c>
      <c r="V952">
        <f t="shared" si="360"/>
        <v>0.18799999048665106</v>
      </c>
      <c r="W952">
        <f t="shared" si="356"/>
        <v>0.16955490180807742</v>
      </c>
      <c r="X952">
        <f t="shared" si="357"/>
        <v>0.21029513310451597</v>
      </c>
      <c r="Y952" t="b">
        <f t="shared" si="359"/>
        <v>0</v>
      </c>
    </row>
    <row xmlns:x14ac="http://schemas.microsoft.com/office/spreadsheetml/2009/9/ac" r="953" x14ac:dyDescent="0.45">
      <c r="A953">
        <v>4.7299999999999303</v>
      </c>
      <c r="B953">
        <f t="shared" si="337"/>
        <v>0.16299999999789269</v>
      </c>
      <c r="C953" t="b">
        <f t="shared" si="350"/>
        <v>1</v>
      </c>
      <c r="D953" t="b">
        <f t="shared" si="338"/>
        <v>1</v>
      </c>
      <c r="E953">
        <f t="shared" si="346"/>
        <v>4.7299999999999303</v>
      </c>
      <c r="F953">
        <f t="shared" si="351"/>
        <v>0.16299999999789269</v>
      </c>
      <c r="G953">
        <f t="shared" si="339"/>
        <v>0.21028784624220215</v>
      </c>
      <c r="H953">
        <f t="shared" si="340"/>
        <v>3.4999999999189499E-2</v>
      </c>
      <c r="I953" t="b">
        <f t="shared" si="352"/>
        <v>1</v>
      </c>
      <c r="J953">
        <f t="shared" si="341"/>
        <v>4.7299999999999303</v>
      </c>
      <c r="K953">
        <f t="shared" si="353"/>
        <v>3.4999999999189499E-2</v>
      </c>
      <c r="L953">
        <f t="shared" si="342"/>
        <v>0.169565891321592</v>
      </c>
      <c r="M953">
        <f t="shared" si="343"/>
        <v>0.18999999999837902</v>
      </c>
      <c r="N953">
        <f t="shared" si="344"/>
        <v>0.18799998881398863</v>
      </c>
      <c r="O953">
        <f t="shared" si="345"/>
        <v>0.15777777777777777</v>
      </c>
      <c r="P953">
        <f t="shared" si="358"/>
        <v>0.08</v>
      </c>
      <c r="Q953">
        <f t="shared" si="354"/>
        <v>0.08</v>
      </c>
      <c r="R953">
        <f t="shared" si="347"/>
        <v>0.08</v>
      </c>
      <c r="S953">
        <f t="shared" si="348"/>
        <v>0.06</v>
      </c>
      <c r="T953">
        <f t="shared" si="349"/>
        <v>0.1</v>
      </c>
      <c r="U953">
        <f t="shared" si="355"/>
        <v>0.08</v>
      </c>
      <c r="V953">
        <f t="shared" si="360"/>
        <v>0.18799998881398863</v>
      </c>
      <c r="W953">
        <f t="shared" si="356"/>
        <v>0.16955712174457094</v>
      </c>
      <c r="X953">
        <f t="shared" si="357"/>
        <v>0.21029366112201631</v>
      </c>
      <c r="Y953" t="b">
        <f t="shared" si="359"/>
        <v>0</v>
      </c>
    </row>
    <row xmlns:x14ac="http://schemas.microsoft.com/office/spreadsheetml/2009/9/ac" r="954" x14ac:dyDescent="0.45">
      <c r="A954">
        <v>4.7349999999999302</v>
      </c>
      <c r="B954">
        <f t="shared" si="337"/>
        <v>0.16299999999744205</v>
      </c>
      <c r="C954" t="b">
        <f t="shared" si="350"/>
        <v>1</v>
      </c>
      <c r="D954" t="b">
        <f t="shared" si="338"/>
        <v>1</v>
      </c>
      <c r="E954">
        <f t="shared" si="346"/>
        <v>4.7349999999999302</v>
      </c>
      <c r="F954">
        <f t="shared" si="351"/>
        <v>0.16299999999744205</v>
      </c>
      <c r="G954">
        <f t="shared" si="339"/>
        <v>0.21028641060307984</v>
      </c>
      <c r="H954">
        <f t="shared" si="340"/>
        <v>3.4999999999016179E-2</v>
      </c>
      <c r="I954" t="b">
        <f t="shared" si="352"/>
        <v>1</v>
      </c>
      <c r="J954">
        <f t="shared" si="341"/>
        <v>4.7349999999999302</v>
      </c>
      <c r="K954">
        <f t="shared" si="353"/>
        <v>3.4999999999016179E-2</v>
      </c>
      <c r="L954">
        <f t="shared" si="342"/>
        <v>0.16956805644765821</v>
      </c>
      <c r="M954">
        <f t="shared" si="343"/>
        <v>0.18999999999803235</v>
      </c>
      <c r="N954">
        <f t="shared" si="344"/>
        <v>0.18799998724393541</v>
      </c>
      <c r="O954">
        <f t="shared" si="345"/>
        <v>0.15777777777777774</v>
      </c>
      <c r="P954">
        <f t="shared" si="358"/>
        <v>0.08</v>
      </c>
      <c r="Q954">
        <f t="shared" si="354"/>
        <v>0.08</v>
      </c>
      <c r="R954">
        <f t="shared" si="347"/>
        <v>0.08</v>
      </c>
      <c r="S954">
        <f t="shared" si="348"/>
        <v>0.06</v>
      </c>
      <c r="T954">
        <f t="shared" si="349"/>
        <v>0.1</v>
      </c>
      <c r="U954">
        <f t="shared" si="355"/>
        <v>0.08</v>
      </c>
      <c r="V954">
        <f t="shared" si="360"/>
        <v>0.18799998724393541</v>
      </c>
      <c r="W954">
        <f t="shared" si="356"/>
        <v>0.16955933060908498</v>
      </c>
      <c r="X954">
        <f t="shared" si="357"/>
        <v>0.21029219648105996</v>
      </c>
      <c r="Y954" t="b">
        <f t="shared" si="359"/>
        <v>0</v>
      </c>
    </row>
    <row xmlns:x14ac="http://schemas.microsoft.com/office/spreadsheetml/2009/9/ac" r="955" x14ac:dyDescent="0.45">
      <c r="A955">
        <v>4.73999999999993</v>
      </c>
      <c r="B955">
        <f t="shared" si="337"/>
        <v>0.16299999999702561</v>
      </c>
      <c r="C955" t="b">
        <f t="shared" si="350"/>
        <v>1</v>
      </c>
      <c r="D955" t="b">
        <f t="shared" si="338"/>
        <v>1</v>
      </c>
      <c r="E955">
        <f t="shared" si="346"/>
        <v>4.73999999999993</v>
      </c>
      <c r="F955">
        <f t="shared" si="351"/>
        <v>0.16299999999702561</v>
      </c>
      <c r="G955">
        <f t="shared" si="339"/>
        <v>0.21028498212423757</v>
      </c>
      <c r="H955">
        <f t="shared" si="340"/>
        <v>3.4999999998856002E-2</v>
      </c>
      <c r="I955" t="b">
        <f t="shared" si="352"/>
        <v>1</v>
      </c>
      <c r="J955">
        <f t="shared" si="341"/>
        <v>4.73999999999993</v>
      </c>
      <c r="K955">
        <f t="shared" si="353"/>
        <v>3.4999999998856002E-2</v>
      </c>
      <c r="L955">
        <f t="shared" si="342"/>
        <v>0.16957021077511308</v>
      </c>
      <c r="M955">
        <f t="shared" si="343"/>
        <v>0.189999999997712</v>
      </c>
      <c r="N955">
        <f t="shared" si="344"/>
        <v>0.18799998578026822</v>
      </c>
      <c r="O955">
        <f t="shared" si="345"/>
        <v>0.15777777777777774</v>
      </c>
      <c r="P955">
        <f t="shared" si="358"/>
        <v>0.08</v>
      </c>
      <c r="Q955">
        <f t="shared" si="354"/>
        <v>0.08</v>
      </c>
      <c r="R955">
        <f t="shared" si="347"/>
        <v>0.08</v>
      </c>
      <c r="S955">
        <f t="shared" si="348"/>
        <v>0.06</v>
      </c>
      <c r="T955">
        <f t="shared" si="349"/>
        <v>0.1</v>
      </c>
      <c r="U955">
        <f t="shared" si="355"/>
        <v>0.08</v>
      </c>
      <c r="V955">
        <f t="shared" si="360"/>
        <v>0.18799998578026822</v>
      </c>
      <c r="W955">
        <f t="shared" si="356"/>
        <v>0.1695615284568413</v>
      </c>
      <c r="X955">
        <f t="shared" si="357"/>
        <v>0.21029073914503082</v>
      </c>
      <c r="Y955" t="b">
        <f t="shared" si="359"/>
        <v>0</v>
      </c>
    </row>
    <row xmlns:x14ac="http://schemas.microsoft.com/office/spreadsheetml/2009/9/ac" r="956" x14ac:dyDescent="0.45">
      <c r="A956">
        <v>4.7449999999999299</v>
      </c>
      <c r="B956">
        <f t="shared" si="337"/>
        <v>0.16299999999664369</v>
      </c>
      <c r="C956" t="b">
        <f t="shared" si="350"/>
        <v>1</v>
      </c>
      <c r="D956" t="b">
        <f t="shared" si="338"/>
        <v>1</v>
      </c>
      <c r="E956">
        <f t="shared" si="346"/>
        <v>4.7449999999999299</v>
      </c>
      <c r="F956">
        <f t="shared" si="351"/>
        <v>0.16299999999664369</v>
      </c>
      <c r="G956">
        <f t="shared" si="339"/>
        <v>0.21028356076996318</v>
      </c>
      <c r="H956">
        <f t="shared" si="340"/>
        <v>3.4999999998709119E-2</v>
      </c>
      <c r="I956" t="b">
        <f t="shared" si="352"/>
        <v>1</v>
      </c>
      <c r="J956">
        <f t="shared" si="341"/>
        <v>4.7449999999999299</v>
      </c>
      <c r="K956">
        <f t="shared" si="353"/>
        <v>3.4999999998709119E-2</v>
      </c>
      <c r="L956">
        <f t="shared" si="342"/>
        <v>0.16957235435781498</v>
      </c>
      <c r="M956">
        <f t="shared" si="343"/>
        <v>0.18999999999741823</v>
      </c>
      <c r="N956">
        <f t="shared" si="344"/>
        <v>0.18799998442617005</v>
      </c>
      <c r="O956">
        <f t="shared" si="345"/>
        <v>0.15777777777777774</v>
      </c>
      <c r="P956">
        <f t="shared" si="358"/>
        <v>0.08</v>
      </c>
      <c r="Q956">
        <f t="shared" si="354"/>
        <v>0.08</v>
      </c>
      <c r="R956">
        <f t="shared" si="347"/>
        <v>0.08</v>
      </c>
      <c r="S956">
        <f t="shared" si="348"/>
        <v>0.06</v>
      </c>
      <c r="T956">
        <f t="shared" si="349"/>
        <v>0.1</v>
      </c>
      <c r="U956">
        <f t="shared" si="355"/>
        <v>0.08</v>
      </c>
      <c r="V956">
        <f t="shared" si="360"/>
        <v>0.18799998442617005</v>
      </c>
      <c r="W956">
        <f t="shared" si="356"/>
        <v>0.16956371534278625</v>
      </c>
      <c r="X956">
        <f t="shared" si="357"/>
        <v>0.2102892890774955</v>
      </c>
      <c r="Y956" t="b">
        <f t="shared" si="359"/>
        <v>0</v>
      </c>
    </row>
    <row xmlns:x14ac="http://schemas.microsoft.com/office/spreadsheetml/2009/9/ac" r="957" x14ac:dyDescent="0.45">
      <c r="A957">
        <v>4.7499999999999298</v>
      </c>
      <c r="B957">
        <f t="shared" si="337"/>
        <v>0.16299999999629647</v>
      </c>
      <c r="C957" t="b">
        <f t="shared" si="350"/>
        <v>1</v>
      </c>
      <c r="D957" t="b">
        <f t="shared" si="338"/>
        <v>1</v>
      </c>
      <c r="E957">
        <f t="shared" si="346"/>
        <v>4.7499999999999298</v>
      </c>
      <c r="F957">
        <f t="shared" si="351"/>
        <v>0.16299999999629647</v>
      </c>
      <c r="G957">
        <f t="shared" si="339"/>
        <v>0.21028214650472288</v>
      </c>
      <c r="H957">
        <f t="shared" si="340"/>
        <v>3.4999999998575573E-2</v>
      </c>
      <c r="I957" t="b">
        <f t="shared" si="352"/>
        <v>1</v>
      </c>
      <c r="J957">
        <f t="shared" si="341"/>
        <v>4.7499999999999298</v>
      </c>
      <c r="K957">
        <f t="shared" si="353"/>
        <v>3.4999999998575573E-2</v>
      </c>
      <c r="L957">
        <f t="shared" si="342"/>
        <v>0.16957448724935353</v>
      </c>
      <c r="M957">
        <f t="shared" si="343"/>
        <v>0.18999999999715114</v>
      </c>
      <c r="N957">
        <f t="shared" si="344"/>
        <v>0.18799998318423444</v>
      </c>
      <c r="O957">
        <f t="shared" si="345"/>
        <v>0.15777777777777774</v>
      </c>
      <c r="P957">
        <f t="shared" si="358"/>
        <v>0.08</v>
      </c>
      <c r="Q957">
        <f t="shared" si="354"/>
        <v>0.08</v>
      </c>
      <c r="R957">
        <f t="shared" si="347"/>
        <v>0.08</v>
      </c>
      <c r="S957">
        <f t="shared" si="348"/>
        <v>0.06</v>
      </c>
      <c r="T957">
        <f t="shared" si="349"/>
        <v>0.1</v>
      </c>
      <c r="U957">
        <f t="shared" si="355"/>
        <v>0.08</v>
      </c>
      <c r="V957">
        <f t="shared" si="360"/>
        <v>0.18799998318423444</v>
      </c>
      <c r="W957">
        <f t="shared" si="356"/>
        <v>0.169565891321592</v>
      </c>
      <c r="X957">
        <f t="shared" si="357"/>
        <v>0.21028784624220215</v>
      </c>
      <c r="Y957" t="b">
        <f t="shared" si="359"/>
        <v>0</v>
      </c>
    </row>
    <row xmlns:x14ac="http://schemas.microsoft.com/office/spreadsheetml/2009/9/ac" r="958" x14ac:dyDescent="0.45">
      <c r="A958">
        <v>4.7549999999999297</v>
      </c>
      <c r="B958">
        <f t="shared" si="337"/>
        <v>0.16299999999598391</v>
      </c>
      <c r="C958" t="b">
        <f t="shared" si="350"/>
        <v>1</v>
      </c>
      <c r="D958" t="b">
        <f t="shared" si="338"/>
        <v>1</v>
      </c>
      <c r="E958">
        <f t="shared" si="346"/>
        <v>4.7549999999999297</v>
      </c>
      <c r="F958">
        <f t="shared" si="351"/>
        <v>0.16299999999598391</v>
      </c>
      <c r="G958">
        <f t="shared" si="339"/>
        <v>0.21028073929315982</v>
      </c>
      <c r="H958">
        <f t="shared" si="340"/>
        <v>3.499999999845535E-2</v>
      </c>
      <c r="I958" t="b">
        <f t="shared" si="352"/>
        <v>1</v>
      </c>
      <c r="J958">
        <f t="shared" si="341"/>
        <v>4.7549999999999297</v>
      </c>
      <c r="K958">
        <f t="shared" si="353"/>
        <v>3.499999999845535E-2</v>
      </c>
      <c r="L958">
        <f t="shared" si="342"/>
        <v>0.16957660950305115</v>
      </c>
      <c r="M958">
        <f t="shared" si="343"/>
        <v>0.1899999999969107</v>
      </c>
      <c r="N958">
        <f t="shared" si="344"/>
        <v>0.18799998205647278</v>
      </c>
      <c r="O958">
        <f t="shared" si="345"/>
        <v>0.15777777777777774</v>
      </c>
      <c r="P958">
        <f t="shared" si="358"/>
        <v>0.08</v>
      </c>
      <c r="Q958">
        <f t="shared" si="354"/>
        <v>0.08</v>
      </c>
      <c r="R958">
        <f t="shared" si="347"/>
        <v>0.08</v>
      </c>
      <c r="S958">
        <f t="shared" si="348"/>
        <v>0.06</v>
      </c>
      <c r="T958">
        <f t="shared" si="349"/>
        <v>0.1</v>
      </c>
      <c r="U958">
        <f t="shared" si="355"/>
        <v>0.08</v>
      </c>
      <c r="V958">
        <f t="shared" si="360"/>
        <v>0.18799998205647278</v>
      </c>
      <c r="W958">
        <f t="shared" si="356"/>
        <v>0.16956805644765821</v>
      </c>
      <c r="X958">
        <f t="shared" si="357"/>
        <v>0.21028641060307984</v>
      </c>
      <c r="Y958" t="b">
        <f t="shared" si="359"/>
        <v>0</v>
      </c>
    </row>
    <row xmlns:x14ac="http://schemas.microsoft.com/office/spreadsheetml/2009/9/ac" r="959" x14ac:dyDescent="0.45">
      <c r="A959">
        <v>4.7599999999999296</v>
      </c>
      <c r="B959">
        <f t="shared" si="337"/>
        <v>0.1629999999957058</v>
      </c>
      <c r="C959" t="b">
        <f t="shared" si="350"/>
        <v>1</v>
      </c>
      <c r="D959" t="b">
        <f t="shared" si="338"/>
        <v>1</v>
      </c>
      <c r="E959">
        <f t="shared" si="346"/>
        <v>4.7599999999999296</v>
      </c>
      <c r="F959">
        <f t="shared" si="351"/>
        <v>0.1629999999957058</v>
      </c>
      <c r="G959">
        <f t="shared" si="339"/>
        <v>0.21027933910009378</v>
      </c>
      <c r="H959">
        <f t="shared" si="340"/>
        <v>3.499999999834838E-2</v>
      </c>
      <c r="I959" t="b">
        <f t="shared" si="352"/>
        <v>1</v>
      </c>
      <c r="J959">
        <f t="shared" si="341"/>
        <v>4.7599999999999296</v>
      </c>
      <c r="K959">
        <f t="shared" si="353"/>
        <v>3.499999999834838E-2</v>
      </c>
      <c r="L959">
        <f t="shared" si="342"/>
        <v>0.16957872117196432</v>
      </c>
      <c r="M959">
        <f t="shared" si="343"/>
        <v>0.18999999999669676</v>
      </c>
      <c r="N959">
        <f t="shared" si="344"/>
        <v>0.18799998104432331</v>
      </c>
      <c r="O959">
        <f t="shared" si="345"/>
        <v>0.15777777777777774</v>
      </c>
      <c r="P959">
        <f t="shared" si="358"/>
        <v>0.08</v>
      </c>
      <c r="Q959">
        <f t="shared" si="354"/>
        <v>0.08</v>
      </c>
      <c r="R959">
        <f t="shared" si="347"/>
        <v>0.08</v>
      </c>
      <c r="S959">
        <f t="shared" si="348"/>
        <v>0.06</v>
      </c>
      <c r="T959">
        <f t="shared" si="349"/>
        <v>0.1</v>
      </c>
      <c r="U959">
        <f t="shared" si="355"/>
        <v>0.08</v>
      </c>
      <c r="V959">
        <f t="shared" si="360"/>
        <v>0.18799998104432331</v>
      </c>
      <c r="W959">
        <f t="shared" si="356"/>
        <v>0.16957021077511308</v>
      </c>
      <c r="X959">
        <f t="shared" si="357"/>
        <v>0.21028498212423757</v>
      </c>
      <c r="Y959" t="b">
        <f t="shared" si="359"/>
        <v>0</v>
      </c>
    </row>
    <row xmlns:x14ac="http://schemas.microsoft.com/office/spreadsheetml/2009/9/ac" r="960" x14ac:dyDescent="0.45">
      <c r="A960">
        <v>4.7649999999999304</v>
      </c>
      <c r="B960">
        <f t="shared" si="337"/>
        <v>0.16299999999546178</v>
      </c>
      <c r="C960" t="b">
        <f t="shared" si="350"/>
        <v>1</v>
      </c>
      <c r="D960" t="b">
        <f t="shared" si="338"/>
        <v>1</v>
      </c>
      <c r="E960">
        <f t="shared" si="346"/>
        <v>4.7649999999999304</v>
      </c>
      <c r="F960">
        <f t="shared" si="351"/>
        <v>0.16299999999546178</v>
      </c>
      <c r="G960">
        <f t="shared" si="339"/>
        <v>0.21027794589051979</v>
      </c>
      <c r="H960">
        <f t="shared" si="340"/>
        <v>3.4999999998254538E-2</v>
      </c>
      <c r="I960" t="b">
        <f t="shared" si="352"/>
        <v>1</v>
      </c>
      <c r="J960">
        <f t="shared" si="341"/>
        <v>4.7649999999999304</v>
      </c>
      <c r="K960">
        <f t="shared" si="353"/>
        <v>3.4999999998254538E-2</v>
      </c>
      <c r="L960">
        <f t="shared" si="342"/>
        <v>0.16958082230888483</v>
      </c>
      <c r="M960">
        <f t="shared" si="343"/>
        <v>0.18999999999650907</v>
      </c>
      <c r="N960">
        <f t="shared" si="344"/>
        <v>0.18799998014866298</v>
      </c>
      <c r="O960">
        <f t="shared" si="345"/>
        <v>0.15777777777777774</v>
      </c>
      <c r="P960">
        <f t="shared" si="358"/>
        <v>0.08</v>
      </c>
      <c r="Q960">
        <f t="shared" si="354"/>
        <v>0.08</v>
      </c>
      <c r="R960">
        <f t="shared" si="347"/>
        <v>0.08</v>
      </c>
      <c r="S960">
        <f t="shared" si="348"/>
        <v>0.06</v>
      </c>
      <c r="T960">
        <f t="shared" si="349"/>
        <v>0.1</v>
      </c>
      <c r="U960">
        <f t="shared" si="355"/>
        <v>0.08</v>
      </c>
      <c r="V960">
        <f t="shared" si="360"/>
        <v>0.18799998014866298</v>
      </c>
      <c r="W960">
        <f t="shared" si="356"/>
        <v>0.16957235435781498</v>
      </c>
      <c r="X960">
        <f t="shared" si="357"/>
        <v>0.21028356076996318</v>
      </c>
      <c r="Y960" t="b">
        <f t="shared" si="359"/>
        <v>0</v>
      </c>
    </row>
    <row xmlns:x14ac="http://schemas.microsoft.com/office/spreadsheetml/2009/9/ac" r="961" x14ac:dyDescent="0.45">
      <c r="A961">
        <v>4.7699999999999303</v>
      </c>
      <c r="B961">
        <f t="shared" si="337"/>
        <v>0.16299999999525139</v>
      </c>
      <c r="C961" t="b">
        <f t="shared" si="350"/>
        <v>1</v>
      </c>
      <c r="D961" t="b">
        <f t="shared" si="338"/>
        <v>1</v>
      </c>
      <c r="E961">
        <f t="shared" si="346"/>
        <v>4.7699999999999303</v>
      </c>
      <c r="F961">
        <f t="shared" si="351"/>
        <v>0.16299999999525139</v>
      </c>
      <c r="G961">
        <f t="shared" si="339"/>
        <v>0.21027655962960751</v>
      </c>
      <c r="H961">
        <f t="shared" si="340"/>
        <v>3.4999999998173617E-2</v>
      </c>
      <c r="I961" t="b">
        <f t="shared" si="352"/>
        <v>1</v>
      </c>
      <c r="J961">
        <f t="shared" si="341"/>
        <v>4.7699999999999303</v>
      </c>
      <c r="K961">
        <f t="shared" si="353"/>
        <v>3.4999999998173617E-2</v>
      </c>
      <c r="L961">
        <f t="shared" si="342"/>
        <v>0.16958291296634123</v>
      </c>
      <c r="M961">
        <f t="shared" si="343"/>
        <v>0.18999999999634723</v>
      </c>
      <c r="N961">
        <f t="shared" si="344"/>
        <v>0.18799997936982116</v>
      </c>
      <c r="O961">
        <f t="shared" si="345"/>
        <v>0.15777777777777771</v>
      </c>
      <c r="P961">
        <f t="shared" si="358"/>
        <v>0.08</v>
      </c>
      <c r="Q961">
        <f t="shared" si="354"/>
        <v>0.08</v>
      </c>
      <c r="R961">
        <f t="shared" si="347"/>
        <v>0.08</v>
      </c>
      <c r="S961">
        <f t="shared" si="348"/>
        <v>0.06</v>
      </c>
      <c r="T961">
        <f t="shared" si="349"/>
        <v>0.1</v>
      </c>
      <c r="U961">
        <f t="shared" si="355"/>
        <v>0.08</v>
      </c>
      <c r="V961">
        <f t="shared" si="360"/>
        <v>0.18799997936982116</v>
      </c>
      <c r="W961">
        <f t="shared" si="356"/>
        <v>0.16957448724935353</v>
      </c>
      <c r="X961">
        <f t="shared" si="357"/>
        <v>0.21028214650472288</v>
      </c>
      <c r="Y961" t="b">
        <f t="shared" si="359"/>
        <v>0</v>
      </c>
    </row>
    <row xmlns:x14ac="http://schemas.microsoft.com/office/spreadsheetml/2009/9/ac" r="962" x14ac:dyDescent="0.45">
      <c r="A962">
        <v>4.7749999999999302</v>
      </c>
      <c r="B962">
        <f t="shared" si="337"/>
        <v>0.16299999999507397</v>
      </c>
      <c r="C962" t="b">
        <f t="shared" si="350"/>
        <v>1</v>
      </c>
      <c r="D962" t="b">
        <f t="shared" si="338"/>
        <v>1</v>
      </c>
      <c r="E962">
        <f t="shared" si="346"/>
        <v>4.7749999999999302</v>
      </c>
      <c r="F962">
        <f t="shared" si="351"/>
        <v>0.16299999999507397</v>
      </c>
      <c r="G962">
        <f t="shared" si="339"/>
        <v>0.21027518028270037</v>
      </c>
      <c r="H962">
        <f t="shared" si="340"/>
        <v>3.499999999810538E-2</v>
      </c>
      <c r="I962" t="b">
        <f t="shared" si="352"/>
        <v>1</v>
      </c>
      <c r="J962">
        <f t="shared" si="341"/>
        <v>4.7749999999999302</v>
      </c>
      <c r="K962">
        <f t="shared" si="353"/>
        <v>3.499999999810538E-2</v>
      </c>
      <c r="L962">
        <f t="shared" si="342"/>
        <v>0.16958499319660006</v>
      </c>
      <c r="M962">
        <f t="shared" si="343"/>
        <v>0.18999999999621076</v>
      </c>
      <c r="N962">
        <f t="shared" si="344"/>
        <v>0.18799997870759533</v>
      </c>
      <c r="O962">
        <f t="shared" si="345"/>
        <v>0.15777777777777771</v>
      </c>
      <c r="P962">
        <f t="shared" si="358"/>
        <v>0.08</v>
      </c>
      <c r="Q962">
        <f t="shared" si="354"/>
        <v>0.08</v>
      </c>
      <c r="R962">
        <f t="shared" si="347"/>
        <v>0.08</v>
      </c>
      <c r="S962">
        <f t="shared" si="348"/>
        <v>0.06</v>
      </c>
      <c r="T962">
        <f t="shared" si="349"/>
        <v>0.1</v>
      </c>
      <c r="U962">
        <f t="shared" si="355"/>
        <v>0.08</v>
      </c>
      <c r="V962">
        <f t="shared" si="360"/>
        <v>0.18799997870759533</v>
      </c>
      <c r="W962">
        <f t="shared" si="356"/>
        <v>0.16957660950305115</v>
      </c>
      <c r="X962">
        <f t="shared" si="357"/>
        <v>0.21028073929315982</v>
      </c>
      <c r="Y962" t="b">
        <f t="shared" si="359"/>
        <v>0</v>
      </c>
    </row>
    <row xmlns:x14ac="http://schemas.microsoft.com/office/spreadsheetml/2009/9/ac" r="963" x14ac:dyDescent="0.45">
      <c r="A963">
        <v>4.7799999999999301</v>
      </c>
      <c r="B963">
        <f t="shared" si="337"/>
        <v>0.16299999999492876</v>
      </c>
      <c r="C963" t="b">
        <f t="shared" si="350"/>
        <v>1</v>
      </c>
      <c r="D963" t="b">
        <f t="shared" si="338"/>
        <v>1</v>
      </c>
      <c r="E963">
        <f t="shared" si="346"/>
        <v>4.7799999999999301</v>
      </c>
      <c r="F963">
        <f t="shared" si="351"/>
        <v>0.16299999999492876</v>
      </c>
      <c r="G963">
        <f t="shared" si="339"/>
        <v>0.21027380781531463</v>
      </c>
      <c r="H963">
        <f t="shared" si="340"/>
        <v>3.4999999998049522E-2</v>
      </c>
      <c r="I963" t="b">
        <f t="shared" si="352"/>
        <v>1</v>
      </c>
      <c r="J963">
        <f t="shared" si="341"/>
        <v>4.7799999999999301</v>
      </c>
      <c r="K963">
        <f t="shared" si="353"/>
        <v>3.4999999998049522E-2</v>
      </c>
      <c r="L963">
        <f t="shared" si="342"/>
        <v>0.16958706305166721</v>
      </c>
      <c r="M963">
        <f t="shared" si="343"/>
        <v>0.18999999999609907</v>
      </c>
      <c r="N963">
        <f t="shared" si="344"/>
        <v>0.1879999781612689</v>
      </c>
      <c r="O963">
        <f t="shared" si="345"/>
        <v>0.15777777777777771</v>
      </c>
      <c r="P963">
        <f t="shared" si="358"/>
        <v>0.08</v>
      </c>
      <c r="Q963">
        <f t="shared" si="354"/>
        <v>0.08</v>
      </c>
      <c r="R963">
        <f t="shared" si="347"/>
        <v>0.08</v>
      </c>
      <c r="S963">
        <f t="shared" si="348"/>
        <v>0.06</v>
      </c>
      <c r="T963">
        <f t="shared" si="349"/>
        <v>0.1</v>
      </c>
      <c r="U963">
        <f t="shared" si="355"/>
        <v>0.08</v>
      </c>
      <c r="V963">
        <f t="shared" si="360"/>
        <v>0.1879999781612689</v>
      </c>
      <c r="W963">
        <f t="shared" si="356"/>
        <v>0.16957872117196432</v>
      </c>
      <c r="X963">
        <f t="shared" si="357"/>
        <v>0.21027933910009378</v>
      </c>
      <c r="Y963" t="b">
        <f t="shared" si="359"/>
        <v>0</v>
      </c>
    </row>
    <row xmlns:x14ac="http://schemas.microsoft.com/office/spreadsheetml/2009/9/ac" r="964" x14ac:dyDescent="0.45">
      <c r="A964">
        <v>4.78499999999993</v>
      </c>
      <c r="B964">
        <f t="shared" si="337"/>
        <v>0.1629999999948149</v>
      </c>
      <c r="C964" t="b">
        <f t="shared" si="350"/>
        <v>1</v>
      </c>
      <c r="D964" t="b">
        <f t="shared" si="338"/>
        <v>1</v>
      </c>
      <c r="E964">
        <f t="shared" si="346"/>
        <v>4.78499999999993</v>
      </c>
      <c r="F964">
        <f t="shared" si="351"/>
        <v>0.1629999999948149</v>
      </c>
      <c r="G964">
        <f t="shared" si="339"/>
        <v>0.21027244219313856</v>
      </c>
      <c r="H964">
        <f t="shared" si="340"/>
        <v>3.4999999998005737E-2</v>
      </c>
      <c r="I964" t="b">
        <f t="shared" si="352"/>
        <v>1</v>
      </c>
      <c r="J964">
        <f t="shared" si="341"/>
        <v>4.78499999999993</v>
      </c>
      <c r="K964">
        <f t="shared" si="353"/>
        <v>3.4999999998005737E-2</v>
      </c>
      <c r="L964">
        <f t="shared" si="342"/>
        <v>0.16958912258328912</v>
      </c>
      <c r="M964">
        <f t="shared" si="343"/>
        <v>0.18999999999601147</v>
      </c>
      <c r="N964">
        <f t="shared" si="344"/>
        <v>0.18799997772963048</v>
      </c>
      <c r="O964">
        <f t="shared" si="345"/>
        <v>0.15777777777777771</v>
      </c>
      <c r="P964">
        <f t="shared" si="358"/>
        <v>0.08</v>
      </c>
      <c r="Q964">
        <f t="shared" si="354"/>
        <v>0.08</v>
      </c>
      <c r="R964">
        <f t="shared" si="347"/>
        <v>0.08</v>
      </c>
      <c r="S964">
        <f t="shared" si="348"/>
        <v>0.06</v>
      </c>
      <c r="T964">
        <f t="shared" si="349"/>
        <v>0.1</v>
      </c>
      <c r="U964">
        <f t="shared" si="355"/>
        <v>0.08</v>
      </c>
      <c r="V964">
        <f t="shared" si="360"/>
        <v>0.18799997772963048</v>
      </c>
      <c r="W964">
        <f t="shared" si="356"/>
        <v>0.16958082230888483</v>
      </c>
      <c r="X964">
        <f t="shared" si="357"/>
        <v>0.21027794589051979</v>
      </c>
      <c r="Y964" t="b">
        <f t="shared" si="359"/>
        <v>0</v>
      </c>
    </row>
    <row xmlns:x14ac="http://schemas.microsoft.com/office/spreadsheetml/2009/9/ac" r="965" x14ac:dyDescent="0.45">
      <c r="A965">
        <v>4.7899999999999299</v>
      </c>
      <c r="B965">
        <f t="shared" si="337"/>
        <v>0.16299999999473141</v>
      </c>
      <c r="C965" t="b">
        <f t="shared" si="350"/>
        <v>1</v>
      </c>
      <c r="D965" t="b">
        <f t="shared" si="338"/>
        <v>1</v>
      </c>
      <c r="E965">
        <f t="shared" si="346"/>
        <v>4.7899999999999299</v>
      </c>
      <c r="F965">
        <f t="shared" si="351"/>
        <v>0.16299999999473141</v>
      </c>
      <c r="G965">
        <f t="shared" si="339"/>
        <v>0.21027108338203149</v>
      </c>
      <c r="H965">
        <f t="shared" si="340"/>
        <v>3.4999999997973624E-2</v>
      </c>
      <c r="I965" t="b">
        <f t="shared" si="352"/>
        <v>1</v>
      </c>
      <c r="J965">
        <f t="shared" si="341"/>
        <v>4.7899999999999299</v>
      </c>
      <c r="K965">
        <f t="shared" si="353"/>
        <v>3.4999999997973624E-2</v>
      </c>
      <c r="L965">
        <f t="shared" si="342"/>
        <v>0.16959117184295422</v>
      </c>
      <c r="M965">
        <f t="shared" si="343"/>
        <v>0.18999999999594724</v>
      </c>
      <c r="N965">
        <f t="shared" si="344"/>
        <v>0.18799997741099481</v>
      </c>
      <c r="O965">
        <f t="shared" si="345"/>
        <v>0.15777777777777768</v>
      </c>
      <c r="P965">
        <f t="shared" si="358"/>
        <v>0.08</v>
      </c>
      <c r="Q965">
        <f t="shared" si="354"/>
        <v>0.08</v>
      </c>
      <c r="R965">
        <f t="shared" si="347"/>
        <v>0.08</v>
      </c>
      <c r="S965">
        <f t="shared" si="348"/>
        <v>0.06</v>
      </c>
      <c r="T965">
        <f t="shared" si="349"/>
        <v>0.1</v>
      </c>
      <c r="U965">
        <f t="shared" si="355"/>
        <v>0.08</v>
      </c>
      <c r="V965">
        <f t="shared" si="360"/>
        <v>0.18799997741099481</v>
      </c>
      <c r="W965">
        <f t="shared" si="356"/>
        <v>0.16958291296634123</v>
      </c>
      <c r="X965">
        <f t="shared" si="357"/>
        <v>0.21027655962960751</v>
      </c>
      <c r="Y965" t="b">
        <f t="shared" si="359"/>
        <v>0</v>
      </c>
    </row>
    <row xmlns:x14ac="http://schemas.microsoft.com/office/spreadsheetml/2009/9/ac" r="966" x14ac:dyDescent="0.45">
      <c r="A966">
        <v>4.7949999999999298</v>
      </c>
      <c r="B966">
        <f t="shared" si="337"/>
        <v>0.16299999999467715</v>
      </c>
      <c r="C966" t="b">
        <f t="shared" si="350"/>
        <v>1</v>
      </c>
      <c r="D966" t="b">
        <f t="shared" si="338"/>
        <v>1</v>
      </c>
      <c r="E966">
        <f t="shared" si="346"/>
        <v>4.7949999999999298</v>
      </c>
      <c r="F966">
        <f t="shared" si="351"/>
        <v>0.16299999999467715</v>
      </c>
      <c r="G966">
        <f t="shared" si="339"/>
        <v>0.21026973134802307</v>
      </c>
      <c r="H966">
        <f t="shared" si="340"/>
        <v>3.4999999997952752E-2</v>
      </c>
      <c r="I966" t="b">
        <f t="shared" si="352"/>
        <v>1</v>
      </c>
      <c r="J966">
        <f t="shared" si="341"/>
        <v>4.7949999999999298</v>
      </c>
      <c r="K966">
        <f t="shared" si="353"/>
        <v>3.4999999997952752E-2</v>
      </c>
      <c r="L966">
        <f t="shared" si="342"/>
        <v>0.16959321088189411</v>
      </c>
      <c r="M966">
        <f t="shared" si="343"/>
        <v>0.1899999999959055</v>
      </c>
      <c r="N966">
        <f t="shared" si="344"/>
        <v>0.18799997720322537</v>
      </c>
      <c r="O966">
        <f t="shared" si="345"/>
        <v>0.15777777777777768</v>
      </c>
      <c r="P966">
        <f t="shared" si="358"/>
        <v>0.08</v>
      </c>
      <c r="Q966">
        <f t="shared" si="354"/>
        <v>0.08</v>
      </c>
      <c r="R966">
        <f t="shared" si="347"/>
        <v>0.08</v>
      </c>
      <c r="S966">
        <f t="shared" si="348"/>
        <v>0.06</v>
      </c>
      <c r="T966">
        <f t="shared" si="349"/>
        <v>0.1</v>
      </c>
      <c r="U966">
        <f t="shared" si="355"/>
        <v>0.08</v>
      </c>
      <c r="V966">
        <f t="shared" si="360"/>
        <v>0.18799997720322537</v>
      </c>
      <c r="W966">
        <f t="shared" si="356"/>
        <v>0.16958499319660006</v>
      </c>
      <c r="X966">
        <f t="shared" si="357"/>
        <v>0.21027518028270037</v>
      </c>
      <c r="Y966" t="b">
        <f t="shared" si="359"/>
        <v>0</v>
      </c>
    </row>
    <row xmlns:x14ac="http://schemas.microsoft.com/office/spreadsheetml/2009/9/ac" r="967" x14ac:dyDescent="0.45">
      <c r="A967">
        <v>4.7999999999999297</v>
      </c>
      <c r="B967">
        <f t="shared" ref="B967:B1030" si="361">-(1+Marge_haute)*(A+B/Tpll*EXP(-$A967/Tpll)+C_*EXP(-epsilon*Wn*$A967)*COS(Wd*$A967)+C_*(D/C_-epsilon*Wn)/Wd*EXP(-epsilon*Wn*$A967)*SIN(Wd*$A967))+SIGN(DeltaPexpected)*Tunnel</f>
        <v>0.16299999999465103</v>
      </c>
      <c r="C967" t="b">
        <f t="shared" si="350"/>
        <v>1</v>
      </c>
      <c r="D967" t="b">
        <f t="shared" ref="D967:D1030" si="362">IF(D966,D966,IF(C967,B967&gt;B966,C967))</f>
        <v>1</v>
      </c>
      <c r="E967">
        <f t="shared" si="346"/>
        <v>4.7999999999999297</v>
      </c>
      <c r="F967">
        <f t="shared" si="351"/>
        <v>0.16299999999465103</v>
      </c>
      <c r="G967">
        <f t="shared" ref="G967:G1030" si="363">P0-SIGN(Rocof)*IF(D967,DeltaPexpected+SIGN(DeltaPexpected)*Tunnel+(MIN(F$7:F$1495)-DeltaPexpected-+SIGN(DeltaPexpected)*Tunnel)*EXP(-(A967-MIN(E$7:E$1495))/Texpodecrease),B967)</f>
        <v>0.21026838605731241</v>
      </c>
      <c r="H967">
        <f t="shared" ref="H967:H1030" si="364">-(1-marge_basse)*(A+B/Tpll*EXP(-$A967/Tpll)+C_*EXP(-epsilon*Wn*$A967)*COS(Wd*$A967)+C_*(D/C_-epsilon*Wn)/Wd*EXP(-epsilon*Wn*$A967)*SIN(Wd*$A967))-Tunnel</f>
        <v>3.4999999997942705E-2</v>
      </c>
      <c r="I967" t="b">
        <f t="shared" si="352"/>
        <v>1</v>
      </c>
      <c r="J967">
        <f t="shared" ref="J967:J1030" si="365">IF(I967,A967,I967)</f>
        <v>4.7999999999999297</v>
      </c>
      <c r="K967">
        <f t="shared" si="353"/>
        <v>3.4999999997942705E-2</v>
      </c>
      <c r="L967">
        <f t="shared" ref="L967:L1030" si="366">P0-SIGN(Rocof)*IF(I967,AF$23-AF$13+(MAX(K$7:K$1495)-AF$23+AF$13)*EXP(-(A967-MIN(J$7:J$1495))/AB$21),H967)</f>
        <v>0.16959523975108484</v>
      </c>
      <c r="M967">
        <f t="shared" ref="M967:M1030" si="367">P0-(1)*(A+B/Tpll*EXP(-$A967/Tpll)+C_*EXP(-epsilon*Wn*$A967)*COS(Wd*$A967)+C_*(D/C_-epsilon*Wn)/Wd*EXP(-epsilon*Wn*$A967)*SIN(Wd*$A967))</f>
        <v>0.1899999999958854</v>
      </c>
      <c r="N967">
        <f t="shared" ref="N967:N1030" si="368">AB$6-(AG$17+AG$16/AC$18*EXP(-$A967/AC$18)+AG$18*EXP(-AG$6*AG$12*$A967)*COS(AG$5*$A967)+AG$18*(AG$19/AG$18-AG$6*AG$12)/AG$5*EXP(-AG$6*AG$12*$A967)*SIN(AG$5*$A967))</f>
        <v>0.18799997710375804</v>
      </c>
      <c r="O967">
        <f t="shared" ref="O967:O1030" si="369">AB$6-(AH$17+AH$16/AD$18*EXP(-$A967/AD$18)+AH$18*EXP(-AH$6*AH$12*$A967)*COS(AH$5*$A967)+AH$18*(AH$19/AH$18-AH$6*AH$12)/AH$5*EXP(-AH$6*AH$12*$A967)*SIN(AH$5*$A967))</f>
        <v>0.15777777777777771</v>
      </c>
      <c r="P967">
        <f t="shared" si="358"/>
        <v>0.08</v>
      </c>
      <c r="Q967">
        <f t="shared" si="354"/>
        <v>0.08</v>
      </c>
      <c r="R967">
        <f t="shared" si="347"/>
        <v>0.08</v>
      </c>
      <c r="S967">
        <f t="shared" si="348"/>
        <v>0.06</v>
      </c>
      <c r="T967">
        <f t="shared" si="349"/>
        <v>0.1</v>
      </c>
      <c r="U967">
        <f t="shared" si="355"/>
        <v>0.08</v>
      </c>
      <c r="V967">
        <f t="shared" si="360"/>
        <v>0.18799997710375804</v>
      </c>
      <c r="W967">
        <f t="shared" si="356"/>
        <v>0.16958706305166721</v>
      </c>
      <c r="X967">
        <f t="shared" si="357"/>
        <v>0.21027380781531463</v>
      </c>
      <c r="Y967" t="b">
        <f t="shared" si="359"/>
        <v>0</v>
      </c>
    </row>
    <row xmlns:x14ac="http://schemas.microsoft.com/office/spreadsheetml/2009/9/ac" r="968" x14ac:dyDescent="0.45">
      <c r="A968">
        <v>4.8049999999999304</v>
      </c>
      <c r="B968">
        <f t="shared" si="361"/>
        <v>0.16299999999465178</v>
      </c>
      <c r="C968" t="b">
        <f t="shared" si="350"/>
        <v>1</v>
      </c>
      <c r="D968" t="b">
        <f t="shared" si="362"/>
        <v>1</v>
      </c>
      <c r="E968">
        <f t="shared" ref="E968:E1031" si="370">IF(D968,A968,D968)</f>
        <v>4.8049999999999304</v>
      </c>
      <c r="F968">
        <f t="shared" si="351"/>
        <v>0.16299999999465178</v>
      </c>
      <c r="G968">
        <f t="shared" si="363"/>
        <v>0.21026704747626718</v>
      </c>
      <c r="H968">
        <f t="shared" si="364"/>
        <v>3.4999999997942996E-2</v>
      </c>
      <c r="I968" t="b">
        <f t="shared" si="352"/>
        <v>1</v>
      </c>
      <c r="J968">
        <f t="shared" si="365"/>
        <v>4.8049999999999304</v>
      </c>
      <c r="K968">
        <f t="shared" si="353"/>
        <v>3.4999999997942996E-2</v>
      </c>
      <c r="L968">
        <f t="shared" si="366"/>
        <v>0.16959725850124829</v>
      </c>
      <c r="M968">
        <f t="shared" si="367"/>
        <v>0.18999999999588599</v>
      </c>
      <c r="N968">
        <f t="shared" si="368"/>
        <v>0.18799997710962602</v>
      </c>
      <c r="O968">
        <f t="shared" si="369"/>
        <v>0.15777777777777771</v>
      </c>
      <c r="P968">
        <f t="shared" si="358"/>
        <v>0.08</v>
      </c>
      <c r="Q968">
        <f t="shared" si="354"/>
        <v>0.08</v>
      </c>
      <c r="R968">
        <f t="shared" ref="R968:R1031" si="371">$AB$6-(1+AB$17)*EXP(-AF$6*AF$12*A968)*(COS(AF$5*A968)-(AF$6*AF$12-1)/(AF$5)*SIN(AF$5*A968))*AF$15</f>
        <v>0.08</v>
      </c>
      <c r="S968">
        <f t="shared" ref="S968:S1031" si="372">R968-AF$13</f>
        <v>0.06</v>
      </c>
      <c r="T968">
        <f t="shared" ref="T968:T1031" si="373">R968+AF$13</f>
        <v>0.1</v>
      </c>
      <c r="U968">
        <f t="shared" si="355"/>
        <v>0.08</v>
      </c>
      <c r="V968">
        <f t="shared" si="360"/>
        <v>0.18799997710962602</v>
      </c>
      <c r="W968">
        <f t="shared" si="356"/>
        <v>0.16958912258328912</v>
      </c>
      <c r="X968">
        <f t="shared" si="357"/>
        <v>0.21027244219313856</v>
      </c>
      <c r="Y968" t="b">
        <f t="shared" si="359"/>
        <v>0</v>
      </c>
    </row>
    <row xmlns:x14ac="http://schemas.microsoft.com/office/spreadsheetml/2009/9/ac" r="969" x14ac:dyDescent="0.45">
      <c r="A969">
        <v>4.8099999999999303</v>
      </c>
      <c r="B969">
        <f t="shared" si="361"/>
        <v>0.16299999999467807</v>
      </c>
      <c r="C969" t="b">
        <f t="shared" ref="C969:C1032" si="374">IF(C968,C968,(B969&lt;B968))</f>
        <v>1</v>
      </c>
      <c r="D969" t="b">
        <f t="shared" si="362"/>
        <v>1</v>
      </c>
      <c r="E969">
        <f t="shared" si="370"/>
        <v>4.8099999999999303</v>
      </c>
      <c r="F969">
        <f t="shared" ref="F969:F1032" si="375">IF(D969,B969,D969)</f>
        <v>0.16299999999467807</v>
      </c>
      <c r="G969">
        <f t="shared" si="363"/>
        <v>0.21026571557142276</v>
      </c>
      <c r="H969">
        <f t="shared" si="364"/>
        <v>3.4999999997953099E-2</v>
      </c>
      <c r="I969" t="b">
        <f t="shared" ref="I969:I1032" si="376">IF(I968,I968,H968&gt;H969)</f>
        <v>1</v>
      </c>
      <c r="J969">
        <f t="shared" si="365"/>
        <v>4.8099999999999303</v>
      </c>
      <c r="K969">
        <f t="shared" ref="K969:K1032" si="377">IF(I969,H969,I969)</f>
        <v>3.4999999997953099E-2</v>
      </c>
      <c r="L969">
        <f t="shared" si="366"/>
        <v>0.16959926718285329</v>
      </c>
      <c r="M969">
        <f t="shared" si="367"/>
        <v>0.18999999999590622</v>
      </c>
      <c r="N969">
        <f t="shared" si="368"/>
        <v>0.18799997721748576</v>
      </c>
      <c r="O969">
        <f t="shared" si="369"/>
        <v>0.15777777777777771</v>
      </c>
      <c r="P969">
        <f t="shared" si="358"/>
        <v>0.08</v>
      </c>
      <c r="Q969">
        <f t="shared" ref="Q969:Q1032" si="378">$AB$6-(1+AB$17)*EXP(-AF$6*AF$12*A967)*(COS(AF$5*A967)-(AF$6*AF$12-1)/(AF$5)*SIN(AF$5*A967))*AF$15</f>
        <v>0.08</v>
      </c>
      <c r="R969">
        <f t="shared" si="371"/>
        <v>0.08</v>
      </c>
      <c r="S969">
        <f t="shared" si="372"/>
        <v>0.06</v>
      </c>
      <c r="T969">
        <f t="shared" si="373"/>
        <v>0.1</v>
      </c>
      <c r="U969">
        <f t="shared" ref="U969:U1032" si="379">$AB$6-AB$18*EXP(-AF$6*AF$12*A967)*(COS(AF$5*A967)-(AF$6*AF$12-1)/(AF$5)*SIN(AF$5*A967))*AF$15</f>
        <v>0.08</v>
      </c>
      <c r="V969">
        <f t="shared" si="360"/>
        <v>0.18799997721748576</v>
      </c>
      <c r="W969">
        <f t="shared" si="356"/>
        <v>0.16959117184295422</v>
      </c>
      <c r="X969">
        <f t="shared" si="357"/>
        <v>0.21027108338203149</v>
      </c>
      <c r="Y969" t="b">
        <f t="shared" si="359"/>
        <v>0</v>
      </c>
    </row>
    <row xmlns:x14ac="http://schemas.microsoft.com/office/spreadsheetml/2009/9/ac" r="970" x14ac:dyDescent="0.45">
      <c r="A970">
        <v>4.8149999999999302</v>
      </c>
      <c r="B970">
        <f t="shared" si="361"/>
        <v>0.16299999999472853</v>
      </c>
      <c r="C970" t="b">
        <f t="shared" si="374"/>
        <v>1</v>
      </c>
      <c r="D970" t="b">
        <f t="shared" si="362"/>
        <v>1</v>
      </c>
      <c r="E970">
        <f t="shared" si="370"/>
        <v>4.8149999999999302</v>
      </c>
      <c r="F970">
        <f t="shared" si="375"/>
        <v>0.16299999999472853</v>
      </c>
      <c r="G970">
        <f t="shared" si="363"/>
        <v>0.21026439030948146</v>
      </c>
      <c r="H970">
        <f t="shared" si="364"/>
        <v>3.4999999997972514E-2</v>
      </c>
      <c r="I970" t="b">
        <f t="shared" si="376"/>
        <v>1</v>
      </c>
      <c r="J970">
        <f t="shared" si="365"/>
        <v>4.8149999999999302</v>
      </c>
      <c r="K970">
        <f t="shared" si="377"/>
        <v>3.4999999997972514E-2</v>
      </c>
      <c r="L970">
        <f t="shared" si="366"/>
        <v>0.16960126584611696</v>
      </c>
      <c r="M970">
        <f t="shared" si="367"/>
        <v>0.18999999999594502</v>
      </c>
      <c r="N970">
        <f t="shared" si="368"/>
        <v>0.18799997742364369</v>
      </c>
      <c r="O970">
        <f t="shared" si="369"/>
        <v>0.15777777777777771</v>
      </c>
      <c r="P970">
        <f t="shared" si="358"/>
        <v>0.08</v>
      </c>
      <c r="Q970">
        <f t="shared" si="378"/>
        <v>0.08</v>
      </c>
      <c r="R970">
        <f t="shared" si="371"/>
        <v>0.08</v>
      </c>
      <c r="S970">
        <f t="shared" si="372"/>
        <v>0.06</v>
      </c>
      <c r="T970">
        <f t="shared" si="373"/>
        <v>0.1</v>
      </c>
      <c r="U970">
        <f t="shared" si="379"/>
        <v>0.08</v>
      </c>
      <c r="V970">
        <f t="shared" si="360"/>
        <v>0.18799997742364369</v>
      </c>
      <c r="W970">
        <f t="shared" si="356"/>
        <v>0.16959321088189411</v>
      </c>
      <c r="X970">
        <f t="shared" si="357"/>
        <v>0.21026973134802307</v>
      </c>
      <c r="Y970" t="b">
        <f t="shared" si="359"/>
        <v>0</v>
      </c>
    </row>
    <row xmlns:x14ac="http://schemas.microsoft.com/office/spreadsheetml/2009/9/ac" r="971" x14ac:dyDescent="0.45">
      <c r="A971">
        <v>4.8199999999999301</v>
      </c>
      <c r="B971">
        <f t="shared" si="361"/>
        <v>0.16299999999480175</v>
      </c>
      <c r="C971" t="b">
        <f t="shared" si="374"/>
        <v>1</v>
      </c>
      <c r="D971" t="b">
        <f t="shared" si="362"/>
        <v>1</v>
      </c>
      <c r="E971">
        <f t="shared" si="370"/>
        <v>4.8199999999999301</v>
      </c>
      <c r="F971">
        <f t="shared" si="375"/>
        <v>0.16299999999480175</v>
      </c>
      <c r="G971">
        <f t="shared" si="363"/>
        <v>0.21026307165731167</v>
      </c>
      <c r="H971">
        <f t="shared" si="364"/>
        <v>3.4999999998000672E-2</v>
      </c>
      <c r="I971" t="b">
        <f t="shared" si="376"/>
        <v>1</v>
      </c>
      <c r="J971">
        <f t="shared" si="365"/>
        <v>4.8199999999999301</v>
      </c>
      <c r="K971">
        <f t="shared" si="377"/>
        <v>3.4999999998000672E-2</v>
      </c>
      <c r="L971">
        <f t="shared" si="366"/>
        <v>0.16960325454100605</v>
      </c>
      <c r="M971">
        <f t="shared" si="367"/>
        <v>0.18999999999600137</v>
      </c>
      <c r="N971">
        <f t="shared" si="368"/>
        <v>0.18799997772408386</v>
      </c>
      <c r="O971">
        <f t="shared" si="369"/>
        <v>0.15777777777777768</v>
      </c>
      <c r="P971">
        <f t="shared" si="358"/>
        <v>0.08</v>
      </c>
      <c r="Q971">
        <f t="shared" si="378"/>
        <v>0.08</v>
      </c>
      <c r="R971">
        <f t="shared" si="371"/>
        <v>0.08</v>
      </c>
      <c r="S971">
        <f t="shared" si="372"/>
        <v>0.06</v>
      </c>
      <c r="T971">
        <f t="shared" si="373"/>
        <v>0.1</v>
      </c>
      <c r="U971">
        <f t="shared" si="379"/>
        <v>0.08</v>
      </c>
      <c r="V971">
        <f t="shared" si="360"/>
        <v>0.18799997772408386</v>
      </c>
      <c r="W971">
        <f t="shared" ref="W971:W1034" si="380">IF(EMT_Simulation,L967,L971)</f>
        <v>0.16959523975108484</v>
      </c>
      <c r="X971">
        <f t="shared" ref="X971:X1034" si="381">IF(EMT_Simulation,G967,G971)</f>
        <v>0.21026838605731241</v>
      </c>
      <c r="Y971" t="b">
        <f t="shared" si="359"/>
        <v>0</v>
      </c>
    </row>
    <row xmlns:x14ac="http://schemas.microsoft.com/office/spreadsheetml/2009/9/ac" r="972" x14ac:dyDescent="0.45">
      <c r="A972">
        <v>4.82499999999993</v>
      </c>
      <c r="B972">
        <f t="shared" si="361"/>
        <v>0.16299999999489628</v>
      </c>
      <c r="C972" t="b">
        <f t="shared" si="374"/>
        <v>1</v>
      </c>
      <c r="D972" t="b">
        <f t="shared" si="362"/>
        <v>1</v>
      </c>
      <c r="E972">
        <f t="shared" si="370"/>
        <v>4.82499999999993</v>
      </c>
      <c r="F972">
        <f t="shared" si="375"/>
        <v>0.16299999999489628</v>
      </c>
      <c r="G972">
        <f t="shared" si="363"/>
        <v>0.21026175958194698</v>
      </c>
      <c r="H972">
        <f t="shared" si="364"/>
        <v>3.4999999998037032E-2</v>
      </c>
      <c r="I972" t="b">
        <f t="shared" si="376"/>
        <v>1</v>
      </c>
      <c r="J972">
        <f t="shared" si="365"/>
        <v>4.82499999999993</v>
      </c>
      <c r="K972">
        <f t="shared" si="377"/>
        <v>3.4999999998037032E-2</v>
      </c>
      <c r="L972">
        <f t="shared" si="366"/>
        <v>0.16960523331723798</v>
      </c>
      <c r="M972">
        <f t="shared" si="367"/>
        <v>0.18999999999607406</v>
      </c>
      <c r="N972">
        <f t="shared" si="368"/>
        <v>0.18799997811449592</v>
      </c>
      <c r="O972">
        <f t="shared" si="369"/>
        <v>0.15777777777777771</v>
      </c>
      <c r="P972">
        <f t="shared" si="358"/>
        <v>0.08</v>
      </c>
      <c r="Q972">
        <f t="shared" si="378"/>
        <v>0.08</v>
      </c>
      <c r="R972">
        <f t="shared" si="371"/>
        <v>0.08</v>
      </c>
      <c r="S972">
        <f t="shared" si="372"/>
        <v>0.06</v>
      </c>
      <c r="T972">
        <f t="shared" si="373"/>
        <v>0.1</v>
      </c>
      <c r="U972">
        <f t="shared" si="379"/>
        <v>0.08</v>
      </c>
      <c r="V972">
        <f t="shared" si="360"/>
        <v>0.18799997811449592</v>
      </c>
      <c r="W972">
        <f t="shared" si="380"/>
        <v>0.16959725850124829</v>
      </c>
      <c r="X972">
        <f t="shared" si="381"/>
        <v>0.21026704747626718</v>
      </c>
      <c r="Y972" t="b">
        <f t="shared" si="359"/>
        <v>0</v>
      </c>
    </row>
    <row xmlns:x14ac="http://schemas.microsoft.com/office/spreadsheetml/2009/9/ac" r="973" x14ac:dyDescent="0.45">
      <c r="A973">
        <v>4.8299999999999201</v>
      </c>
      <c r="B973">
        <f t="shared" si="361"/>
        <v>0.16299999999501058</v>
      </c>
      <c r="C973" t="b">
        <f t="shared" si="374"/>
        <v>1</v>
      </c>
      <c r="D973" t="b">
        <f t="shared" si="362"/>
        <v>1</v>
      </c>
      <c r="E973">
        <f t="shared" si="370"/>
        <v>4.8299999999999201</v>
      </c>
      <c r="F973">
        <f t="shared" si="375"/>
        <v>0.16299999999501058</v>
      </c>
      <c r="G973">
        <f t="shared" si="363"/>
        <v>0.21026045405058552</v>
      </c>
      <c r="H973">
        <f t="shared" si="364"/>
        <v>3.4999999998080997E-2</v>
      </c>
      <c r="I973" t="b">
        <f t="shared" si="376"/>
        <v>1</v>
      </c>
      <c r="J973">
        <f t="shared" si="365"/>
        <v>4.8299999999999201</v>
      </c>
      <c r="K973">
        <f t="shared" si="377"/>
        <v>3.4999999998080997E-2</v>
      </c>
      <c r="L973">
        <f t="shared" si="366"/>
        <v>0.1696072022242823</v>
      </c>
      <c r="M973">
        <f t="shared" si="367"/>
        <v>0.18999999999616199</v>
      </c>
      <c r="N973">
        <f t="shared" si="368"/>
        <v>0.1879999785903036</v>
      </c>
      <c r="O973">
        <f t="shared" si="369"/>
        <v>0.15777777777777771</v>
      </c>
      <c r="P973">
        <f t="shared" si="358"/>
        <v>0.08</v>
      </c>
      <c r="Q973">
        <f t="shared" si="378"/>
        <v>0.08</v>
      </c>
      <c r="R973">
        <f t="shared" si="371"/>
        <v>0.08</v>
      </c>
      <c r="S973">
        <f t="shared" si="372"/>
        <v>0.06</v>
      </c>
      <c r="T973">
        <f t="shared" si="373"/>
        <v>0.1</v>
      </c>
      <c r="U973">
        <f t="shared" si="379"/>
        <v>0.08</v>
      </c>
      <c r="V973">
        <f t="shared" si="360"/>
        <v>0.1879999785903036</v>
      </c>
      <c r="W973">
        <f t="shared" si="380"/>
        <v>0.16959926718285329</v>
      </c>
      <c r="X973">
        <f t="shared" si="381"/>
        <v>0.21026571557142276</v>
      </c>
      <c r="Y973" t="b">
        <f t="shared" si="359"/>
        <v>0</v>
      </c>
    </row>
    <row xmlns:x14ac="http://schemas.microsoft.com/office/spreadsheetml/2009/9/ac" r="974" x14ac:dyDescent="0.45">
      <c r="A974">
        <v>4.83499999999992</v>
      </c>
      <c r="B974">
        <f t="shared" si="361"/>
        <v>0.1629999999951432</v>
      </c>
      <c r="C974" t="b">
        <f t="shared" si="374"/>
        <v>1</v>
      </c>
      <c r="D974" t="b">
        <f t="shared" si="362"/>
        <v>1</v>
      </c>
      <c r="E974">
        <f t="shared" si="370"/>
        <v>4.83499999999992</v>
      </c>
      <c r="F974">
        <f t="shared" si="375"/>
        <v>0.1629999999951432</v>
      </c>
      <c r="G974">
        <f t="shared" si="363"/>
        <v>0.2102591550305889</v>
      </c>
      <c r="H974">
        <f t="shared" si="364"/>
        <v>3.4999999998131998E-2</v>
      </c>
      <c r="I974" t="b">
        <f t="shared" si="376"/>
        <v>1</v>
      </c>
      <c r="J974">
        <f t="shared" si="365"/>
        <v>4.83499999999992</v>
      </c>
      <c r="K974">
        <f t="shared" si="377"/>
        <v>3.4999999998131998E-2</v>
      </c>
      <c r="L974">
        <f t="shared" si="366"/>
        <v>0.16960916131136178</v>
      </c>
      <c r="M974">
        <f t="shared" si="367"/>
        <v>0.18999999999626399</v>
      </c>
      <c r="N974">
        <f t="shared" si="368"/>
        <v>0.1879999791466937</v>
      </c>
      <c r="O974">
        <f t="shared" si="369"/>
        <v>0.15777777777777771</v>
      </c>
      <c r="P974">
        <f t="shared" ref="P974:P1037" si="382">$AB$6-EXP(-AF$6*AF$12*A974)*(COS(AF$5*A974)-(AF$6*AF$12-1)/(AF$5)*SIN(AF$5*A974))*AF$15</f>
        <v>0.08</v>
      </c>
      <c r="Q974">
        <f t="shared" si="378"/>
        <v>0.08</v>
      </c>
      <c r="R974">
        <f t="shared" si="371"/>
        <v>0.08</v>
      </c>
      <c r="S974">
        <f t="shared" si="372"/>
        <v>0.06</v>
      </c>
      <c r="T974">
        <f t="shared" si="373"/>
        <v>0.1</v>
      </c>
      <c r="U974">
        <f t="shared" si="379"/>
        <v>0.08</v>
      </c>
      <c r="V974">
        <f t="shared" si="360"/>
        <v>0.1879999791466937</v>
      </c>
      <c r="W974">
        <f t="shared" si="380"/>
        <v>0.16960126584611696</v>
      </c>
      <c r="X974">
        <f t="shared" si="381"/>
        <v>0.21026439030948146</v>
      </c>
      <c r="Y974" t="b">
        <f t="shared" si="359"/>
        <v>0</v>
      </c>
    </row>
    <row xmlns:x14ac="http://schemas.microsoft.com/office/spreadsheetml/2009/9/ac" r="975" x14ac:dyDescent="0.45">
      <c r="A975">
        <v>4.8399999999999199</v>
      </c>
      <c r="B975">
        <f t="shared" si="361"/>
        <v>0.16299999999529255</v>
      </c>
      <c r="C975" t="b">
        <f t="shared" si="374"/>
        <v>1</v>
      </c>
      <c r="D975" t="b">
        <f t="shared" si="362"/>
        <v>1</v>
      </c>
      <c r="E975">
        <f t="shared" si="370"/>
        <v>4.8399999999999199</v>
      </c>
      <c r="F975">
        <f t="shared" si="375"/>
        <v>0.16299999999529255</v>
      </c>
      <c r="G975">
        <f t="shared" si="363"/>
        <v>0.21025786248948153</v>
      </c>
      <c r="H975">
        <f t="shared" si="364"/>
        <v>3.4999999998189452E-2</v>
      </c>
      <c r="I975" t="b">
        <f t="shared" si="376"/>
        <v>1</v>
      </c>
      <c r="J975">
        <f t="shared" si="365"/>
        <v>4.8399999999999199</v>
      </c>
      <c r="K975">
        <f t="shared" si="377"/>
        <v>3.4999999998189452E-2</v>
      </c>
      <c r="L975">
        <f t="shared" si="366"/>
        <v>0.16961111062745365</v>
      </c>
      <c r="M975">
        <f t="shared" si="367"/>
        <v>0.1899999999963789</v>
      </c>
      <c r="N975">
        <f t="shared" si="368"/>
        <v>0.1879999797786448</v>
      </c>
      <c r="O975">
        <f t="shared" si="369"/>
        <v>0.15777777777777771</v>
      </c>
      <c r="P975">
        <f t="shared" si="382"/>
        <v>0.08</v>
      </c>
      <c r="Q975">
        <f t="shared" si="378"/>
        <v>0.08</v>
      </c>
      <c r="R975">
        <f t="shared" si="371"/>
        <v>0.08</v>
      </c>
      <c r="S975">
        <f t="shared" si="372"/>
        <v>0.06</v>
      </c>
      <c r="T975">
        <f t="shared" si="373"/>
        <v>0.1</v>
      </c>
      <c r="U975">
        <f t="shared" si="379"/>
        <v>0.08</v>
      </c>
      <c r="V975">
        <f t="shared" si="360"/>
        <v>0.1879999797786448</v>
      </c>
      <c r="W975">
        <f t="shared" si="380"/>
        <v>0.16960325454100605</v>
      </c>
      <c r="X975">
        <f t="shared" si="381"/>
        <v>0.21026307165731167</v>
      </c>
      <c r="Y975" t="b">
        <f t="shared" ref="Y975:Y1038" si="383">IF(Y974,TRUE,IF(P975&lt;P974,TRUE))</f>
        <v>0</v>
      </c>
    </row>
    <row xmlns:x14ac="http://schemas.microsoft.com/office/spreadsheetml/2009/9/ac" r="976" x14ac:dyDescent="0.45">
      <c r="A976">
        <v>4.8449999999999198</v>
      </c>
      <c r="B976">
        <f t="shared" si="361"/>
        <v>0.16299999999545717</v>
      </c>
      <c r="C976" t="b">
        <f t="shared" si="374"/>
        <v>1</v>
      </c>
      <c r="D976" t="b">
        <f t="shared" si="362"/>
        <v>1</v>
      </c>
      <c r="E976">
        <f t="shared" si="370"/>
        <v>4.8449999999999198</v>
      </c>
      <c r="F976">
        <f t="shared" si="375"/>
        <v>0.16299999999545717</v>
      </c>
      <c r="G976">
        <f t="shared" si="363"/>
        <v>0.21025657639494977</v>
      </c>
      <c r="H976">
        <f t="shared" si="364"/>
        <v>3.4999999998252762E-2</v>
      </c>
      <c r="I976" t="b">
        <f t="shared" si="376"/>
        <v>1</v>
      </c>
      <c r="J976">
        <f t="shared" si="365"/>
        <v>4.8449999999999198</v>
      </c>
      <c r="K976">
        <f t="shared" si="377"/>
        <v>3.4999999998252762E-2</v>
      </c>
      <c r="L976">
        <f t="shared" si="366"/>
        <v>0.16961305022129097</v>
      </c>
      <c r="M976">
        <f t="shared" si="367"/>
        <v>0.18999999999650552</v>
      </c>
      <c r="N976">
        <f t="shared" si="368"/>
        <v>0.18799998048095631</v>
      </c>
      <c r="O976">
        <f t="shared" si="369"/>
        <v>0.15777777777777774</v>
      </c>
      <c r="P976">
        <f t="shared" si="382"/>
        <v>0.08</v>
      </c>
      <c r="Q976">
        <f t="shared" si="378"/>
        <v>0.08</v>
      </c>
      <c r="R976">
        <f t="shared" si="371"/>
        <v>0.08</v>
      </c>
      <c r="S976">
        <f t="shared" si="372"/>
        <v>0.06</v>
      </c>
      <c r="T976">
        <f t="shared" si="373"/>
        <v>0.1</v>
      </c>
      <c r="U976">
        <f t="shared" si="379"/>
        <v>0.08</v>
      </c>
      <c r="V976">
        <f t="shared" si="360"/>
        <v>0.18799998048095631</v>
      </c>
      <c r="W976">
        <f t="shared" si="380"/>
        <v>0.16960523331723798</v>
      </c>
      <c r="X976">
        <f t="shared" si="381"/>
        <v>0.21026175958194698</v>
      </c>
      <c r="Y976" t="b">
        <f t="shared" si="383"/>
        <v>0</v>
      </c>
    </row>
    <row xmlns:x14ac="http://schemas.microsoft.com/office/spreadsheetml/2009/9/ac" r="977" x14ac:dyDescent="0.45">
      <c r="A977">
        <v>4.8499999999999197</v>
      </c>
      <c r="B977">
        <f t="shared" si="361"/>
        <v>0.1629999999956355</v>
      </c>
      <c r="C977" t="b">
        <f t="shared" si="374"/>
        <v>1</v>
      </c>
      <c r="D977" t="b">
        <f t="shared" si="362"/>
        <v>1</v>
      </c>
      <c r="E977">
        <f t="shared" si="370"/>
        <v>4.8499999999999197</v>
      </c>
      <c r="F977">
        <f t="shared" si="375"/>
        <v>0.1629999999956355</v>
      </c>
      <c r="G977">
        <f t="shared" si="363"/>
        <v>0.21025529671484133</v>
      </c>
      <c r="H977">
        <f t="shared" si="364"/>
        <v>3.4999999998321346E-2</v>
      </c>
      <c r="I977" t="b">
        <f t="shared" si="376"/>
        <v>1</v>
      </c>
      <c r="J977">
        <f t="shared" si="365"/>
        <v>4.8499999999999197</v>
      </c>
      <c r="K977">
        <f t="shared" si="377"/>
        <v>3.4999999998321346E-2</v>
      </c>
      <c r="L977">
        <f t="shared" si="366"/>
        <v>0.16961498014136367</v>
      </c>
      <c r="M977">
        <f t="shared" si="367"/>
        <v>0.18999999999664269</v>
      </c>
      <c r="N977">
        <f t="shared" si="368"/>
        <v>0.18799998124827749</v>
      </c>
      <c r="O977">
        <f t="shared" si="369"/>
        <v>0.15777777777777774</v>
      </c>
      <c r="P977">
        <f t="shared" si="382"/>
        <v>0.08</v>
      </c>
      <c r="Q977">
        <f t="shared" si="378"/>
        <v>0.08</v>
      </c>
      <c r="R977">
        <f t="shared" si="371"/>
        <v>0.08</v>
      </c>
      <c r="S977">
        <f t="shared" si="372"/>
        <v>0.06</v>
      </c>
      <c r="T977">
        <f t="shared" si="373"/>
        <v>0.1</v>
      </c>
      <c r="U977">
        <f t="shared" si="379"/>
        <v>0.08</v>
      </c>
      <c r="V977">
        <f t="shared" si="360"/>
        <v>0.18799998124827749</v>
      </c>
      <c r="W977">
        <f t="shared" si="380"/>
        <v>0.1696072022242823</v>
      </c>
      <c r="X977">
        <f t="shared" si="381"/>
        <v>0.21026045405058552</v>
      </c>
      <c r="Y977" t="b">
        <f t="shared" si="383"/>
        <v>0</v>
      </c>
    </row>
    <row xmlns:x14ac="http://schemas.microsoft.com/office/spreadsheetml/2009/9/ac" r="978" x14ac:dyDescent="0.45">
      <c r="A978">
        <v>4.8549999999999196</v>
      </c>
      <c r="B978">
        <f t="shared" si="361"/>
        <v>0.16299999999582598</v>
      </c>
      <c r="C978" t="b">
        <f t="shared" si="374"/>
        <v>1</v>
      </c>
      <c r="D978" t="b">
        <f t="shared" si="362"/>
        <v>1</v>
      </c>
      <c r="E978">
        <f t="shared" si="370"/>
        <v>4.8549999999999196</v>
      </c>
      <c r="F978">
        <f t="shared" si="375"/>
        <v>0.16299999999582598</v>
      </c>
      <c r="G978">
        <f t="shared" si="363"/>
        <v>0.21025402341716398</v>
      </c>
      <c r="H978">
        <f t="shared" si="364"/>
        <v>3.4999999998394607E-2</v>
      </c>
      <c r="I978" t="b">
        <f t="shared" si="376"/>
        <v>1</v>
      </c>
      <c r="J978">
        <f t="shared" si="365"/>
        <v>4.8549999999999196</v>
      </c>
      <c r="K978">
        <f t="shared" si="377"/>
        <v>3.4999999998394607E-2</v>
      </c>
      <c r="L978">
        <f t="shared" si="366"/>
        <v>0.16961690043591984</v>
      </c>
      <c r="M978">
        <f t="shared" si="367"/>
        <v>0.18999999999678924</v>
      </c>
      <c r="N978">
        <f t="shared" si="368"/>
        <v>0.18799998207513577</v>
      </c>
      <c r="O978">
        <f t="shared" si="369"/>
        <v>0.15777777777777774</v>
      </c>
      <c r="P978">
        <f t="shared" si="382"/>
        <v>0.08</v>
      </c>
      <c r="Q978">
        <f t="shared" si="378"/>
        <v>0.08</v>
      </c>
      <c r="R978">
        <f t="shared" si="371"/>
        <v>0.08</v>
      </c>
      <c r="S978">
        <f t="shared" si="372"/>
        <v>0.06</v>
      </c>
      <c r="T978">
        <f t="shared" si="373"/>
        <v>0.1</v>
      </c>
      <c r="U978">
        <f t="shared" si="379"/>
        <v>0.08</v>
      </c>
      <c r="V978">
        <f t="shared" si="360"/>
        <v>0.18799998207513577</v>
      </c>
      <c r="W978">
        <f t="shared" si="380"/>
        <v>0.16960916131136178</v>
      </c>
      <c r="X978">
        <f t="shared" si="381"/>
        <v>0.2102591550305889</v>
      </c>
      <c r="Y978" t="b">
        <f t="shared" si="383"/>
        <v>0</v>
      </c>
    </row>
    <row xmlns:x14ac="http://schemas.microsoft.com/office/spreadsheetml/2009/9/ac" r="979" x14ac:dyDescent="0.45">
      <c r="A979">
        <v>4.8599999999999204</v>
      </c>
      <c r="B979">
        <f t="shared" si="361"/>
        <v>0.16299999999602716</v>
      </c>
      <c r="C979" t="b">
        <f t="shared" si="374"/>
        <v>1</v>
      </c>
      <c r="D979" t="b">
        <f t="shared" si="362"/>
        <v>1</v>
      </c>
      <c r="E979">
        <f t="shared" si="370"/>
        <v>4.8599999999999204</v>
      </c>
      <c r="F979">
        <f t="shared" si="375"/>
        <v>0.16299999999602716</v>
      </c>
      <c r="G979">
        <f t="shared" si="363"/>
        <v>0.21025275647008534</v>
      </c>
      <c r="H979">
        <f t="shared" si="364"/>
        <v>3.499999999847199E-2</v>
      </c>
      <c r="I979" t="b">
        <f t="shared" si="376"/>
        <v>1</v>
      </c>
      <c r="J979">
        <f t="shared" si="365"/>
        <v>4.8599999999999204</v>
      </c>
      <c r="K979">
        <f t="shared" si="377"/>
        <v>3.499999999847199E-2</v>
      </c>
      <c r="L979">
        <f t="shared" si="366"/>
        <v>0.16961881115296695</v>
      </c>
      <c r="M979">
        <f t="shared" si="367"/>
        <v>0.18999999999694397</v>
      </c>
      <c r="N979">
        <f t="shared" si="368"/>
        <v>0.18799998295596532</v>
      </c>
      <c r="O979">
        <f t="shared" si="369"/>
        <v>0.15777777777777774</v>
      </c>
      <c r="P979">
        <f t="shared" si="382"/>
        <v>0.08</v>
      </c>
      <c r="Q979">
        <f t="shared" si="378"/>
        <v>0.08</v>
      </c>
      <c r="R979">
        <f t="shared" si="371"/>
        <v>0.08</v>
      </c>
      <c r="S979">
        <f t="shared" si="372"/>
        <v>0.06</v>
      </c>
      <c r="T979">
        <f t="shared" si="373"/>
        <v>0.1</v>
      </c>
      <c r="U979">
        <f t="shared" si="379"/>
        <v>0.08</v>
      </c>
      <c r="V979">
        <f t="shared" si="360"/>
        <v>0.18799998295596532</v>
      </c>
      <c r="W979">
        <f t="shared" si="380"/>
        <v>0.16961111062745365</v>
      </c>
      <c r="X979">
        <f t="shared" si="381"/>
        <v>0.21025786248948153</v>
      </c>
      <c r="Y979" t="b">
        <f t="shared" si="383"/>
        <v>0</v>
      </c>
    </row>
    <row xmlns:x14ac="http://schemas.microsoft.com/office/spreadsheetml/2009/9/ac" r="980" x14ac:dyDescent="0.45">
      <c r="A980">
        <v>4.8649999999999203</v>
      </c>
      <c r="B980">
        <f t="shared" si="361"/>
        <v>0.16299999999623754</v>
      </c>
      <c r="C980" t="b">
        <f t="shared" si="374"/>
        <v>1</v>
      </c>
      <c r="D980" t="b">
        <f t="shared" si="362"/>
        <v>1</v>
      </c>
      <c r="E980">
        <f t="shared" si="370"/>
        <v>4.8649999999999203</v>
      </c>
      <c r="F980">
        <f t="shared" si="375"/>
        <v>0.16299999999623754</v>
      </c>
      <c r="G980">
        <f t="shared" si="363"/>
        <v>0.21025149584193159</v>
      </c>
      <c r="H980">
        <f t="shared" si="364"/>
        <v>3.4999999998552897E-2</v>
      </c>
      <c r="I980" t="b">
        <f t="shared" si="376"/>
        <v>1</v>
      </c>
      <c r="J980">
        <f t="shared" si="365"/>
        <v>4.8649999999999203</v>
      </c>
      <c r="K980">
        <f t="shared" si="377"/>
        <v>3.4999999998552897E-2</v>
      </c>
      <c r="L980">
        <f t="shared" si="366"/>
        <v>0.16962071234027307</v>
      </c>
      <c r="M980">
        <f t="shared" si="367"/>
        <v>0.18999999999710582</v>
      </c>
      <c r="N980">
        <f t="shared" si="368"/>
        <v>0.18799998388513453</v>
      </c>
      <c r="O980">
        <f t="shared" si="369"/>
        <v>0.15777777777777774</v>
      </c>
      <c r="P980">
        <f t="shared" si="382"/>
        <v>0.08</v>
      </c>
      <c r="Q980">
        <f t="shared" si="378"/>
        <v>0.08</v>
      </c>
      <c r="R980">
        <f t="shared" si="371"/>
        <v>0.08</v>
      </c>
      <c r="S980">
        <f t="shared" si="372"/>
        <v>0.06</v>
      </c>
      <c r="T980">
        <f t="shared" si="373"/>
        <v>0.1</v>
      </c>
      <c r="U980">
        <f t="shared" si="379"/>
        <v>0.08</v>
      </c>
      <c r="V980">
        <f t="shared" si="360"/>
        <v>0.18799998388513453</v>
      </c>
      <c r="W980">
        <f t="shared" si="380"/>
        <v>0.16961305022129097</v>
      </c>
      <c r="X980">
        <f t="shared" si="381"/>
        <v>0.21025657639494977</v>
      </c>
      <c r="Y980" t="b">
        <f t="shared" si="383"/>
        <v>0</v>
      </c>
    </row>
    <row xmlns:x14ac="http://schemas.microsoft.com/office/spreadsheetml/2009/9/ac" r="981" x14ac:dyDescent="0.45">
      <c r="A981">
        <v>4.8699999999999202</v>
      </c>
      <c r="B981">
        <f t="shared" si="361"/>
        <v>0.16299999999645562</v>
      </c>
      <c r="C981" t="b">
        <f t="shared" si="374"/>
        <v>1</v>
      </c>
      <c r="D981" t="b">
        <f t="shared" si="362"/>
        <v>1</v>
      </c>
      <c r="E981">
        <f t="shared" si="370"/>
        <v>4.8699999999999202</v>
      </c>
      <c r="F981">
        <f t="shared" si="375"/>
        <v>0.16299999999645562</v>
      </c>
      <c r="G981">
        <f t="shared" si="363"/>
        <v>0.21025024150118704</v>
      </c>
      <c r="H981">
        <f t="shared" si="364"/>
        <v>3.4999999998636774E-2</v>
      </c>
      <c r="I981" t="b">
        <f t="shared" si="376"/>
        <v>1</v>
      </c>
      <c r="J981">
        <f t="shared" si="365"/>
        <v>4.8699999999999202</v>
      </c>
      <c r="K981">
        <f t="shared" si="377"/>
        <v>3.4999999998636774E-2</v>
      </c>
      <c r="L981">
        <f t="shared" si="366"/>
        <v>0.16962260404536791</v>
      </c>
      <c r="M981">
        <f t="shared" si="367"/>
        <v>0.18999999999727357</v>
      </c>
      <c r="N981">
        <f t="shared" si="368"/>
        <v>0.18799998485697356</v>
      </c>
      <c r="O981">
        <f t="shared" si="369"/>
        <v>0.15777777777777774</v>
      </c>
      <c r="P981">
        <f t="shared" si="382"/>
        <v>0.08</v>
      </c>
      <c r="Q981">
        <f t="shared" si="378"/>
        <v>0.08</v>
      </c>
      <c r="R981">
        <f t="shared" si="371"/>
        <v>0.08</v>
      </c>
      <c r="S981">
        <f t="shared" si="372"/>
        <v>0.06</v>
      </c>
      <c r="T981">
        <f t="shared" si="373"/>
        <v>0.1</v>
      </c>
      <c r="U981">
        <f t="shared" si="379"/>
        <v>0.08</v>
      </c>
      <c r="V981">
        <f t="shared" ref="V981:V1044" si="384">MAX(IF(Y981,MAX(H981,$AB$6+$AF$13),MAX(T981,$AB$6+$AF$13)),O981,N981)</f>
        <v>0.18799998485697356</v>
      </c>
      <c r="W981">
        <f t="shared" si="380"/>
        <v>0.16961498014136367</v>
      </c>
      <c r="X981">
        <f t="shared" si="381"/>
        <v>0.21025529671484133</v>
      </c>
      <c r="Y981" t="b">
        <f t="shared" si="383"/>
        <v>0</v>
      </c>
    </row>
    <row xmlns:x14ac="http://schemas.microsoft.com/office/spreadsheetml/2009/9/ac" r="982" x14ac:dyDescent="0.45">
      <c r="A982">
        <v>4.8749999999999201</v>
      </c>
      <c r="B982">
        <f t="shared" si="361"/>
        <v>0.16299999999668005</v>
      </c>
      <c r="C982" t="b">
        <f t="shared" si="374"/>
        <v>1</v>
      </c>
      <c r="D982" t="b">
        <f t="shared" si="362"/>
        <v>1</v>
      </c>
      <c r="E982">
        <f t="shared" si="370"/>
        <v>4.8749999999999201</v>
      </c>
      <c r="F982">
        <f t="shared" si="375"/>
        <v>0.16299999999668005</v>
      </c>
      <c r="G982">
        <f t="shared" si="363"/>
        <v>0.210248993416493</v>
      </c>
      <c r="H982">
        <f t="shared" si="364"/>
        <v>3.4999999998723094E-2</v>
      </c>
      <c r="I982" t="b">
        <f t="shared" si="376"/>
        <v>1</v>
      </c>
      <c r="J982">
        <f t="shared" si="365"/>
        <v>4.8749999999999201</v>
      </c>
      <c r="K982">
        <f t="shared" si="377"/>
        <v>3.4999999998723094E-2</v>
      </c>
      <c r="L982">
        <f t="shared" si="366"/>
        <v>0.16962448631554422</v>
      </c>
      <c r="M982">
        <f t="shared" si="367"/>
        <v>0.18999999999744621</v>
      </c>
      <c r="N982">
        <f t="shared" si="368"/>
        <v>0.18799998586580044</v>
      </c>
      <c r="O982">
        <f t="shared" si="369"/>
        <v>0.15777777777777774</v>
      </c>
      <c r="P982">
        <f t="shared" si="382"/>
        <v>0.08</v>
      </c>
      <c r="Q982">
        <f t="shared" si="378"/>
        <v>0.08</v>
      </c>
      <c r="R982">
        <f t="shared" si="371"/>
        <v>0.08</v>
      </c>
      <c r="S982">
        <f t="shared" si="372"/>
        <v>0.06</v>
      </c>
      <c r="T982">
        <f t="shared" si="373"/>
        <v>0.1</v>
      </c>
      <c r="U982">
        <f t="shared" si="379"/>
        <v>0.08</v>
      </c>
      <c r="V982">
        <f t="shared" si="384"/>
        <v>0.18799998586580044</v>
      </c>
      <c r="W982">
        <f t="shared" si="380"/>
        <v>0.16961690043591984</v>
      </c>
      <c r="X982">
        <f t="shared" si="381"/>
        <v>0.21025402341716398</v>
      </c>
      <c r="Y982" t="b">
        <f t="shared" si="383"/>
        <v>0</v>
      </c>
    </row>
    <row xmlns:x14ac="http://schemas.microsoft.com/office/spreadsheetml/2009/9/ac" r="983" x14ac:dyDescent="0.45">
      <c r="A983">
        <v>4.87999999999992</v>
      </c>
      <c r="B983">
        <f t="shared" si="361"/>
        <v>0.16299999999690939</v>
      </c>
      <c r="C983" t="b">
        <f t="shared" si="374"/>
        <v>1</v>
      </c>
      <c r="D983" t="b">
        <f t="shared" si="362"/>
        <v>1</v>
      </c>
      <c r="E983">
        <f t="shared" si="370"/>
        <v>4.87999999999992</v>
      </c>
      <c r="F983">
        <f t="shared" si="375"/>
        <v>0.16299999999690939</v>
      </c>
      <c r="G983">
        <f t="shared" si="363"/>
        <v>0.21024775155664738</v>
      </c>
      <c r="H983">
        <f t="shared" si="364"/>
        <v>3.4999999998811315E-2</v>
      </c>
      <c r="I983" t="b">
        <f t="shared" si="376"/>
        <v>1</v>
      </c>
      <c r="J983">
        <f t="shared" si="365"/>
        <v>4.87999999999992</v>
      </c>
      <c r="K983">
        <f t="shared" si="377"/>
        <v>3.4999999998811315E-2</v>
      </c>
      <c r="L983">
        <f t="shared" si="366"/>
        <v>0.1696263591978589</v>
      </c>
      <c r="M983">
        <f t="shared" si="367"/>
        <v>0.18999999999762263</v>
      </c>
      <c r="N983">
        <f t="shared" si="368"/>
        <v>0.18799998690594727</v>
      </c>
      <c r="O983">
        <f t="shared" si="369"/>
        <v>0.15777777777777774</v>
      </c>
      <c r="P983">
        <f t="shared" si="382"/>
        <v>0.08</v>
      </c>
      <c r="Q983">
        <f t="shared" si="378"/>
        <v>0.08</v>
      </c>
      <c r="R983">
        <f t="shared" si="371"/>
        <v>0.08</v>
      </c>
      <c r="S983">
        <f t="shared" si="372"/>
        <v>0.06</v>
      </c>
      <c r="T983">
        <f t="shared" si="373"/>
        <v>0.1</v>
      </c>
      <c r="U983">
        <f t="shared" si="379"/>
        <v>0.08</v>
      </c>
      <c r="V983">
        <f t="shared" si="384"/>
        <v>0.18799998690594727</v>
      </c>
      <c r="W983">
        <f t="shared" si="380"/>
        <v>0.16961881115296695</v>
      </c>
      <c r="X983">
        <f t="shared" si="381"/>
        <v>0.21025275647008534</v>
      </c>
      <c r="Y983" t="b">
        <f t="shared" si="383"/>
        <v>0</v>
      </c>
    </row>
    <row xmlns:x14ac="http://schemas.microsoft.com/office/spreadsheetml/2009/9/ac" r="984" x14ac:dyDescent="0.45">
      <c r="A984">
        <v>4.8849999999999199</v>
      </c>
      <c r="B984">
        <f t="shared" si="361"/>
        <v>0.16299999999714238</v>
      </c>
      <c r="C984" t="b">
        <f t="shared" si="374"/>
        <v>1</v>
      </c>
      <c r="D984" t="b">
        <f t="shared" si="362"/>
        <v>1</v>
      </c>
      <c r="E984">
        <f t="shared" si="370"/>
        <v>4.8849999999999199</v>
      </c>
      <c r="F984">
        <f t="shared" si="375"/>
        <v>0.16299999999714238</v>
      </c>
      <c r="G984">
        <f t="shared" si="363"/>
        <v>0.21024651589060356</v>
      </c>
      <c r="H984">
        <f t="shared" si="364"/>
        <v>3.499999999890091E-2</v>
      </c>
      <c r="I984" t="b">
        <f t="shared" si="376"/>
        <v>1</v>
      </c>
      <c r="J984">
        <f t="shared" si="365"/>
        <v>4.8849999999999199</v>
      </c>
      <c r="K984">
        <f t="shared" si="377"/>
        <v>3.499999999890091E-2</v>
      </c>
      <c r="L984">
        <f t="shared" si="366"/>
        <v>0.16962822273913403</v>
      </c>
      <c r="M984">
        <f t="shared" si="367"/>
        <v>0.18999999999780182</v>
      </c>
      <c r="N984">
        <f t="shared" si="368"/>
        <v>0.18799998797178466</v>
      </c>
      <c r="O984">
        <f t="shared" si="369"/>
        <v>0.15777777777777774</v>
      </c>
      <c r="P984">
        <f t="shared" si="382"/>
        <v>0.08</v>
      </c>
      <c r="Q984">
        <f t="shared" si="378"/>
        <v>0.08</v>
      </c>
      <c r="R984">
        <f t="shared" si="371"/>
        <v>0.08</v>
      </c>
      <c r="S984">
        <f t="shared" si="372"/>
        <v>0.06</v>
      </c>
      <c r="T984">
        <f t="shared" si="373"/>
        <v>0.1</v>
      </c>
      <c r="U984">
        <f t="shared" si="379"/>
        <v>0.08</v>
      </c>
      <c r="V984">
        <f t="shared" si="384"/>
        <v>0.18799998797178466</v>
      </c>
      <c r="W984">
        <f t="shared" si="380"/>
        <v>0.16962071234027307</v>
      </c>
      <c r="X984">
        <f t="shared" si="381"/>
        <v>0.21025149584193159</v>
      </c>
      <c r="Y984" t="b">
        <f t="shared" si="383"/>
        <v>0</v>
      </c>
    </row>
    <row xmlns:x14ac="http://schemas.microsoft.com/office/spreadsheetml/2009/9/ac" r="985" x14ac:dyDescent="0.45">
      <c r="A985">
        <v>4.8899999999999197</v>
      </c>
      <c r="B985">
        <f t="shared" si="361"/>
        <v>0.16299999999737763</v>
      </c>
      <c r="C985" t="b">
        <f t="shared" si="374"/>
        <v>1</v>
      </c>
      <c r="D985" t="b">
        <f t="shared" si="362"/>
        <v>1</v>
      </c>
      <c r="E985">
        <f t="shared" si="370"/>
        <v>4.8899999999999197</v>
      </c>
      <c r="F985">
        <f t="shared" si="375"/>
        <v>0.16299999999737763</v>
      </c>
      <c r="G985">
        <f t="shared" si="363"/>
        <v>0.21024528638746981</v>
      </c>
      <c r="H985">
        <f t="shared" si="364"/>
        <v>3.4999999998991393E-2</v>
      </c>
      <c r="I985" t="b">
        <f t="shared" si="376"/>
        <v>1</v>
      </c>
      <c r="J985">
        <f t="shared" si="365"/>
        <v>4.8899999999999197</v>
      </c>
      <c r="K985">
        <f t="shared" si="377"/>
        <v>3.4999999998991393E-2</v>
      </c>
      <c r="L985">
        <f t="shared" si="366"/>
        <v>0.16963007698595828</v>
      </c>
      <c r="M985">
        <f t="shared" si="367"/>
        <v>0.18999999999798278</v>
      </c>
      <c r="N985">
        <f t="shared" si="368"/>
        <v>0.18799998905774595</v>
      </c>
      <c r="O985">
        <f t="shared" si="369"/>
        <v>0.15777777777777774</v>
      </c>
      <c r="P985">
        <f t="shared" si="382"/>
        <v>0.08</v>
      </c>
      <c r="Q985">
        <f t="shared" si="378"/>
        <v>0.08</v>
      </c>
      <c r="R985">
        <f t="shared" si="371"/>
        <v>0.08</v>
      </c>
      <c r="S985">
        <f t="shared" si="372"/>
        <v>0.06</v>
      </c>
      <c r="T985">
        <f t="shared" si="373"/>
        <v>0.1</v>
      </c>
      <c r="U985">
        <f t="shared" si="379"/>
        <v>0.08</v>
      </c>
      <c r="V985">
        <f t="shared" si="384"/>
        <v>0.18799998905774595</v>
      </c>
      <c r="W985">
        <f t="shared" si="380"/>
        <v>0.16962260404536791</v>
      </c>
      <c r="X985">
        <f t="shared" si="381"/>
        <v>0.21025024150118704</v>
      </c>
      <c r="Y985" t="b">
        <f t="shared" si="383"/>
        <v>0</v>
      </c>
    </row>
    <row xmlns:x14ac="http://schemas.microsoft.com/office/spreadsheetml/2009/9/ac" r="986" x14ac:dyDescent="0.45">
      <c r="A986">
        <v>4.8949999999999196</v>
      </c>
      <c r="B986">
        <f t="shared" si="361"/>
        <v>0.16299999999761397</v>
      </c>
      <c r="C986" t="b">
        <f t="shared" si="374"/>
        <v>1</v>
      </c>
      <c r="D986" t="b">
        <f t="shared" si="362"/>
        <v>1</v>
      </c>
      <c r="E986">
        <f t="shared" si="370"/>
        <v>4.8949999999999196</v>
      </c>
      <c r="F986">
        <f t="shared" si="375"/>
        <v>0.16299999999761397</v>
      </c>
      <c r="G986">
        <f t="shared" si="363"/>
        <v>0.21024406301650855</v>
      </c>
      <c r="H986">
        <f t="shared" si="364"/>
        <v>3.4999999999082293E-2</v>
      </c>
      <c r="I986" t="b">
        <f t="shared" si="376"/>
        <v>1</v>
      </c>
      <c r="J986">
        <f t="shared" si="365"/>
        <v>4.8949999999999196</v>
      </c>
      <c r="K986">
        <f t="shared" si="377"/>
        <v>3.4999999999082293E-2</v>
      </c>
      <c r="L986">
        <f t="shared" si="366"/>
        <v>0.16963192198468793</v>
      </c>
      <c r="M986">
        <f t="shared" si="367"/>
        <v>0.18999999999816458</v>
      </c>
      <c r="N986">
        <f t="shared" si="368"/>
        <v>0.18799999015834992</v>
      </c>
      <c r="O986">
        <f t="shared" si="369"/>
        <v>0.15777777777777774</v>
      </c>
      <c r="P986">
        <f t="shared" si="382"/>
        <v>0.08</v>
      </c>
      <c r="Q986">
        <f t="shared" si="378"/>
        <v>0.08</v>
      </c>
      <c r="R986">
        <f t="shared" si="371"/>
        <v>0.08</v>
      </c>
      <c r="S986">
        <f t="shared" si="372"/>
        <v>0.06</v>
      </c>
      <c r="T986">
        <f t="shared" si="373"/>
        <v>0.1</v>
      </c>
      <c r="U986">
        <f t="shared" si="379"/>
        <v>0.08</v>
      </c>
      <c r="V986">
        <f t="shared" si="384"/>
        <v>0.18799999015834992</v>
      </c>
      <c r="W986">
        <f t="shared" si="380"/>
        <v>0.16962448631554422</v>
      </c>
      <c r="X986">
        <f t="shared" si="381"/>
        <v>0.210248993416493</v>
      </c>
      <c r="Y986" t="b">
        <f t="shared" si="383"/>
        <v>0</v>
      </c>
    </row>
    <row xmlns:x14ac="http://schemas.microsoft.com/office/spreadsheetml/2009/9/ac" r="987" x14ac:dyDescent="0.45">
      <c r="A987">
        <v>4.8999999999999204</v>
      </c>
      <c r="B987">
        <f t="shared" si="361"/>
        <v>0.1629999999978502</v>
      </c>
      <c r="C987" t="b">
        <f t="shared" si="374"/>
        <v>1</v>
      </c>
      <c r="D987" t="b">
        <f t="shared" si="362"/>
        <v>1</v>
      </c>
      <c r="E987">
        <f t="shared" si="370"/>
        <v>4.8999999999999204</v>
      </c>
      <c r="F987">
        <f t="shared" si="375"/>
        <v>0.1629999999978502</v>
      </c>
      <c r="G987">
        <f t="shared" si="363"/>
        <v>0.21024284574713542</v>
      </c>
      <c r="H987">
        <f t="shared" si="364"/>
        <v>3.4999999999173151E-2</v>
      </c>
      <c r="I987" t="b">
        <f t="shared" si="376"/>
        <v>1</v>
      </c>
      <c r="J987">
        <f t="shared" si="365"/>
        <v>4.8999999999999204</v>
      </c>
      <c r="K987">
        <f t="shared" si="377"/>
        <v>3.4999999999173151E-2</v>
      </c>
      <c r="L987">
        <f t="shared" si="366"/>
        <v>0.16963375778144801</v>
      </c>
      <c r="M987">
        <f t="shared" si="367"/>
        <v>0.18999999999834633</v>
      </c>
      <c r="N987">
        <f t="shared" si="368"/>
        <v>0.18799999126822264</v>
      </c>
      <c r="O987">
        <f t="shared" si="369"/>
        <v>0.15777777777777774</v>
      </c>
      <c r="P987">
        <f t="shared" si="382"/>
        <v>0.08</v>
      </c>
      <c r="Q987">
        <f t="shared" si="378"/>
        <v>0.08</v>
      </c>
      <c r="R987">
        <f t="shared" si="371"/>
        <v>0.08</v>
      </c>
      <c r="S987">
        <f t="shared" si="372"/>
        <v>0.06</v>
      </c>
      <c r="T987">
        <f t="shared" si="373"/>
        <v>0.1</v>
      </c>
      <c r="U987">
        <f t="shared" si="379"/>
        <v>0.08</v>
      </c>
      <c r="V987">
        <f t="shared" si="384"/>
        <v>0.18799999126822264</v>
      </c>
      <c r="W987">
        <f t="shared" si="380"/>
        <v>0.1696263591978589</v>
      </c>
      <c r="X987">
        <f t="shared" si="381"/>
        <v>0.21024775155664738</v>
      </c>
      <c r="Y987" t="b">
        <f t="shared" si="383"/>
        <v>0</v>
      </c>
    </row>
    <row xmlns:x14ac="http://schemas.microsoft.com/office/spreadsheetml/2009/9/ac" r="988" x14ac:dyDescent="0.45">
      <c r="A988">
        <v>4.9049999999999203</v>
      </c>
      <c r="B988">
        <f t="shared" si="361"/>
        <v>0.16299999999808518</v>
      </c>
      <c r="C988" t="b">
        <f t="shared" si="374"/>
        <v>1</v>
      </c>
      <c r="D988" t="b">
        <f t="shared" si="362"/>
        <v>1</v>
      </c>
      <c r="E988">
        <f t="shared" si="370"/>
        <v>4.9049999999999203</v>
      </c>
      <c r="F988">
        <f t="shared" si="375"/>
        <v>0.16299999999808518</v>
      </c>
      <c r="G988">
        <f t="shared" si="363"/>
        <v>0.21024163454891864</v>
      </c>
      <c r="H988">
        <f t="shared" si="364"/>
        <v>3.4999999999263537E-2</v>
      </c>
      <c r="I988" t="b">
        <f t="shared" si="376"/>
        <v>1</v>
      </c>
      <c r="J988">
        <f t="shared" si="365"/>
        <v>4.9049999999999203</v>
      </c>
      <c r="K988">
        <f t="shared" si="377"/>
        <v>3.4999999999263537E-2</v>
      </c>
      <c r="L988">
        <f t="shared" si="366"/>
        <v>0.16963558442213356</v>
      </c>
      <c r="M988">
        <f t="shared" si="367"/>
        <v>0.18999999999852707</v>
      </c>
      <c r="N988">
        <f t="shared" si="368"/>
        <v>0.18799999238211798</v>
      </c>
      <c r="O988">
        <f t="shared" si="369"/>
        <v>0.15777777777777774</v>
      </c>
      <c r="P988">
        <f t="shared" si="382"/>
        <v>0.08</v>
      </c>
      <c r="Q988">
        <f t="shared" si="378"/>
        <v>0.08</v>
      </c>
      <c r="R988">
        <f t="shared" si="371"/>
        <v>0.08</v>
      </c>
      <c r="S988">
        <f t="shared" si="372"/>
        <v>0.06</v>
      </c>
      <c r="T988">
        <f t="shared" si="373"/>
        <v>0.1</v>
      </c>
      <c r="U988">
        <f t="shared" si="379"/>
        <v>0.08</v>
      </c>
      <c r="V988">
        <f t="shared" si="384"/>
        <v>0.18799999238211798</v>
      </c>
      <c r="W988">
        <f t="shared" si="380"/>
        <v>0.16962822273913403</v>
      </c>
      <c r="X988">
        <f t="shared" si="381"/>
        <v>0.21024651589060356</v>
      </c>
      <c r="Y988" t="b">
        <f t="shared" si="383"/>
        <v>0</v>
      </c>
    </row>
    <row xmlns:x14ac="http://schemas.microsoft.com/office/spreadsheetml/2009/9/ac" r="989" x14ac:dyDescent="0.45">
      <c r="A989">
        <v>4.9099999999999202</v>
      </c>
      <c r="B989">
        <f t="shared" si="361"/>
        <v>0.16299999999831785</v>
      </c>
      <c r="C989" t="b">
        <f t="shared" si="374"/>
        <v>1</v>
      </c>
      <c r="D989" t="b">
        <f t="shared" si="362"/>
        <v>1</v>
      </c>
      <c r="E989">
        <f t="shared" si="370"/>
        <v>4.9099999999999202</v>
      </c>
      <c r="F989">
        <f t="shared" si="375"/>
        <v>0.16299999999831785</v>
      </c>
      <c r="G989">
        <f t="shared" si="363"/>
        <v>0.21024042939157811</v>
      </c>
      <c r="H989">
        <f t="shared" si="364"/>
        <v>3.4999999999353021E-2</v>
      </c>
      <c r="I989" t="b">
        <f t="shared" si="376"/>
        <v>1</v>
      </c>
      <c r="J989">
        <f t="shared" si="365"/>
        <v>4.9099999999999202</v>
      </c>
      <c r="K989">
        <f t="shared" si="377"/>
        <v>3.4999999999353021E-2</v>
      </c>
      <c r="L989">
        <f t="shared" si="366"/>
        <v>0.16963740195241067</v>
      </c>
      <c r="M989">
        <f t="shared" si="367"/>
        <v>0.18999999999870604</v>
      </c>
      <c r="N989">
        <f t="shared" si="368"/>
        <v>0.18799999349493718</v>
      </c>
      <c r="O989">
        <f t="shared" si="369"/>
        <v>0.15777777777777777</v>
      </c>
      <c r="P989">
        <f t="shared" si="382"/>
        <v>0.08</v>
      </c>
      <c r="Q989">
        <f t="shared" si="378"/>
        <v>0.08</v>
      </c>
      <c r="R989">
        <f t="shared" si="371"/>
        <v>0.08</v>
      </c>
      <c r="S989">
        <f t="shared" si="372"/>
        <v>0.06</v>
      </c>
      <c r="T989">
        <f t="shared" si="373"/>
        <v>0.1</v>
      </c>
      <c r="U989">
        <f t="shared" si="379"/>
        <v>0.08</v>
      </c>
      <c r="V989">
        <f t="shared" si="384"/>
        <v>0.18799999349493718</v>
      </c>
      <c r="W989">
        <f t="shared" si="380"/>
        <v>0.16963007698595828</v>
      </c>
      <c r="X989">
        <f t="shared" si="381"/>
        <v>0.21024528638746981</v>
      </c>
      <c r="Y989" t="b">
        <f t="shared" si="383"/>
        <v>0</v>
      </c>
    </row>
    <row xmlns:x14ac="http://schemas.microsoft.com/office/spreadsheetml/2009/9/ac" r="990" x14ac:dyDescent="0.45">
      <c r="A990">
        <v>4.9149999999999201</v>
      </c>
      <c r="B990">
        <f t="shared" si="361"/>
        <v>0.16299999999854722</v>
      </c>
      <c r="C990" t="b">
        <f t="shared" si="374"/>
        <v>1</v>
      </c>
      <c r="D990" t="b">
        <f t="shared" si="362"/>
        <v>1</v>
      </c>
      <c r="E990">
        <f t="shared" si="370"/>
        <v>4.9149999999999201</v>
      </c>
      <c r="F990">
        <f t="shared" si="375"/>
        <v>0.16299999999854722</v>
      </c>
      <c r="G990">
        <f t="shared" si="363"/>
        <v>0.21023923024498492</v>
      </c>
      <c r="H990">
        <f t="shared" si="364"/>
        <v>3.4999999999441242E-2</v>
      </c>
      <c r="I990" t="b">
        <f t="shared" si="376"/>
        <v>1</v>
      </c>
      <c r="J990">
        <f t="shared" si="365"/>
        <v>4.9149999999999201</v>
      </c>
      <c r="K990">
        <f t="shared" si="377"/>
        <v>3.4999999999441242E-2</v>
      </c>
      <c r="L990">
        <f t="shared" si="366"/>
        <v>0.16963921041771773</v>
      </c>
      <c r="M990">
        <f t="shared" si="367"/>
        <v>0.18999999999888251</v>
      </c>
      <c r="N990">
        <f t="shared" si="368"/>
        <v>0.18799999460174671</v>
      </c>
      <c r="O990">
        <f t="shared" si="369"/>
        <v>0.15777777777777777</v>
      </c>
      <c r="P990">
        <f t="shared" si="382"/>
        <v>0.08</v>
      </c>
      <c r="Q990">
        <f t="shared" si="378"/>
        <v>0.08</v>
      </c>
      <c r="R990">
        <f t="shared" si="371"/>
        <v>0.08</v>
      </c>
      <c r="S990">
        <f t="shared" si="372"/>
        <v>0.06</v>
      </c>
      <c r="T990">
        <f t="shared" si="373"/>
        <v>0.1</v>
      </c>
      <c r="U990">
        <f t="shared" si="379"/>
        <v>0.08</v>
      </c>
      <c r="V990">
        <f t="shared" si="384"/>
        <v>0.18799999460174671</v>
      </c>
      <c r="W990">
        <f t="shared" si="380"/>
        <v>0.16963192198468793</v>
      </c>
      <c r="X990">
        <f t="shared" si="381"/>
        <v>0.21024406301650855</v>
      </c>
      <c r="Y990" t="b">
        <f t="shared" si="383"/>
        <v>0</v>
      </c>
    </row>
    <row xmlns:x14ac="http://schemas.microsoft.com/office/spreadsheetml/2009/9/ac" r="991" x14ac:dyDescent="0.45">
      <c r="A991">
        <v>4.91999999999992</v>
      </c>
      <c r="B991">
        <f t="shared" si="361"/>
        <v>0.1629999999987724</v>
      </c>
      <c r="C991" t="b">
        <f t="shared" si="374"/>
        <v>1</v>
      </c>
      <c r="D991" t="b">
        <f t="shared" si="362"/>
        <v>1</v>
      </c>
      <c r="E991">
        <f t="shared" si="370"/>
        <v>4.91999999999992</v>
      </c>
      <c r="F991">
        <f t="shared" si="375"/>
        <v>0.1629999999987724</v>
      </c>
      <c r="G991">
        <f t="shared" si="363"/>
        <v>0.21023803707916033</v>
      </c>
      <c r="H991">
        <f t="shared" si="364"/>
        <v>3.4999999999527853E-2</v>
      </c>
      <c r="I991" t="b">
        <f t="shared" si="376"/>
        <v>1</v>
      </c>
      <c r="J991">
        <f t="shared" si="365"/>
        <v>4.91999999999992</v>
      </c>
      <c r="K991">
        <f t="shared" si="377"/>
        <v>3.4999999999527853E-2</v>
      </c>
      <c r="L991">
        <f t="shared" si="366"/>
        <v>0.16964100986326641</v>
      </c>
      <c r="M991">
        <f t="shared" si="367"/>
        <v>0.1899999999990557</v>
      </c>
      <c r="N991">
        <f t="shared" si="368"/>
        <v>0.18799999569779546</v>
      </c>
      <c r="O991">
        <f t="shared" si="369"/>
        <v>0.15777777777777777</v>
      </c>
      <c r="P991">
        <f t="shared" si="382"/>
        <v>0.08</v>
      </c>
      <c r="Q991">
        <f t="shared" si="378"/>
        <v>0.08</v>
      </c>
      <c r="R991">
        <f t="shared" si="371"/>
        <v>0.08</v>
      </c>
      <c r="S991">
        <f t="shared" si="372"/>
        <v>0.06</v>
      </c>
      <c r="T991">
        <f t="shared" si="373"/>
        <v>0.1</v>
      </c>
      <c r="U991">
        <f t="shared" si="379"/>
        <v>0.08</v>
      </c>
      <c r="V991">
        <f t="shared" si="384"/>
        <v>0.18799999569779546</v>
      </c>
      <c r="W991">
        <f t="shared" si="380"/>
        <v>0.16963375778144801</v>
      </c>
      <c r="X991">
        <f t="shared" si="381"/>
        <v>0.21024284574713542</v>
      </c>
      <c r="Y991" t="b">
        <f t="shared" si="383"/>
        <v>0</v>
      </c>
    </row>
    <row xmlns:x14ac="http://schemas.microsoft.com/office/spreadsheetml/2009/9/ac" r="992" x14ac:dyDescent="0.45">
      <c r="A992">
        <v>4.9249999999999199</v>
      </c>
      <c r="B992">
        <f t="shared" si="361"/>
        <v>0.16299999999899242</v>
      </c>
      <c r="C992" t="b">
        <f t="shared" si="374"/>
        <v>1</v>
      </c>
      <c r="D992" t="b">
        <f t="shared" si="362"/>
        <v>1</v>
      </c>
      <c r="E992">
        <f t="shared" si="370"/>
        <v>4.9249999999999199</v>
      </c>
      <c r="F992">
        <f t="shared" si="375"/>
        <v>0.16299999999899242</v>
      </c>
      <c r="G992">
        <f t="shared" si="363"/>
        <v>0.2102368498642751</v>
      </c>
      <c r="H992">
        <f t="shared" si="364"/>
        <v>3.4999999999612466E-2</v>
      </c>
      <c r="I992" t="b">
        <f t="shared" si="376"/>
        <v>1</v>
      </c>
      <c r="J992">
        <f t="shared" si="365"/>
        <v>4.9249999999999199</v>
      </c>
      <c r="K992">
        <f t="shared" si="377"/>
        <v>3.4999999999612466E-2</v>
      </c>
      <c r="L992">
        <f t="shared" si="366"/>
        <v>0.169642800334043</v>
      </c>
      <c r="M992">
        <f t="shared" si="367"/>
        <v>0.18999999999922496</v>
      </c>
      <c r="N992">
        <f t="shared" si="368"/>
        <v>0.18799999677852974</v>
      </c>
      <c r="O992">
        <f t="shared" si="369"/>
        <v>0.15777777777777777</v>
      </c>
      <c r="P992">
        <f t="shared" si="382"/>
        <v>0.08</v>
      </c>
      <c r="Q992">
        <f t="shared" si="378"/>
        <v>0.08</v>
      </c>
      <c r="R992">
        <f t="shared" si="371"/>
        <v>0.08</v>
      </c>
      <c r="S992">
        <f t="shared" si="372"/>
        <v>0.06</v>
      </c>
      <c r="T992">
        <f t="shared" si="373"/>
        <v>0.1</v>
      </c>
      <c r="U992">
        <f t="shared" si="379"/>
        <v>0.08</v>
      </c>
      <c r="V992">
        <f t="shared" si="384"/>
        <v>0.18799999677852974</v>
      </c>
      <c r="W992">
        <f t="shared" si="380"/>
        <v>0.16963558442213356</v>
      </c>
      <c r="X992">
        <f t="shared" si="381"/>
        <v>0.21024163454891864</v>
      </c>
      <c r="Y992" t="b">
        <f t="shared" si="383"/>
        <v>0</v>
      </c>
    </row>
    <row xmlns:x14ac="http://schemas.microsoft.com/office/spreadsheetml/2009/9/ac" r="993" x14ac:dyDescent="0.45">
      <c r="A993">
        <v>4.9299999999999198</v>
      </c>
      <c r="B993">
        <f t="shared" si="361"/>
        <v>0.16299999999920656</v>
      </c>
      <c r="C993" t="b">
        <f t="shared" si="374"/>
        <v>1</v>
      </c>
      <c r="D993" t="b">
        <f t="shared" si="362"/>
        <v>1</v>
      </c>
      <c r="E993">
        <f t="shared" si="370"/>
        <v>4.9299999999999198</v>
      </c>
      <c r="F993">
        <f t="shared" si="375"/>
        <v>0.16299999999920656</v>
      </c>
      <c r="G993">
        <f t="shared" si="363"/>
        <v>0.21023566857064885</v>
      </c>
      <c r="H993">
        <f t="shared" si="364"/>
        <v>3.4999999999694831E-2</v>
      </c>
      <c r="I993" t="b">
        <f t="shared" si="376"/>
        <v>1</v>
      </c>
      <c r="J993">
        <f t="shared" si="365"/>
        <v>4.9299999999999198</v>
      </c>
      <c r="K993">
        <f t="shared" si="377"/>
        <v>3.4999999999694831E-2</v>
      </c>
      <c r="L993">
        <f t="shared" si="366"/>
        <v>0.16964458187480932</v>
      </c>
      <c r="M993">
        <f t="shared" si="367"/>
        <v>0.18999999999938966</v>
      </c>
      <c r="N993">
        <f t="shared" si="368"/>
        <v>0.1879999978396078</v>
      </c>
      <c r="O993">
        <f t="shared" si="369"/>
        <v>0.15777777777777777</v>
      </c>
      <c r="P993">
        <f t="shared" si="382"/>
        <v>0.08</v>
      </c>
      <c r="Q993">
        <f t="shared" si="378"/>
        <v>0.08</v>
      </c>
      <c r="R993">
        <f t="shared" si="371"/>
        <v>0.08</v>
      </c>
      <c r="S993">
        <f t="shared" si="372"/>
        <v>0.06</v>
      </c>
      <c r="T993">
        <f t="shared" si="373"/>
        <v>0.1</v>
      </c>
      <c r="U993">
        <f t="shared" si="379"/>
        <v>0.08</v>
      </c>
      <c r="V993">
        <f t="shared" si="384"/>
        <v>0.1879999978396078</v>
      </c>
      <c r="W993">
        <f t="shared" si="380"/>
        <v>0.16963740195241067</v>
      </c>
      <c r="X993">
        <f t="shared" si="381"/>
        <v>0.21024042939157811</v>
      </c>
      <c r="Y993" t="b">
        <f t="shared" si="383"/>
        <v>0</v>
      </c>
    </row>
    <row xmlns:x14ac="http://schemas.microsoft.com/office/spreadsheetml/2009/9/ac" r="994" x14ac:dyDescent="0.45">
      <c r="A994">
        <v>4.9349999999999197</v>
      </c>
      <c r="B994">
        <f t="shared" si="361"/>
        <v>0.16299999999941403</v>
      </c>
      <c r="C994" t="b">
        <f t="shared" si="374"/>
        <v>1</v>
      </c>
      <c r="D994" t="b">
        <f t="shared" si="362"/>
        <v>1</v>
      </c>
      <c r="E994">
        <f t="shared" si="370"/>
        <v>4.9349999999999197</v>
      </c>
      <c r="F994">
        <f t="shared" si="375"/>
        <v>0.16299999999941403</v>
      </c>
      <c r="G994">
        <f t="shared" si="363"/>
        <v>0.21023449316874909</v>
      </c>
      <c r="H994">
        <f t="shared" si="364"/>
        <v>3.4999999999774628E-2</v>
      </c>
      <c r="I994" t="b">
        <f t="shared" si="376"/>
        <v>1</v>
      </c>
      <c r="J994">
        <f t="shared" si="365"/>
        <v>4.9349999999999197</v>
      </c>
      <c r="K994">
        <f t="shared" si="377"/>
        <v>3.4999999999774628E-2</v>
      </c>
      <c r="L994">
        <f t="shared" si="366"/>
        <v>0.16964635453010402</v>
      </c>
      <c r="M994">
        <f t="shared" si="367"/>
        <v>0.18999999999954925</v>
      </c>
      <c r="N994">
        <f t="shared" si="368"/>
        <v>0.18799999887691232</v>
      </c>
      <c r="O994">
        <f t="shared" si="369"/>
        <v>0.15777777777777777</v>
      </c>
      <c r="P994">
        <f t="shared" si="382"/>
        <v>0.08</v>
      </c>
      <c r="Q994">
        <f t="shared" si="378"/>
        <v>0.08</v>
      </c>
      <c r="R994">
        <f t="shared" si="371"/>
        <v>0.08</v>
      </c>
      <c r="S994">
        <f t="shared" si="372"/>
        <v>0.06</v>
      </c>
      <c r="T994">
        <f t="shared" si="373"/>
        <v>0.1</v>
      </c>
      <c r="U994">
        <f t="shared" si="379"/>
        <v>0.08</v>
      </c>
      <c r="V994">
        <f t="shared" si="384"/>
        <v>0.18799999887691232</v>
      </c>
      <c r="W994">
        <f t="shared" si="380"/>
        <v>0.16963921041771773</v>
      </c>
      <c r="X994">
        <f t="shared" si="381"/>
        <v>0.21023923024498492</v>
      </c>
      <c r="Y994" t="b">
        <f t="shared" si="383"/>
        <v>0</v>
      </c>
    </row>
    <row xmlns:x14ac="http://schemas.microsoft.com/office/spreadsheetml/2009/9/ac" r="995" x14ac:dyDescent="0.45">
      <c r="A995">
        <v>4.9399999999999196</v>
      </c>
      <c r="B995">
        <f t="shared" si="361"/>
        <v>0.16299999999961418</v>
      </c>
      <c r="C995" t="b">
        <f t="shared" si="374"/>
        <v>1</v>
      </c>
      <c r="D995" t="b">
        <f t="shared" si="362"/>
        <v>1</v>
      </c>
      <c r="E995">
        <f t="shared" si="370"/>
        <v>4.9399999999999196</v>
      </c>
      <c r="F995">
        <f t="shared" si="375"/>
        <v>0.16299999999961418</v>
      </c>
      <c r="G995">
        <f t="shared" si="363"/>
        <v>0.21023332362919078</v>
      </c>
      <c r="H995">
        <f t="shared" si="364"/>
        <v>3.4999999999851608E-2</v>
      </c>
      <c r="I995" t="b">
        <f t="shared" si="376"/>
        <v>1</v>
      </c>
      <c r="J995">
        <f t="shared" si="365"/>
        <v>4.9399999999999196</v>
      </c>
      <c r="K995">
        <f t="shared" si="377"/>
        <v>3.4999999999851608E-2</v>
      </c>
      <c r="L995">
        <f t="shared" si="366"/>
        <v>0.16964811834424354</v>
      </c>
      <c r="M995">
        <f t="shared" si="367"/>
        <v>0.18999999999970324</v>
      </c>
      <c r="N995">
        <f t="shared" si="368"/>
        <v>0.18799999988656171</v>
      </c>
      <c r="O995">
        <f t="shared" si="369"/>
        <v>0.15777777777777777</v>
      </c>
      <c r="P995">
        <f t="shared" si="382"/>
        <v>0.08</v>
      </c>
      <c r="Q995">
        <f t="shared" si="378"/>
        <v>0.08</v>
      </c>
      <c r="R995">
        <f t="shared" si="371"/>
        <v>0.08</v>
      </c>
      <c r="S995">
        <f t="shared" si="372"/>
        <v>0.06</v>
      </c>
      <c r="T995">
        <f t="shared" si="373"/>
        <v>0.1</v>
      </c>
      <c r="U995">
        <f t="shared" si="379"/>
        <v>0.08</v>
      </c>
      <c r="V995">
        <f t="shared" si="384"/>
        <v>0.18799999988656171</v>
      </c>
      <c r="W995">
        <f t="shared" si="380"/>
        <v>0.16964100986326641</v>
      </c>
      <c r="X995">
        <f t="shared" si="381"/>
        <v>0.21023803707916033</v>
      </c>
      <c r="Y995" t="b">
        <f t="shared" si="383"/>
        <v>0</v>
      </c>
    </row>
    <row xmlns:x14ac="http://schemas.microsoft.com/office/spreadsheetml/2009/9/ac" r="996" x14ac:dyDescent="0.45">
      <c r="A996">
        <v>4.9449999999999203</v>
      </c>
      <c r="B996">
        <f t="shared" si="361"/>
        <v>0.16299999999980644</v>
      </c>
      <c r="C996" t="b">
        <f t="shared" si="374"/>
        <v>1</v>
      </c>
      <c r="D996" t="b">
        <f t="shared" si="362"/>
        <v>1</v>
      </c>
      <c r="E996">
        <f t="shared" si="370"/>
        <v>4.9449999999999203</v>
      </c>
      <c r="F996">
        <f t="shared" si="375"/>
        <v>0.16299999999980644</v>
      </c>
      <c r="G996">
        <f t="shared" si="363"/>
        <v>0.21023215992273536</v>
      </c>
      <c r="H996">
        <f t="shared" si="364"/>
        <v>3.4999999999925563E-2</v>
      </c>
      <c r="I996" t="b">
        <f t="shared" si="376"/>
        <v>1</v>
      </c>
      <c r="J996">
        <f t="shared" si="365"/>
        <v>4.9449999999999203</v>
      </c>
      <c r="K996">
        <f t="shared" si="377"/>
        <v>3.4999999999925563E-2</v>
      </c>
      <c r="L996">
        <f t="shared" si="366"/>
        <v>0.16964987336132334</v>
      </c>
      <c r="M996">
        <f t="shared" si="367"/>
        <v>0.18999999999985112</v>
      </c>
      <c r="N996">
        <f t="shared" si="368"/>
        <v>0.18800000086492019</v>
      </c>
      <c r="O996">
        <f t="shared" si="369"/>
        <v>0.15777777777777779</v>
      </c>
      <c r="P996">
        <f t="shared" si="382"/>
        <v>0.08</v>
      </c>
      <c r="Q996">
        <f t="shared" si="378"/>
        <v>0.08</v>
      </c>
      <c r="R996">
        <f t="shared" si="371"/>
        <v>0.08</v>
      </c>
      <c r="S996">
        <f t="shared" si="372"/>
        <v>0.06</v>
      </c>
      <c r="T996">
        <f t="shared" si="373"/>
        <v>0.1</v>
      </c>
      <c r="U996">
        <f t="shared" si="379"/>
        <v>0.08</v>
      </c>
      <c r="V996">
        <f t="shared" si="384"/>
        <v>0.18800000086492019</v>
      </c>
      <c r="W996">
        <f t="shared" si="380"/>
        <v>0.169642800334043</v>
      </c>
      <c r="X996">
        <f t="shared" si="381"/>
        <v>0.2102368498642751</v>
      </c>
      <c r="Y996" t="b">
        <f t="shared" si="383"/>
        <v>0</v>
      </c>
    </row>
    <row xmlns:x14ac="http://schemas.microsoft.com/office/spreadsheetml/2009/9/ac" r="997" x14ac:dyDescent="0.45">
      <c r="A997">
        <v>4.9499999999999202</v>
      </c>
      <c r="B997">
        <f t="shared" si="361"/>
        <v>0.16299999999999026</v>
      </c>
      <c r="C997" t="b">
        <f t="shared" si="374"/>
        <v>1</v>
      </c>
      <c r="D997" t="b">
        <f t="shared" si="362"/>
        <v>1</v>
      </c>
      <c r="E997">
        <f t="shared" si="370"/>
        <v>4.9499999999999202</v>
      </c>
      <c r="F997">
        <f t="shared" si="375"/>
        <v>0.16299999999999026</v>
      </c>
      <c r="G997">
        <f t="shared" si="363"/>
        <v>0.2102310020202901</v>
      </c>
      <c r="H997">
        <f t="shared" si="364"/>
        <v>3.4999999999996256E-2</v>
      </c>
      <c r="I997" t="b">
        <f t="shared" si="376"/>
        <v>1</v>
      </c>
      <c r="J997">
        <f t="shared" si="365"/>
        <v>4.9499999999999202</v>
      </c>
      <c r="K997">
        <f t="shared" si="377"/>
        <v>3.4999999999996256E-2</v>
      </c>
      <c r="L997">
        <f t="shared" si="366"/>
        <v>0.16965161962521894</v>
      </c>
      <c r="M997">
        <f t="shared" si="367"/>
        <v>0.18999999999999251</v>
      </c>
      <c r="N997">
        <f t="shared" si="368"/>
        <v>0.18800000180860599</v>
      </c>
      <c r="O997">
        <f t="shared" si="369"/>
        <v>0.15777777777777779</v>
      </c>
      <c r="P997">
        <f t="shared" si="382"/>
        <v>0.08</v>
      </c>
      <c r="Q997">
        <f t="shared" si="378"/>
        <v>0.08</v>
      </c>
      <c r="R997">
        <f t="shared" si="371"/>
        <v>0.08</v>
      </c>
      <c r="S997">
        <f t="shared" si="372"/>
        <v>0.06</v>
      </c>
      <c r="T997">
        <f t="shared" si="373"/>
        <v>0.1</v>
      </c>
      <c r="U997">
        <f t="shared" si="379"/>
        <v>0.08</v>
      </c>
      <c r="V997">
        <f t="shared" si="384"/>
        <v>0.18800000180860599</v>
      </c>
      <c r="W997">
        <f t="shared" si="380"/>
        <v>0.16964458187480932</v>
      </c>
      <c r="X997">
        <f t="shared" si="381"/>
        <v>0.21023566857064885</v>
      </c>
      <c r="Y997" t="b">
        <f t="shared" si="383"/>
        <v>0</v>
      </c>
    </row>
    <row xmlns:x14ac="http://schemas.microsoft.com/office/spreadsheetml/2009/9/ac" r="998" x14ac:dyDescent="0.45">
      <c r="A998">
        <v>4.9549999999999201</v>
      </c>
      <c r="B998">
        <f t="shared" si="361"/>
        <v>0.16300000000016512</v>
      </c>
      <c r="C998" t="b">
        <f t="shared" si="374"/>
        <v>1</v>
      </c>
      <c r="D998" t="b">
        <f t="shared" si="362"/>
        <v>1</v>
      </c>
      <c r="E998">
        <f t="shared" si="370"/>
        <v>4.9549999999999201</v>
      </c>
      <c r="F998">
        <f t="shared" si="375"/>
        <v>0.16300000000016512</v>
      </c>
      <c r="G998">
        <f t="shared" si="363"/>
        <v>0.21022984989290733</v>
      </c>
      <c r="H998">
        <f t="shared" si="364"/>
        <v>3.5000000000063508E-2</v>
      </c>
      <c r="I998" t="b">
        <f t="shared" si="376"/>
        <v>1</v>
      </c>
      <c r="J998">
        <f t="shared" si="365"/>
        <v>4.9549999999999201</v>
      </c>
      <c r="K998">
        <f t="shared" si="377"/>
        <v>3.5000000000063508E-2</v>
      </c>
      <c r="L998">
        <f t="shared" si="366"/>
        <v>0.16965335717958702</v>
      </c>
      <c r="M998">
        <f t="shared" si="367"/>
        <v>0.19000000000012701</v>
      </c>
      <c r="N998">
        <f t="shared" si="368"/>
        <v>0.18800000271449879</v>
      </c>
      <c r="O998">
        <f t="shared" si="369"/>
        <v>0.15777777777777779</v>
      </c>
      <c r="P998">
        <f t="shared" si="382"/>
        <v>0.08</v>
      </c>
      <c r="Q998">
        <f t="shared" si="378"/>
        <v>0.08</v>
      </c>
      <c r="R998">
        <f t="shared" si="371"/>
        <v>0.08</v>
      </c>
      <c r="S998">
        <f t="shared" si="372"/>
        <v>0.06</v>
      </c>
      <c r="T998">
        <f t="shared" si="373"/>
        <v>0.1</v>
      </c>
      <c r="U998">
        <f t="shared" si="379"/>
        <v>0.08</v>
      </c>
      <c r="V998">
        <f t="shared" si="384"/>
        <v>0.18800000271449879</v>
      </c>
      <c r="W998">
        <f t="shared" si="380"/>
        <v>0.16964635453010402</v>
      </c>
      <c r="X998">
        <f t="shared" si="381"/>
        <v>0.21023449316874909</v>
      </c>
      <c r="Y998" t="b">
        <f t="shared" si="383"/>
        <v>0</v>
      </c>
    </row>
    <row xmlns:x14ac="http://schemas.microsoft.com/office/spreadsheetml/2009/9/ac" r="999" x14ac:dyDescent="0.45">
      <c r="A999">
        <v>4.95999999999992</v>
      </c>
      <c r="B999">
        <f t="shared" si="361"/>
        <v>0.16300000000033069</v>
      </c>
      <c r="C999" t="b">
        <f t="shared" si="374"/>
        <v>1</v>
      </c>
      <c r="D999" t="b">
        <f t="shared" si="362"/>
        <v>1</v>
      </c>
      <c r="E999">
        <f t="shared" si="370"/>
        <v>4.95999999999992</v>
      </c>
      <c r="F999">
        <f t="shared" si="375"/>
        <v>0.16300000000033069</v>
      </c>
      <c r="G999">
        <f t="shared" si="363"/>
        <v>0.21022870351178391</v>
      </c>
      <c r="H999">
        <f t="shared" si="364"/>
        <v>3.5000000000127193E-2</v>
      </c>
      <c r="I999" t="b">
        <f t="shared" si="376"/>
        <v>1</v>
      </c>
      <c r="J999">
        <f t="shared" si="365"/>
        <v>4.95999999999992</v>
      </c>
      <c r="K999">
        <f t="shared" si="377"/>
        <v>3.5000000000127193E-2</v>
      </c>
      <c r="L999">
        <f t="shared" si="366"/>
        <v>0.16965508606786653</v>
      </c>
      <c r="M999">
        <f t="shared" si="367"/>
        <v>0.19000000000025438</v>
      </c>
      <c r="N999">
        <f t="shared" si="368"/>
        <v>0.18800000357974517</v>
      </c>
      <c r="O999">
        <f t="shared" si="369"/>
        <v>0.15777777777777779</v>
      </c>
      <c r="P999">
        <f t="shared" si="382"/>
        <v>0.08</v>
      </c>
      <c r="Q999">
        <f t="shared" si="378"/>
        <v>0.08</v>
      </c>
      <c r="R999">
        <f t="shared" si="371"/>
        <v>0.08</v>
      </c>
      <c r="S999">
        <f t="shared" si="372"/>
        <v>0.06</v>
      </c>
      <c r="T999">
        <f t="shared" si="373"/>
        <v>0.1</v>
      </c>
      <c r="U999">
        <f t="shared" si="379"/>
        <v>0.08</v>
      </c>
      <c r="V999">
        <f t="shared" si="384"/>
        <v>0.18800000357974517</v>
      </c>
      <c r="W999">
        <f t="shared" si="380"/>
        <v>0.16964811834424354</v>
      </c>
      <c r="X999">
        <f t="shared" si="381"/>
        <v>0.21023332362919078</v>
      </c>
      <c r="Y999" t="b">
        <f t="shared" si="383"/>
        <v>0</v>
      </c>
    </row>
    <row xmlns:x14ac="http://schemas.microsoft.com/office/spreadsheetml/2009/9/ac" r="1000" x14ac:dyDescent="0.45">
      <c r="A1000">
        <v>4.9649999999999199</v>
      </c>
      <c r="B1000">
        <f t="shared" si="361"/>
        <v>0.16300000000048659</v>
      </c>
      <c r="C1000" t="b">
        <f t="shared" si="374"/>
        <v>1</v>
      </c>
      <c r="D1000" t="b">
        <f t="shared" si="362"/>
        <v>1</v>
      </c>
      <c r="E1000">
        <f t="shared" si="370"/>
        <v>4.9649999999999199</v>
      </c>
      <c r="F1000">
        <f t="shared" si="375"/>
        <v>0.16300000000048659</v>
      </c>
      <c r="G1000">
        <f t="shared" si="363"/>
        <v>0.21022756284826016</v>
      </c>
      <c r="H1000">
        <f t="shared" si="364"/>
        <v>3.5000000000187159E-2</v>
      </c>
      <c r="I1000" t="b">
        <f t="shared" si="376"/>
        <v>1</v>
      </c>
      <c r="J1000">
        <f t="shared" si="365"/>
        <v>4.9649999999999199</v>
      </c>
      <c r="K1000">
        <f t="shared" si="377"/>
        <v>3.5000000000187159E-2</v>
      </c>
      <c r="L1000">
        <f t="shared" si="366"/>
        <v>0.16965680633327979</v>
      </c>
      <c r="M1000">
        <f t="shared" si="367"/>
        <v>0.19000000000037431</v>
      </c>
      <c r="N1000">
        <f t="shared" si="368"/>
        <v>0.1880000044017629</v>
      </c>
      <c r="O1000">
        <f t="shared" si="369"/>
        <v>0.15777777777777779</v>
      </c>
      <c r="P1000">
        <f t="shared" si="382"/>
        <v>0.08</v>
      </c>
      <c r="Q1000">
        <f t="shared" si="378"/>
        <v>0.08</v>
      </c>
      <c r="R1000">
        <f t="shared" si="371"/>
        <v>0.08</v>
      </c>
      <c r="S1000">
        <f t="shared" si="372"/>
        <v>0.06</v>
      </c>
      <c r="T1000">
        <f t="shared" si="373"/>
        <v>0.1</v>
      </c>
      <c r="U1000">
        <f t="shared" si="379"/>
        <v>0.08</v>
      </c>
      <c r="V1000">
        <f t="shared" si="384"/>
        <v>0.1880000044017629</v>
      </c>
      <c r="W1000">
        <f t="shared" si="380"/>
        <v>0.16964987336132334</v>
      </c>
      <c r="X1000">
        <f t="shared" si="381"/>
        <v>0.21023215992273536</v>
      </c>
      <c r="Y1000" t="b">
        <f t="shared" si="383"/>
        <v>0</v>
      </c>
    </row>
    <row xmlns:x14ac="http://schemas.microsoft.com/office/spreadsheetml/2009/9/ac" r="1001" x14ac:dyDescent="0.45">
      <c r="A1001">
        <v>4.9699999999999198</v>
      </c>
      <c r="B1001">
        <f t="shared" si="361"/>
        <v>0.16300000000063258</v>
      </c>
      <c r="C1001" t="b">
        <f t="shared" si="374"/>
        <v>1</v>
      </c>
      <c r="D1001" t="b">
        <f t="shared" si="362"/>
        <v>1</v>
      </c>
      <c r="E1001">
        <f t="shared" si="370"/>
        <v>4.9699999999999198</v>
      </c>
      <c r="F1001">
        <f t="shared" si="375"/>
        <v>0.16300000000063258</v>
      </c>
      <c r="G1001">
        <f t="shared" si="363"/>
        <v>0.21022642787381951</v>
      </c>
      <c r="H1001">
        <f t="shared" si="364"/>
        <v>3.5000000000243295E-2</v>
      </c>
      <c r="I1001" t="b">
        <f t="shared" si="376"/>
        <v>1</v>
      </c>
      <c r="J1001">
        <f t="shared" si="365"/>
        <v>4.9699999999999198</v>
      </c>
      <c r="K1001">
        <f t="shared" si="377"/>
        <v>3.5000000000243295E-2</v>
      </c>
      <c r="L1001">
        <f t="shared" si="366"/>
        <v>0.16965851801883347</v>
      </c>
      <c r="M1001">
        <f t="shared" si="367"/>
        <v>0.19000000000048661</v>
      </c>
      <c r="N1001">
        <f t="shared" si="368"/>
        <v>0.18800000517824419</v>
      </c>
      <c r="O1001">
        <f t="shared" si="369"/>
        <v>0.15777777777777779</v>
      </c>
      <c r="P1001">
        <f t="shared" si="382"/>
        <v>0.08</v>
      </c>
      <c r="Q1001">
        <f t="shared" si="378"/>
        <v>0.08</v>
      </c>
      <c r="R1001">
        <f t="shared" si="371"/>
        <v>0.08</v>
      </c>
      <c r="S1001">
        <f t="shared" si="372"/>
        <v>0.06</v>
      </c>
      <c r="T1001">
        <f t="shared" si="373"/>
        <v>0.1</v>
      </c>
      <c r="U1001">
        <f t="shared" si="379"/>
        <v>0.08</v>
      </c>
      <c r="V1001">
        <f t="shared" si="384"/>
        <v>0.18800000517824419</v>
      </c>
      <c r="W1001">
        <f t="shared" si="380"/>
        <v>0.16965161962521894</v>
      </c>
      <c r="X1001">
        <f t="shared" si="381"/>
        <v>0.2102310020202901</v>
      </c>
      <c r="Y1001" t="b">
        <f t="shared" si="383"/>
        <v>0</v>
      </c>
    </row>
    <row xmlns:x14ac="http://schemas.microsoft.com/office/spreadsheetml/2009/9/ac" r="1002" x14ac:dyDescent="0.45">
      <c r="A1002">
        <v>4.9749999999999197</v>
      </c>
      <c r="B1002">
        <f t="shared" si="361"/>
        <v>0.16300000000076839</v>
      </c>
      <c r="C1002" t="b">
        <f t="shared" si="374"/>
        <v>1</v>
      </c>
      <c r="D1002" t="b">
        <f t="shared" si="362"/>
        <v>1</v>
      </c>
      <c r="E1002">
        <f t="shared" si="370"/>
        <v>4.9749999999999197</v>
      </c>
      <c r="F1002">
        <f t="shared" si="375"/>
        <v>0.16300000000076839</v>
      </c>
      <c r="G1002">
        <f t="shared" si="363"/>
        <v>0.21022529856008748</v>
      </c>
      <c r="H1002">
        <f t="shared" si="364"/>
        <v>3.5000000000295545E-2</v>
      </c>
      <c r="I1002" t="b">
        <f t="shared" si="376"/>
        <v>1</v>
      </c>
      <c r="J1002">
        <f t="shared" si="365"/>
        <v>4.9749999999999197</v>
      </c>
      <c r="K1002">
        <f t="shared" si="377"/>
        <v>3.5000000000295545E-2</v>
      </c>
      <c r="L1002">
        <f t="shared" si="366"/>
        <v>0.16966022116731988</v>
      </c>
      <c r="M1002">
        <f t="shared" si="367"/>
        <v>0.19000000000059108</v>
      </c>
      <c r="N1002">
        <f t="shared" si="368"/>
        <v>0.18800000590715715</v>
      </c>
      <c r="O1002">
        <f t="shared" si="369"/>
        <v>0.15777777777777779</v>
      </c>
      <c r="P1002">
        <f t="shared" si="382"/>
        <v>0.08</v>
      </c>
      <c r="Q1002">
        <f t="shared" si="378"/>
        <v>0.08</v>
      </c>
      <c r="R1002">
        <f t="shared" si="371"/>
        <v>0.08</v>
      </c>
      <c r="S1002">
        <f t="shared" si="372"/>
        <v>0.06</v>
      </c>
      <c r="T1002">
        <f t="shared" si="373"/>
        <v>0.1</v>
      </c>
      <c r="U1002">
        <f t="shared" si="379"/>
        <v>0.08</v>
      </c>
      <c r="V1002">
        <f t="shared" si="384"/>
        <v>0.18800000590715715</v>
      </c>
      <c r="W1002">
        <f t="shared" si="380"/>
        <v>0.16965335717958702</v>
      </c>
      <c r="X1002">
        <f t="shared" si="381"/>
        <v>0.21022984989290733</v>
      </c>
      <c r="Y1002" t="b">
        <f t="shared" si="383"/>
        <v>0</v>
      </c>
    </row>
    <row xmlns:x14ac="http://schemas.microsoft.com/office/spreadsheetml/2009/9/ac" r="1003" x14ac:dyDescent="0.45">
      <c r="A1003">
        <v>4.9799999999999196</v>
      </c>
      <c r="B1003">
        <f t="shared" si="361"/>
        <v>0.1630000000008939</v>
      </c>
      <c r="C1003" t="b">
        <f t="shared" si="374"/>
        <v>1</v>
      </c>
      <c r="D1003" t="b">
        <f t="shared" si="362"/>
        <v>1</v>
      </c>
      <c r="E1003">
        <f t="shared" si="370"/>
        <v>4.9799999999999196</v>
      </c>
      <c r="F1003">
        <f t="shared" si="375"/>
        <v>0.1630000000008939</v>
      </c>
      <c r="G1003">
        <f t="shared" si="363"/>
        <v>0.21022417487883122</v>
      </c>
      <c r="H1003">
        <f t="shared" si="364"/>
        <v>3.5000000000343812E-2</v>
      </c>
      <c r="I1003" t="b">
        <f t="shared" si="376"/>
        <v>1</v>
      </c>
      <c r="J1003">
        <f t="shared" si="365"/>
        <v>4.9799999999999196</v>
      </c>
      <c r="K1003">
        <f t="shared" si="377"/>
        <v>3.5000000000343812E-2</v>
      </c>
      <c r="L1003">
        <f t="shared" si="366"/>
        <v>0.16966191582131776</v>
      </c>
      <c r="M1003">
        <f t="shared" si="367"/>
        <v>0.19000000000068762</v>
      </c>
      <c r="N1003">
        <f t="shared" si="368"/>
        <v>0.18800000658674615</v>
      </c>
      <c r="O1003">
        <f t="shared" si="369"/>
        <v>0.15777777777777779</v>
      </c>
      <c r="P1003">
        <f t="shared" si="382"/>
        <v>0.08</v>
      </c>
      <c r="Q1003">
        <f t="shared" si="378"/>
        <v>0.08</v>
      </c>
      <c r="R1003">
        <f t="shared" si="371"/>
        <v>0.08</v>
      </c>
      <c r="S1003">
        <f t="shared" si="372"/>
        <v>0.06</v>
      </c>
      <c r="T1003">
        <f t="shared" si="373"/>
        <v>0.1</v>
      </c>
      <c r="U1003">
        <f t="shared" si="379"/>
        <v>0.08</v>
      </c>
      <c r="V1003">
        <f t="shared" si="384"/>
        <v>0.18800000658674615</v>
      </c>
      <c r="W1003">
        <f t="shared" si="380"/>
        <v>0.16965508606786653</v>
      </c>
      <c r="X1003">
        <f t="shared" si="381"/>
        <v>0.21022870351178391</v>
      </c>
      <c r="Y1003" t="b">
        <f t="shared" si="383"/>
        <v>0</v>
      </c>
    </row>
    <row xmlns:x14ac="http://schemas.microsoft.com/office/spreadsheetml/2009/9/ac" r="1004" x14ac:dyDescent="0.45">
      <c r="A1004">
        <v>4.9849999999999204</v>
      </c>
      <c r="B1004">
        <f t="shared" si="361"/>
        <v>0.16300000000100906</v>
      </c>
      <c r="C1004" t="b">
        <f t="shared" si="374"/>
        <v>1</v>
      </c>
      <c r="D1004" t="b">
        <f t="shared" si="362"/>
        <v>1</v>
      </c>
      <c r="E1004">
        <f t="shared" si="370"/>
        <v>4.9849999999999204</v>
      </c>
      <c r="F1004">
        <f t="shared" si="375"/>
        <v>0.16300000000100906</v>
      </c>
      <c r="G1004">
        <f t="shared" si="363"/>
        <v>0.21022305680195852</v>
      </c>
      <c r="H1004">
        <f t="shared" si="364"/>
        <v>3.5000000000388096E-2</v>
      </c>
      <c r="I1004" t="b">
        <f t="shared" si="376"/>
        <v>1</v>
      </c>
      <c r="J1004">
        <f t="shared" si="365"/>
        <v>4.9849999999999204</v>
      </c>
      <c r="K1004">
        <f t="shared" si="377"/>
        <v>3.5000000000388096E-2</v>
      </c>
      <c r="L1004">
        <f t="shared" si="366"/>
        <v>0.16966360202319355</v>
      </c>
      <c r="M1004">
        <f t="shared" si="367"/>
        <v>0.19000000000077621</v>
      </c>
      <c r="N1004">
        <f t="shared" si="368"/>
        <v>0.18800000721553106</v>
      </c>
      <c r="O1004">
        <f t="shared" si="369"/>
        <v>0.15777777777777779</v>
      </c>
      <c r="P1004">
        <f t="shared" si="382"/>
        <v>0.08</v>
      </c>
      <c r="Q1004">
        <f t="shared" si="378"/>
        <v>0.08</v>
      </c>
      <c r="R1004">
        <f t="shared" si="371"/>
        <v>0.08</v>
      </c>
      <c r="S1004">
        <f t="shared" si="372"/>
        <v>0.06</v>
      </c>
      <c r="T1004">
        <f t="shared" si="373"/>
        <v>0.1</v>
      </c>
      <c r="U1004">
        <f t="shared" si="379"/>
        <v>0.08</v>
      </c>
      <c r="V1004">
        <f t="shared" si="384"/>
        <v>0.18800000721553106</v>
      </c>
      <c r="W1004">
        <f t="shared" si="380"/>
        <v>0.16965680633327979</v>
      </c>
      <c r="X1004">
        <f t="shared" si="381"/>
        <v>0.21022756284826016</v>
      </c>
      <c r="Y1004" t="b">
        <f t="shared" si="383"/>
        <v>0</v>
      </c>
    </row>
    <row xmlns:x14ac="http://schemas.microsoft.com/office/spreadsheetml/2009/9/ac" r="1005" x14ac:dyDescent="0.45">
      <c r="A1005">
        <v>4.9899999999999203</v>
      </c>
      <c r="B1005">
        <f t="shared" si="361"/>
        <v>0.16300000000111373</v>
      </c>
      <c r="C1005" t="b">
        <f t="shared" si="374"/>
        <v>1</v>
      </c>
      <c r="D1005" t="b">
        <f t="shared" si="362"/>
        <v>1</v>
      </c>
      <c r="E1005">
        <f t="shared" si="370"/>
        <v>4.9899999999999203</v>
      </c>
      <c r="F1005">
        <f t="shared" si="375"/>
        <v>0.16300000000111373</v>
      </c>
      <c r="G1005">
        <f t="shared" si="363"/>
        <v>0.21022194430151758</v>
      </c>
      <c r="H1005">
        <f t="shared" si="364"/>
        <v>3.5000000000428355E-2</v>
      </c>
      <c r="I1005" t="b">
        <f t="shared" si="376"/>
        <v>1</v>
      </c>
      <c r="J1005">
        <f t="shared" si="365"/>
        <v>4.9899999999999203</v>
      </c>
      <c r="K1005">
        <f t="shared" si="377"/>
        <v>3.5000000000428355E-2</v>
      </c>
      <c r="L1005">
        <f t="shared" si="366"/>
        <v>0.16966527981510243</v>
      </c>
      <c r="M1005">
        <f t="shared" si="367"/>
        <v>0.19000000000085671</v>
      </c>
      <c r="N1005">
        <f t="shared" si="368"/>
        <v>0.18800000779230525</v>
      </c>
      <c r="O1005">
        <f t="shared" si="369"/>
        <v>0.15777777777777779</v>
      </c>
      <c r="P1005">
        <f t="shared" si="382"/>
        <v>0.08</v>
      </c>
      <c r="Q1005">
        <f t="shared" si="378"/>
        <v>0.08</v>
      </c>
      <c r="R1005">
        <f t="shared" si="371"/>
        <v>0.08</v>
      </c>
      <c r="S1005">
        <f t="shared" si="372"/>
        <v>0.06</v>
      </c>
      <c r="T1005">
        <f t="shared" si="373"/>
        <v>0.1</v>
      </c>
      <c r="U1005">
        <f t="shared" si="379"/>
        <v>0.08</v>
      </c>
      <c r="V1005">
        <f t="shared" si="384"/>
        <v>0.18800000779230525</v>
      </c>
      <c r="W1005">
        <f t="shared" si="380"/>
        <v>0.16965851801883347</v>
      </c>
      <c r="X1005">
        <f t="shared" si="381"/>
        <v>0.21022642787381951</v>
      </c>
      <c r="Y1005" t="b">
        <f t="shared" si="383"/>
        <v>0</v>
      </c>
    </row>
    <row xmlns:x14ac="http://schemas.microsoft.com/office/spreadsheetml/2009/9/ac" r="1006" x14ac:dyDescent="0.45">
      <c r="A1006">
        <v>4.9949999999999202</v>
      </c>
      <c r="B1006">
        <f t="shared" si="361"/>
        <v>0.16300000000120798</v>
      </c>
      <c r="C1006" t="b">
        <f t="shared" si="374"/>
        <v>1</v>
      </c>
      <c r="D1006" t="b">
        <f t="shared" si="362"/>
        <v>1</v>
      </c>
      <c r="E1006">
        <f t="shared" si="370"/>
        <v>4.9949999999999202</v>
      </c>
      <c r="F1006">
        <f t="shared" si="375"/>
        <v>0.16300000000120798</v>
      </c>
      <c r="G1006">
        <f t="shared" si="363"/>
        <v>0.21022083734969566</v>
      </c>
      <c r="H1006">
        <f t="shared" si="364"/>
        <v>3.5000000000464618E-2</v>
      </c>
      <c r="I1006" t="b">
        <f t="shared" si="376"/>
        <v>1</v>
      </c>
      <c r="J1006">
        <f t="shared" si="365"/>
        <v>4.9949999999999202</v>
      </c>
      <c r="K1006">
        <f t="shared" si="377"/>
        <v>3.5000000000464618E-2</v>
      </c>
      <c r="L1006">
        <f t="shared" si="366"/>
        <v>0.16966694923898923</v>
      </c>
      <c r="M1006">
        <f t="shared" si="367"/>
        <v>0.19000000000092923</v>
      </c>
      <c r="N1006">
        <f t="shared" si="368"/>
        <v>0.18800000831613201</v>
      </c>
      <c r="O1006">
        <f t="shared" si="369"/>
        <v>0.15777777777777779</v>
      </c>
      <c r="P1006">
        <f t="shared" si="382"/>
        <v>0.08</v>
      </c>
      <c r="Q1006">
        <f t="shared" si="378"/>
        <v>0.08</v>
      </c>
      <c r="R1006">
        <f t="shared" si="371"/>
        <v>0.08</v>
      </c>
      <c r="S1006">
        <f t="shared" si="372"/>
        <v>0.06</v>
      </c>
      <c r="T1006">
        <f t="shared" si="373"/>
        <v>0.1</v>
      </c>
      <c r="U1006">
        <f t="shared" si="379"/>
        <v>0.08</v>
      </c>
      <c r="V1006">
        <f t="shared" si="384"/>
        <v>0.18800000831613201</v>
      </c>
      <c r="W1006">
        <f t="shared" si="380"/>
        <v>0.16966022116731988</v>
      </c>
      <c r="X1006">
        <f t="shared" si="381"/>
        <v>0.21022529856008748</v>
      </c>
      <c r="Y1006" t="b">
        <f t="shared" si="383"/>
        <v>0</v>
      </c>
    </row>
    <row xmlns:x14ac="http://schemas.microsoft.com/office/spreadsheetml/2009/9/ac" r="1007" x14ac:dyDescent="0.45">
      <c r="A1007">
        <v>4.9999999999999201</v>
      </c>
      <c r="B1007">
        <f t="shared" si="361"/>
        <v>0.16300000000129186</v>
      </c>
      <c r="C1007" t="b">
        <f t="shared" si="374"/>
        <v>1</v>
      </c>
      <c r="D1007" t="b">
        <f t="shared" si="362"/>
        <v>1</v>
      </c>
      <c r="E1007">
        <f t="shared" si="370"/>
        <v>4.9999999999999201</v>
      </c>
      <c r="F1007">
        <f t="shared" si="375"/>
        <v>0.16300000000129186</v>
      </c>
      <c r="G1007">
        <f t="shared" si="363"/>
        <v>0.21021973591881904</v>
      </c>
      <c r="H1007">
        <f t="shared" si="364"/>
        <v>3.500000000049687E-2</v>
      </c>
      <c r="I1007" t="b">
        <f t="shared" si="376"/>
        <v>1</v>
      </c>
      <c r="J1007">
        <f t="shared" si="365"/>
        <v>4.9999999999999201</v>
      </c>
      <c r="K1007">
        <f t="shared" si="377"/>
        <v>3.500000000049687E-2</v>
      </c>
      <c r="L1007">
        <f t="shared" si="366"/>
        <v>0.16966861033658964</v>
      </c>
      <c r="M1007">
        <f t="shared" si="367"/>
        <v>0.19000000000099376</v>
      </c>
      <c r="N1007">
        <f t="shared" si="368"/>
        <v>0.18800000878634068</v>
      </c>
      <c r="O1007">
        <f t="shared" si="369"/>
        <v>0.15777777777777779</v>
      </c>
      <c r="P1007">
        <f t="shared" si="382"/>
        <v>0.08</v>
      </c>
      <c r="Q1007">
        <f t="shared" si="378"/>
        <v>0.08</v>
      </c>
      <c r="R1007">
        <f t="shared" si="371"/>
        <v>0.08</v>
      </c>
      <c r="S1007">
        <f t="shared" si="372"/>
        <v>0.06</v>
      </c>
      <c r="T1007">
        <f t="shared" si="373"/>
        <v>0.1</v>
      </c>
      <c r="U1007">
        <f t="shared" si="379"/>
        <v>0.08</v>
      </c>
      <c r="V1007">
        <f t="shared" si="384"/>
        <v>0.18800000878634068</v>
      </c>
      <c r="W1007">
        <f t="shared" si="380"/>
        <v>0.16966191582131776</v>
      </c>
      <c r="X1007">
        <f t="shared" si="381"/>
        <v>0.21022417487883122</v>
      </c>
      <c r="Y1007" t="b">
        <f t="shared" si="383"/>
        <v>0</v>
      </c>
    </row>
    <row xmlns:x14ac="http://schemas.microsoft.com/office/spreadsheetml/2009/9/ac" r="1008" x14ac:dyDescent="0.45">
      <c r="A1008">
        <v>5.00499999999992</v>
      </c>
      <c r="B1008">
        <f t="shared" si="361"/>
        <v>0.1630000000013655</v>
      </c>
      <c r="C1008" t="b">
        <f t="shared" si="374"/>
        <v>1</v>
      </c>
      <c r="D1008" t="b">
        <f t="shared" si="362"/>
        <v>1</v>
      </c>
      <c r="E1008">
        <f t="shared" si="370"/>
        <v>5.00499999999992</v>
      </c>
      <c r="F1008">
        <f t="shared" si="375"/>
        <v>0.1630000000013655</v>
      </c>
      <c r="G1008">
        <f t="shared" si="363"/>
        <v>0.21021863998135182</v>
      </c>
      <c r="H1008">
        <f t="shared" si="364"/>
        <v>3.5000000000525194E-2</v>
      </c>
      <c r="I1008" t="b">
        <f t="shared" si="376"/>
        <v>1</v>
      </c>
      <c r="J1008">
        <f t="shared" si="365"/>
        <v>5.00499999999992</v>
      </c>
      <c r="K1008">
        <f t="shared" si="377"/>
        <v>3.5000000000525194E-2</v>
      </c>
      <c r="L1008">
        <f t="shared" si="366"/>
        <v>0.16967026314943123</v>
      </c>
      <c r="M1008">
        <f t="shared" si="367"/>
        <v>0.19000000000105038</v>
      </c>
      <c r="N1008">
        <f t="shared" si="368"/>
        <v>0.18800000920252097</v>
      </c>
      <c r="O1008">
        <f t="shared" si="369"/>
        <v>0.15777777777777779</v>
      </c>
      <c r="P1008">
        <f t="shared" si="382"/>
        <v>0.08</v>
      </c>
      <c r="Q1008">
        <f t="shared" si="378"/>
        <v>0.08</v>
      </c>
      <c r="R1008">
        <f t="shared" si="371"/>
        <v>0.08</v>
      </c>
      <c r="S1008">
        <f t="shared" si="372"/>
        <v>0.06</v>
      </c>
      <c r="T1008">
        <f t="shared" si="373"/>
        <v>0.1</v>
      </c>
      <c r="U1008">
        <f t="shared" si="379"/>
        <v>0.08</v>
      </c>
      <c r="V1008">
        <f t="shared" si="384"/>
        <v>0.18800000920252097</v>
      </c>
      <c r="W1008">
        <f t="shared" si="380"/>
        <v>0.16966360202319355</v>
      </c>
      <c r="X1008">
        <f t="shared" si="381"/>
        <v>0.21022305680195852</v>
      </c>
      <c r="Y1008" t="b">
        <f t="shared" si="383"/>
        <v>0</v>
      </c>
    </row>
    <row xmlns:x14ac="http://schemas.microsoft.com/office/spreadsheetml/2009/9/ac" r="1009" x14ac:dyDescent="0.45">
      <c r="A1009">
        <v>5.0099999999999199</v>
      </c>
      <c r="B1009">
        <f t="shared" si="361"/>
        <v>0.16300000000142897</v>
      </c>
      <c r="C1009" t="b">
        <f t="shared" si="374"/>
        <v>1</v>
      </c>
      <c r="D1009" t="b">
        <f t="shared" si="362"/>
        <v>1</v>
      </c>
      <c r="E1009">
        <f t="shared" si="370"/>
        <v>5.0099999999999199</v>
      </c>
      <c r="F1009">
        <f t="shared" si="375"/>
        <v>0.16300000000142897</v>
      </c>
      <c r="G1009">
        <f t="shared" si="363"/>
        <v>0.21021754950989552</v>
      </c>
      <c r="H1009">
        <f t="shared" si="364"/>
        <v>3.5000000000549605E-2</v>
      </c>
      <c r="I1009" t="b">
        <f t="shared" si="376"/>
        <v>1</v>
      </c>
      <c r="J1009">
        <f t="shared" si="365"/>
        <v>5.0099999999999199</v>
      </c>
      <c r="K1009">
        <f t="shared" si="377"/>
        <v>3.5000000000549605E-2</v>
      </c>
      <c r="L1009">
        <f t="shared" si="366"/>
        <v>0.16967190771883439</v>
      </c>
      <c r="M1009">
        <f t="shared" si="367"/>
        <v>0.19000000000109921</v>
      </c>
      <c r="N1009">
        <f t="shared" si="368"/>
        <v>0.18800000956451673</v>
      </c>
      <c r="O1009">
        <f t="shared" si="369"/>
        <v>0.15777777777777779</v>
      </c>
      <c r="P1009">
        <f t="shared" si="382"/>
        <v>0.08</v>
      </c>
      <c r="Q1009">
        <f t="shared" si="378"/>
        <v>0.08</v>
      </c>
      <c r="R1009">
        <f t="shared" si="371"/>
        <v>0.08</v>
      </c>
      <c r="S1009">
        <f t="shared" si="372"/>
        <v>0.06</v>
      </c>
      <c r="T1009">
        <f t="shared" si="373"/>
        <v>0.1</v>
      </c>
      <c r="U1009">
        <f t="shared" si="379"/>
        <v>0.08</v>
      </c>
      <c r="V1009">
        <f t="shared" si="384"/>
        <v>0.18800000956451673</v>
      </c>
      <c r="W1009">
        <f t="shared" si="380"/>
        <v>0.16966527981510243</v>
      </c>
      <c r="X1009">
        <f t="shared" si="381"/>
        <v>0.21022194430151758</v>
      </c>
      <c r="Y1009" t="b">
        <f t="shared" si="383"/>
        <v>0</v>
      </c>
    </row>
    <row xmlns:x14ac="http://schemas.microsoft.com/office/spreadsheetml/2009/9/ac" r="1010" x14ac:dyDescent="0.45">
      <c r="A1010">
        <v>5.0149999999999197</v>
      </c>
      <c r="B1010">
        <f t="shared" si="361"/>
        <v>0.16300000000148251</v>
      </c>
      <c r="C1010" t="b">
        <f t="shared" si="374"/>
        <v>1</v>
      </c>
      <c r="D1010" t="b">
        <f t="shared" si="362"/>
        <v>1</v>
      </c>
      <c r="E1010">
        <f t="shared" si="370"/>
        <v>5.0149999999999197</v>
      </c>
      <c r="F1010">
        <f t="shared" si="375"/>
        <v>0.16300000000148251</v>
      </c>
      <c r="G1010">
        <f t="shared" si="363"/>
        <v>0.21021646447718828</v>
      </c>
      <c r="H1010">
        <f t="shared" si="364"/>
        <v>3.50000000005702E-2</v>
      </c>
      <c r="I1010" t="b">
        <f t="shared" si="376"/>
        <v>1</v>
      </c>
      <c r="J1010">
        <f t="shared" si="365"/>
        <v>5.0149999999999197</v>
      </c>
      <c r="K1010">
        <f t="shared" si="377"/>
        <v>3.50000000005702E-2</v>
      </c>
      <c r="L1010">
        <f t="shared" si="366"/>
        <v>0.16967354408591345</v>
      </c>
      <c r="M1010">
        <f t="shared" si="367"/>
        <v>0.19000000000114042</v>
      </c>
      <c r="N1010">
        <f t="shared" si="368"/>
        <v>0.18800000987241855</v>
      </c>
      <c r="O1010">
        <f t="shared" si="369"/>
        <v>0.15777777777777779</v>
      </c>
      <c r="P1010">
        <f t="shared" si="382"/>
        <v>0.08</v>
      </c>
      <c r="Q1010">
        <f t="shared" si="378"/>
        <v>0.08</v>
      </c>
      <c r="R1010">
        <f t="shared" si="371"/>
        <v>0.08</v>
      </c>
      <c r="S1010">
        <f t="shared" si="372"/>
        <v>0.06</v>
      </c>
      <c r="T1010">
        <f t="shared" si="373"/>
        <v>0.1</v>
      </c>
      <c r="U1010">
        <f t="shared" si="379"/>
        <v>0.08</v>
      </c>
      <c r="V1010">
        <f t="shared" si="384"/>
        <v>0.18800000987241855</v>
      </c>
      <c r="W1010">
        <f t="shared" si="380"/>
        <v>0.16966694923898923</v>
      </c>
      <c r="X1010">
        <f t="shared" si="381"/>
        <v>0.21022083734969566</v>
      </c>
      <c r="Y1010" t="b">
        <f t="shared" si="383"/>
        <v>0</v>
      </c>
    </row>
    <row xmlns:x14ac="http://schemas.microsoft.com/office/spreadsheetml/2009/9/ac" r="1011" x14ac:dyDescent="0.45">
      <c r="A1011">
        <v>5.0199999999999196</v>
      </c>
      <c r="B1011">
        <f t="shared" si="361"/>
        <v>0.1630000000015264</v>
      </c>
      <c r="C1011" t="b">
        <f t="shared" si="374"/>
        <v>1</v>
      </c>
      <c r="D1011" t="b">
        <f t="shared" si="362"/>
        <v>1</v>
      </c>
      <c r="E1011">
        <f t="shared" si="370"/>
        <v>5.0199999999999196</v>
      </c>
      <c r="F1011">
        <f t="shared" si="375"/>
        <v>0.1630000000015264</v>
      </c>
      <c r="G1011">
        <f t="shared" si="363"/>
        <v>0.21021538485610425</v>
      </c>
      <c r="H1011">
        <f t="shared" si="364"/>
        <v>3.5000000000587075E-2</v>
      </c>
      <c r="I1011" t="b">
        <f t="shared" si="376"/>
        <v>1</v>
      </c>
      <c r="J1011">
        <f t="shared" si="365"/>
        <v>5.0199999999999196</v>
      </c>
      <c r="K1011">
        <f t="shared" si="377"/>
        <v>3.5000000000587075E-2</v>
      </c>
      <c r="L1011">
        <f t="shared" si="366"/>
        <v>0.16967517229157761</v>
      </c>
      <c r="M1011">
        <f t="shared" si="367"/>
        <v>0.19000000000117415</v>
      </c>
      <c r="N1011">
        <f t="shared" si="368"/>
        <v>0.18800001012655565</v>
      </c>
      <c r="O1011">
        <f t="shared" si="369"/>
        <v>0.15777777777777779</v>
      </c>
      <c r="P1011">
        <f t="shared" si="382"/>
        <v>0.08</v>
      </c>
      <c r="Q1011">
        <f t="shared" si="378"/>
        <v>0.08</v>
      </c>
      <c r="R1011">
        <f t="shared" si="371"/>
        <v>0.08</v>
      </c>
      <c r="S1011">
        <f t="shared" si="372"/>
        <v>0.06</v>
      </c>
      <c r="T1011">
        <f t="shared" si="373"/>
        <v>0.1</v>
      </c>
      <c r="U1011">
        <f t="shared" si="379"/>
        <v>0.08</v>
      </c>
      <c r="V1011">
        <f t="shared" si="384"/>
        <v>0.18800001012655565</v>
      </c>
      <c r="W1011">
        <f t="shared" si="380"/>
        <v>0.16966861033658964</v>
      </c>
      <c r="X1011">
        <f t="shared" si="381"/>
        <v>0.21021973591881904</v>
      </c>
      <c r="Y1011" t="b">
        <f t="shared" si="383"/>
        <v>0</v>
      </c>
    </row>
    <row xmlns:x14ac="http://schemas.microsoft.com/office/spreadsheetml/2009/9/ac" r="1012" x14ac:dyDescent="0.45">
      <c r="A1012">
        <v>5.0249999999999204</v>
      </c>
      <c r="B1012">
        <f t="shared" si="361"/>
        <v>0.16300000000156076</v>
      </c>
      <c r="C1012" t="b">
        <f t="shared" si="374"/>
        <v>1</v>
      </c>
      <c r="D1012" t="b">
        <f t="shared" si="362"/>
        <v>1</v>
      </c>
      <c r="E1012">
        <f t="shared" si="370"/>
        <v>5.0249999999999204</v>
      </c>
      <c r="F1012">
        <f t="shared" si="375"/>
        <v>0.16300000000156076</v>
      </c>
      <c r="G1012">
        <f t="shared" si="363"/>
        <v>0.21021431061965284</v>
      </c>
      <c r="H1012">
        <f t="shared" si="364"/>
        <v>3.5000000000600301E-2</v>
      </c>
      <c r="I1012" t="b">
        <f t="shared" si="376"/>
        <v>1</v>
      </c>
      <c r="J1012">
        <f t="shared" si="365"/>
        <v>5.0249999999999204</v>
      </c>
      <c r="K1012">
        <f t="shared" si="377"/>
        <v>3.5000000000600301E-2</v>
      </c>
      <c r="L1012">
        <f t="shared" si="366"/>
        <v>0.16967679237653216</v>
      </c>
      <c r="M1012">
        <f t="shared" si="367"/>
        <v>0.1900000000012006</v>
      </c>
      <c r="N1012">
        <f t="shared" si="368"/>
        <v>0.18800001032748684</v>
      </c>
      <c r="O1012">
        <f t="shared" si="369"/>
        <v>0.15777777777777779</v>
      </c>
      <c r="P1012">
        <f t="shared" si="382"/>
        <v>0.08</v>
      </c>
      <c r="Q1012">
        <f t="shared" si="378"/>
        <v>0.08</v>
      </c>
      <c r="R1012">
        <f t="shared" si="371"/>
        <v>0.08</v>
      </c>
      <c r="S1012">
        <f t="shared" si="372"/>
        <v>0.06</v>
      </c>
      <c r="T1012">
        <f t="shared" si="373"/>
        <v>0.1</v>
      </c>
      <c r="U1012">
        <f t="shared" si="379"/>
        <v>0.08</v>
      </c>
      <c r="V1012">
        <f t="shared" si="384"/>
        <v>0.18800001032748684</v>
      </c>
      <c r="W1012">
        <f t="shared" si="380"/>
        <v>0.16967026314943123</v>
      </c>
      <c r="X1012">
        <f t="shared" si="381"/>
        <v>0.21021863998135182</v>
      </c>
      <c r="Y1012" t="b">
        <f t="shared" si="383"/>
        <v>0</v>
      </c>
    </row>
    <row xmlns:x14ac="http://schemas.microsoft.com/office/spreadsheetml/2009/9/ac" r="1013" x14ac:dyDescent="0.45">
      <c r="A1013">
        <v>5.0299999999999203</v>
      </c>
      <c r="B1013">
        <f t="shared" si="361"/>
        <v>0.16300000000158604</v>
      </c>
      <c r="C1013" t="b">
        <f t="shared" si="374"/>
        <v>1</v>
      </c>
      <c r="D1013" t="b">
        <f t="shared" si="362"/>
        <v>1</v>
      </c>
      <c r="E1013">
        <f t="shared" si="370"/>
        <v>5.0299999999999203</v>
      </c>
      <c r="F1013">
        <f t="shared" si="375"/>
        <v>0.16300000000158604</v>
      </c>
      <c r="G1013">
        <f t="shared" si="363"/>
        <v>0.21021324174097811</v>
      </c>
      <c r="H1013">
        <f t="shared" si="364"/>
        <v>3.5000000000610015E-2</v>
      </c>
      <c r="I1013" t="b">
        <f t="shared" si="376"/>
        <v>1</v>
      </c>
      <c r="J1013">
        <f t="shared" si="365"/>
        <v>5.0299999999999203</v>
      </c>
      <c r="K1013">
        <f t="shared" si="377"/>
        <v>3.5000000000610015E-2</v>
      </c>
      <c r="L1013">
        <f t="shared" si="366"/>
        <v>0.16967840438127929</v>
      </c>
      <c r="M1013">
        <f t="shared" si="367"/>
        <v>0.19000000000122003</v>
      </c>
      <c r="N1013">
        <f t="shared" si="368"/>
        <v>0.18800001047599085</v>
      </c>
      <c r="O1013">
        <f t="shared" si="369"/>
        <v>0.15777777777777779</v>
      </c>
      <c r="P1013">
        <f t="shared" si="382"/>
        <v>0.08</v>
      </c>
      <c r="Q1013">
        <f t="shared" si="378"/>
        <v>0.08</v>
      </c>
      <c r="R1013">
        <f t="shared" si="371"/>
        <v>0.08</v>
      </c>
      <c r="S1013">
        <f t="shared" si="372"/>
        <v>0.06</v>
      </c>
      <c r="T1013">
        <f t="shared" si="373"/>
        <v>0.1</v>
      </c>
      <c r="U1013">
        <f t="shared" si="379"/>
        <v>0.08</v>
      </c>
      <c r="V1013">
        <f t="shared" si="384"/>
        <v>0.18800001047599085</v>
      </c>
      <c r="W1013">
        <f t="shared" si="380"/>
        <v>0.16967190771883439</v>
      </c>
      <c r="X1013">
        <f t="shared" si="381"/>
        <v>0.21021754950989552</v>
      </c>
      <c r="Y1013" t="b">
        <f t="shared" si="383"/>
        <v>0</v>
      </c>
    </row>
    <row xmlns:x14ac="http://schemas.microsoft.com/office/spreadsheetml/2009/9/ac" r="1014" x14ac:dyDescent="0.45">
      <c r="A1014">
        <v>5.0349999999999202</v>
      </c>
      <c r="B1014">
        <f t="shared" si="361"/>
        <v>0.16300000000160247</v>
      </c>
      <c r="C1014" t="b">
        <f t="shared" si="374"/>
        <v>1</v>
      </c>
      <c r="D1014" t="b">
        <f t="shared" si="362"/>
        <v>1</v>
      </c>
      <c r="E1014">
        <f t="shared" si="370"/>
        <v>5.0349999999999202</v>
      </c>
      <c r="F1014">
        <f t="shared" si="375"/>
        <v>0.16300000000160247</v>
      </c>
      <c r="G1014">
        <f t="shared" si="363"/>
        <v>0.21021217819335797</v>
      </c>
      <c r="H1014">
        <f t="shared" si="364"/>
        <v>3.5000000000616344E-2</v>
      </c>
      <c r="I1014" t="b">
        <f t="shared" si="376"/>
        <v>1</v>
      </c>
      <c r="J1014">
        <f t="shared" si="365"/>
        <v>5.0349999999999202</v>
      </c>
      <c r="K1014">
        <f t="shared" si="377"/>
        <v>3.5000000000616344E-2</v>
      </c>
      <c r="L1014">
        <f t="shared" si="366"/>
        <v>0.16968000834611921</v>
      </c>
      <c r="M1014">
        <f t="shared" si="367"/>
        <v>0.19000000000123268</v>
      </c>
      <c r="N1014">
        <f t="shared" si="368"/>
        <v>0.18800001057305596</v>
      </c>
      <c r="O1014">
        <f t="shared" si="369"/>
        <v>0.15777777777777779</v>
      </c>
      <c r="P1014">
        <f t="shared" si="382"/>
        <v>0.08</v>
      </c>
      <c r="Q1014">
        <f t="shared" si="378"/>
        <v>0.08</v>
      </c>
      <c r="R1014">
        <f t="shared" si="371"/>
        <v>0.08</v>
      </c>
      <c r="S1014">
        <f t="shared" si="372"/>
        <v>0.06</v>
      </c>
      <c r="T1014">
        <f t="shared" si="373"/>
        <v>0.1</v>
      </c>
      <c r="U1014">
        <f t="shared" si="379"/>
        <v>0.08</v>
      </c>
      <c r="V1014">
        <f t="shared" si="384"/>
        <v>0.18800001057305596</v>
      </c>
      <c r="W1014">
        <f t="shared" si="380"/>
        <v>0.16967354408591345</v>
      </c>
      <c r="X1014">
        <f t="shared" si="381"/>
        <v>0.21021646447718828</v>
      </c>
      <c r="Y1014" t="b">
        <f t="shared" si="383"/>
        <v>0</v>
      </c>
    </row>
    <row xmlns:x14ac="http://schemas.microsoft.com/office/spreadsheetml/2009/9/ac" r="1015" x14ac:dyDescent="0.45">
      <c r="A1015">
        <v>5.0399999999999201</v>
      </c>
      <c r="B1015">
        <f t="shared" si="361"/>
        <v>0.16300000000161047</v>
      </c>
      <c r="C1015" t="b">
        <f t="shared" si="374"/>
        <v>1</v>
      </c>
      <c r="D1015" t="b">
        <f t="shared" si="362"/>
        <v>1</v>
      </c>
      <c r="E1015">
        <f t="shared" si="370"/>
        <v>5.0399999999999201</v>
      </c>
      <c r="F1015">
        <f t="shared" si="375"/>
        <v>0.16300000000161047</v>
      </c>
      <c r="G1015">
        <f t="shared" si="363"/>
        <v>0.21021111995020375</v>
      </c>
      <c r="H1015">
        <f t="shared" si="364"/>
        <v>3.5000000000619411E-2</v>
      </c>
      <c r="I1015" t="b">
        <f t="shared" si="376"/>
        <v>1</v>
      </c>
      <c r="J1015">
        <f t="shared" si="365"/>
        <v>5.0399999999999201</v>
      </c>
      <c r="K1015">
        <f t="shared" si="377"/>
        <v>3.5000000000619411E-2</v>
      </c>
      <c r="L1015">
        <f t="shared" si="366"/>
        <v>0.16968160431115109</v>
      </c>
      <c r="M1015">
        <f t="shared" si="367"/>
        <v>0.19000000000123884</v>
      </c>
      <c r="N1015">
        <f t="shared" si="368"/>
        <v>0.18800001061986882</v>
      </c>
      <c r="O1015">
        <f t="shared" si="369"/>
        <v>0.15777777777777779</v>
      </c>
      <c r="P1015">
        <f t="shared" si="382"/>
        <v>0.08</v>
      </c>
      <c r="Q1015">
        <f t="shared" si="378"/>
        <v>0.08</v>
      </c>
      <c r="R1015">
        <f t="shared" si="371"/>
        <v>0.08</v>
      </c>
      <c r="S1015">
        <f t="shared" si="372"/>
        <v>0.06</v>
      </c>
      <c r="T1015">
        <f t="shared" si="373"/>
        <v>0.1</v>
      </c>
      <c r="U1015">
        <f t="shared" si="379"/>
        <v>0.08</v>
      </c>
      <c r="V1015">
        <f t="shared" si="384"/>
        <v>0.18800001061986882</v>
      </c>
      <c r="W1015">
        <f t="shared" si="380"/>
        <v>0.16967517229157761</v>
      </c>
      <c r="X1015">
        <f t="shared" si="381"/>
        <v>0.21021538485610425</v>
      </c>
      <c r="Y1015" t="b">
        <f t="shared" si="383"/>
        <v>0</v>
      </c>
    </row>
    <row xmlns:x14ac="http://schemas.microsoft.com/office/spreadsheetml/2009/9/ac" r="1016" x14ac:dyDescent="0.45">
      <c r="A1016">
        <v>5.04499999999992</v>
      </c>
      <c r="B1016">
        <f t="shared" si="361"/>
        <v>0.16300000000161036</v>
      </c>
      <c r="C1016" t="b">
        <f t="shared" si="374"/>
        <v>1</v>
      </c>
      <c r="D1016" t="b">
        <f t="shared" si="362"/>
        <v>1</v>
      </c>
      <c r="E1016">
        <f t="shared" si="370"/>
        <v>5.04499999999992</v>
      </c>
      <c r="F1016">
        <f t="shared" si="375"/>
        <v>0.16300000000161036</v>
      </c>
      <c r="G1016">
        <f t="shared" si="363"/>
        <v>0.21021006698505929</v>
      </c>
      <c r="H1016">
        <f t="shared" si="364"/>
        <v>3.5000000000619369E-2</v>
      </c>
      <c r="I1016" t="b">
        <f t="shared" si="376"/>
        <v>1</v>
      </c>
      <c r="J1016">
        <f t="shared" si="365"/>
        <v>5.04499999999992</v>
      </c>
      <c r="K1016">
        <f t="shared" si="377"/>
        <v>3.5000000000619369E-2</v>
      </c>
      <c r="L1016">
        <f t="shared" si="366"/>
        <v>0.16968319231627421</v>
      </c>
      <c r="M1016">
        <f t="shared" si="367"/>
        <v>0.19000000000123873</v>
      </c>
      <c r="N1016">
        <f t="shared" si="368"/>
        <v>0.18800001061780314</v>
      </c>
      <c r="O1016">
        <f t="shared" si="369"/>
        <v>0.15777777777777779</v>
      </c>
      <c r="P1016">
        <f t="shared" si="382"/>
        <v>0.08</v>
      </c>
      <c r="Q1016">
        <f t="shared" si="378"/>
        <v>0.08</v>
      </c>
      <c r="R1016">
        <f t="shared" si="371"/>
        <v>0.08</v>
      </c>
      <c r="S1016">
        <f t="shared" si="372"/>
        <v>0.06</v>
      </c>
      <c r="T1016">
        <f t="shared" si="373"/>
        <v>0.1</v>
      </c>
      <c r="U1016">
        <f t="shared" si="379"/>
        <v>0.08</v>
      </c>
      <c r="V1016">
        <f t="shared" si="384"/>
        <v>0.18800001061780314</v>
      </c>
      <c r="W1016">
        <f t="shared" si="380"/>
        <v>0.16967679237653216</v>
      </c>
      <c r="X1016">
        <f t="shared" si="381"/>
        <v>0.21021431061965284</v>
      </c>
      <c r="Y1016" t="b">
        <f t="shared" si="383"/>
        <v>0</v>
      </c>
    </row>
    <row xmlns:x14ac="http://schemas.microsoft.com/office/spreadsheetml/2009/9/ac" r="1017" x14ac:dyDescent="0.45">
      <c r="A1017">
        <v>5.0499999999999199</v>
      </c>
      <c r="B1017">
        <f t="shared" si="361"/>
        <v>0.16300000000160253</v>
      </c>
      <c r="C1017" t="b">
        <f t="shared" si="374"/>
        <v>1</v>
      </c>
      <c r="D1017" t="b">
        <f t="shared" si="362"/>
        <v>1</v>
      </c>
      <c r="E1017">
        <f t="shared" si="370"/>
        <v>5.0499999999999199</v>
      </c>
      <c r="F1017">
        <f t="shared" si="375"/>
        <v>0.16300000000160253</v>
      </c>
      <c r="G1017">
        <f t="shared" si="363"/>
        <v>0.21020901927160035</v>
      </c>
      <c r="H1017">
        <f t="shared" si="364"/>
        <v>3.5000000000616358E-2</v>
      </c>
      <c r="I1017" t="b">
        <f t="shared" si="376"/>
        <v>1</v>
      </c>
      <c r="J1017">
        <f t="shared" si="365"/>
        <v>5.0499999999999199</v>
      </c>
      <c r="K1017">
        <f t="shared" si="377"/>
        <v>3.5000000000616358E-2</v>
      </c>
      <c r="L1017">
        <f t="shared" si="366"/>
        <v>0.16968477240118868</v>
      </c>
      <c r="M1017">
        <f t="shared" si="367"/>
        <v>0.19000000000123274</v>
      </c>
      <c r="N1017">
        <f t="shared" si="368"/>
        <v>0.18800001056840743</v>
      </c>
      <c r="O1017">
        <f t="shared" si="369"/>
        <v>0.15777777777777779</v>
      </c>
      <c r="P1017">
        <f t="shared" si="382"/>
        <v>0.08</v>
      </c>
      <c r="Q1017">
        <f t="shared" si="378"/>
        <v>0.08</v>
      </c>
      <c r="R1017">
        <f t="shared" si="371"/>
        <v>0.08</v>
      </c>
      <c r="S1017">
        <f t="shared" si="372"/>
        <v>0.06</v>
      </c>
      <c r="T1017">
        <f t="shared" si="373"/>
        <v>0.1</v>
      </c>
      <c r="U1017">
        <f t="shared" si="379"/>
        <v>0.08</v>
      </c>
      <c r="V1017">
        <f t="shared" si="384"/>
        <v>0.18800001056840743</v>
      </c>
      <c r="W1017">
        <f t="shared" si="380"/>
        <v>0.16967840438127929</v>
      </c>
      <c r="X1017">
        <f t="shared" si="381"/>
        <v>0.21021324174097811</v>
      </c>
      <c r="Y1017" t="b">
        <f t="shared" si="383"/>
        <v>0</v>
      </c>
    </row>
    <row xmlns:x14ac="http://schemas.microsoft.com/office/spreadsheetml/2009/9/ac" r="1018" x14ac:dyDescent="0.45">
      <c r="A1018">
        <v>5.0549999999999198</v>
      </c>
      <c r="B1018">
        <f t="shared" si="361"/>
        <v>0.16300000000158746</v>
      </c>
      <c r="C1018" t="b">
        <f t="shared" si="374"/>
        <v>1</v>
      </c>
      <c r="D1018" t="b">
        <f t="shared" si="362"/>
        <v>1</v>
      </c>
      <c r="E1018">
        <f t="shared" si="370"/>
        <v>5.0549999999999198</v>
      </c>
      <c r="F1018">
        <f t="shared" si="375"/>
        <v>0.16300000000158746</v>
      </c>
      <c r="G1018">
        <f t="shared" si="363"/>
        <v>0.21020797678363412</v>
      </c>
      <c r="H1018">
        <f t="shared" si="364"/>
        <v>3.5000000000610557E-2</v>
      </c>
      <c r="I1018" t="b">
        <f t="shared" si="376"/>
        <v>1</v>
      </c>
      <c r="J1018">
        <f t="shared" si="365"/>
        <v>5.0549999999999198</v>
      </c>
      <c r="K1018">
        <f t="shared" si="377"/>
        <v>3.5000000000610557E-2</v>
      </c>
      <c r="L1018">
        <f t="shared" si="366"/>
        <v>0.1696863446053968</v>
      </c>
      <c r="M1018">
        <f t="shared" si="367"/>
        <v>0.19000000000122114</v>
      </c>
      <c r="N1018">
        <f t="shared" si="368"/>
        <v>0.18800001047339282</v>
      </c>
      <c r="O1018">
        <f t="shared" si="369"/>
        <v>0.15777777777777779</v>
      </c>
      <c r="P1018">
        <f t="shared" si="382"/>
        <v>0.08</v>
      </c>
      <c r="Q1018">
        <f t="shared" si="378"/>
        <v>0.08</v>
      </c>
      <c r="R1018">
        <f t="shared" si="371"/>
        <v>0.08</v>
      </c>
      <c r="S1018">
        <f t="shared" si="372"/>
        <v>0.06</v>
      </c>
      <c r="T1018">
        <f t="shared" si="373"/>
        <v>0.1</v>
      </c>
      <c r="U1018">
        <f t="shared" si="379"/>
        <v>0.08</v>
      </c>
      <c r="V1018">
        <f t="shared" si="384"/>
        <v>0.18800001047339282</v>
      </c>
      <c r="W1018">
        <f t="shared" si="380"/>
        <v>0.16968000834611921</v>
      </c>
      <c r="X1018">
        <f t="shared" si="381"/>
        <v>0.21021217819335797</v>
      </c>
      <c r="Y1018" t="b">
        <f t="shared" si="383"/>
        <v>0</v>
      </c>
    </row>
    <row xmlns:x14ac="http://schemas.microsoft.com/office/spreadsheetml/2009/9/ac" r="1019" x14ac:dyDescent="0.45">
      <c r="A1019">
        <v>5.0599999999999197</v>
      </c>
      <c r="B1019">
        <f t="shared" si="361"/>
        <v>0.16300000000156548</v>
      </c>
      <c r="C1019" t="b">
        <f t="shared" si="374"/>
        <v>1</v>
      </c>
      <c r="D1019" t="b">
        <f t="shared" si="362"/>
        <v>1</v>
      </c>
      <c r="E1019">
        <f t="shared" si="370"/>
        <v>5.0599999999999197</v>
      </c>
      <c r="F1019">
        <f t="shared" si="375"/>
        <v>0.16300000000156548</v>
      </c>
      <c r="G1019">
        <f t="shared" si="363"/>
        <v>0.21020693949509833</v>
      </c>
      <c r="H1019">
        <f t="shared" si="364"/>
        <v>3.5000000000602105E-2</v>
      </c>
      <c r="I1019" t="b">
        <f t="shared" si="376"/>
        <v>1</v>
      </c>
      <c r="J1019">
        <f t="shared" si="365"/>
        <v>5.0599999999999197</v>
      </c>
      <c r="K1019">
        <f t="shared" si="377"/>
        <v>3.5000000000602105E-2</v>
      </c>
      <c r="L1019">
        <f t="shared" si="366"/>
        <v>0.16968790896820374</v>
      </c>
      <c r="M1019">
        <f t="shared" si="367"/>
        <v>0.19000000000120421</v>
      </c>
      <c r="N1019">
        <f t="shared" si="368"/>
        <v>0.1880000103346201</v>
      </c>
      <c r="O1019">
        <f t="shared" si="369"/>
        <v>0.15777777777777779</v>
      </c>
      <c r="P1019">
        <f t="shared" si="382"/>
        <v>0.08</v>
      </c>
      <c r="Q1019">
        <f t="shared" si="378"/>
        <v>0.08</v>
      </c>
      <c r="R1019">
        <f t="shared" si="371"/>
        <v>0.08</v>
      </c>
      <c r="S1019">
        <f t="shared" si="372"/>
        <v>0.06</v>
      </c>
      <c r="T1019">
        <f t="shared" si="373"/>
        <v>0.1</v>
      </c>
      <c r="U1019">
        <f t="shared" si="379"/>
        <v>0.08</v>
      </c>
      <c r="V1019">
        <f t="shared" si="384"/>
        <v>0.1880000103346201</v>
      </c>
      <c r="W1019">
        <f t="shared" si="380"/>
        <v>0.16968160431115109</v>
      </c>
      <c r="X1019">
        <f t="shared" si="381"/>
        <v>0.21021111995020375</v>
      </c>
      <c r="Y1019" t="b">
        <f t="shared" si="383"/>
        <v>0</v>
      </c>
    </row>
    <row xmlns:x14ac="http://schemas.microsoft.com/office/spreadsheetml/2009/9/ac" r="1020" x14ac:dyDescent="0.45">
      <c r="A1020">
        <v>5.0649999999999196</v>
      </c>
      <c r="B1020">
        <f t="shared" si="361"/>
        <v>0.16300000000153711</v>
      </c>
      <c r="C1020" t="b">
        <f t="shared" si="374"/>
        <v>1</v>
      </c>
      <c r="D1020" t="b">
        <f t="shared" si="362"/>
        <v>1</v>
      </c>
      <c r="E1020">
        <f t="shared" si="370"/>
        <v>5.0649999999999196</v>
      </c>
      <c r="F1020">
        <f t="shared" si="375"/>
        <v>0.16300000000153711</v>
      </c>
      <c r="G1020">
        <f t="shared" si="363"/>
        <v>0.21020590738006067</v>
      </c>
      <c r="H1020">
        <f t="shared" si="364"/>
        <v>3.5000000000591197E-2</v>
      </c>
      <c r="I1020" t="b">
        <f t="shared" si="376"/>
        <v>1</v>
      </c>
      <c r="J1020">
        <f t="shared" si="365"/>
        <v>5.0649999999999196</v>
      </c>
      <c r="K1020">
        <f t="shared" si="377"/>
        <v>3.5000000000591197E-2</v>
      </c>
      <c r="L1020">
        <f t="shared" si="366"/>
        <v>0.16968946552871858</v>
      </c>
      <c r="M1020">
        <f t="shared" si="367"/>
        <v>0.19000000000118239</v>
      </c>
      <c r="N1020">
        <f t="shared" si="368"/>
        <v>0.18800001015408679</v>
      </c>
      <c r="O1020">
        <f t="shared" si="369"/>
        <v>0.15777777777777779</v>
      </c>
      <c r="P1020">
        <f t="shared" si="382"/>
        <v>0.08</v>
      </c>
      <c r="Q1020">
        <f t="shared" si="378"/>
        <v>0.08</v>
      </c>
      <c r="R1020">
        <f t="shared" si="371"/>
        <v>0.08</v>
      </c>
      <c r="S1020">
        <f t="shared" si="372"/>
        <v>0.06</v>
      </c>
      <c r="T1020">
        <f t="shared" si="373"/>
        <v>0.1</v>
      </c>
      <c r="U1020">
        <f t="shared" si="379"/>
        <v>0.08</v>
      </c>
      <c r="V1020">
        <f t="shared" si="384"/>
        <v>0.18800001015408679</v>
      </c>
      <c r="W1020">
        <f t="shared" si="380"/>
        <v>0.16968319231627421</v>
      </c>
      <c r="X1020">
        <f t="shared" si="381"/>
        <v>0.21021006698505929</v>
      </c>
      <c r="Y1020" t="b">
        <f t="shared" si="383"/>
        <v>0</v>
      </c>
    </row>
    <row xmlns:x14ac="http://schemas.microsoft.com/office/spreadsheetml/2009/9/ac" r="1021" x14ac:dyDescent="0.45">
      <c r="A1021">
        <v>5.0699999999999203</v>
      </c>
      <c r="B1021">
        <f t="shared" si="361"/>
        <v>0.16300000000150278</v>
      </c>
      <c r="C1021" t="b">
        <f t="shared" si="374"/>
        <v>1</v>
      </c>
      <c r="D1021" t="b">
        <f t="shared" si="362"/>
        <v>1</v>
      </c>
      <c r="E1021">
        <f t="shared" si="370"/>
        <v>5.0699999999999203</v>
      </c>
      <c r="F1021">
        <f t="shared" si="375"/>
        <v>0.16300000000150278</v>
      </c>
      <c r="G1021">
        <f t="shared" si="363"/>
        <v>0.21020488041271823</v>
      </c>
      <c r="H1021">
        <f t="shared" si="364"/>
        <v>3.5000000000577985E-2</v>
      </c>
      <c r="I1021" t="b">
        <f t="shared" si="376"/>
        <v>1</v>
      </c>
      <c r="J1021">
        <f t="shared" si="365"/>
        <v>5.0699999999999203</v>
      </c>
      <c r="K1021">
        <f t="shared" si="377"/>
        <v>3.5000000000577985E-2</v>
      </c>
      <c r="L1021">
        <f t="shared" si="366"/>
        <v>0.16969101432585548</v>
      </c>
      <c r="M1021">
        <f t="shared" si="367"/>
        <v>0.19000000000115597</v>
      </c>
      <c r="N1021">
        <f t="shared" si="368"/>
        <v>0.18800000993391397</v>
      </c>
      <c r="O1021">
        <f t="shared" si="369"/>
        <v>0.15777777777777779</v>
      </c>
      <c r="P1021">
        <f t="shared" si="382"/>
        <v>0.08</v>
      </c>
      <c r="Q1021">
        <f t="shared" si="378"/>
        <v>0.08</v>
      </c>
      <c r="R1021">
        <f t="shared" si="371"/>
        <v>0.08</v>
      </c>
      <c r="S1021">
        <f t="shared" si="372"/>
        <v>0.06</v>
      </c>
      <c r="T1021">
        <f t="shared" si="373"/>
        <v>0.1</v>
      </c>
      <c r="U1021">
        <f t="shared" si="379"/>
        <v>0.08</v>
      </c>
      <c r="V1021">
        <f t="shared" si="384"/>
        <v>0.18800000993391397</v>
      </c>
      <c r="W1021">
        <f t="shared" si="380"/>
        <v>0.16968477240118868</v>
      </c>
      <c r="X1021">
        <f t="shared" si="381"/>
        <v>0.21020901927160035</v>
      </c>
      <c r="Y1021" t="b">
        <f t="shared" si="383"/>
        <v>0</v>
      </c>
    </row>
    <row xmlns:x14ac="http://schemas.microsoft.com/office/spreadsheetml/2009/9/ac" r="1022" x14ac:dyDescent="0.45">
      <c r="A1022">
        <v>5.0749999999999202</v>
      </c>
      <c r="B1022">
        <f t="shared" si="361"/>
        <v>0.16300000000146292</v>
      </c>
      <c r="C1022" t="b">
        <f t="shared" si="374"/>
        <v>1</v>
      </c>
      <c r="D1022" t="b">
        <f t="shared" si="362"/>
        <v>1</v>
      </c>
      <c r="E1022">
        <f t="shared" si="370"/>
        <v>5.0749999999999202</v>
      </c>
      <c r="F1022">
        <f t="shared" si="375"/>
        <v>0.16300000000146292</v>
      </c>
      <c r="G1022">
        <f t="shared" si="363"/>
        <v>0.21020385856739676</v>
      </c>
      <c r="H1022">
        <f t="shared" si="364"/>
        <v>3.5000000000562664E-2</v>
      </c>
      <c r="I1022" t="b">
        <f t="shared" si="376"/>
        <v>1</v>
      </c>
      <c r="J1022">
        <f t="shared" si="365"/>
        <v>5.0749999999999202</v>
      </c>
      <c r="K1022">
        <f t="shared" si="377"/>
        <v>3.5000000000562664E-2</v>
      </c>
      <c r="L1022">
        <f t="shared" si="366"/>
        <v>0.16969255539833444</v>
      </c>
      <c r="M1022">
        <f t="shared" si="367"/>
        <v>0.19000000000112532</v>
      </c>
      <c r="N1022">
        <f t="shared" si="368"/>
        <v>0.18800000967633279</v>
      </c>
      <c r="O1022">
        <f t="shared" si="369"/>
        <v>0.15777777777777779</v>
      </c>
      <c r="P1022">
        <f t="shared" si="382"/>
        <v>0.08</v>
      </c>
      <c r="Q1022">
        <f t="shared" si="378"/>
        <v>0.08</v>
      </c>
      <c r="R1022">
        <f t="shared" si="371"/>
        <v>0.08</v>
      </c>
      <c r="S1022">
        <f t="shared" si="372"/>
        <v>0.06</v>
      </c>
      <c r="T1022">
        <f t="shared" si="373"/>
        <v>0.1</v>
      </c>
      <c r="U1022">
        <f t="shared" si="379"/>
        <v>0.08</v>
      </c>
      <c r="V1022">
        <f t="shared" si="384"/>
        <v>0.18800000967633279</v>
      </c>
      <c r="W1022">
        <f t="shared" si="380"/>
        <v>0.1696863446053968</v>
      </c>
      <c r="X1022">
        <f t="shared" si="381"/>
        <v>0.21020797678363412</v>
      </c>
      <c r="Y1022" t="b">
        <f t="shared" si="383"/>
        <v>0</v>
      </c>
    </row>
    <row xmlns:x14ac="http://schemas.microsoft.com/office/spreadsheetml/2009/9/ac" r="1023" x14ac:dyDescent="0.45">
      <c r="A1023">
        <v>5.0799999999999201</v>
      </c>
      <c r="B1023">
        <f t="shared" si="361"/>
        <v>0.16300000000141801</v>
      </c>
      <c r="C1023" t="b">
        <f t="shared" si="374"/>
        <v>1</v>
      </c>
      <c r="D1023" t="b">
        <f t="shared" si="362"/>
        <v>1</v>
      </c>
      <c r="E1023">
        <f t="shared" si="370"/>
        <v>5.0799999999999201</v>
      </c>
      <c r="F1023">
        <f t="shared" si="375"/>
        <v>0.16300000000141801</v>
      </c>
      <c r="G1023">
        <f t="shared" si="363"/>
        <v>0.21020284181855015</v>
      </c>
      <c r="H1023">
        <f t="shared" si="364"/>
        <v>3.5000000000545387E-2</v>
      </c>
      <c r="I1023" t="b">
        <f t="shared" si="376"/>
        <v>1</v>
      </c>
      <c r="J1023">
        <f t="shared" si="365"/>
        <v>5.0799999999999201</v>
      </c>
      <c r="K1023">
        <f t="shared" si="377"/>
        <v>3.5000000000545387E-2</v>
      </c>
      <c r="L1023">
        <f t="shared" si="366"/>
        <v>0.16969408878468234</v>
      </c>
      <c r="M1023">
        <f t="shared" si="367"/>
        <v>0.1900000000010908</v>
      </c>
      <c r="N1023">
        <f t="shared" si="368"/>
        <v>0.18800000938367117</v>
      </c>
      <c r="O1023">
        <f t="shared" si="369"/>
        <v>0.15777777777777779</v>
      </c>
      <c r="P1023">
        <f t="shared" si="382"/>
        <v>0.08</v>
      </c>
      <c r="Q1023">
        <f t="shared" si="378"/>
        <v>0.08</v>
      </c>
      <c r="R1023">
        <f t="shared" si="371"/>
        <v>0.08</v>
      </c>
      <c r="S1023">
        <f t="shared" si="372"/>
        <v>0.06</v>
      </c>
      <c r="T1023">
        <f t="shared" si="373"/>
        <v>0.1</v>
      </c>
      <c r="U1023">
        <f t="shared" si="379"/>
        <v>0.08</v>
      </c>
      <c r="V1023">
        <f t="shared" si="384"/>
        <v>0.18800000938367117</v>
      </c>
      <c r="W1023">
        <f t="shared" si="380"/>
        <v>0.16968790896820374</v>
      </c>
      <c r="X1023">
        <f t="shared" si="381"/>
        <v>0.21020693949509833</v>
      </c>
      <c r="Y1023" t="b">
        <f t="shared" si="383"/>
        <v>0</v>
      </c>
    </row>
    <row xmlns:x14ac="http://schemas.microsoft.com/office/spreadsheetml/2009/9/ac" r="1024" x14ac:dyDescent="0.45">
      <c r="A1024">
        <v>5.08499999999992</v>
      </c>
      <c r="B1024">
        <f t="shared" si="361"/>
        <v>0.16300000000136849</v>
      </c>
      <c r="C1024" t="b">
        <f t="shared" si="374"/>
        <v>1</v>
      </c>
      <c r="D1024" t="b">
        <f t="shared" si="362"/>
        <v>1</v>
      </c>
      <c r="E1024">
        <f t="shared" si="370"/>
        <v>5.08499999999992</v>
      </c>
      <c r="F1024">
        <f t="shared" si="375"/>
        <v>0.16300000000136849</v>
      </c>
      <c r="G1024">
        <f t="shared" si="363"/>
        <v>0.21020183014075955</v>
      </c>
      <c r="H1024">
        <f t="shared" si="364"/>
        <v>3.5000000000526346E-2</v>
      </c>
      <c r="I1024" t="b">
        <f t="shared" si="376"/>
        <v>1</v>
      </c>
      <c r="J1024">
        <f t="shared" si="365"/>
        <v>5.08499999999992</v>
      </c>
      <c r="K1024">
        <f t="shared" si="377"/>
        <v>3.5000000000526346E-2</v>
      </c>
      <c r="L1024">
        <f t="shared" si="366"/>
        <v>0.16969561452323395</v>
      </c>
      <c r="M1024">
        <f t="shared" si="367"/>
        <v>0.19000000000105272</v>
      </c>
      <c r="N1024">
        <f t="shared" si="368"/>
        <v>0.18800000905834022</v>
      </c>
      <c r="O1024">
        <f t="shared" si="369"/>
        <v>0.15777777777777779</v>
      </c>
      <c r="P1024">
        <f t="shared" si="382"/>
        <v>0.08</v>
      </c>
      <c r="Q1024">
        <f t="shared" si="378"/>
        <v>0.08</v>
      </c>
      <c r="R1024">
        <f t="shared" si="371"/>
        <v>0.08</v>
      </c>
      <c r="S1024">
        <f t="shared" si="372"/>
        <v>0.06</v>
      </c>
      <c r="T1024">
        <f t="shared" si="373"/>
        <v>0.1</v>
      </c>
      <c r="U1024">
        <f t="shared" si="379"/>
        <v>0.08</v>
      </c>
      <c r="V1024">
        <f t="shared" si="384"/>
        <v>0.18800000905834022</v>
      </c>
      <c r="W1024">
        <f t="shared" si="380"/>
        <v>0.16968946552871858</v>
      </c>
      <c r="X1024">
        <f t="shared" si="381"/>
        <v>0.21020590738006067</v>
      </c>
      <c r="Y1024" t="b">
        <f t="shared" si="383"/>
        <v>0</v>
      </c>
    </row>
    <row xmlns:x14ac="http://schemas.microsoft.com/office/spreadsheetml/2009/9/ac" r="1025" x14ac:dyDescent="0.45">
      <c r="A1025">
        <v>5.0899999999999199</v>
      </c>
      <c r="B1025">
        <f t="shared" si="361"/>
        <v>0.16300000000131487</v>
      </c>
      <c r="C1025" t="b">
        <f t="shared" si="374"/>
        <v>1</v>
      </c>
      <c r="D1025" t="b">
        <f t="shared" si="362"/>
        <v>1</v>
      </c>
      <c r="E1025">
        <f t="shared" si="370"/>
        <v>5.0899999999999199</v>
      </c>
      <c r="F1025">
        <f t="shared" si="375"/>
        <v>0.16300000000131487</v>
      </c>
      <c r="G1025">
        <f t="shared" si="363"/>
        <v>0.21020082350873293</v>
      </c>
      <c r="H1025">
        <f t="shared" si="364"/>
        <v>3.5000000000505724E-2</v>
      </c>
      <c r="I1025" t="b">
        <f t="shared" si="376"/>
        <v>1</v>
      </c>
      <c r="J1025">
        <f t="shared" si="365"/>
        <v>5.0899999999999199</v>
      </c>
      <c r="K1025">
        <f t="shared" si="377"/>
        <v>3.5000000000505724E-2</v>
      </c>
      <c r="L1025">
        <f t="shared" si="366"/>
        <v>0.16969713265213276</v>
      </c>
      <c r="M1025">
        <f t="shared" si="367"/>
        <v>0.19000000000101144</v>
      </c>
      <c r="N1025">
        <f t="shared" si="368"/>
        <v>0.18800000870282105</v>
      </c>
      <c r="O1025">
        <f t="shared" si="369"/>
        <v>0.15777777777777779</v>
      </c>
      <c r="P1025">
        <f t="shared" si="382"/>
        <v>0.08</v>
      </c>
      <c r="Q1025">
        <f t="shared" si="378"/>
        <v>0.08</v>
      </c>
      <c r="R1025">
        <f t="shared" si="371"/>
        <v>0.08</v>
      </c>
      <c r="S1025">
        <f t="shared" si="372"/>
        <v>0.06</v>
      </c>
      <c r="T1025">
        <f t="shared" si="373"/>
        <v>0.1</v>
      </c>
      <c r="U1025">
        <f t="shared" si="379"/>
        <v>0.08</v>
      </c>
      <c r="V1025">
        <f t="shared" si="384"/>
        <v>0.18800000870282105</v>
      </c>
      <c r="W1025">
        <f t="shared" si="380"/>
        <v>0.16969101432585548</v>
      </c>
      <c r="X1025">
        <f t="shared" si="381"/>
        <v>0.21020488041271823</v>
      </c>
      <c r="Y1025" t="b">
        <f t="shared" si="383"/>
        <v>0</v>
      </c>
    </row>
    <row xmlns:x14ac="http://schemas.microsoft.com/office/spreadsheetml/2009/9/ac" r="1026" x14ac:dyDescent="0.45">
      <c r="A1026">
        <v>5.0949999999999198</v>
      </c>
      <c r="B1026">
        <f t="shared" si="361"/>
        <v>0.16300000000125756</v>
      </c>
      <c r="C1026" t="b">
        <f t="shared" si="374"/>
        <v>1</v>
      </c>
      <c r="D1026" t="b">
        <f t="shared" si="362"/>
        <v>1</v>
      </c>
      <c r="E1026">
        <f t="shared" si="370"/>
        <v>5.0949999999999198</v>
      </c>
      <c r="F1026">
        <f t="shared" si="375"/>
        <v>0.16300000000125756</v>
      </c>
      <c r="G1026">
        <f t="shared" si="363"/>
        <v>0.21019982189730452</v>
      </c>
      <c r="H1026">
        <f t="shared" si="364"/>
        <v>3.5000000000483672E-2</v>
      </c>
      <c r="I1026" t="b">
        <f t="shared" si="376"/>
        <v>1</v>
      </c>
      <c r="J1026">
        <f t="shared" si="365"/>
        <v>5.0949999999999198</v>
      </c>
      <c r="K1026">
        <f t="shared" si="377"/>
        <v>3.5000000000483672E-2</v>
      </c>
      <c r="L1026">
        <f t="shared" si="366"/>
        <v>0.16969864320933209</v>
      </c>
      <c r="M1026">
        <f t="shared" si="367"/>
        <v>0.19000000000096734</v>
      </c>
      <c r="N1026">
        <f t="shared" si="368"/>
        <v>0.1880000083196513</v>
      </c>
      <c r="O1026">
        <f t="shared" si="369"/>
        <v>0.15777777777777779</v>
      </c>
      <c r="P1026">
        <f t="shared" si="382"/>
        <v>0.08</v>
      </c>
      <c r="Q1026">
        <f t="shared" si="378"/>
        <v>0.08</v>
      </c>
      <c r="R1026">
        <f t="shared" si="371"/>
        <v>0.08</v>
      </c>
      <c r="S1026">
        <f t="shared" si="372"/>
        <v>0.06</v>
      </c>
      <c r="T1026">
        <f t="shared" si="373"/>
        <v>0.1</v>
      </c>
      <c r="U1026">
        <f t="shared" si="379"/>
        <v>0.08</v>
      </c>
      <c r="V1026">
        <f t="shared" si="384"/>
        <v>0.1880000083196513</v>
      </c>
      <c r="W1026">
        <f t="shared" si="380"/>
        <v>0.16969255539833444</v>
      </c>
      <c r="X1026">
        <f t="shared" si="381"/>
        <v>0.21020385856739676</v>
      </c>
      <c r="Y1026" t="b">
        <f t="shared" si="383"/>
        <v>0</v>
      </c>
    </row>
    <row xmlns:x14ac="http://schemas.microsoft.com/office/spreadsheetml/2009/9/ac" r="1027" x14ac:dyDescent="0.45">
      <c r="A1027">
        <v>5.0999999999999197</v>
      </c>
      <c r="B1027">
        <f t="shared" si="361"/>
        <v>0.16300000000119705</v>
      </c>
      <c r="C1027" t="b">
        <f t="shared" si="374"/>
        <v>1</v>
      </c>
      <c r="D1027" t="b">
        <f t="shared" si="362"/>
        <v>1</v>
      </c>
      <c r="E1027">
        <f t="shared" si="370"/>
        <v>5.0999999999999197</v>
      </c>
      <c r="F1027">
        <f t="shared" si="375"/>
        <v>0.16300000000119705</v>
      </c>
      <c r="G1027">
        <f t="shared" si="363"/>
        <v>0.21019882528143397</v>
      </c>
      <c r="H1027">
        <f t="shared" si="364"/>
        <v>3.5000000000460399E-2</v>
      </c>
      <c r="I1027" t="b">
        <f t="shared" si="376"/>
        <v>1</v>
      </c>
      <c r="J1027">
        <f t="shared" si="365"/>
        <v>5.0999999999999197</v>
      </c>
      <c r="K1027">
        <f t="shared" si="377"/>
        <v>3.5000000000460399E-2</v>
      </c>
      <c r="L1027">
        <f t="shared" si="366"/>
        <v>0.16970014623259599</v>
      </c>
      <c r="M1027">
        <f t="shared" si="367"/>
        <v>0.19000000000092082</v>
      </c>
      <c r="N1027">
        <f t="shared" si="368"/>
        <v>0.18800000791141216</v>
      </c>
      <c r="O1027">
        <f t="shared" si="369"/>
        <v>0.15777777777777779</v>
      </c>
      <c r="P1027">
        <f t="shared" si="382"/>
        <v>0.08</v>
      </c>
      <c r="Q1027">
        <f t="shared" si="378"/>
        <v>0.08</v>
      </c>
      <c r="R1027">
        <f t="shared" si="371"/>
        <v>0.08</v>
      </c>
      <c r="S1027">
        <f t="shared" si="372"/>
        <v>0.06</v>
      </c>
      <c r="T1027">
        <f t="shared" si="373"/>
        <v>0.1</v>
      </c>
      <c r="U1027">
        <f t="shared" si="379"/>
        <v>0.08</v>
      </c>
      <c r="V1027">
        <f t="shared" si="384"/>
        <v>0.18800000791141216</v>
      </c>
      <c r="W1027">
        <f t="shared" si="380"/>
        <v>0.16969408878468234</v>
      </c>
      <c r="X1027">
        <f t="shared" si="381"/>
        <v>0.21020284181855015</v>
      </c>
      <c r="Y1027" t="b">
        <f t="shared" si="383"/>
        <v>0</v>
      </c>
    </row>
    <row xmlns:x14ac="http://schemas.microsoft.com/office/spreadsheetml/2009/9/ac" r="1028" x14ac:dyDescent="0.45">
      <c r="A1028">
        <v>5.1049999999999196</v>
      </c>
      <c r="B1028">
        <f t="shared" si="361"/>
        <v>0.16300000000113371</v>
      </c>
      <c r="C1028" t="b">
        <f t="shared" si="374"/>
        <v>1</v>
      </c>
      <c r="D1028" t="b">
        <f t="shared" si="362"/>
        <v>1</v>
      </c>
      <c r="E1028">
        <f t="shared" si="370"/>
        <v>5.1049999999999196</v>
      </c>
      <c r="F1028">
        <f t="shared" si="375"/>
        <v>0.16300000000113371</v>
      </c>
      <c r="G1028">
        <f t="shared" si="363"/>
        <v>0.21019783363620581</v>
      </c>
      <c r="H1028">
        <f t="shared" si="364"/>
        <v>3.5000000000436043E-2</v>
      </c>
      <c r="I1028" t="b">
        <f t="shared" si="376"/>
        <v>1</v>
      </c>
      <c r="J1028">
        <f t="shared" si="365"/>
        <v>5.1049999999999196</v>
      </c>
      <c r="K1028">
        <f t="shared" si="377"/>
        <v>3.5000000000436043E-2</v>
      </c>
      <c r="L1028">
        <f t="shared" si="366"/>
        <v>0.16970164175950006</v>
      </c>
      <c r="M1028">
        <f t="shared" si="367"/>
        <v>0.19000000000087208</v>
      </c>
      <c r="N1028">
        <f t="shared" si="368"/>
        <v>0.18800000748071544</v>
      </c>
      <c r="O1028">
        <f t="shared" si="369"/>
        <v>0.15777777777777779</v>
      </c>
      <c r="P1028">
        <f t="shared" si="382"/>
        <v>0.08</v>
      </c>
      <c r="Q1028">
        <f t="shared" si="378"/>
        <v>0.08</v>
      </c>
      <c r="R1028">
        <f t="shared" si="371"/>
        <v>0.08</v>
      </c>
      <c r="S1028">
        <f t="shared" si="372"/>
        <v>0.06</v>
      </c>
      <c r="T1028">
        <f t="shared" si="373"/>
        <v>0.1</v>
      </c>
      <c r="U1028">
        <f t="shared" si="379"/>
        <v>0.08</v>
      </c>
      <c r="V1028">
        <f t="shared" si="384"/>
        <v>0.18800000748071544</v>
      </c>
      <c r="W1028">
        <f t="shared" si="380"/>
        <v>0.16969561452323395</v>
      </c>
      <c r="X1028">
        <f t="shared" si="381"/>
        <v>0.21020183014075955</v>
      </c>
      <c r="Y1028" t="b">
        <f t="shared" si="383"/>
        <v>0</v>
      </c>
    </row>
    <row xmlns:x14ac="http://schemas.microsoft.com/office/spreadsheetml/2009/9/ac" r="1029" x14ac:dyDescent="0.45">
      <c r="A1029">
        <v>5.1099999999999204</v>
      </c>
      <c r="B1029">
        <f t="shared" si="361"/>
        <v>0.1630000000010681</v>
      </c>
      <c r="C1029" t="b">
        <f t="shared" si="374"/>
        <v>1</v>
      </c>
      <c r="D1029" t="b">
        <f t="shared" si="362"/>
        <v>1</v>
      </c>
      <c r="E1029">
        <f t="shared" si="370"/>
        <v>5.1099999999999204</v>
      </c>
      <c r="F1029">
        <f t="shared" si="375"/>
        <v>0.1630000000010681</v>
      </c>
      <c r="G1029">
        <f t="shared" si="363"/>
        <v>0.21019684693682883</v>
      </c>
      <c r="H1029">
        <f t="shared" si="364"/>
        <v>3.50000000004108E-2</v>
      </c>
      <c r="I1029" t="b">
        <f t="shared" si="376"/>
        <v>1</v>
      </c>
      <c r="J1029">
        <f t="shared" si="365"/>
        <v>5.1099999999999204</v>
      </c>
      <c r="K1029">
        <f t="shared" si="377"/>
        <v>3.50000000004108E-2</v>
      </c>
      <c r="L1029">
        <f t="shared" si="366"/>
        <v>0.16970312982743258</v>
      </c>
      <c r="M1029">
        <f t="shared" si="367"/>
        <v>0.19000000000082162</v>
      </c>
      <c r="N1029">
        <f t="shared" si="368"/>
        <v>0.1880000070301909</v>
      </c>
      <c r="O1029">
        <f t="shared" si="369"/>
        <v>0.15777777777777779</v>
      </c>
      <c r="P1029">
        <f t="shared" si="382"/>
        <v>0.08</v>
      </c>
      <c r="Q1029">
        <f t="shared" si="378"/>
        <v>0.08</v>
      </c>
      <c r="R1029">
        <f t="shared" si="371"/>
        <v>0.08</v>
      </c>
      <c r="S1029">
        <f t="shared" si="372"/>
        <v>0.06</v>
      </c>
      <c r="T1029">
        <f t="shared" si="373"/>
        <v>0.1</v>
      </c>
      <c r="U1029">
        <f t="shared" si="379"/>
        <v>0.08</v>
      </c>
      <c r="V1029">
        <f t="shared" si="384"/>
        <v>0.1880000070301909</v>
      </c>
      <c r="W1029">
        <f t="shared" si="380"/>
        <v>0.16969713265213276</v>
      </c>
      <c r="X1029">
        <f t="shared" si="381"/>
        <v>0.21020082350873293</v>
      </c>
      <c r="Y1029" t="b">
        <f t="shared" si="383"/>
        <v>0</v>
      </c>
    </row>
    <row xmlns:x14ac="http://schemas.microsoft.com/office/spreadsheetml/2009/9/ac" r="1030" x14ac:dyDescent="0.45">
      <c r="A1030">
        <v>5.1149999999999203</v>
      </c>
      <c r="B1030">
        <f t="shared" si="361"/>
        <v>0.16300000000100054</v>
      </c>
      <c r="C1030" t="b">
        <f t="shared" si="374"/>
        <v>1</v>
      </c>
      <c r="D1030" t="b">
        <f t="shared" si="362"/>
        <v>1</v>
      </c>
      <c r="E1030">
        <f t="shared" si="370"/>
        <v>5.1149999999999203</v>
      </c>
      <c r="F1030">
        <f t="shared" si="375"/>
        <v>0.16300000000100054</v>
      </c>
      <c r="G1030">
        <f t="shared" si="363"/>
        <v>0.21019586515863553</v>
      </c>
      <c r="H1030">
        <f t="shared" si="364"/>
        <v>3.5000000000384821E-2</v>
      </c>
      <c r="I1030" t="b">
        <f t="shared" si="376"/>
        <v>1</v>
      </c>
      <c r="J1030">
        <f t="shared" si="365"/>
        <v>5.1149999999999203</v>
      </c>
      <c r="K1030">
        <f t="shared" si="377"/>
        <v>3.5000000000384821E-2</v>
      </c>
      <c r="L1030">
        <f t="shared" si="366"/>
        <v>0.16970461047359536</v>
      </c>
      <c r="M1030">
        <f t="shared" si="367"/>
        <v>0.19000000000076966</v>
      </c>
      <c r="N1030">
        <f t="shared" si="368"/>
        <v>0.18800000656247401</v>
      </c>
      <c r="O1030">
        <f t="shared" si="369"/>
        <v>0.15777777777777779</v>
      </c>
      <c r="P1030">
        <f t="shared" si="382"/>
        <v>0.08</v>
      </c>
      <c r="Q1030">
        <f t="shared" si="378"/>
        <v>0.08</v>
      </c>
      <c r="R1030">
        <f t="shared" si="371"/>
        <v>0.08</v>
      </c>
      <c r="S1030">
        <f t="shared" si="372"/>
        <v>0.06</v>
      </c>
      <c r="T1030">
        <f t="shared" si="373"/>
        <v>0.1</v>
      </c>
      <c r="U1030">
        <f t="shared" si="379"/>
        <v>0.08</v>
      </c>
      <c r="V1030">
        <f t="shared" si="384"/>
        <v>0.18800000656247401</v>
      </c>
      <c r="W1030">
        <f t="shared" si="380"/>
        <v>0.16969864320933209</v>
      </c>
      <c r="X1030">
        <f t="shared" si="381"/>
        <v>0.21019982189730452</v>
      </c>
      <c r="Y1030" t="b">
        <f t="shared" si="383"/>
        <v>0</v>
      </c>
    </row>
    <row xmlns:x14ac="http://schemas.microsoft.com/office/spreadsheetml/2009/9/ac" r="1031" x14ac:dyDescent="0.45">
      <c r="A1031">
        <v>5.1199999999999202</v>
      </c>
      <c r="B1031">
        <f t="shared" ref="B1031:B1094" si="385">-(1+Marge_haute)*(A+B/Tpll*EXP(-$A1031/Tpll)+C_*EXP(-epsilon*Wn*$A1031)*COS(Wd*$A1031)+C_*(D/C_-epsilon*Wn)/Wd*EXP(-epsilon*Wn*$A1031)*SIN(Wd*$A1031))+SIGN(DeltaPexpected)*Tunnel</f>
        <v>0.16300000000093148</v>
      </c>
      <c r="C1031" t="b">
        <f t="shared" si="374"/>
        <v>1</v>
      </c>
      <c r="D1031" t="b">
        <f t="shared" ref="D1031:D1094" si="386">IF(D1030,D1030,IF(C1031,B1031&gt;B1030,C1031))</f>
        <v>1</v>
      </c>
      <c r="E1031">
        <f t="shared" si="370"/>
        <v>5.1199999999999202</v>
      </c>
      <c r="F1031">
        <f t="shared" si="375"/>
        <v>0.16300000000093148</v>
      </c>
      <c r="G1031">
        <f t="shared" ref="G1031:G1094" si="387">P0-SIGN(Rocof)*IF(D1031,DeltaPexpected+SIGN(DeltaPexpected)*Tunnel+(MIN(F$7:F$1495)-DeltaPexpected-+SIGN(DeltaPexpected)*Tunnel)*EXP(-(A1031-MIN(E$7:E$1495))/Texpodecrease),B1031)</f>
        <v>0.21019488827708144</v>
      </c>
      <c r="H1031">
        <f t="shared" ref="H1031:H1094" si="388">-(1-marge_basse)*(A+B/Tpll*EXP(-$A1031/Tpll)+C_*EXP(-epsilon*Wn*$A1031)*COS(Wd*$A1031)+C_*(D/C_-epsilon*Wn)/Wd*EXP(-epsilon*Wn*$A1031)*SIN(Wd*$A1031))-Tunnel</f>
        <v>3.5000000000358272E-2</v>
      </c>
      <c r="I1031" t="b">
        <f t="shared" si="376"/>
        <v>1</v>
      </c>
      <c r="J1031">
        <f t="shared" ref="J1031:J1094" si="389">IF(I1031,A1031,I1031)</f>
        <v>5.1199999999999202</v>
      </c>
      <c r="K1031">
        <f t="shared" si="377"/>
        <v>3.5000000000358272E-2</v>
      </c>
      <c r="L1031">
        <f t="shared" ref="L1031:L1094" si="390">P0-SIGN(Rocof)*IF(I1031,AF$23-AF$13+(MAX(K$7:K$1495)-AF$23+AF$13)*EXP(-(A1031-MIN(J$7:J$1495))/AB$21),H1031)</f>
        <v>0.16970608373500456</v>
      </c>
      <c r="M1031">
        <f t="shared" ref="M1031:M1094" si="391">P0-(1)*(A+B/Tpll*EXP(-$A1031/Tpll)+C_*EXP(-epsilon*Wn*$A1031)*COS(Wd*$A1031)+C_*(D/C_-epsilon*Wn)/Wd*EXP(-epsilon*Wn*$A1031)*SIN(Wd*$A1031))</f>
        <v>0.19000000000071654</v>
      </c>
      <c r="N1031">
        <f t="shared" ref="N1031:N1094" si="392">AB$6-(AG$17+AG$16/AC$18*EXP(-$A1031/AC$18)+AG$18*EXP(-AG$6*AG$12*$A1031)*COS(AG$5*$A1031)+AG$18*(AG$19/AG$18-AG$6*AG$12)/AG$5*EXP(-AG$6*AG$12*$A1031)*SIN(AG$5*$A1031))</f>
        <v>0.18800000608019402</v>
      </c>
      <c r="O1031">
        <f t="shared" ref="O1031:O1094" si="393">AB$6-(AH$17+AH$16/AD$18*EXP(-$A1031/AD$18)+AH$18*EXP(-AH$6*AH$12*$A1031)*COS(AH$5*$A1031)+AH$18*(AH$19/AH$18-AH$6*AH$12)/AH$5*EXP(-AH$6*AH$12*$A1031)*SIN(AH$5*$A1031))</f>
        <v>0.15777777777777779</v>
      </c>
      <c r="P1031">
        <f t="shared" si="382"/>
        <v>0.08</v>
      </c>
      <c r="Q1031">
        <f t="shared" si="378"/>
        <v>0.08</v>
      </c>
      <c r="R1031">
        <f t="shared" si="371"/>
        <v>0.08</v>
      </c>
      <c r="S1031">
        <f t="shared" si="372"/>
        <v>0.06</v>
      </c>
      <c r="T1031">
        <f t="shared" si="373"/>
        <v>0.1</v>
      </c>
      <c r="U1031">
        <f t="shared" si="379"/>
        <v>0.08</v>
      </c>
      <c r="V1031">
        <f t="shared" si="384"/>
        <v>0.18800000608019402</v>
      </c>
      <c r="W1031">
        <f t="shared" si="380"/>
        <v>0.16970014623259599</v>
      </c>
      <c r="X1031">
        <f t="shared" si="381"/>
        <v>0.21019882528143397</v>
      </c>
      <c r="Y1031" t="b">
        <f t="shared" si="383"/>
        <v>0</v>
      </c>
    </row>
    <row xmlns:x14ac="http://schemas.microsoft.com/office/spreadsheetml/2009/9/ac" r="1032" x14ac:dyDescent="0.45">
      <c r="A1032">
        <v>5.1249999999999201</v>
      </c>
      <c r="B1032">
        <f t="shared" si="385"/>
        <v>0.16300000000086137</v>
      </c>
      <c r="C1032" t="b">
        <f t="shared" si="374"/>
        <v>1</v>
      </c>
      <c r="D1032" t="b">
        <f t="shared" si="386"/>
        <v>1</v>
      </c>
      <c r="E1032">
        <f t="shared" ref="E1032:E1095" si="394">IF(D1032,A1032,D1032)</f>
        <v>5.1249999999999201</v>
      </c>
      <c r="F1032">
        <f t="shared" si="375"/>
        <v>0.16300000000086137</v>
      </c>
      <c r="G1032">
        <f t="shared" si="387"/>
        <v>0.21019391626774436</v>
      </c>
      <c r="H1032">
        <f t="shared" si="388"/>
        <v>3.5000000000331294E-2</v>
      </c>
      <c r="I1032" t="b">
        <f t="shared" si="376"/>
        <v>1</v>
      </c>
      <c r="J1032">
        <f t="shared" si="389"/>
        <v>5.1249999999999201</v>
      </c>
      <c r="K1032">
        <f t="shared" si="377"/>
        <v>3.5000000000331294E-2</v>
      </c>
      <c r="L1032">
        <f t="shared" si="390"/>
        <v>0.16970754964849183</v>
      </c>
      <c r="M1032">
        <f t="shared" si="391"/>
        <v>0.19000000000066258</v>
      </c>
      <c r="N1032">
        <f t="shared" si="392"/>
        <v>0.18800000558596225</v>
      </c>
      <c r="O1032">
        <f t="shared" si="393"/>
        <v>0.15777777777777779</v>
      </c>
      <c r="P1032">
        <f t="shared" si="382"/>
        <v>0.08</v>
      </c>
      <c r="Q1032">
        <f t="shared" si="378"/>
        <v>0.08</v>
      </c>
      <c r="R1032">
        <f t="shared" ref="R1032:R1095" si="395">$AB$6-(1+AB$17)*EXP(-AF$6*AF$12*A1032)*(COS(AF$5*A1032)-(AF$6*AF$12-1)/(AF$5)*SIN(AF$5*A1032))*AF$15</f>
        <v>0.08</v>
      </c>
      <c r="S1032">
        <f t="shared" ref="S1032:S1095" si="396">R1032-AF$13</f>
        <v>0.06</v>
      </c>
      <c r="T1032">
        <f t="shared" ref="T1032:T1095" si="397">R1032+AF$13</f>
        <v>0.1</v>
      </c>
      <c r="U1032">
        <f t="shared" si="379"/>
        <v>0.08</v>
      </c>
      <c r="V1032">
        <f t="shared" si="384"/>
        <v>0.18800000558596225</v>
      </c>
      <c r="W1032">
        <f t="shared" si="380"/>
        <v>0.16970164175950006</v>
      </c>
      <c r="X1032">
        <f t="shared" si="381"/>
        <v>0.21019783363620581</v>
      </c>
      <c r="Y1032" t="b">
        <f t="shared" si="383"/>
        <v>0</v>
      </c>
    </row>
    <row xmlns:x14ac="http://schemas.microsoft.com/office/spreadsheetml/2009/9/ac" r="1033" x14ac:dyDescent="0.45">
      <c r="A1033">
        <v>5.12999999999992</v>
      </c>
      <c r="B1033">
        <f t="shared" si="385"/>
        <v>0.16300000000079051</v>
      </c>
      <c r="C1033" t="b">
        <f t="shared" ref="C1033:C1096" si="398">IF(C1032,C1032,(B1033&lt;B1032))</f>
        <v>1</v>
      </c>
      <c r="D1033" t="b">
        <f t="shared" si="386"/>
        <v>1</v>
      </c>
      <c r="E1033">
        <f t="shared" si="394"/>
        <v>5.12999999999992</v>
      </c>
      <c r="F1033">
        <f t="shared" ref="F1033:F1096" si="399">IF(D1033,B1033,D1033)</f>
        <v>0.16300000000079051</v>
      </c>
      <c r="G1033">
        <f t="shared" si="387"/>
        <v>0.21019294910632413</v>
      </c>
      <c r="H1033">
        <f t="shared" si="388"/>
        <v>3.5000000000304052E-2</v>
      </c>
      <c r="I1033" t="b">
        <f t="shared" ref="I1033:I1096" si="400">IF(I1032,I1032,H1032&gt;H1033)</f>
        <v>1</v>
      </c>
      <c r="J1033">
        <f t="shared" si="389"/>
        <v>5.12999999999992</v>
      </c>
      <c r="K1033">
        <f t="shared" ref="K1033:K1096" si="401">IF(I1033,H1033,I1033)</f>
        <v>3.5000000000304052E-2</v>
      </c>
      <c r="L1033">
        <f t="shared" si="390"/>
        <v>0.16970900825070506</v>
      </c>
      <c r="M1033">
        <f t="shared" si="391"/>
        <v>0.1900000000006081</v>
      </c>
      <c r="N1033">
        <f t="shared" si="392"/>
        <v>0.18800000508236131</v>
      </c>
      <c r="O1033">
        <f t="shared" si="393"/>
        <v>0.15777777777777779</v>
      </c>
      <c r="P1033">
        <f t="shared" si="382"/>
        <v>0.08</v>
      </c>
      <c r="Q1033">
        <f t="shared" ref="Q1033:Q1096" si="402">$AB$6-(1+AB$17)*EXP(-AF$6*AF$12*A1031)*(COS(AF$5*A1031)-(AF$6*AF$12-1)/(AF$5)*SIN(AF$5*A1031))*AF$15</f>
        <v>0.08</v>
      </c>
      <c r="R1033">
        <f t="shared" si="395"/>
        <v>0.08</v>
      </c>
      <c r="S1033">
        <f t="shared" si="396"/>
        <v>0.06</v>
      </c>
      <c r="T1033">
        <f t="shared" si="397"/>
        <v>0.1</v>
      </c>
      <c r="U1033">
        <f t="shared" ref="U1033:U1096" si="403">$AB$6-AB$18*EXP(-AF$6*AF$12*A1031)*(COS(AF$5*A1031)-(AF$6*AF$12-1)/(AF$5)*SIN(AF$5*A1031))*AF$15</f>
        <v>0.08</v>
      </c>
      <c r="V1033">
        <f t="shared" si="384"/>
        <v>0.18800000508236131</v>
      </c>
      <c r="W1033">
        <f t="shared" si="380"/>
        <v>0.16970312982743258</v>
      </c>
      <c r="X1033">
        <f t="shared" si="381"/>
        <v>0.21019684693682883</v>
      </c>
      <c r="Y1033" t="b">
        <f t="shared" si="383"/>
        <v>0</v>
      </c>
    </row>
    <row xmlns:x14ac="http://schemas.microsoft.com/office/spreadsheetml/2009/9/ac" r="1034" x14ac:dyDescent="0.45">
      <c r="A1034">
        <v>5.1349999999999199</v>
      </c>
      <c r="B1034">
        <f t="shared" si="385"/>
        <v>0.16300000000071938</v>
      </c>
      <c r="C1034" t="b">
        <f t="shared" si="398"/>
        <v>1</v>
      </c>
      <c r="D1034" t="b">
        <f t="shared" si="386"/>
        <v>1</v>
      </c>
      <c r="E1034">
        <f t="shared" si="394"/>
        <v>5.1349999999999199</v>
      </c>
      <c r="F1034">
        <f t="shared" si="399"/>
        <v>0.16300000000071938</v>
      </c>
      <c r="G1034">
        <f t="shared" si="387"/>
        <v>0.21019198676864159</v>
      </c>
      <c r="H1034">
        <f t="shared" si="388"/>
        <v>3.5000000000276685E-2</v>
      </c>
      <c r="I1034" t="b">
        <f t="shared" si="400"/>
        <v>1</v>
      </c>
      <c r="J1034">
        <f t="shared" si="389"/>
        <v>5.1349999999999199</v>
      </c>
      <c r="K1034">
        <f t="shared" si="401"/>
        <v>3.5000000000276685E-2</v>
      </c>
      <c r="L1034">
        <f t="shared" si="390"/>
        <v>0.16971045957810943</v>
      </c>
      <c r="M1034">
        <f t="shared" si="391"/>
        <v>0.19000000000055339</v>
      </c>
      <c r="N1034">
        <f t="shared" si="392"/>
        <v>0.18800000457193417</v>
      </c>
      <c r="O1034">
        <f t="shared" si="393"/>
        <v>0.15777777777777779</v>
      </c>
      <c r="P1034">
        <f t="shared" si="382"/>
        <v>0.08</v>
      </c>
      <c r="Q1034">
        <f t="shared" si="402"/>
        <v>0.08</v>
      </c>
      <c r="R1034">
        <f t="shared" si="395"/>
        <v>0.08</v>
      </c>
      <c r="S1034">
        <f t="shared" si="396"/>
        <v>0.06</v>
      </c>
      <c r="T1034">
        <f t="shared" si="397"/>
        <v>0.1</v>
      </c>
      <c r="U1034">
        <f t="shared" si="403"/>
        <v>0.08</v>
      </c>
      <c r="V1034">
        <f t="shared" si="384"/>
        <v>0.18800000457193417</v>
      </c>
      <c r="W1034">
        <f t="shared" si="380"/>
        <v>0.16970461047359536</v>
      </c>
      <c r="X1034">
        <f t="shared" si="381"/>
        <v>0.21019586515863553</v>
      </c>
      <c r="Y1034" t="b">
        <f t="shared" si="383"/>
        <v>0</v>
      </c>
    </row>
    <row xmlns:x14ac="http://schemas.microsoft.com/office/spreadsheetml/2009/9/ac" r="1035" x14ac:dyDescent="0.45">
      <c r="A1035">
        <v>5.1399999999999197</v>
      </c>
      <c r="B1035">
        <f t="shared" si="385"/>
        <v>0.16300000000064824</v>
      </c>
      <c r="C1035" t="b">
        <f t="shared" si="398"/>
        <v>1</v>
      </c>
      <c r="D1035" t="b">
        <f t="shared" si="386"/>
        <v>1</v>
      </c>
      <c r="E1035">
        <f t="shared" si="394"/>
        <v>5.1399999999999197</v>
      </c>
      <c r="F1035">
        <f t="shared" si="399"/>
        <v>0.16300000000064824</v>
      </c>
      <c r="G1035">
        <f t="shared" si="387"/>
        <v>0.21019102923063826</v>
      </c>
      <c r="H1035">
        <f t="shared" si="388"/>
        <v>3.5000000000249332E-2</v>
      </c>
      <c r="I1035" t="b">
        <f t="shared" si="400"/>
        <v>1</v>
      </c>
      <c r="J1035">
        <f t="shared" si="389"/>
        <v>5.1399999999999197</v>
      </c>
      <c r="K1035">
        <f t="shared" si="401"/>
        <v>3.5000000000249332E-2</v>
      </c>
      <c r="L1035">
        <f t="shared" si="390"/>
        <v>0.16971190366698818</v>
      </c>
      <c r="M1035">
        <f t="shared" si="391"/>
        <v>0.19000000000049866</v>
      </c>
      <c r="N1035">
        <f t="shared" si="392"/>
        <v>0.18800000405717424</v>
      </c>
      <c r="O1035">
        <f t="shared" si="393"/>
        <v>0.15777777777777779</v>
      </c>
      <c r="P1035">
        <f t="shared" si="382"/>
        <v>0.08</v>
      </c>
      <c r="Q1035">
        <f t="shared" si="402"/>
        <v>0.08</v>
      </c>
      <c r="R1035">
        <f t="shared" si="395"/>
        <v>0.08</v>
      </c>
      <c r="S1035">
        <f t="shared" si="396"/>
        <v>0.06</v>
      </c>
      <c r="T1035">
        <f t="shared" si="397"/>
        <v>0.1</v>
      </c>
      <c r="U1035">
        <f t="shared" si="403"/>
        <v>0.08</v>
      </c>
      <c r="V1035">
        <f t="shared" si="384"/>
        <v>0.18800000405717424</v>
      </c>
      <c r="W1035">
        <f t="shared" ref="W1035:W1098" si="404">IF(EMT_Simulation,L1031,L1035)</f>
        <v>0.16970608373500456</v>
      </c>
      <c r="X1035">
        <f t="shared" ref="X1035:X1098" si="405">IF(EMT_Simulation,G1031,G1035)</f>
        <v>0.21019488827708144</v>
      </c>
      <c r="Y1035" t="b">
        <f t="shared" si="383"/>
        <v>0</v>
      </c>
    </row>
    <row xmlns:x14ac="http://schemas.microsoft.com/office/spreadsheetml/2009/9/ac" r="1036" x14ac:dyDescent="0.45">
      <c r="A1036">
        <v>5.1449999999999196</v>
      </c>
      <c r="B1036">
        <f t="shared" si="385"/>
        <v>0.16300000000057749</v>
      </c>
      <c r="C1036" t="b">
        <f t="shared" si="398"/>
        <v>1</v>
      </c>
      <c r="D1036" t="b">
        <f t="shared" si="386"/>
        <v>1</v>
      </c>
      <c r="E1036">
        <f t="shared" si="394"/>
        <v>5.1449999999999196</v>
      </c>
      <c r="F1036">
        <f t="shared" si="399"/>
        <v>0.16300000000057749</v>
      </c>
      <c r="G1036">
        <f t="shared" si="387"/>
        <v>0.21019007646837562</v>
      </c>
      <c r="H1036">
        <f t="shared" si="388"/>
        <v>3.5000000000222117E-2</v>
      </c>
      <c r="I1036" t="b">
        <f t="shared" si="400"/>
        <v>1</v>
      </c>
      <c r="J1036">
        <f t="shared" si="389"/>
        <v>5.1449999999999196</v>
      </c>
      <c r="K1036">
        <f t="shared" si="401"/>
        <v>3.5000000000222117E-2</v>
      </c>
      <c r="L1036">
        <f t="shared" si="390"/>
        <v>0.16971334055344359</v>
      </c>
      <c r="M1036">
        <f t="shared" si="391"/>
        <v>0.19000000000044423</v>
      </c>
      <c r="N1036">
        <f t="shared" si="392"/>
        <v>0.18800000354051571</v>
      </c>
      <c r="O1036">
        <f t="shared" si="393"/>
        <v>0.15777777777777779</v>
      </c>
      <c r="P1036">
        <f t="shared" si="382"/>
        <v>0.08</v>
      </c>
      <c r="Q1036">
        <f t="shared" si="402"/>
        <v>0.08</v>
      </c>
      <c r="R1036">
        <f t="shared" si="395"/>
        <v>0.08</v>
      </c>
      <c r="S1036">
        <f t="shared" si="396"/>
        <v>0.06</v>
      </c>
      <c r="T1036">
        <f t="shared" si="397"/>
        <v>0.1</v>
      </c>
      <c r="U1036">
        <f t="shared" si="403"/>
        <v>0.08</v>
      </c>
      <c r="V1036">
        <f t="shared" si="384"/>
        <v>0.18800000354051571</v>
      </c>
      <c r="W1036">
        <f t="shared" si="404"/>
        <v>0.16970754964849183</v>
      </c>
      <c r="X1036">
        <f t="shared" si="405"/>
        <v>0.21019391626774436</v>
      </c>
      <c r="Y1036" t="b">
        <f t="shared" si="383"/>
        <v>0</v>
      </c>
    </row>
    <row xmlns:x14ac="http://schemas.microsoft.com/office/spreadsheetml/2009/9/ac" r="1037" x14ac:dyDescent="0.45">
      <c r="A1037">
        <v>5.1499999999999204</v>
      </c>
      <c r="B1037">
        <f t="shared" si="385"/>
        <v>0.16300000000050743</v>
      </c>
      <c r="C1037" t="b">
        <f t="shared" si="398"/>
        <v>1</v>
      </c>
      <c r="D1037" t="b">
        <f t="shared" si="386"/>
        <v>1</v>
      </c>
      <c r="E1037">
        <f t="shared" si="394"/>
        <v>5.1499999999999204</v>
      </c>
      <c r="F1037">
        <f t="shared" si="399"/>
        <v>0.16300000000050743</v>
      </c>
      <c r="G1037">
        <f t="shared" si="387"/>
        <v>0.21018912845803461</v>
      </c>
      <c r="H1037">
        <f t="shared" si="388"/>
        <v>3.5000000000195167E-2</v>
      </c>
      <c r="I1037" t="b">
        <f t="shared" si="400"/>
        <v>1</v>
      </c>
      <c r="J1037">
        <f t="shared" si="389"/>
        <v>5.1499999999999204</v>
      </c>
      <c r="K1037">
        <f t="shared" si="401"/>
        <v>3.5000000000195167E-2</v>
      </c>
      <c r="L1037">
        <f t="shared" si="390"/>
        <v>0.1697147702733979</v>
      </c>
      <c r="M1037">
        <f t="shared" si="391"/>
        <v>0.19000000000039033</v>
      </c>
      <c r="N1037">
        <f t="shared" si="392"/>
        <v>0.18800000302432457</v>
      </c>
      <c r="O1037">
        <f t="shared" si="393"/>
        <v>0.15777777777777779</v>
      </c>
      <c r="P1037">
        <f t="shared" si="382"/>
        <v>0.08</v>
      </c>
      <c r="Q1037">
        <f t="shared" si="402"/>
        <v>0.08</v>
      </c>
      <c r="R1037">
        <f t="shared" si="395"/>
        <v>0.08</v>
      </c>
      <c r="S1037">
        <f t="shared" si="396"/>
        <v>0.06</v>
      </c>
      <c r="T1037">
        <f t="shared" si="397"/>
        <v>0.1</v>
      </c>
      <c r="U1037">
        <f t="shared" si="403"/>
        <v>0.08</v>
      </c>
      <c r="V1037">
        <f t="shared" si="384"/>
        <v>0.18800000302432457</v>
      </c>
      <c r="W1037">
        <f t="shared" si="404"/>
        <v>0.16970900825070506</v>
      </c>
      <c r="X1037">
        <f t="shared" si="405"/>
        <v>0.21019294910632413</v>
      </c>
      <c r="Y1037" t="b">
        <f t="shared" si="383"/>
        <v>0</v>
      </c>
    </row>
    <row xmlns:x14ac="http://schemas.microsoft.com/office/spreadsheetml/2009/9/ac" r="1038" x14ac:dyDescent="0.45">
      <c r="A1038">
        <v>5.1549999999999203</v>
      </c>
      <c r="B1038">
        <f t="shared" si="385"/>
        <v>0.16300000000043835</v>
      </c>
      <c r="C1038" t="b">
        <f t="shared" si="398"/>
        <v>1</v>
      </c>
      <c r="D1038" t="b">
        <f t="shared" si="386"/>
        <v>1</v>
      </c>
      <c r="E1038">
        <f t="shared" si="394"/>
        <v>5.1549999999999203</v>
      </c>
      <c r="F1038">
        <f t="shared" si="399"/>
        <v>0.16300000000043835</v>
      </c>
      <c r="G1038">
        <f t="shared" si="387"/>
        <v>0.21018818517591492</v>
      </c>
      <c r="H1038">
        <f t="shared" si="388"/>
        <v>3.5000000000168591E-2</v>
      </c>
      <c r="I1038" t="b">
        <f t="shared" si="400"/>
        <v>1</v>
      </c>
      <c r="J1038">
        <f t="shared" si="389"/>
        <v>5.1549999999999203</v>
      </c>
      <c r="K1038">
        <f t="shared" si="401"/>
        <v>3.5000000000168591E-2</v>
      </c>
      <c r="L1038">
        <f t="shared" si="390"/>
        <v>0.16971619286259421</v>
      </c>
      <c r="M1038">
        <f t="shared" si="391"/>
        <v>0.19000000000033718</v>
      </c>
      <c r="N1038">
        <f t="shared" si="392"/>
        <v>0.1880000025108903</v>
      </c>
      <c r="O1038">
        <f t="shared" si="393"/>
        <v>0.15777777777777779</v>
      </c>
      <c r="P1038">
        <f t="shared" ref="P1038:P1101" si="406">$AB$6-EXP(-AF$6*AF$12*A1038)*(COS(AF$5*A1038)-(AF$6*AF$12-1)/(AF$5)*SIN(AF$5*A1038))*AF$15</f>
        <v>0.08</v>
      </c>
      <c r="Q1038">
        <f t="shared" si="402"/>
        <v>0.08</v>
      </c>
      <c r="R1038">
        <f t="shared" si="395"/>
        <v>0.08</v>
      </c>
      <c r="S1038">
        <f t="shared" si="396"/>
        <v>0.06</v>
      </c>
      <c r="T1038">
        <f t="shared" si="397"/>
        <v>0.1</v>
      </c>
      <c r="U1038">
        <f t="shared" si="403"/>
        <v>0.08</v>
      </c>
      <c r="V1038">
        <f t="shared" si="384"/>
        <v>0.1880000025108903</v>
      </c>
      <c r="W1038">
        <f t="shared" si="404"/>
        <v>0.16971045957810943</v>
      </c>
      <c r="X1038">
        <f t="shared" si="405"/>
        <v>0.21019198676864159</v>
      </c>
      <c r="Y1038" t="b">
        <f t="shared" si="383"/>
        <v>0</v>
      </c>
    </row>
    <row xmlns:x14ac="http://schemas.microsoft.com/office/spreadsheetml/2009/9/ac" r="1039" x14ac:dyDescent="0.45">
      <c r="A1039">
        <v>5.1599999999999202</v>
      </c>
      <c r="B1039">
        <f t="shared" si="385"/>
        <v>0.16300000000037054</v>
      </c>
      <c r="C1039" t="b">
        <f t="shared" si="398"/>
        <v>1</v>
      </c>
      <c r="D1039" t="b">
        <f t="shared" si="386"/>
        <v>1</v>
      </c>
      <c r="E1039">
        <f t="shared" si="394"/>
        <v>5.1599999999999202</v>
      </c>
      <c r="F1039">
        <f t="shared" si="399"/>
        <v>0.16300000000037054</v>
      </c>
      <c r="G1039">
        <f t="shared" si="387"/>
        <v>0.21018724659843441</v>
      </c>
      <c r="H1039">
        <f t="shared" si="388"/>
        <v>3.5000000000142514E-2</v>
      </c>
      <c r="I1039" t="b">
        <f t="shared" si="400"/>
        <v>1</v>
      </c>
      <c r="J1039">
        <f t="shared" si="389"/>
        <v>5.1599999999999202</v>
      </c>
      <c r="K1039">
        <f t="shared" si="401"/>
        <v>3.5000000000142514E-2</v>
      </c>
      <c r="L1039">
        <f t="shared" si="390"/>
        <v>0.16971760835659727</v>
      </c>
      <c r="M1039">
        <f t="shared" si="391"/>
        <v>0.19000000000028505</v>
      </c>
      <c r="N1039">
        <f t="shared" si="392"/>
        <v>0.1880000020024179</v>
      </c>
      <c r="O1039">
        <f t="shared" si="393"/>
        <v>0.15777777777777779</v>
      </c>
      <c r="P1039">
        <f t="shared" si="406"/>
        <v>0.08</v>
      </c>
      <c r="Q1039">
        <f t="shared" si="402"/>
        <v>0.08</v>
      </c>
      <c r="R1039">
        <f t="shared" si="395"/>
        <v>0.08</v>
      </c>
      <c r="S1039">
        <f t="shared" si="396"/>
        <v>0.06</v>
      </c>
      <c r="T1039">
        <f t="shared" si="397"/>
        <v>0.1</v>
      </c>
      <c r="U1039">
        <f t="shared" si="403"/>
        <v>0.08</v>
      </c>
      <c r="V1039">
        <f t="shared" si="384"/>
        <v>0.1880000020024179</v>
      </c>
      <c r="W1039">
        <f t="shared" si="404"/>
        <v>0.16971190366698818</v>
      </c>
      <c r="X1039">
        <f t="shared" si="405"/>
        <v>0.21019102923063826</v>
      </c>
      <c r="Y1039" t="b">
        <f t="shared" ref="Y1039:Y1102" si="407">IF(Y1038,TRUE,IF(P1039&lt;P1038,TRUE))</f>
        <v>0</v>
      </c>
    </row>
    <row xmlns:x14ac="http://schemas.microsoft.com/office/spreadsheetml/2009/9/ac" r="1040" x14ac:dyDescent="0.45">
      <c r="A1040">
        <v>5.1649999999999201</v>
      </c>
      <c r="B1040">
        <f t="shared" si="385"/>
        <v>0.16300000000030426</v>
      </c>
      <c r="C1040" t="b">
        <f t="shared" si="398"/>
        <v>1</v>
      </c>
      <c r="D1040" t="b">
        <f t="shared" si="386"/>
        <v>1</v>
      </c>
      <c r="E1040">
        <f t="shared" si="394"/>
        <v>5.1649999999999201</v>
      </c>
      <c r="F1040">
        <f t="shared" si="399"/>
        <v>0.16300000000030426</v>
      </c>
      <c r="G1040">
        <f t="shared" si="387"/>
        <v>0.21018631270212862</v>
      </c>
      <c r="H1040">
        <f t="shared" si="388"/>
        <v>3.5000000000117021E-2</v>
      </c>
      <c r="I1040" t="b">
        <f t="shared" si="400"/>
        <v>1</v>
      </c>
      <c r="J1040">
        <f t="shared" si="389"/>
        <v>5.1649999999999201</v>
      </c>
      <c r="K1040">
        <f t="shared" si="401"/>
        <v>3.5000000000117021E-2</v>
      </c>
      <c r="L1040">
        <f t="shared" si="390"/>
        <v>0.16971901679079454</v>
      </c>
      <c r="M1040">
        <f t="shared" si="391"/>
        <v>0.19000000000023404</v>
      </c>
      <c r="N1040">
        <f t="shared" si="392"/>
        <v>0.18800000150102075</v>
      </c>
      <c r="O1040">
        <f t="shared" si="393"/>
        <v>0.15777777777777779</v>
      </c>
      <c r="P1040">
        <f t="shared" si="406"/>
        <v>0.08</v>
      </c>
      <c r="Q1040">
        <f t="shared" si="402"/>
        <v>0.08</v>
      </c>
      <c r="R1040">
        <f t="shared" si="395"/>
        <v>0.08</v>
      </c>
      <c r="S1040">
        <f t="shared" si="396"/>
        <v>0.06</v>
      </c>
      <c r="T1040">
        <f t="shared" si="397"/>
        <v>0.1</v>
      </c>
      <c r="U1040">
        <f t="shared" si="403"/>
        <v>0.08</v>
      </c>
      <c r="V1040">
        <f t="shared" si="384"/>
        <v>0.18800000150102075</v>
      </c>
      <c r="W1040">
        <f t="shared" si="404"/>
        <v>0.16971334055344359</v>
      </c>
      <c r="X1040">
        <f t="shared" si="405"/>
        <v>0.21019007646837562</v>
      </c>
      <c r="Y1040" t="b">
        <f t="shared" si="407"/>
        <v>0</v>
      </c>
    </row>
    <row xmlns:x14ac="http://schemas.microsoft.com/office/spreadsheetml/2009/9/ac" r="1041" x14ac:dyDescent="0.45">
      <c r="A1041">
        <v>5.16999999999992</v>
      </c>
      <c r="B1041">
        <f t="shared" si="385"/>
        <v>0.16300000000023973</v>
      </c>
      <c r="C1041" t="b">
        <f t="shared" si="398"/>
        <v>1</v>
      </c>
      <c r="D1041" t="b">
        <f t="shared" si="386"/>
        <v>1</v>
      </c>
      <c r="E1041">
        <f t="shared" si="394"/>
        <v>5.16999999999992</v>
      </c>
      <c r="F1041">
        <f t="shared" si="399"/>
        <v>0.16300000000023973</v>
      </c>
      <c r="G1041">
        <f t="shared" si="387"/>
        <v>0.21018538346365012</v>
      </c>
      <c r="H1041">
        <f t="shared" si="388"/>
        <v>3.5000000000092207E-2</v>
      </c>
      <c r="I1041" t="b">
        <f t="shared" si="400"/>
        <v>1</v>
      </c>
      <c r="J1041">
        <f t="shared" si="389"/>
        <v>5.16999999999992</v>
      </c>
      <c r="K1041">
        <f t="shared" si="401"/>
        <v>3.5000000000092207E-2</v>
      </c>
      <c r="L1041">
        <f t="shared" si="390"/>
        <v>0.16972041820039696</v>
      </c>
      <c r="M1041">
        <f t="shared" si="391"/>
        <v>0.19000000000018441</v>
      </c>
      <c r="N1041">
        <f t="shared" si="392"/>
        <v>0.18800000100871414</v>
      </c>
      <c r="O1041">
        <f t="shared" si="393"/>
        <v>0.15777777777777779</v>
      </c>
      <c r="P1041">
        <f t="shared" si="406"/>
        <v>0.08</v>
      </c>
      <c r="Q1041">
        <f t="shared" si="402"/>
        <v>0.08</v>
      </c>
      <c r="R1041">
        <f t="shared" si="395"/>
        <v>0.08</v>
      </c>
      <c r="S1041">
        <f t="shared" si="396"/>
        <v>0.06</v>
      </c>
      <c r="T1041">
        <f t="shared" si="397"/>
        <v>0.1</v>
      </c>
      <c r="U1041">
        <f t="shared" si="403"/>
        <v>0.08</v>
      </c>
      <c r="V1041">
        <f t="shared" si="384"/>
        <v>0.18800000100871414</v>
      </c>
      <c r="W1041">
        <f t="shared" si="404"/>
        <v>0.1697147702733979</v>
      </c>
      <c r="X1041">
        <f t="shared" si="405"/>
        <v>0.21018912845803461</v>
      </c>
      <c r="Y1041" t="b">
        <f t="shared" si="407"/>
        <v>0</v>
      </c>
    </row>
    <row xmlns:x14ac="http://schemas.microsoft.com/office/spreadsheetml/2009/9/ac" r="1042" x14ac:dyDescent="0.45">
      <c r="A1042">
        <v>5.1749999999999199</v>
      </c>
      <c r="B1042">
        <f t="shared" si="385"/>
        <v>0.16300000000017728</v>
      </c>
      <c r="C1042" t="b">
        <f t="shared" si="398"/>
        <v>1</v>
      </c>
      <c r="D1042" t="b">
        <f t="shared" si="386"/>
        <v>1</v>
      </c>
      <c r="E1042">
        <f t="shared" si="394"/>
        <v>5.1749999999999199</v>
      </c>
      <c r="F1042">
        <f t="shared" si="399"/>
        <v>0.16300000000017728</v>
      </c>
      <c r="G1042">
        <f t="shared" si="387"/>
        <v>0.21018445885976783</v>
      </c>
      <c r="H1042">
        <f t="shared" si="388"/>
        <v>3.5000000000068185E-2</v>
      </c>
      <c r="I1042" t="b">
        <f t="shared" si="400"/>
        <v>1</v>
      </c>
      <c r="J1042">
        <f t="shared" si="389"/>
        <v>5.1749999999999199</v>
      </c>
      <c r="K1042">
        <f t="shared" si="401"/>
        <v>3.5000000000068185E-2</v>
      </c>
      <c r="L1042">
        <f t="shared" si="390"/>
        <v>0.16972181262043984</v>
      </c>
      <c r="M1042">
        <f t="shared" si="391"/>
        <v>0.19000000000013637</v>
      </c>
      <c r="N1042">
        <f t="shared" si="392"/>
        <v>0.18800000052740934</v>
      </c>
      <c r="O1042">
        <f t="shared" si="393"/>
        <v>0.15777777777777779</v>
      </c>
      <c r="P1042">
        <f t="shared" si="406"/>
        <v>0.08</v>
      </c>
      <c r="Q1042">
        <f t="shared" si="402"/>
        <v>0.08</v>
      </c>
      <c r="R1042">
        <f t="shared" si="395"/>
        <v>0.08</v>
      </c>
      <c r="S1042">
        <f t="shared" si="396"/>
        <v>0.06</v>
      </c>
      <c r="T1042">
        <f t="shared" si="397"/>
        <v>0.1</v>
      </c>
      <c r="U1042">
        <f t="shared" si="403"/>
        <v>0.08</v>
      </c>
      <c r="V1042">
        <f t="shared" si="384"/>
        <v>0.18800000052740934</v>
      </c>
      <c r="W1042">
        <f t="shared" si="404"/>
        <v>0.16971619286259421</v>
      </c>
      <c r="X1042">
        <f t="shared" si="405"/>
        <v>0.21018818517591492</v>
      </c>
      <c r="Y1042" t="b">
        <f t="shared" si="407"/>
        <v>0</v>
      </c>
    </row>
    <row xmlns:x14ac="http://schemas.microsoft.com/office/spreadsheetml/2009/9/ac" r="1043" x14ac:dyDescent="0.45">
      <c r="A1043">
        <v>5.1799999999999198</v>
      </c>
      <c r="B1043">
        <f t="shared" si="385"/>
        <v>0.16300000000011697</v>
      </c>
      <c r="C1043" t="b">
        <f t="shared" si="398"/>
        <v>1</v>
      </c>
      <c r="D1043" t="b">
        <f t="shared" si="386"/>
        <v>1</v>
      </c>
      <c r="E1043">
        <f t="shared" si="394"/>
        <v>5.1799999999999198</v>
      </c>
      <c r="F1043">
        <f t="shared" si="399"/>
        <v>0.16300000000011697</v>
      </c>
      <c r="G1043">
        <f t="shared" si="387"/>
        <v>0.21018353886736663</v>
      </c>
      <c r="H1043">
        <f t="shared" si="388"/>
        <v>3.5000000000044995E-2</v>
      </c>
      <c r="I1043" t="b">
        <f t="shared" si="400"/>
        <v>1</v>
      </c>
      <c r="J1043">
        <f t="shared" si="389"/>
        <v>5.1799999999999198</v>
      </c>
      <c r="K1043">
        <f t="shared" si="401"/>
        <v>3.5000000000044995E-2</v>
      </c>
      <c r="L1043">
        <f t="shared" si="390"/>
        <v>0.16972320008578373</v>
      </c>
      <c r="M1043">
        <f t="shared" si="391"/>
        <v>0.19000000000008999</v>
      </c>
      <c r="N1043">
        <f t="shared" si="392"/>
        <v>0.18800000005890827</v>
      </c>
      <c r="O1043">
        <f t="shared" si="393"/>
        <v>0.15777777777777779</v>
      </c>
      <c r="P1043">
        <f t="shared" si="406"/>
        <v>0.08</v>
      </c>
      <c r="Q1043">
        <f t="shared" si="402"/>
        <v>0.08</v>
      </c>
      <c r="R1043">
        <f t="shared" si="395"/>
        <v>0.08</v>
      </c>
      <c r="S1043">
        <f t="shared" si="396"/>
        <v>0.06</v>
      </c>
      <c r="T1043">
        <f t="shared" si="397"/>
        <v>0.1</v>
      </c>
      <c r="U1043">
        <f t="shared" si="403"/>
        <v>0.08</v>
      </c>
      <c r="V1043">
        <f t="shared" si="384"/>
        <v>0.18800000005890827</v>
      </c>
      <c r="W1043">
        <f t="shared" si="404"/>
        <v>0.16971760835659727</v>
      </c>
      <c r="X1043">
        <f t="shared" si="405"/>
        <v>0.21018724659843441</v>
      </c>
      <c r="Y1043" t="b">
        <f t="shared" si="407"/>
        <v>0</v>
      </c>
    </row>
    <row xmlns:x14ac="http://schemas.microsoft.com/office/spreadsheetml/2009/9/ac" r="1044" x14ac:dyDescent="0.45">
      <c r="A1044">
        <v>5.1849999999999197</v>
      </c>
      <c r="B1044">
        <f t="shared" si="385"/>
        <v>0.16300000000005904</v>
      </c>
      <c r="C1044" t="b">
        <f t="shared" si="398"/>
        <v>1</v>
      </c>
      <c r="D1044" t="b">
        <f t="shared" si="386"/>
        <v>1</v>
      </c>
      <c r="E1044">
        <f t="shared" si="394"/>
        <v>5.1849999999999197</v>
      </c>
      <c r="F1044">
        <f t="shared" si="399"/>
        <v>0.16300000000005904</v>
      </c>
      <c r="G1044">
        <f t="shared" si="387"/>
        <v>0.21018262346344668</v>
      </c>
      <c r="H1044">
        <f t="shared" si="388"/>
        <v>3.5000000000022707E-2</v>
      </c>
      <c r="I1044" t="b">
        <f t="shared" si="400"/>
        <v>1</v>
      </c>
      <c r="J1044">
        <f t="shared" si="389"/>
        <v>5.1849999999999197</v>
      </c>
      <c r="K1044">
        <f t="shared" si="401"/>
        <v>3.5000000000022707E-2</v>
      </c>
      <c r="L1044">
        <f t="shared" si="390"/>
        <v>0.16972458063111534</v>
      </c>
      <c r="M1044">
        <f t="shared" si="391"/>
        <v>0.19000000000004541</v>
      </c>
      <c r="N1044">
        <f t="shared" si="392"/>
        <v>0.18799999960489888</v>
      </c>
      <c r="O1044">
        <f t="shared" si="393"/>
        <v>0.15777777777777779</v>
      </c>
      <c r="P1044">
        <f t="shared" si="406"/>
        <v>0.08</v>
      </c>
      <c r="Q1044">
        <f t="shared" si="402"/>
        <v>0.08</v>
      </c>
      <c r="R1044">
        <f t="shared" si="395"/>
        <v>0.08</v>
      </c>
      <c r="S1044">
        <f t="shared" si="396"/>
        <v>0.06</v>
      </c>
      <c r="T1044">
        <f t="shared" si="397"/>
        <v>0.1</v>
      </c>
      <c r="U1044">
        <f t="shared" si="403"/>
        <v>0.08</v>
      </c>
      <c r="V1044">
        <f t="shared" si="384"/>
        <v>0.18799999960489888</v>
      </c>
      <c r="W1044">
        <f t="shared" si="404"/>
        <v>0.16971901679079454</v>
      </c>
      <c r="X1044">
        <f t="shared" si="405"/>
        <v>0.21018631270212862</v>
      </c>
      <c r="Y1044" t="b">
        <f t="shared" si="407"/>
        <v>0</v>
      </c>
    </row>
    <row xmlns:x14ac="http://schemas.microsoft.com/office/spreadsheetml/2009/9/ac" r="1045" x14ac:dyDescent="0.45">
      <c r="A1045">
        <v>5.1899999999999196</v>
      </c>
      <c r="B1045">
        <f t="shared" si="385"/>
        <v>0.16300000000000367</v>
      </c>
      <c r="C1045" t="b">
        <f t="shared" si="398"/>
        <v>1</v>
      </c>
      <c r="D1045" t="b">
        <f t="shared" si="386"/>
        <v>1</v>
      </c>
      <c r="E1045">
        <f t="shared" si="394"/>
        <v>5.1899999999999196</v>
      </c>
      <c r="F1045">
        <f t="shared" si="399"/>
        <v>0.16300000000000367</v>
      </c>
      <c r="G1045">
        <f t="shared" si="387"/>
        <v>0.21018171262512286</v>
      </c>
      <c r="H1045">
        <f t="shared" si="388"/>
        <v>3.5000000000001419E-2</v>
      </c>
      <c r="I1045" t="b">
        <f t="shared" si="400"/>
        <v>1</v>
      </c>
      <c r="J1045">
        <f t="shared" si="389"/>
        <v>5.1899999999999196</v>
      </c>
      <c r="K1045">
        <f t="shared" si="401"/>
        <v>3.5000000000001419E-2</v>
      </c>
      <c r="L1045">
        <f t="shared" si="390"/>
        <v>0.16972595429094839</v>
      </c>
      <c r="M1045">
        <f t="shared" si="391"/>
        <v>0.19000000000000283</v>
      </c>
      <c r="N1045">
        <f t="shared" si="392"/>
        <v>0.18799999916695148</v>
      </c>
      <c r="O1045">
        <f t="shared" si="393"/>
        <v>0.15777777777777779</v>
      </c>
      <c r="P1045">
        <f t="shared" si="406"/>
        <v>0.08</v>
      </c>
      <c r="Q1045">
        <f t="shared" si="402"/>
        <v>0.08</v>
      </c>
      <c r="R1045">
        <f t="shared" si="395"/>
        <v>0.08</v>
      </c>
      <c r="S1045">
        <f t="shared" si="396"/>
        <v>0.06</v>
      </c>
      <c r="T1045">
        <f t="shared" si="397"/>
        <v>0.1</v>
      </c>
      <c r="U1045">
        <f t="shared" si="403"/>
        <v>0.08</v>
      </c>
      <c r="V1045">
        <f t="shared" ref="V1045:V1108" si="408">MAX(IF(Y1045,MAX(H1045,$AB$6+$AF$13),MAX(T1045,$AB$6+$AF$13)),O1045,N1045)</f>
        <v>0.18799999916695148</v>
      </c>
      <c r="W1045">
        <f t="shared" si="404"/>
        <v>0.16972041820039696</v>
      </c>
      <c r="X1045">
        <f t="shared" si="405"/>
        <v>0.21018538346365012</v>
      </c>
      <c r="Y1045" t="b">
        <f t="shared" si="407"/>
        <v>0</v>
      </c>
    </row>
    <row xmlns:x14ac="http://schemas.microsoft.com/office/spreadsheetml/2009/9/ac" r="1046" x14ac:dyDescent="0.45">
      <c r="A1046">
        <v>5.1949999999999203</v>
      </c>
      <c r="B1046">
        <f t="shared" si="385"/>
        <v>0.16299999999995099</v>
      </c>
      <c r="C1046" t="b">
        <f t="shared" si="398"/>
        <v>1</v>
      </c>
      <c r="D1046" t="b">
        <f t="shared" si="386"/>
        <v>1</v>
      </c>
      <c r="E1046">
        <f t="shared" si="394"/>
        <v>5.1949999999999203</v>
      </c>
      <c r="F1046">
        <f t="shared" si="399"/>
        <v>0.16299999999995099</v>
      </c>
      <c r="G1046">
        <f t="shared" si="387"/>
        <v>0.2101808063296241</v>
      </c>
      <c r="H1046">
        <f t="shared" si="388"/>
        <v>3.4999999999981143E-2</v>
      </c>
      <c r="I1046" t="b">
        <f t="shared" si="400"/>
        <v>1</v>
      </c>
      <c r="J1046">
        <f t="shared" si="389"/>
        <v>5.1949999999999203</v>
      </c>
      <c r="K1046">
        <f t="shared" si="401"/>
        <v>3.4999999999981143E-2</v>
      </c>
      <c r="L1046">
        <f t="shared" si="390"/>
        <v>0.16972732109962446</v>
      </c>
      <c r="M1046">
        <f t="shared" si="391"/>
        <v>0.18999999999996231</v>
      </c>
      <c r="N1046">
        <f t="shared" si="392"/>
        <v>0.18799999874651507</v>
      </c>
      <c r="O1046">
        <f t="shared" si="393"/>
        <v>0.15777777777777779</v>
      </c>
      <c r="P1046">
        <f t="shared" si="406"/>
        <v>0.08</v>
      </c>
      <c r="Q1046">
        <f t="shared" si="402"/>
        <v>0.08</v>
      </c>
      <c r="R1046">
        <f t="shared" si="395"/>
        <v>0.08</v>
      </c>
      <c r="S1046">
        <f t="shared" si="396"/>
        <v>0.06</v>
      </c>
      <c r="T1046">
        <f t="shared" si="397"/>
        <v>0.1</v>
      </c>
      <c r="U1046">
        <f t="shared" si="403"/>
        <v>0.08</v>
      </c>
      <c r="V1046">
        <f t="shared" si="408"/>
        <v>0.18799999874651507</v>
      </c>
      <c r="W1046">
        <f t="shared" si="404"/>
        <v>0.16972181262043984</v>
      </c>
      <c r="X1046">
        <f t="shared" si="405"/>
        <v>0.21018445885976783</v>
      </c>
      <c r="Y1046" t="b">
        <f t="shared" si="407"/>
        <v>0</v>
      </c>
    </row>
    <row xmlns:x14ac="http://schemas.microsoft.com/office/spreadsheetml/2009/9/ac" r="1047" x14ac:dyDescent="0.45">
      <c r="A1047">
        <v>5.1999999999999202</v>
      </c>
      <c r="B1047">
        <f t="shared" si="385"/>
        <v>0.16299999999990109</v>
      </c>
      <c r="C1047" t="b">
        <f t="shared" si="398"/>
        <v>1</v>
      </c>
      <c r="D1047" t="b">
        <f t="shared" si="386"/>
        <v>1</v>
      </c>
      <c r="E1047">
        <f t="shared" si="394"/>
        <v>5.1999999999999202</v>
      </c>
      <c r="F1047">
        <f t="shared" si="399"/>
        <v>0.16299999999990109</v>
      </c>
      <c r="G1047">
        <f t="shared" si="387"/>
        <v>0.21017990455429297</v>
      </c>
      <c r="H1047">
        <f t="shared" si="388"/>
        <v>3.499999999996195E-2</v>
      </c>
      <c r="I1047" t="b">
        <f t="shared" si="400"/>
        <v>1</v>
      </c>
      <c r="J1047">
        <f t="shared" si="389"/>
        <v>5.1999999999999202</v>
      </c>
      <c r="K1047">
        <f t="shared" si="401"/>
        <v>3.499999999996195E-2</v>
      </c>
      <c r="L1047">
        <f t="shared" si="390"/>
        <v>0.16972868109131378</v>
      </c>
      <c r="M1047">
        <f t="shared" si="391"/>
        <v>0.1899999999999239</v>
      </c>
      <c r="N1047">
        <f t="shared" si="392"/>
        <v>0.18799999834491482</v>
      </c>
      <c r="O1047">
        <f t="shared" si="393"/>
        <v>0.15777777777777779</v>
      </c>
      <c r="P1047">
        <f t="shared" si="406"/>
        <v>0.08</v>
      </c>
      <c r="Q1047">
        <f t="shared" si="402"/>
        <v>0.08</v>
      </c>
      <c r="R1047">
        <f t="shared" si="395"/>
        <v>0.08</v>
      </c>
      <c r="S1047">
        <f t="shared" si="396"/>
        <v>0.06</v>
      </c>
      <c r="T1047">
        <f t="shared" si="397"/>
        <v>0.1</v>
      </c>
      <c r="U1047">
        <f t="shared" si="403"/>
        <v>0.08</v>
      </c>
      <c r="V1047">
        <f t="shared" si="408"/>
        <v>0.18799999834491482</v>
      </c>
      <c r="W1047">
        <f t="shared" si="404"/>
        <v>0.16972320008578373</v>
      </c>
      <c r="X1047">
        <f t="shared" si="405"/>
        <v>0.21018353886736663</v>
      </c>
      <c r="Y1047" t="b">
        <f t="shared" si="407"/>
        <v>0</v>
      </c>
    </row>
    <row xmlns:x14ac="http://schemas.microsoft.com/office/spreadsheetml/2009/9/ac" r="1048" x14ac:dyDescent="0.45">
      <c r="A1048">
        <v>5.2049999999999201</v>
      </c>
      <c r="B1048">
        <f t="shared" si="385"/>
        <v>0.16299999999985412</v>
      </c>
      <c r="C1048" t="b">
        <f t="shared" si="398"/>
        <v>1</v>
      </c>
      <c r="D1048" t="b">
        <f t="shared" si="386"/>
        <v>1</v>
      </c>
      <c r="E1048">
        <f t="shared" si="394"/>
        <v>5.2049999999999201</v>
      </c>
      <c r="F1048">
        <f t="shared" si="399"/>
        <v>0.16299999999985412</v>
      </c>
      <c r="G1048">
        <f t="shared" si="387"/>
        <v>0.21017900727658512</v>
      </c>
      <c r="H1048">
        <f t="shared" si="388"/>
        <v>3.4999999999943895E-2</v>
      </c>
      <c r="I1048" t="b">
        <f t="shared" si="400"/>
        <v>1</v>
      </c>
      <c r="J1048">
        <f t="shared" si="389"/>
        <v>5.2049999999999201</v>
      </c>
      <c r="K1048">
        <f t="shared" si="401"/>
        <v>3.4999999999943895E-2</v>
      </c>
      <c r="L1048">
        <f t="shared" si="390"/>
        <v>0.16973003430001629</v>
      </c>
      <c r="M1048">
        <f t="shared" si="391"/>
        <v>0.18999999999988779</v>
      </c>
      <c r="N1048">
        <f t="shared" si="392"/>
        <v>0.18799999796335021</v>
      </c>
      <c r="O1048">
        <f t="shared" si="393"/>
        <v>0.15777777777777779</v>
      </c>
      <c r="P1048">
        <f t="shared" si="406"/>
        <v>0.08</v>
      </c>
      <c r="Q1048">
        <f t="shared" si="402"/>
        <v>0.08</v>
      </c>
      <c r="R1048">
        <f t="shared" si="395"/>
        <v>0.08</v>
      </c>
      <c r="S1048">
        <f t="shared" si="396"/>
        <v>0.06</v>
      </c>
      <c r="T1048">
        <f t="shared" si="397"/>
        <v>0.1</v>
      </c>
      <c r="U1048">
        <f t="shared" si="403"/>
        <v>0.08</v>
      </c>
      <c r="V1048">
        <f t="shared" si="408"/>
        <v>0.18799999796335021</v>
      </c>
      <c r="W1048">
        <f t="shared" si="404"/>
        <v>0.16972458063111534</v>
      </c>
      <c r="X1048">
        <f t="shared" si="405"/>
        <v>0.21018262346344668</v>
      </c>
      <c r="Y1048" t="b">
        <f t="shared" si="407"/>
        <v>0</v>
      </c>
    </row>
    <row xmlns:x14ac="http://schemas.microsoft.com/office/spreadsheetml/2009/9/ac" r="1049" x14ac:dyDescent="0.45">
      <c r="A1049">
        <v>5.20999999999992</v>
      </c>
      <c r="B1049">
        <f t="shared" si="385"/>
        <v>0.1629999999998101</v>
      </c>
      <c r="C1049" t="b">
        <f t="shared" si="398"/>
        <v>1</v>
      </c>
      <c r="D1049" t="b">
        <f t="shared" si="386"/>
        <v>1</v>
      </c>
      <c r="E1049">
        <f t="shared" si="394"/>
        <v>5.20999999999992</v>
      </c>
      <c r="F1049">
        <f t="shared" si="399"/>
        <v>0.1629999999998101</v>
      </c>
      <c r="G1049">
        <f t="shared" si="387"/>
        <v>0.21017811447406848</v>
      </c>
      <c r="H1049">
        <f t="shared" si="388"/>
        <v>3.4999999999926965E-2</v>
      </c>
      <c r="I1049" t="b">
        <f t="shared" si="400"/>
        <v>1</v>
      </c>
      <c r="J1049">
        <f t="shared" si="389"/>
        <v>5.20999999999992</v>
      </c>
      <c r="K1049">
        <f t="shared" si="401"/>
        <v>3.4999999999926965E-2</v>
      </c>
      <c r="L1049">
        <f t="shared" si="390"/>
        <v>0.16973138075956223</v>
      </c>
      <c r="M1049">
        <f t="shared" si="391"/>
        <v>0.18999999999985395</v>
      </c>
      <c r="N1049">
        <f t="shared" si="392"/>
        <v>0.18799999760289343</v>
      </c>
      <c r="O1049">
        <f t="shared" si="393"/>
        <v>0.15777777777777779</v>
      </c>
      <c r="P1049">
        <f t="shared" si="406"/>
        <v>0.08</v>
      </c>
      <c r="Q1049">
        <f t="shared" si="402"/>
        <v>0.08</v>
      </c>
      <c r="R1049">
        <f t="shared" si="395"/>
        <v>0.08</v>
      </c>
      <c r="S1049">
        <f t="shared" si="396"/>
        <v>0.06</v>
      </c>
      <c r="T1049">
        <f t="shared" si="397"/>
        <v>0.1</v>
      </c>
      <c r="U1049">
        <f t="shared" si="403"/>
        <v>0.08</v>
      </c>
      <c r="V1049">
        <f t="shared" si="408"/>
        <v>0.18799999760289343</v>
      </c>
      <c r="W1049">
        <f t="shared" si="404"/>
        <v>0.16972595429094839</v>
      </c>
      <c r="X1049">
        <f t="shared" si="405"/>
        <v>0.21018171262512286</v>
      </c>
      <c r="Y1049" t="b">
        <f t="shared" si="407"/>
        <v>0</v>
      </c>
    </row>
    <row xmlns:x14ac="http://schemas.microsoft.com/office/spreadsheetml/2009/9/ac" r="1050" x14ac:dyDescent="0.45">
      <c r="A1050">
        <v>5.2149999999999199</v>
      </c>
      <c r="B1050">
        <f t="shared" si="385"/>
        <v>0.16299999999976916</v>
      </c>
      <c r="C1050" t="b">
        <f t="shared" si="398"/>
        <v>1</v>
      </c>
      <c r="D1050" t="b">
        <f t="shared" si="386"/>
        <v>1</v>
      </c>
      <c r="E1050">
        <f t="shared" si="394"/>
        <v>5.2149999999999199</v>
      </c>
      <c r="F1050">
        <f t="shared" si="399"/>
        <v>0.16299999999976916</v>
      </c>
      <c r="G1050">
        <f t="shared" si="387"/>
        <v>0.21017722612442297</v>
      </c>
      <c r="H1050">
        <f t="shared" si="388"/>
        <v>3.4999999999911213E-2</v>
      </c>
      <c r="I1050" t="b">
        <f t="shared" si="400"/>
        <v>1</v>
      </c>
      <c r="J1050">
        <f t="shared" si="389"/>
        <v>5.2149999999999199</v>
      </c>
      <c r="K1050">
        <f t="shared" si="401"/>
        <v>3.4999999999911213E-2</v>
      </c>
      <c r="L1050">
        <f t="shared" si="390"/>
        <v>0.16973272050361315</v>
      </c>
      <c r="M1050">
        <f t="shared" si="391"/>
        <v>0.18999999999982242</v>
      </c>
      <c r="N1050">
        <f t="shared" si="392"/>
        <v>0.18799999726448874</v>
      </c>
      <c r="O1050">
        <f t="shared" si="393"/>
        <v>0.15777777777777779</v>
      </c>
      <c r="P1050">
        <f t="shared" si="406"/>
        <v>0.08</v>
      </c>
      <c r="Q1050">
        <f t="shared" si="402"/>
        <v>0.08</v>
      </c>
      <c r="R1050">
        <f t="shared" si="395"/>
        <v>0.08</v>
      </c>
      <c r="S1050">
        <f t="shared" si="396"/>
        <v>0.06</v>
      </c>
      <c r="T1050">
        <f t="shared" si="397"/>
        <v>0.1</v>
      </c>
      <c r="U1050">
        <f t="shared" si="403"/>
        <v>0.08</v>
      </c>
      <c r="V1050">
        <f t="shared" si="408"/>
        <v>0.18799999726448874</v>
      </c>
      <c r="W1050">
        <f t="shared" si="404"/>
        <v>0.16972732109962446</v>
      </c>
      <c r="X1050">
        <f t="shared" si="405"/>
        <v>0.2101808063296241</v>
      </c>
      <c r="Y1050" t="b">
        <f t="shared" si="407"/>
        <v>0</v>
      </c>
    </row>
    <row xmlns:x14ac="http://schemas.microsoft.com/office/spreadsheetml/2009/9/ac" r="1051" x14ac:dyDescent="0.45">
      <c r="A1051">
        <v>5.2199999999999198</v>
      </c>
      <c r="B1051">
        <f t="shared" si="385"/>
        <v>0.16299999999973133</v>
      </c>
      <c r="C1051" t="b">
        <f t="shared" si="398"/>
        <v>1</v>
      </c>
      <c r="D1051" t="b">
        <f t="shared" si="386"/>
        <v>1</v>
      </c>
      <c r="E1051">
        <f t="shared" si="394"/>
        <v>5.2199999999999198</v>
      </c>
      <c r="F1051">
        <f t="shared" si="399"/>
        <v>0.16299999999973133</v>
      </c>
      <c r="G1051">
        <f t="shared" si="387"/>
        <v>0.21017634220543985</v>
      </c>
      <c r="H1051">
        <f t="shared" si="388"/>
        <v>3.4999999999896669E-2</v>
      </c>
      <c r="I1051" t="b">
        <f t="shared" si="400"/>
        <v>1</v>
      </c>
      <c r="J1051">
        <f t="shared" si="389"/>
        <v>5.2199999999999198</v>
      </c>
      <c r="K1051">
        <f t="shared" si="401"/>
        <v>3.4999999999896669E-2</v>
      </c>
      <c r="L1051">
        <f t="shared" si="390"/>
        <v>0.16973405356566273</v>
      </c>
      <c r="M1051">
        <f t="shared" si="391"/>
        <v>0.18999999999979333</v>
      </c>
      <c r="N1051">
        <f t="shared" si="392"/>
        <v>0.18799999694895211</v>
      </c>
      <c r="O1051">
        <f t="shared" si="393"/>
        <v>0.15777777777777779</v>
      </c>
      <c r="P1051">
        <f t="shared" si="406"/>
        <v>0.08</v>
      </c>
      <c r="Q1051">
        <f t="shared" si="402"/>
        <v>0.08</v>
      </c>
      <c r="R1051">
        <f t="shared" si="395"/>
        <v>0.08</v>
      </c>
      <c r="S1051">
        <f t="shared" si="396"/>
        <v>0.06</v>
      </c>
      <c r="T1051">
        <f t="shared" si="397"/>
        <v>0.1</v>
      </c>
      <c r="U1051">
        <f t="shared" si="403"/>
        <v>0.08</v>
      </c>
      <c r="V1051">
        <f t="shared" si="408"/>
        <v>0.18799999694895211</v>
      </c>
      <c r="W1051">
        <f t="shared" si="404"/>
        <v>0.16972868109131378</v>
      </c>
      <c r="X1051">
        <f t="shared" si="405"/>
        <v>0.21017990455429297</v>
      </c>
      <c r="Y1051" t="b">
        <f t="shared" si="407"/>
        <v>0</v>
      </c>
    </row>
    <row xmlns:x14ac="http://schemas.microsoft.com/office/spreadsheetml/2009/9/ac" r="1052" x14ac:dyDescent="0.45">
      <c r="A1052">
        <v>5.2249999999999197</v>
      </c>
      <c r="B1052">
        <f t="shared" si="385"/>
        <v>0.16299999999969664</v>
      </c>
      <c r="C1052" t="b">
        <f t="shared" si="398"/>
        <v>1</v>
      </c>
      <c r="D1052" t="b">
        <f t="shared" si="386"/>
        <v>1</v>
      </c>
      <c r="E1052">
        <f t="shared" si="394"/>
        <v>5.2249999999999197</v>
      </c>
      <c r="F1052">
        <f t="shared" si="399"/>
        <v>0.16299999999969664</v>
      </c>
      <c r="G1052">
        <f t="shared" si="387"/>
        <v>0.21017546269502102</v>
      </c>
      <c r="H1052">
        <f t="shared" si="388"/>
        <v>3.4999999999883319E-2</v>
      </c>
      <c r="I1052" t="b">
        <f t="shared" si="400"/>
        <v>1</v>
      </c>
      <c r="J1052">
        <f t="shared" si="389"/>
        <v>5.2249999999999197</v>
      </c>
      <c r="K1052">
        <f t="shared" si="401"/>
        <v>3.4999999999883319E-2</v>
      </c>
      <c r="L1052">
        <f t="shared" si="390"/>
        <v>0.16973537997903765</v>
      </c>
      <c r="M1052">
        <f t="shared" si="391"/>
        <v>0.18999999999976663</v>
      </c>
      <c r="N1052">
        <f t="shared" si="392"/>
        <v>0.18799999665697192</v>
      </c>
      <c r="O1052">
        <f t="shared" si="393"/>
        <v>0.15777777777777779</v>
      </c>
      <c r="P1052">
        <f t="shared" si="406"/>
        <v>0.08</v>
      </c>
      <c r="Q1052">
        <f t="shared" si="402"/>
        <v>0.08</v>
      </c>
      <c r="R1052">
        <f t="shared" si="395"/>
        <v>0.08</v>
      </c>
      <c r="S1052">
        <f t="shared" si="396"/>
        <v>0.06</v>
      </c>
      <c r="T1052">
        <f t="shared" si="397"/>
        <v>0.1</v>
      </c>
      <c r="U1052">
        <f t="shared" si="403"/>
        <v>0.08</v>
      </c>
      <c r="V1052">
        <f t="shared" si="408"/>
        <v>0.18799999665697192</v>
      </c>
      <c r="W1052">
        <f t="shared" si="404"/>
        <v>0.16973003430001629</v>
      </c>
      <c r="X1052">
        <f t="shared" si="405"/>
        <v>0.21017900727658512</v>
      </c>
      <c r="Y1052" t="b">
        <f t="shared" si="407"/>
        <v>0</v>
      </c>
    </row>
    <row xmlns:x14ac="http://schemas.microsoft.com/office/spreadsheetml/2009/9/ac" r="1053" x14ac:dyDescent="0.45">
      <c r="A1053">
        <v>5.2299999999999196</v>
      </c>
      <c r="B1053">
        <f t="shared" si="385"/>
        <v>0.16299999999966505</v>
      </c>
      <c r="C1053" t="b">
        <f t="shared" si="398"/>
        <v>1</v>
      </c>
      <c r="D1053" t="b">
        <f t="shared" si="386"/>
        <v>1</v>
      </c>
      <c r="E1053">
        <f t="shared" si="394"/>
        <v>5.2299999999999196</v>
      </c>
      <c r="F1053">
        <f t="shared" si="399"/>
        <v>0.16299999999966505</v>
      </c>
      <c r="G1053">
        <f t="shared" si="387"/>
        <v>0.21017458757117868</v>
      </c>
      <c r="H1053">
        <f t="shared" si="388"/>
        <v>3.4999999999871176E-2</v>
      </c>
      <c r="I1053" t="b">
        <f t="shared" si="400"/>
        <v>1</v>
      </c>
      <c r="J1053">
        <f t="shared" si="389"/>
        <v>5.2299999999999196</v>
      </c>
      <c r="K1053">
        <f t="shared" si="401"/>
        <v>3.4999999999871176E-2</v>
      </c>
      <c r="L1053">
        <f t="shared" si="390"/>
        <v>0.1697366997768982</v>
      </c>
      <c r="M1053">
        <f t="shared" si="391"/>
        <v>0.18999999999974237</v>
      </c>
      <c r="N1053">
        <f t="shared" si="392"/>
        <v>0.18799999638910955</v>
      </c>
      <c r="O1053">
        <f t="shared" si="393"/>
        <v>0.15777777777777779</v>
      </c>
      <c r="P1053">
        <f t="shared" si="406"/>
        <v>0.08</v>
      </c>
      <c r="Q1053">
        <f t="shared" si="402"/>
        <v>0.08</v>
      </c>
      <c r="R1053">
        <f t="shared" si="395"/>
        <v>0.08</v>
      </c>
      <c r="S1053">
        <f t="shared" si="396"/>
        <v>0.06</v>
      </c>
      <c r="T1053">
        <f t="shared" si="397"/>
        <v>0.1</v>
      </c>
      <c r="U1053">
        <f t="shared" si="403"/>
        <v>0.08</v>
      </c>
      <c r="V1053">
        <f t="shared" si="408"/>
        <v>0.18799999638910955</v>
      </c>
      <c r="W1053">
        <f t="shared" si="404"/>
        <v>0.16973138075956223</v>
      </c>
      <c r="X1053">
        <f t="shared" si="405"/>
        <v>0.21017811447406848</v>
      </c>
      <c r="Y1053" t="b">
        <f t="shared" si="407"/>
        <v>0</v>
      </c>
    </row>
    <row xmlns:x14ac="http://schemas.microsoft.com/office/spreadsheetml/2009/9/ac" r="1054" x14ac:dyDescent="0.45">
      <c r="A1054">
        <v>5.2349999999999204</v>
      </c>
      <c r="B1054">
        <f t="shared" si="385"/>
        <v>0.16299999999963666</v>
      </c>
      <c r="C1054" t="b">
        <f t="shared" si="398"/>
        <v>1</v>
      </c>
      <c r="D1054" t="b">
        <f t="shared" si="386"/>
        <v>1</v>
      </c>
      <c r="E1054">
        <f t="shared" si="394"/>
        <v>5.2349999999999204</v>
      </c>
      <c r="F1054">
        <f t="shared" si="399"/>
        <v>0.16299999999963666</v>
      </c>
      <c r="G1054">
        <f t="shared" si="387"/>
        <v>0.21017371681203473</v>
      </c>
      <c r="H1054">
        <f t="shared" si="388"/>
        <v>3.4999999999860254E-2</v>
      </c>
      <c r="I1054" t="b">
        <f t="shared" si="400"/>
        <v>1</v>
      </c>
      <c r="J1054">
        <f t="shared" si="389"/>
        <v>5.2349999999999204</v>
      </c>
      <c r="K1054">
        <f t="shared" si="401"/>
        <v>3.4999999999860254E-2</v>
      </c>
      <c r="L1054">
        <f t="shared" si="390"/>
        <v>0.16973801299223951</v>
      </c>
      <c r="M1054">
        <f t="shared" si="391"/>
        <v>0.1899999999997205</v>
      </c>
      <c r="N1054">
        <f t="shared" si="392"/>
        <v>0.18799999614580115</v>
      </c>
      <c r="O1054">
        <f t="shared" si="393"/>
        <v>0.15777777777777779</v>
      </c>
      <c r="P1054">
        <f t="shared" si="406"/>
        <v>0.08</v>
      </c>
      <c r="Q1054">
        <f t="shared" si="402"/>
        <v>0.08</v>
      </c>
      <c r="R1054">
        <f t="shared" si="395"/>
        <v>0.08</v>
      </c>
      <c r="S1054">
        <f t="shared" si="396"/>
        <v>0.06</v>
      </c>
      <c r="T1054">
        <f t="shared" si="397"/>
        <v>0.1</v>
      </c>
      <c r="U1054">
        <f t="shared" si="403"/>
        <v>0.08</v>
      </c>
      <c r="V1054">
        <f t="shared" si="408"/>
        <v>0.18799999614580115</v>
      </c>
      <c r="W1054">
        <f t="shared" si="404"/>
        <v>0.16973272050361315</v>
      </c>
      <c r="X1054">
        <f t="shared" si="405"/>
        <v>0.21017722612442297</v>
      </c>
      <c r="Y1054" t="b">
        <f t="shared" si="407"/>
        <v>0</v>
      </c>
    </row>
    <row xmlns:x14ac="http://schemas.microsoft.com/office/spreadsheetml/2009/9/ac" r="1055" x14ac:dyDescent="0.45">
      <c r="A1055">
        <v>5.2399999999999203</v>
      </c>
      <c r="B1055">
        <f t="shared" si="385"/>
        <v>0.16299999999961134</v>
      </c>
      <c r="C1055" t="b">
        <f t="shared" si="398"/>
        <v>1</v>
      </c>
      <c r="D1055" t="b">
        <f t="shared" si="386"/>
        <v>1</v>
      </c>
      <c r="E1055">
        <f t="shared" si="394"/>
        <v>5.2399999999999203</v>
      </c>
      <c r="F1055">
        <f t="shared" si="399"/>
        <v>0.16299999999961134</v>
      </c>
      <c r="G1055">
        <f t="shared" si="387"/>
        <v>0.21017285039582012</v>
      </c>
      <c r="H1055">
        <f t="shared" si="388"/>
        <v>3.4999999999850526E-2</v>
      </c>
      <c r="I1055" t="b">
        <f t="shared" si="400"/>
        <v>1</v>
      </c>
      <c r="J1055">
        <f t="shared" si="389"/>
        <v>5.2399999999999203</v>
      </c>
      <c r="K1055">
        <f t="shared" si="401"/>
        <v>3.4999999999850526E-2</v>
      </c>
      <c r="L1055">
        <f t="shared" si="390"/>
        <v>0.16973931965789196</v>
      </c>
      <c r="M1055">
        <f t="shared" si="391"/>
        <v>0.18999999999970105</v>
      </c>
      <c r="N1055">
        <f t="shared" si="392"/>
        <v>0.18799999592735947</v>
      </c>
      <c r="O1055">
        <f t="shared" si="393"/>
        <v>0.15777777777777779</v>
      </c>
      <c r="P1055">
        <f t="shared" si="406"/>
        <v>0.08</v>
      </c>
      <c r="Q1055">
        <f t="shared" si="402"/>
        <v>0.08</v>
      </c>
      <c r="R1055">
        <f t="shared" si="395"/>
        <v>0.08</v>
      </c>
      <c r="S1055">
        <f t="shared" si="396"/>
        <v>0.06</v>
      </c>
      <c r="T1055">
        <f t="shared" si="397"/>
        <v>0.1</v>
      </c>
      <c r="U1055">
        <f t="shared" si="403"/>
        <v>0.08</v>
      </c>
      <c r="V1055">
        <f t="shared" si="408"/>
        <v>0.18799999592735947</v>
      </c>
      <c r="W1055">
        <f t="shared" si="404"/>
        <v>0.16973405356566273</v>
      </c>
      <c r="X1055">
        <f t="shared" si="405"/>
        <v>0.21017634220543985</v>
      </c>
      <c r="Y1055" t="b">
        <f t="shared" si="407"/>
        <v>0</v>
      </c>
    </row>
    <row xmlns:x14ac="http://schemas.microsoft.com/office/spreadsheetml/2009/9/ac" r="1056" x14ac:dyDescent="0.45">
      <c r="A1056">
        <v>5.2449999999999202</v>
      </c>
      <c r="B1056">
        <f t="shared" si="385"/>
        <v>0.16299999999958914</v>
      </c>
      <c r="C1056" t="b">
        <f t="shared" si="398"/>
        <v>1</v>
      </c>
      <c r="D1056" t="b">
        <f t="shared" si="386"/>
        <v>1</v>
      </c>
      <c r="E1056">
        <f t="shared" si="394"/>
        <v>5.2449999999999202</v>
      </c>
      <c r="F1056">
        <f t="shared" si="399"/>
        <v>0.16299999999958914</v>
      </c>
      <c r="G1056">
        <f t="shared" si="387"/>
        <v>0.21017198830087441</v>
      </c>
      <c r="H1056">
        <f t="shared" si="388"/>
        <v>3.4999999999841977E-2</v>
      </c>
      <c r="I1056" t="b">
        <f t="shared" si="400"/>
        <v>1</v>
      </c>
      <c r="J1056">
        <f t="shared" si="389"/>
        <v>5.2449999999999202</v>
      </c>
      <c r="K1056">
        <f t="shared" si="401"/>
        <v>3.4999999999841977E-2</v>
      </c>
      <c r="L1056">
        <f t="shared" si="390"/>
        <v>0.16974061980652227</v>
      </c>
      <c r="M1056">
        <f t="shared" si="391"/>
        <v>0.18999999999968398</v>
      </c>
      <c r="N1056">
        <f t="shared" si="392"/>
        <v>0.18799999573397647</v>
      </c>
      <c r="O1056">
        <f t="shared" si="393"/>
        <v>0.15777777777777779</v>
      </c>
      <c r="P1056">
        <f t="shared" si="406"/>
        <v>0.08</v>
      </c>
      <c r="Q1056">
        <f t="shared" si="402"/>
        <v>0.08</v>
      </c>
      <c r="R1056">
        <f t="shared" si="395"/>
        <v>0.08</v>
      </c>
      <c r="S1056">
        <f t="shared" si="396"/>
        <v>0.06</v>
      </c>
      <c r="T1056">
        <f t="shared" si="397"/>
        <v>0.1</v>
      </c>
      <c r="U1056">
        <f t="shared" si="403"/>
        <v>0.08</v>
      </c>
      <c r="V1056">
        <f t="shared" si="408"/>
        <v>0.18799999573397647</v>
      </c>
      <c r="W1056">
        <f t="shared" si="404"/>
        <v>0.16973537997903765</v>
      </c>
      <c r="X1056">
        <f t="shared" si="405"/>
        <v>0.21017546269502102</v>
      </c>
      <c r="Y1056" t="b">
        <f t="shared" si="407"/>
        <v>0</v>
      </c>
    </row>
    <row xmlns:x14ac="http://schemas.microsoft.com/office/spreadsheetml/2009/9/ac" r="1057" x14ac:dyDescent="0.45">
      <c r="A1057">
        <v>5.2499999999999201</v>
      </c>
      <c r="B1057">
        <f t="shared" si="385"/>
        <v>0.16299999999956999</v>
      </c>
      <c r="C1057" t="b">
        <f t="shared" si="398"/>
        <v>1</v>
      </c>
      <c r="D1057" t="b">
        <f t="shared" si="386"/>
        <v>1</v>
      </c>
      <c r="E1057">
        <f t="shared" si="394"/>
        <v>5.2499999999999201</v>
      </c>
      <c r="F1057">
        <f t="shared" si="399"/>
        <v>0.16299999999956999</v>
      </c>
      <c r="G1057">
        <f t="shared" si="387"/>
        <v>0.21017113050564518</v>
      </c>
      <c r="H1057">
        <f t="shared" si="388"/>
        <v>3.4999999999834608E-2</v>
      </c>
      <c r="I1057" t="b">
        <f t="shared" si="400"/>
        <v>1</v>
      </c>
      <c r="J1057">
        <f t="shared" si="389"/>
        <v>5.2499999999999201</v>
      </c>
      <c r="K1057">
        <f t="shared" si="401"/>
        <v>3.4999999999834608E-2</v>
      </c>
      <c r="L1057">
        <f t="shared" si="390"/>
        <v>0.16974191347063428</v>
      </c>
      <c r="M1057">
        <f t="shared" si="391"/>
        <v>0.18999999999966921</v>
      </c>
      <c r="N1057">
        <f t="shared" si="392"/>
        <v>0.18799999556572614</v>
      </c>
      <c r="O1057">
        <f t="shared" si="393"/>
        <v>0.15777777777777779</v>
      </c>
      <c r="P1057">
        <f t="shared" si="406"/>
        <v>0.08</v>
      </c>
      <c r="Q1057">
        <f t="shared" si="402"/>
        <v>0.08</v>
      </c>
      <c r="R1057">
        <f t="shared" si="395"/>
        <v>0.08</v>
      </c>
      <c r="S1057">
        <f t="shared" si="396"/>
        <v>0.06</v>
      </c>
      <c r="T1057">
        <f t="shared" si="397"/>
        <v>0.1</v>
      </c>
      <c r="U1057">
        <f t="shared" si="403"/>
        <v>0.08</v>
      </c>
      <c r="V1057">
        <f t="shared" si="408"/>
        <v>0.18799999556572614</v>
      </c>
      <c r="W1057">
        <f t="shared" si="404"/>
        <v>0.1697366997768982</v>
      </c>
      <c r="X1057">
        <f t="shared" si="405"/>
        <v>0.21017458757117868</v>
      </c>
      <c r="Y1057" t="b">
        <f t="shared" si="407"/>
        <v>0</v>
      </c>
    </row>
    <row xmlns:x14ac="http://schemas.microsoft.com/office/spreadsheetml/2009/9/ac" r="1058" x14ac:dyDescent="0.45">
      <c r="A1058">
        <v>5.25499999999992</v>
      </c>
      <c r="B1058">
        <f t="shared" si="385"/>
        <v>0.16299999999955381</v>
      </c>
      <c r="C1058" t="b">
        <f t="shared" si="398"/>
        <v>1</v>
      </c>
      <c r="D1058" t="b">
        <f t="shared" si="386"/>
        <v>1</v>
      </c>
      <c r="E1058">
        <f t="shared" si="394"/>
        <v>5.25499999999992</v>
      </c>
      <c r="F1058">
        <f t="shared" si="399"/>
        <v>0.16299999999955381</v>
      </c>
      <c r="G1058">
        <f t="shared" si="387"/>
        <v>0.21017027698868751</v>
      </c>
      <c r="H1058">
        <f t="shared" si="388"/>
        <v>3.4999999999828391E-2</v>
      </c>
      <c r="I1058" t="b">
        <f t="shared" si="400"/>
        <v>1</v>
      </c>
      <c r="J1058">
        <f t="shared" si="389"/>
        <v>5.25499999999992</v>
      </c>
      <c r="K1058">
        <f t="shared" si="401"/>
        <v>3.4999999999828391E-2</v>
      </c>
      <c r="L1058">
        <f t="shared" si="390"/>
        <v>0.16974320068256954</v>
      </c>
      <c r="M1058">
        <f t="shared" si="391"/>
        <v>0.18999999999965678</v>
      </c>
      <c r="N1058">
        <f t="shared" si="392"/>
        <v>0.18799999542256801</v>
      </c>
      <c r="O1058">
        <f t="shared" si="393"/>
        <v>0.15777777777777779</v>
      </c>
      <c r="P1058">
        <f t="shared" si="406"/>
        <v>0.08</v>
      </c>
      <c r="Q1058">
        <f t="shared" si="402"/>
        <v>0.08</v>
      </c>
      <c r="R1058">
        <f t="shared" si="395"/>
        <v>0.08</v>
      </c>
      <c r="S1058">
        <f t="shared" si="396"/>
        <v>0.06</v>
      </c>
      <c r="T1058">
        <f t="shared" si="397"/>
        <v>0.1</v>
      </c>
      <c r="U1058">
        <f t="shared" si="403"/>
        <v>0.08</v>
      </c>
      <c r="V1058">
        <f t="shared" si="408"/>
        <v>0.18799999542256801</v>
      </c>
      <c r="W1058">
        <f t="shared" si="404"/>
        <v>0.16973801299223951</v>
      </c>
      <c r="X1058">
        <f t="shared" si="405"/>
        <v>0.21017371681203473</v>
      </c>
      <c r="Y1058" t="b">
        <f t="shared" si="407"/>
        <v>0</v>
      </c>
    </row>
    <row xmlns:x14ac="http://schemas.microsoft.com/office/spreadsheetml/2009/9/ac" r="1059" x14ac:dyDescent="0.45">
      <c r="A1059">
        <v>5.2599999999999199</v>
      </c>
      <c r="B1059">
        <f t="shared" si="385"/>
        <v>0.16299999999954057</v>
      </c>
      <c r="C1059" t="b">
        <f t="shared" si="398"/>
        <v>1</v>
      </c>
      <c r="D1059" t="b">
        <f t="shared" si="386"/>
        <v>1</v>
      </c>
      <c r="E1059">
        <f t="shared" si="394"/>
        <v>5.2599999999999199</v>
      </c>
      <c r="F1059">
        <f t="shared" si="399"/>
        <v>0.16299999999954057</v>
      </c>
      <c r="G1059">
        <f t="shared" si="387"/>
        <v>0.21016942772866343</v>
      </c>
      <c r="H1059">
        <f t="shared" si="388"/>
        <v>3.4999999999823297E-2</v>
      </c>
      <c r="I1059" t="b">
        <f t="shared" si="400"/>
        <v>1</v>
      </c>
      <c r="J1059">
        <f t="shared" si="389"/>
        <v>5.2599999999999199</v>
      </c>
      <c r="K1059">
        <f t="shared" si="401"/>
        <v>3.4999999999823297E-2</v>
      </c>
      <c r="L1059">
        <f t="shared" si="390"/>
        <v>0.16974448147450855</v>
      </c>
      <c r="M1059">
        <f t="shared" si="391"/>
        <v>0.18999999999964662</v>
      </c>
      <c r="N1059">
        <f t="shared" si="392"/>
        <v>0.18799999530435085</v>
      </c>
      <c r="O1059">
        <f t="shared" si="393"/>
        <v>0.15777777777777779</v>
      </c>
      <c r="P1059">
        <f t="shared" si="406"/>
        <v>0.08</v>
      </c>
      <c r="Q1059">
        <f t="shared" si="402"/>
        <v>0.08</v>
      </c>
      <c r="R1059">
        <f t="shared" si="395"/>
        <v>0.08</v>
      </c>
      <c r="S1059">
        <f t="shared" si="396"/>
        <v>0.06</v>
      </c>
      <c r="T1059">
        <f t="shared" si="397"/>
        <v>0.1</v>
      </c>
      <c r="U1059">
        <f t="shared" si="403"/>
        <v>0.08</v>
      </c>
      <c r="V1059">
        <f t="shared" si="408"/>
        <v>0.18799999530435085</v>
      </c>
      <c r="W1059">
        <f t="shared" si="404"/>
        <v>0.16973931965789196</v>
      </c>
      <c r="X1059">
        <f t="shared" si="405"/>
        <v>0.21017285039582012</v>
      </c>
      <c r="Y1059" t="b">
        <f t="shared" si="407"/>
        <v>0</v>
      </c>
    </row>
    <row xmlns:x14ac="http://schemas.microsoft.com/office/spreadsheetml/2009/9/ac" r="1060" x14ac:dyDescent="0.45">
      <c r="A1060">
        <v>5.2649999999999197</v>
      </c>
      <c r="B1060">
        <f t="shared" si="385"/>
        <v>0.16299999999953016</v>
      </c>
      <c r="C1060" t="b">
        <f t="shared" si="398"/>
        <v>1</v>
      </c>
      <c r="D1060" t="b">
        <f t="shared" si="386"/>
        <v>1</v>
      </c>
      <c r="E1060">
        <f t="shared" si="394"/>
        <v>5.2649999999999197</v>
      </c>
      <c r="F1060">
        <f t="shared" si="399"/>
        <v>0.16299999999953016</v>
      </c>
      <c r="G1060">
        <f t="shared" si="387"/>
        <v>0.21016858270434136</v>
      </c>
      <c r="H1060">
        <f t="shared" si="388"/>
        <v>3.4999999999819301E-2</v>
      </c>
      <c r="I1060" t="b">
        <f t="shared" si="400"/>
        <v>1</v>
      </c>
      <c r="J1060">
        <f t="shared" si="389"/>
        <v>5.2649999999999197</v>
      </c>
      <c r="K1060">
        <f t="shared" si="401"/>
        <v>3.4999999999819301E-2</v>
      </c>
      <c r="L1060">
        <f t="shared" si="390"/>
        <v>0.16974575587847107</v>
      </c>
      <c r="M1060">
        <f t="shared" si="391"/>
        <v>0.1899999999996386</v>
      </c>
      <c r="N1060">
        <f t="shared" si="392"/>
        <v>0.18799999521081689</v>
      </c>
      <c r="O1060">
        <f t="shared" si="393"/>
        <v>0.15777777777777779</v>
      </c>
      <c r="P1060">
        <f t="shared" si="406"/>
        <v>0.08</v>
      </c>
      <c r="Q1060">
        <f t="shared" si="402"/>
        <v>0.08</v>
      </c>
      <c r="R1060">
        <f t="shared" si="395"/>
        <v>0.08</v>
      </c>
      <c r="S1060">
        <f t="shared" si="396"/>
        <v>0.06</v>
      </c>
      <c r="T1060">
        <f t="shared" si="397"/>
        <v>0.1</v>
      </c>
      <c r="U1060">
        <f t="shared" si="403"/>
        <v>0.08</v>
      </c>
      <c r="V1060">
        <f t="shared" si="408"/>
        <v>0.18799999521081689</v>
      </c>
      <c r="W1060">
        <f t="shared" si="404"/>
        <v>0.16974061980652227</v>
      </c>
      <c r="X1060">
        <f t="shared" si="405"/>
        <v>0.21017198830087441</v>
      </c>
      <c r="Y1060" t="b">
        <f t="shared" si="407"/>
        <v>0</v>
      </c>
    </row>
    <row xmlns:x14ac="http://schemas.microsoft.com/office/spreadsheetml/2009/9/ac" r="1061" x14ac:dyDescent="0.45">
      <c r="A1061">
        <v>5.2699999999999196</v>
      </c>
      <c r="B1061">
        <f t="shared" si="385"/>
        <v>0.16299999999952253</v>
      </c>
      <c r="C1061" t="b">
        <f t="shared" si="398"/>
        <v>1</v>
      </c>
      <c r="D1061" t="b">
        <f t="shared" si="386"/>
        <v>1</v>
      </c>
      <c r="E1061">
        <f t="shared" si="394"/>
        <v>5.2699999999999196</v>
      </c>
      <c r="F1061">
        <f t="shared" si="399"/>
        <v>0.16299999999952253</v>
      </c>
      <c r="G1061">
        <f t="shared" si="387"/>
        <v>0.21016774189459569</v>
      </c>
      <c r="H1061">
        <f t="shared" si="388"/>
        <v>3.4999999999816359E-2</v>
      </c>
      <c r="I1061" t="b">
        <f t="shared" si="400"/>
        <v>1</v>
      </c>
      <c r="J1061">
        <f t="shared" si="389"/>
        <v>5.2699999999999196</v>
      </c>
      <c r="K1061">
        <f t="shared" si="401"/>
        <v>3.4999999999816359E-2</v>
      </c>
      <c r="L1061">
        <f t="shared" si="390"/>
        <v>0.16974702392631735</v>
      </c>
      <c r="M1061">
        <f t="shared" si="391"/>
        <v>0.18999999999963274</v>
      </c>
      <c r="N1061">
        <f t="shared" si="392"/>
        <v>0.18799999514160626</v>
      </c>
      <c r="O1061">
        <f t="shared" si="393"/>
        <v>0.15777777777777779</v>
      </c>
      <c r="P1061">
        <f t="shared" si="406"/>
        <v>0.08</v>
      </c>
      <c r="Q1061">
        <f t="shared" si="402"/>
        <v>0.08</v>
      </c>
      <c r="R1061">
        <f t="shared" si="395"/>
        <v>0.08</v>
      </c>
      <c r="S1061">
        <f t="shared" si="396"/>
        <v>0.06</v>
      </c>
      <c r="T1061">
        <f t="shared" si="397"/>
        <v>0.1</v>
      </c>
      <c r="U1061">
        <f t="shared" si="403"/>
        <v>0.08</v>
      </c>
      <c r="V1061">
        <f t="shared" si="408"/>
        <v>0.18799999514160626</v>
      </c>
      <c r="W1061">
        <f t="shared" si="404"/>
        <v>0.16974191347063428</v>
      </c>
      <c r="X1061">
        <f t="shared" si="405"/>
        <v>0.21017113050564518</v>
      </c>
      <c r="Y1061" t="b">
        <f t="shared" si="407"/>
        <v>0</v>
      </c>
    </row>
    <row xmlns:x14ac="http://schemas.microsoft.com/office/spreadsheetml/2009/9/ac" r="1062" x14ac:dyDescent="0.45">
      <c r="A1062">
        <v>5.2749999999999204</v>
      </c>
      <c r="B1062">
        <f t="shared" si="385"/>
        <v>0.16299999999951756</v>
      </c>
      <c r="C1062" t="b">
        <f t="shared" si="398"/>
        <v>1</v>
      </c>
      <c r="D1062" t="b">
        <f t="shared" si="386"/>
        <v>1</v>
      </c>
      <c r="E1062">
        <f t="shared" si="394"/>
        <v>5.2749999999999204</v>
      </c>
      <c r="F1062">
        <f t="shared" si="399"/>
        <v>0.16299999999951756</v>
      </c>
      <c r="G1062">
        <f t="shared" si="387"/>
        <v>0.21016690527840615</v>
      </c>
      <c r="H1062">
        <f t="shared" si="388"/>
        <v>3.4999999999814443E-2</v>
      </c>
      <c r="I1062" t="b">
        <f t="shared" si="400"/>
        <v>1</v>
      </c>
      <c r="J1062">
        <f t="shared" si="389"/>
        <v>5.2749999999999204</v>
      </c>
      <c r="K1062">
        <f t="shared" si="401"/>
        <v>3.4999999999814443E-2</v>
      </c>
      <c r="L1062">
        <f t="shared" si="390"/>
        <v>0.16974828564974859</v>
      </c>
      <c r="M1062">
        <f t="shared" si="391"/>
        <v>0.18999999999962891</v>
      </c>
      <c r="N1062">
        <f t="shared" si="392"/>
        <v>0.18799999509626192</v>
      </c>
      <c r="O1062">
        <f t="shared" si="393"/>
        <v>0.15777777777777779</v>
      </c>
      <c r="P1062">
        <f t="shared" si="406"/>
        <v>0.08</v>
      </c>
      <c r="Q1062">
        <f t="shared" si="402"/>
        <v>0.08</v>
      </c>
      <c r="R1062">
        <f t="shared" si="395"/>
        <v>0.08</v>
      </c>
      <c r="S1062">
        <f t="shared" si="396"/>
        <v>0.06</v>
      </c>
      <c r="T1062">
        <f t="shared" si="397"/>
        <v>0.1</v>
      </c>
      <c r="U1062">
        <f t="shared" si="403"/>
        <v>0.08</v>
      </c>
      <c r="V1062">
        <f t="shared" si="408"/>
        <v>0.18799999509626192</v>
      </c>
      <c r="W1062">
        <f t="shared" si="404"/>
        <v>0.16974320068256954</v>
      </c>
      <c r="X1062">
        <f t="shared" si="405"/>
        <v>0.21017027698868751</v>
      </c>
      <c r="Y1062" t="b">
        <f t="shared" si="407"/>
        <v>0</v>
      </c>
    </row>
    <row xmlns:x14ac="http://schemas.microsoft.com/office/spreadsheetml/2009/9/ac" r="1063" x14ac:dyDescent="0.45">
      <c r="A1063">
        <v>5.2799999999999203</v>
      </c>
      <c r="B1063">
        <f t="shared" si="385"/>
        <v>0.16299999999951512</v>
      </c>
      <c r="C1063" t="b">
        <f t="shared" si="398"/>
        <v>1</v>
      </c>
      <c r="D1063" t="b">
        <f t="shared" si="386"/>
        <v>1</v>
      </c>
      <c r="E1063">
        <f t="shared" si="394"/>
        <v>5.2799999999999203</v>
      </c>
      <c r="F1063">
        <f t="shared" si="399"/>
        <v>0.16299999999951512</v>
      </c>
      <c r="G1063">
        <f t="shared" si="387"/>
        <v>0.21016607283485728</v>
      </c>
      <c r="H1063">
        <f t="shared" si="388"/>
        <v>3.49999999998135E-2</v>
      </c>
      <c r="I1063" t="b">
        <f t="shared" si="400"/>
        <v>1</v>
      </c>
      <c r="J1063">
        <f t="shared" si="389"/>
        <v>5.2799999999999203</v>
      </c>
      <c r="K1063">
        <f t="shared" si="401"/>
        <v>3.49999999998135E-2</v>
      </c>
      <c r="L1063">
        <f t="shared" si="390"/>
        <v>0.16974954108030799</v>
      </c>
      <c r="M1063">
        <f t="shared" si="391"/>
        <v>0.18999999999962702</v>
      </c>
      <c r="N1063">
        <f t="shared" si="392"/>
        <v>0.18799999507423459</v>
      </c>
      <c r="O1063">
        <f t="shared" si="393"/>
        <v>0.15777777777777779</v>
      </c>
      <c r="P1063">
        <f t="shared" si="406"/>
        <v>0.08</v>
      </c>
      <c r="Q1063">
        <f t="shared" si="402"/>
        <v>0.08</v>
      </c>
      <c r="R1063">
        <f t="shared" si="395"/>
        <v>0.08</v>
      </c>
      <c r="S1063">
        <f t="shared" si="396"/>
        <v>0.06</v>
      </c>
      <c r="T1063">
        <f t="shared" si="397"/>
        <v>0.1</v>
      </c>
      <c r="U1063">
        <f t="shared" si="403"/>
        <v>0.08</v>
      </c>
      <c r="V1063">
        <f t="shared" si="408"/>
        <v>0.18799999507423459</v>
      </c>
      <c r="W1063">
        <f t="shared" si="404"/>
        <v>0.16974448147450855</v>
      </c>
      <c r="X1063">
        <f t="shared" si="405"/>
        <v>0.21016942772866343</v>
      </c>
      <c r="Y1063" t="b">
        <f t="shared" si="407"/>
        <v>0</v>
      </c>
    </row>
    <row xmlns:x14ac="http://schemas.microsoft.com/office/spreadsheetml/2009/9/ac" r="1064" x14ac:dyDescent="0.45">
      <c r="A1064">
        <v>5.2849999999999202</v>
      </c>
      <c r="B1064">
        <f t="shared" si="385"/>
        <v>0.16299999999951512</v>
      </c>
      <c r="C1064" t="b">
        <f t="shared" si="398"/>
        <v>1</v>
      </c>
      <c r="D1064" t="b">
        <f t="shared" si="386"/>
        <v>1</v>
      </c>
      <c r="E1064">
        <f t="shared" si="394"/>
        <v>5.2849999999999202</v>
      </c>
      <c r="F1064">
        <f t="shared" si="399"/>
        <v>0.16299999999951512</v>
      </c>
      <c r="G1064">
        <f t="shared" si="387"/>
        <v>0.2101652445431379</v>
      </c>
      <c r="H1064">
        <f t="shared" si="388"/>
        <v>3.4999999999813514E-2</v>
      </c>
      <c r="I1064" t="b">
        <f t="shared" si="400"/>
        <v>1</v>
      </c>
      <c r="J1064">
        <f t="shared" si="389"/>
        <v>5.2849999999999202</v>
      </c>
      <c r="K1064">
        <f t="shared" si="401"/>
        <v>3.4999999999813514E-2</v>
      </c>
      <c r="L1064">
        <f t="shared" si="390"/>
        <v>0.16975079024938133</v>
      </c>
      <c r="M1064">
        <f t="shared" si="391"/>
        <v>0.18999999999962702</v>
      </c>
      <c r="N1064">
        <f t="shared" si="392"/>
        <v>0.18799999507488829</v>
      </c>
      <c r="O1064">
        <f t="shared" si="393"/>
        <v>0.15777777777777779</v>
      </c>
      <c r="P1064">
        <f t="shared" si="406"/>
        <v>0.08</v>
      </c>
      <c r="Q1064">
        <f t="shared" si="402"/>
        <v>0.08</v>
      </c>
      <c r="R1064">
        <f t="shared" si="395"/>
        <v>0.08</v>
      </c>
      <c r="S1064">
        <f t="shared" si="396"/>
        <v>0.06</v>
      </c>
      <c r="T1064">
        <f t="shared" si="397"/>
        <v>0.1</v>
      </c>
      <c r="U1064">
        <f t="shared" si="403"/>
        <v>0.08</v>
      </c>
      <c r="V1064">
        <f t="shared" si="408"/>
        <v>0.18799999507488829</v>
      </c>
      <c r="W1064">
        <f t="shared" si="404"/>
        <v>0.16974575587847107</v>
      </c>
      <c r="X1064">
        <f t="shared" si="405"/>
        <v>0.21016858270434136</v>
      </c>
      <c r="Y1064" t="b">
        <f t="shared" si="407"/>
        <v>0</v>
      </c>
    </row>
    <row xmlns:x14ac="http://schemas.microsoft.com/office/spreadsheetml/2009/9/ac" r="1065" x14ac:dyDescent="0.45">
      <c r="A1065">
        <v>5.2899999999999201</v>
      </c>
      <c r="B1065">
        <f t="shared" si="385"/>
        <v>0.16299999999951742</v>
      </c>
      <c r="C1065" t="b">
        <f t="shared" si="398"/>
        <v>1</v>
      </c>
      <c r="D1065" t="b">
        <f t="shared" si="386"/>
        <v>1</v>
      </c>
      <c r="E1065">
        <f t="shared" si="394"/>
        <v>5.2899999999999201</v>
      </c>
      <c r="F1065">
        <f t="shared" si="399"/>
        <v>0.16299999999951742</v>
      </c>
      <c r="G1065">
        <f t="shared" si="387"/>
        <v>0.21016442038254068</v>
      </c>
      <c r="H1065">
        <f t="shared" si="388"/>
        <v>3.4999999999814402E-2</v>
      </c>
      <c r="I1065" t="b">
        <f t="shared" si="400"/>
        <v>1</v>
      </c>
      <c r="J1065">
        <f t="shared" si="389"/>
        <v>5.2899999999999201</v>
      </c>
      <c r="K1065">
        <f t="shared" si="401"/>
        <v>3.4999999999814402E-2</v>
      </c>
      <c r="L1065">
        <f t="shared" si="390"/>
        <v>0.16975203318819793</v>
      </c>
      <c r="M1065">
        <f t="shared" si="391"/>
        <v>0.1899999999996288</v>
      </c>
      <c r="N1065">
        <f t="shared" si="392"/>
        <v>0.18799999509750578</v>
      </c>
      <c r="O1065">
        <f t="shared" si="393"/>
        <v>0.15777777777777779</v>
      </c>
      <c r="P1065">
        <f t="shared" si="406"/>
        <v>0.08</v>
      </c>
      <c r="Q1065">
        <f t="shared" si="402"/>
        <v>0.08</v>
      </c>
      <c r="R1065">
        <f t="shared" si="395"/>
        <v>0.08</v>
      </c>
      <c r="S1065">
        <f t="shared" si="396"/>
        <v>0.06</v>
      </c>
      <c r="T1065">
        <f t="shared" si="397"/>
        <v>0.1</v>
      </c>
      <c r="U1065">
        <f t="shared" si="403"/>
        <v>0.08</v>
      </c>
      <c r="V1065">
        <f t="shared" si="408"/>
        <v>0.18799999509750578</v>
      </c>
      <c r="W1065">
        <f t="shared" si="404"/>
        <v>0.16974702392631735</v>
      </c>
      <c r="X1065">
        <f t="shared" si="405"/>
        <v>0.21016774189459569</v>
      </c>
      <c r="Y1065" t="b">
        <f t="shared" si="407"/>
        <v>0</v>
      </c>
    </row>
    <row xmlns:x14ac="http://schemas.microsoft.com/office/spreadsheetml/2009/9/ac" r="1066" x14ac:dyDescent="0.45">
      <c r="A1066">
        <v>5.29499999999992</v>
      </c>
      <c r="B1066">
        <f t="shared" si="385"/>
        <v>0.16299999999952197</v>
      </c>
      <c r="C1066" t="b">
        <f t="shared" si="398"/>
        <v>1</v>
      </c>
      <c r="D1066" t="b">
        <f t="shared" si="386"/>
        <v>1</v>
      </c>
      <c r="E1066">
        <f t="shared" si="394"/>
        <v>5.29499999999992</v>
      </c>
      <c r="F1066">
        <f t="shared" si="399"/>
        <v>0.16299999999952197</v>
      </c>
      <c r="G1066">
        <f t="shared" si="387"/>
        <v>0.21016360033246162</v>
      </c>
      <c r="H1066">
        <f t="shared" si="388"/>
        <v>3.4999999999816137E-2</v>
      </c>
      <c r="I1066" t="b">
        <f t="shared" si="400"/>
        <v>1</v>
      </c>
      <c r="J1066">
        <f t="shared" si="389"/>
        <v>5.29499999999992</v>
      </c>
      <c r="K1066">
        <f t="shared" si="401"/>
        <v>3.4999999999816137E-2</v>
      </c>
      <c r="L1066">
        <f t="shared" si="390"/>
        <v>0.1697532699278313</v>
      </c>
      <c r="M1066">
        <f t="shared" si="391"/>
        <v>0.1899999999996323</v>
      </c>
      <c r="N1066">
        <f t="shared" si="392"/>
        <v>0.1879999951412944</v>
      </c>
      <c r="O1066">
        <f t="shared" si="393"/>
        <v>0.15777777777777779</v>
      </c>
      <c r="P1066">
        <f t="shared" si="406"/>
        <v>0.08</v>
      </c>
      <c r="Q1066">
        <f t="shared" si="402"/>
        <v>0.08</v>
      </c>
      <c r="R1066">
        <f t="shared" si="395"/>
        <v>0.08</v>
      </c>
      <c r="S1066">
        <f t="shared" si="396"/>
        <v>0.06</v>
      </c>
      <c r="T1066">
        <f t="shared" si="397"/>
        <v>0.1</v>
      </c>
      <c r="U1066">
        <f t="shared" si="403"/>
        <v>0.08</v>
      </c>
      <c r="V1066">
        <f t="shared" si="408"/>
        <v>0.1879999951412944</v>
      </c>
      <c r="W1066">
        <f t="shared" si="404"/>
        <v>0.16974828564974859</v>
      </c>
      <c r="X1066">
        <f t="shared" si="405"/>
        <v>0.21016690527840615</v>
      </c>
      <c r="Y1066" t="b">
        <f t="shared" si="407"/>
        <v>0</v>
      </c>
    </row>
    <row xmlns:x14ac="http://schemas.microsoft.com/office/spreadsheetml/2009/9/ac" r="1067" x14ac:dyDescent="0.45">
      <c r="A1067">
        <v>5.2999999999999101</v>
      </c>
      <c r="B1067">
        <f t="shared" si="385"/>
        <v>0.16299999999952852</v>
      </c>
      <c r="C1067" t="b">
        <f t="shared" si="398"/>
        <v>1</v>
      </c>
      <c r="D1067" t="b">
        <f t="shared" si="386"/>
        <v>1</v>
      </c>
      <c r="E1067">
        <f t="shared" si="394"/>
        <v>5.2999999999999101</v>
      </c>
      <c r="F1067">
        <f t="shared" si="399"/>
        <v>0.16299999999952852</v>
      </c>
      <c r="G1067">
        <f t="shared" si="387"/>
        <v>0.21016278437239938</v>
      </c>
      <c r="H1067">
        <f t="shared" si="388"/>
        <v>3.4999999999818662E-2</v>
      </c>
      <c r="I1067" t="b">
        <f t="shared" si="400"/>
        <v>1</v>
      </c>
      <c r="J1067">
        <f t="shared" si="389"/>
        <v>5.2999999999999101</v>
      </c>
      <c r="K1067">
        <f t="shared" si="401"/>
        <v>3.4999999999818662E-2</v>
      </c>
      <c r="L1067">
        <f t="shared" si="390"/>
        <v>0.16975450049920005</v>
      </c>
      <c r="M1067">
        <f t="shared" si="391"/>
        <v>0.18999999999963735</v>
      </c>
      <c r="N1067">
        <f t="shared" si="392"/>
        <v>0.18799999520539196</v>
      </c>
      <c r="O1067">
        <f t="shared" si="393"/>
        <v>0.15777777777777779</v>
      </c>
      <c r="P1067">
        <f t="shared" si="406"/>
        <v>0.08</v>
      </c>
      <c r="Q1067">
        <f t="shared" si="402"/>
        <v>0.08</v>
      </c>
      <c r="R1067">
        <f t="shared" si="395"/>
        <v>0.08</v>
      </c>
      <c r="S1067">
        <f t="shared" si="396"/>
        <v>0.06</v>
      </c>
      <c r="T1067">
        <f t="shared" si="397"/>
        <v>0.1</v>
      </c>
      <c r="U1067">
        <f t="shared" si="403"/>
        <v>0.08</v>
      </c>
      <c r="V1067">
        <f t="shared" si="408"/>
        <v>0.18799999520539196</v>
      </c>
      <c r="W1067">
        <f t="shared" si="404"/>
        <v>0.16974954108030799</v>
      </c>
      <c r="X1067">
        <f t="shared" si="405"/>
        <v>0.21016607283485728</v>
      </c>
      <c r="Y1067" t="b">
        <f t="shared" si="407"/>
        <v>0</v>
      </c>
    </row>
    <row xmlns:x14ac="http://schemas.microsoft.com/office/spreadsheetml/2009/9/ac" r="1068" x14ac:dyDescent="0.45">
      <c r="A1068">
        <v>5.30499999999991</v>
      </c>
      <c r="B1068">
        <f t="shared" si="385"/>
        <v>0.16299999999953704</v>
      </c>
      <c r="C1068" t="b">
        <f t="shared" si="398"/>
        <v>1</v>
      </c>
      <c r="D1068" t="b">
        <f t="shared" si="386"/>
        <v>1</v>
      </c>
      <c r="E1068">
        <f t="shared" si="394"/>
        <v>5.30499999999991</v>
      </c>
      <c r="F1068">
        <f t="shared" si="399"/>
        <v>0.16299999999953704</v>
      </c>
      <c r="G1068">
        <f t="shared" si="387"/>
        <v>0.21016197248195495</v>
      </c>
      <c r="H1068">
        <f t="shared" si="388"/>
        <v>3.4999999999821937E-2</v>
      </c>
      <c r="I1068" t="b">
        <f t="shared" si="400"/>
        <v>1</v>
      </c>
      <c r="J1068">
        <f t="shared" si="389"/>
        <v>5.30499999999991</v>
      </c>
      <c r="K1068">
        <f t="shared" si="401"/>
        <v>3.4999999999821937E-2</v>
      </c>
      <c r="L1068">
        <f t="shared" si="390"/>
        <v>0.16975572493306845</v>
      </c>
      <c r="M1068">
        <f t="shared" si="391"/>
        <v>0.1899999999996439</v>
      </c>
      <c r="N1068">
        <f t="shared" si="392"/>
        <v>0.18799999528887271</v>
      </c>
      <c r="O1068">
        <f t="shared" si="393"/>
        <v>0.15777777777777779</v>
      </c>
      <c r="P1068">
        <f t="shared" si="406"/>
        <v>0.08</v>
      </c>
      <c r="Q1068">
        <f t="shared" si="402"/>
        <v>0.08</v>
      </c>
      <c r="R1068">
        <f t="shared" si="395"/>
        <v>0.08</v>
      </c>
      <c r="S1068">
        <f t="shared" si="396"/>
        <v>0.06</v>
      </c>
      <c r="T1068">
        <f t="shared" si="397"/>
        <v>0.1</v>
      </c>
      <c r="U1068">
        <f t="shared" si="403"/>
        <v>0.08</v>
      </c>
      <c r="V1068">
        <f t="shared" si="408"/>
        <v>0.18799999528887271</v>
      </c>
      <c r="W1068">
        <f t="shared" si="404"/>
        <v>0.16975079024938133</v>
      </c>
      <c r="X1068">
        <f t="shared" si="405"/>
        <v>0.2101652445431379</v>
      </c>
      <c r="Y1068" t="b">
        <f t="shared" si="407"/>
        <v>0</v>
      </c>
    </row>
    <row xmlns:x14ac="http://schemas.microsoft.com/office/spreadsheetml/2009/9/ac" r="1069" x14ac:dyDescent="0.45">
      <c r="A1069">
        <v>5.3099999999999099</v>
      </c>
      <c r="B1069">
        <f t="shared" si="385"/>
        <v>0.16299999999954737</v>
      </c>
      <c r="C1069" t="b">
        <f t="shared" si="398"/>
        <v>1</v>
      </c>
      <c r="D1069" t="b">
        <f t="shared" si="386"/>
        <v>1</v>
      </c>
      <c r="E1069">
        <f t="shared" si="394"/>
        <v>5.3099999999999099</v>
      </c>
      <c r="F1069">
        <f t="shared" si="399"/>
        <v>0.16299999999954737</v>
      </c>
      <c r="G1069">
        <f t="shared" si="387"/>
        <v>0.21016116464083096</v>
      </c>
      <c r="H1069">
        <f t="shared" si="388"/>
        <v>3.4999999999825906E-2</v>
      </c>
      <c r="I1069" t="b">
        <f t="shared" si="400"/>
        <v>1</v>
      </c>
      <c r="J1069">
        <f t="shared" si="389"/>
        <v>5.3099999999999099</v>
      </c>
      <c r="K1069">
        <f t="shared" si="401"/>
        <v>3.4999999999825906E-2</v>
      </c>
      <c r="L1069">
        <f t="shared" si="390"/>
        <v>0.16975694326004748</v>
      </c>
      <c r="M1069">
        <f t="shared" si="391"/>
        <v>0.18999999999965184</v>
      </c>
      <c r="N1069">
        <f t="shared" si="392"/>
        <v>0.18799999539075357</v>
      </c>
      <c r="O1069">
        <f t="shared" si="393"/>
        <v>0.15777777777777779</v>
      </c>
      <c r="P1069">
        <f t="shared" si="406"/>
        <v>0.08</v>
      </c>
      <c r="Q1069">
        <f t="shared" si="402"/>
        <v>0.08</v>
      </c>
      <c r="R1069">
        <f t="shared" si="395"/>
        <v>0.08</v>
      </c>
      <c r="S1069">
        <f t="shared" si="396"/>
        <v>0.06</v>
      </c>
      <c r="T1069">
        <f t="shared" si="397"/>
        <v>0.1</v>
      </c>
      <c r="U1069">
        <f t="shared" si="403"/>
        <v>0.08</v>
      </c>
      <c r="V1069">
        <f t="shared" si="408"/>
        <v>0.18799999539075357</v>
      </c>
      <c r="W1069">
        <f t="shared" si="404"/>
        <v>0.16975203318819793</v>
      </c>
      <c r="X1069">
        <f t="shared" si="405"/>
        <v>0.21016442038254068</v>
      </c>
      <c r="Y1069" t="b">
        <f t="shared" si="407"/>
        <v>0</v>
      </c>
    </row>
    <row xmlns:x14ac="http://schemas.microsoft.com/office/spreadsheetml/2009/9/ac" r="1070" x14ac:dyDescent="0.45">
      <c r="A1070">
        <v>5.3149999999999098</v>
      </c>
      <c r="B1070">
        <f t="shared" si="385"/>
        <v>0.16299999999955933</v>
      </c>
      <c r="C1070" t="b">
        <f t="shared" si="398"/>
        <v>1</v>
      </c>
      <c r="D1070" t="b">
        <f t="shared" si="386"/>
        <v>1</v>
      </c>
      <c r="E1070">
        <f t="shared" si="394"/>
        <v>5.3149999999999098</v>
      </c>
      <c r="F1070">
        <f t="shared" si="399"/>
        <v>0.16299999999955933</v>
      </c>
      <c r="G1070">
        <f t="shared" si="387"/>
        <v>0.21016036082883144</v>
      </c>
      <c r="H1070">
        <f t="shared" si="388"/>
        <v>3.4999999999830514E-2</v>
      </c>
      <c r="I1070" t="b">
        <f t="shared" si="400"/>
        <v>1</v>
      </c>
      <c r="J1070">
        <f t="shared" si="389"/>
        <v>5.3149999999999098</v>
      </c>
      <c r="K1070">
        <f t="shared" si="401"/>
        <v>3.4999999999830514E-2</v>
      </c>
      <c r="L1070">
        <f t="shared" si="390"/>
        <v>0.16975815551059537</v>
      </c>
      <c r="M1070">
        <f t="shared" si="391"/>
        <v>0.18999999999966105</v>
      </c>
      <c r="N1070">
        <f t="shared" si="392"/>
        <v>0.1879999955100003</v>
      </c>
      <c r="O1070">
        <f t="shared" si="393"/>
        <v>0.15777777777777779</v>
      </c>
      <c r="P1070">
        <f t="shared" si="406"/>
        <v>0.08</v>
      </c>
      <c r="Q1070">
        <f t="shared" si="402"/>
        <v>0.08</v>
      </c>
      <c r="R1070">
        <f t="shared" si="395"/>
        <v>0.08</v>
      </c>
      <c r="S1070">
        <f t="shared" si="396"/>
        <v>0.06</v>
      </c>
      <c r="T1070">
        <f t="shared" si="397"/>
        <v>0.1</v>
      </c>
      <c r="U1070">
        <f t="shared" si="403"/>
        <v>0.08</v>
      </c>
      <c r="V1070">
        <f t="shared" si="408"/>
        <v>0.1879999955100003</v>
      </c>
      <c r="W1070">
        <f t="shared" si="404"/>
        <v>0.1697532699278313</v>
      </c>
      <c r="X1070">
        <f t="shared" si="405"/>
        <v>0.21016360033246162</v>
      </c>
      <c r="Y1070" t="b">
        <f t="shared" si="407"/>
        <v>0</v>
      </c>
    </row>
    <row xmlns:x14ac="http://schemas.microsoft.com/office/spreadsheetml/2009/9/ac" r="1071" x14ac:dyDescent="0.45">
      <c r="A1071">
        <v>5.3199999999999097</v>
      </c>
      <c r="B1071">
        <f t="shared" si="385"/>
        <v>0.16299999999957285</v>
      </c>
      <c r="C1071" t="b">
        <f t="shared" si="398"/>
        <v>1</v>
      </c>
      <c r="D1071" t="b">
        <f t="shared" si="386"/>
        <v>1</v>
      </c>
      <c r="E1071">
        <f t="shared" si="394"/>
        <v>5.3199999999999097</v>
      </c>
      <c r="F1071">
        <f t="shared" si="399"/>
        <v>0.16299999999957285</v>
      </c>
      <c r="G1071">
        <f t="shared" si="387"/>
        <v>0.21015956102586097</v>
      </c>
      <c r="H1071">
        <f t="shared" si="388"/>
        <v>3.4999999999835704E-2</v>
      </c>
      <c r="I1071" t="b">
        <f t="shared" si="400"/>
        <v>1</v>
      </c>
      <c r="J1071">
        <f t="shared" si="389"/>
        <v>5.3199999999999097</v>
      </c>
      <c r="K1071">
        <f t="shared" si="401"/>
        <v>3.4999999999835704E-2</v>
      </c>
      <c r="L1071">
        <f t="shared" si="390"/>
        <v>0.1697593617150184</v>
      </c>
      <c r="M1071">
        <f t="shared" si="391"/>
        <v>0.18999999999967143</v>
      </c>
      <c r="N1071">
        <f t="shared" si="392"/>
        <v>0.18799999564553371</v>
      </c>
      <c r="O1071">
        <f t="shared" si="393"/>
        <v>0.15777777777777779</v>
      </c>
      <c r="P1071">
        <f t="shared" si="406"/>
        <v>0.08</v>
      </c>
      <c r="Q1071">
        <f t="shared" si="402"/>
        <v>0.08</v>
      </c>
      <c r="R1071">
        <f t="shared" si="395"/>
        <v>0.08</v>
      </c>
      <c r="S1071">
        <f t="shared" si="396"/>
        <v>0.06</v>
      </c>
      <c r="T1071">
        <f t="shared" si="397"/>
        <v>0.1</v>
      </c>
      <c r="U1071">
        <f t="shared" si="403"/>
        <v>0.08</v>
      </c>
      <c r="V1071">
        <f t="shared" si="408"/>
        <v>0.18799999564553371</v>
      </c>
      <c r="W1071">
        <f t="shared" si="404"/>
        <v>0.16975450049920005</v>
      </c>
      <c r="X1071">
        <f t="shared" si="405"/>
        <v>0.21016278437239938</v>
      </c>
      <c r="Y1071" t="b">
        <f t="shared" si="407"/>
        <v>0</v>
      </c>
    </row>
    <row xmlns:x14ac="http://schemas.microsoft.com/office/spreadsheetml/2009/9/ac" r="1072" x14ac:dyDescent="0.45">
      <c r="A1072">
        <v>5.3249999999999096</v>
      </c>
      <c r="B1072">
        <f t="shared" si="385"/>
        <v>0.16299999999958772</v>
      </c>
      <c r="C1072" t="b">
        <f t="shared" si="398"/>
        <v>1</v>
      </c>
      <c r="D1072" t="b">
        <f t="shared" si="386"/>
        <v>1</v>
      </c>
      <c r="E1072">
        <f t="shared" si="394"/>
        <v>5.3249999999999096</v>
      </c>
      <c r="F1072">
        <f t="shared" si="399"/>
        <v>0.16299999999958772</v>
      </c>
      <c r="G1072">
        <f t="shared" si="387"/>
        <v>0.21015876521192445</v>
      </c>
      <c r="H1072">
        <f t="shared" si="388"/>
        <v>3.4999999999841436E-2</v>
      </c>
      <c r="I1072" t="b">
        <f t="shared" si="400"/>
        <v>1</v>
      </c>
      <c r="J1072">
        <f t="shared" si="389"/>
        <v>5.3249999999999096</v>
      </c>
      <c r="K1072">
        <f t="shared" si="401"/>
        <v>3.4999999999841436E-2</v>
      </c>
      <c r="L1072">
        <f t="shared" si="390"/>
        <v>0.16976056190347177</v>
      </c>
      <c r="M1072">
        <f t="shared" si="391"/>
        <v>0.18999999999968287</v>
      </c>
      <c r="N1072">
        <f t="shared" si="392"/>
        <v>0.18799999579623594</v>
      </c>
      <c r="O1072">
        <f t="shared" si="393"/>
        <v>0.15777777777777779</v>
      </c>
      <c r="P1072">
        <f t="shared" si="406"/>
        <v>0.08</v>
      </c>
      <c r="Q1072">
        <f t="shared" si="402"/>
        <v>0.08</v>
      </c>
      <c r="R1072">
        <f t="shared" si="395"/>
        <v>0.08</v>
      </c>
      <c r="S1072">
        <f t="shared" si="396"/>
        <v>0.06</v>
      </c>
      <c r="T1072">
        <f t="shared" si="397"/>
        <v>0.1</v>
      </c>
      <c r="U1072">
        <f t="shared" si="403"/>
        <v>0.08</v>
      </c>
      <c r="V1072">
        <f t="shared" si="408"/>
        <v>0.18799999579623594</v>
      </c>
      <c r="W1072">
        <f t="shared" si="404"/>
        <v>0.16975572493306845</v>
      </c>
      <c r="X1072">
        <f t="shared" si="405"/>
        <v>0.21016197248195495</v>
      </c>
      <c r="Y1072" t="b">
        <f t="shared" si="407"/>
        <v>0</v>
      </c>
    </row>
    <row xmlns:x14ac="http://schemas.microsoft.com/office/spreadsheetml/2009/9/ac" r="1073" x14ac:dyDescent="0.45">
      <c r="A1073">
        <v>5.3299999999999104</v>
      </c>
      <c r="B1073">
        <f t="shared" si="385"/>
        <v>0.16299999999960388</v>
      </c>
      <c r="C1073" t="b">
        <f t="shared" si="398"/>
        <v>1</v>
      </c>
      <c r="D1073" t="b">
        <f t="shared" si="386"/>
        <v>1</v>
      </c>
      <c r="E1073">
        <f t="shared" si="394"/>
        <v>5.3299999999999104</v>
      </c>
      <c r="F1073">
        <f t="shared" si="399"/>
        <v>0.16299999999960388</v>
      </c>
      <c r="G1073">
        <f t="shared" si="387"/>
        <v>0.21015797336712649</v>
      </c>
      <c r="H1073">
        <f t="shared" si="388"/>
        <v>3.4999999999847639E-2</v>
      </c>
      <c r="I1073" t="b">
        <f t="shared" si="400"/>
        <v>1</v>
      </c>
      <c r="J1073">
        <f t="shared" si="389"/>
        <v>5.3299999999999104</v>
      </c>
      <c r="K1073">
        <f t="shared" si="401"/>
        <v>3.4999999999847639E-2</v>
      </c>
      <c r="L1073">
        <f t="shared" si="390"/>
        <v>0.16976175610596028</v>
      </c>
      <c r="M1073">
        <f t="shared" si="391"/>
        <v>0.1899999999996953</v>
      </c>
      <c r="N1073">
        <f t="shared" si="392"/>
        <v>0.18799999596095646</v>
      </c>
      <c r="O1073">
        <f t="shared" si="393"/>
        <v>0.15777777777777779</v>
      </c>
      <c r="P1073">
        <f t="shared" si="406"/>
        <v>0.08</v>
      </c>
      <c r="Q1073">
        <f t="shared" si="402"/>
        <v>0.08</v>
      </c>
      <c r="R1073">
        <f t="shared" si="395"/>
        <v>0.08</v>
      </c>
      <c r="S1073">
        <f t="shared" si="396"/>
        <v>0.06</v>
      </c>
      <c r="T1073">
        <f t="shared" si="397"/>
        <v>0.1</v>
      </c>
      <c r="U1073">
        <f t="shared" si="403"/>
        <v>0.08</v>
      </c>
      <c r="V1073">
        <f t="shared" si="408"/>
        <v>0.18799999596095646</v>
      </c>
      <c r="W1073">
        <f t="shared" si="404"/>
        <v>0.16975694326004748</v>
      </c>
      <c r="X1073">
        <f t="shared" si="405"/>
        <v>0.21016116464083096</v>
      </c>
      <c r="Y1073" t="b">
        <f t="shared" si="407"/>
        <v>0</v>
      </c>
    </row>
    <row xmlns:x14ac="http://schemas.microsoft.com/office/spreadsheetml/2009/9/ac" r="1074" x14ac:dyDescent="0.45">
      <c r="A1074">
        <v>5.3349999999999103</v>
      </c>
      <c r="B1074">
        <f t="shared" si="385"/>
        <v>0.16299999999962111</v>
      </c>
      <c r="C1074" t="b">
        <f t="shared" si="398"/>
        <v>1</v>
      </c>
      <c r="D1074" t="b">
        <f t="shared" si="386"/>
        <v>1</v>
      </c>
      <c r="E1074">
        <f t="shared" si="394"/>
        <v>5.3349999999999103</v>
      </c>
      <c r="F1074">
        <f t="shared" si="399"/>
        <v>0.16299999999962111</v>
      </c>
      <c r="G1074">
        <f t="shared" si="387"/>
        <v>0.21015718547167095</v>
      </c>
      <c r="H1074">
        <f t="shared" si="388"/>
        <v>3.4999999999854273E-2</v>
      </c>
      <c r="I1074" t="b">
        <f t="shared" si="400"/>
        <v>1</v>
      </c>
      <c r="J1074">
        <f t="shared" si="389"/>
        <v>5.3349999999999103</v>
      </c>
      <c r="K1074">
        <f t="shared" si="401"/>
        <v>3.4999999999854273E-2</v>
      </c>
      <c r="L1074">
        <f t="shared" si="390"/>
        <v>0.16976294435233902</v>
      </c>
      <c r="M1074">
        <f t="shared" si="391"/>
        <v>0.18999999999970857</v>
      </c>
      <c r="N1074">
        <f t="shared" si="392"/>
        <v>0.18799999613851864</v>
      </c>
      <c r="O1074">
        <f t="shared" si="393"/>
        <v>0.15777777777777779</v>
      </c>
      <c r="P1074">
        <f t="shared" si="406"/>
        <v>0.08</v>
      </c>
      <c r="Q1074">
        <f t="shared" si="402"/>
        <v>0.08</v>
      </c>
      <c r="R1074">
        <f t="shared" si="395"/>
        <v>0.08</v>
      </c>
      <c r="S1074">
        <f t="shared" si="396"/>
        <v>0.06</v>
      </c>
      <c r="T1074">
        <f t="shared" si="397"/>
        <v>0.1</v>
      </c>
      <c r="U1074">
        <f t="shared" si="403"/>
        <v>0.08</v>
      </c>
      <c r="V1074">
        <f t="shared" si="408"/>
        <v>0.18799999613851864</v>
      </c>
      <c r="W1074">
        <f t="shared" si="404"/>
        <v>0.16975815551059537</v>
      </c>
      <c r="X1074">
        <f t="shared" si="405"/>
        <v>0.21016036082883144</v>
      </c>
      <c r="Y1074" t="b">
        <f t="shared" si="407"/>
        <v>0</v>
      </c>
    </row>
    <row xmlns:x14ac="http://schemas.microsoft.com/office/spreadsheetml/2009/9/ac" r="1075" x14ac:dyDescent="0.45">
      <c r="A1075">
        <v>5.3399999999999102</v>
      </c>
      <c r="B1075">
        <f t="shared" si="385"/>
        <v>0.16299999999963932</v>
      </c>
      <c r="C1075" t="b">
        <f t="shared" si="398"/>
        <v>1</v>
      </c>
      <c r="D1075" t="b">
        <f t="shared" si="386"/>
        <v>1</v>
      </c>
      <c r="E1075">
        <f t="shared" si="394"/>
        <v>5.3399999999999102</v>
      </c>
      <c r="F1075">
        <f t="shared" si="399"/>
        <v>0.16299999999963932</v>
      </c>
      <c r="G1075">
        <f t="shared" si="387"/>
        <v>0.21015640150586035</v>
      </c>
      <c r="H1075">
        <f t="shared" si="388"/>
        <v>3.4999999999861281E-2</v>
      </c>
      <c r="I1075" t="b">
        <f t="shared" si="400"/>
        <v>1</v>
      </c>
      <c r="J1075">
        <f t="shared" si="389"/>
        <v>5.3399999999999102</v>
      </c>
      <c r="K1075">
        <f t="shared" si="401"/>
        <v>3.4999999999861281E-2</v>
      </c>
      <c r="L1075">
        <f t="shared" si="390"/>
        <v>0.16976412667231422</v>
      </c>
      <c r="M1075">
        <f t="shared" si="391"/>
        <v>0.18999999999972256</v>
      </c>
      <c r="N1075">
        <f t="shared" si="392"/>
        <v>0.18799999632772538</v>
      </c>
      <c r="O1075">
        <f t="shared" si="393"/>
        <v>0.15777777777777779</v>
      </c>
      <c r="P1075">
        <f t="shared" si="406"/>
        <v>0.08</v>
      </c>
      <c r="Q1075">
        <f t="shared" si="402"/>
        <v>0.08</v>
      </c>
      <c r="R1075">
        <f t="shared" si="395"/>
        <v>0.08</v>
      </c>
      <c r="S1075">
        <f t="shared" si="396"/>
        <v>0.06</v>
      </c>
      <c r="T1075">
        <f t="shared" si="397"/>
        <v>0.1</v>
      </c>
      <c r="U1075">
        <f t="shared" si="403"/>
        <v>0.08</v>
      </c>
      <c r="V1075">
        <f t="shared" si="408"/>
        <v>0.18799999632772538</v>
      </c>
      <c r="W1075">
        <f t="shared" si="404"/>
        <v>0.1697593617150184</v>
      </c>
      <c r="X1075">
        <f t="shared" si="405"/>
        <v>0.21015956102586097</v>
      </c>
      <c r="Y1075" t="b">
        <f t="shared" si="407"/>
        <v>0</v>
      </c>
    </row>
    <row xmlns:x14ac="http://schemas.microsoft.com/office/spreadsheetml/2009/9/ac" r="1076" x14ac:dyDescent="0.45">
      <c r="A1076">
        <v>5.34499999999991</v>
      </c>
      <c r="B1076">
        <f t="shared" si="385"/>
        <v>0.16299999999965836</v>
      </c>
      <c r="C1076" t="b">
        <f t="shared" si="398"/>
        <v>1</v>
      </c>
      <c r="D1076" t="b">
        <f t="shared" si="386"/>
        <v>1</v>
      </c>
      <c r="E1076">
        <f t="shared" si="394"/>
        <v>5.34499999999991</v>
      </c>
      <c r="F1076">
        <f t="shared" si="399"/>
        <v>0.16299999999965836</v>
      </c>
      <c r="G1076">
        <f t="shared" si="387"/>
        <v>0.21015562145009559</v>
      </c>
      <c r="H1076">
        <f t="shared" si="388"/>
        <v>3.4999999999868608E-2</v>
      </c>
      <c r="I1076" t="b">
        <f t="shared" si="400"/>
        <v>1</v>
      </c>
      <c r="J1076">
        <f t="shared" si="389"/>
        <v>5.34499999999991</v>
      </c>
      <c r="K1076">
        <f t="shared" si="401"/>
        <v>3.4999999999868608E-2</v>
      </c>
      <c r="L1076">
        <f t="shared" si="390"/>
        <v>0.16976530309544396</v>
      </c>
      <c r="M1076">
        <f t="shared" si="391"/>
        <v>0.18999999999973721</v>
      </c>
      <c r="N1076">
        <f t="shared" si="392"/>
        <v>0.1879999965273654</v>
      </c>
      <c r="O1076">
        <f t="shared" si="393"/>
        <v>0.15777777777777779</v>
      </c>
      <c r="P1076">
        <f t="shared" si="406"/>
        <v>0.08</v>
      </c>
      <c r="Q1076">
        <f t="shared" si="402"/>
        <v>0.08</v>
      </c>
      <c r="R1076">
        <f t="shared" si="395"/>
        <v>0.08</v>
      </c>
      <c r="S1076">
        <f t="shared" si="396"/>
        <v>0.06</v>
      </c>
      <c r="T1076">
        <f t="shared" si="397"/>
        <v>0.1</v>
      </c>
      <c r="U1076">
        <f t="shared" si="403"/>
        <v>0.08</v>
      </c>
      <c r="V1076">
        <f t="shared" si="408"/>
        <v>0.1879999965273654</v>
      </c>
      <c r="W1076">
        <f t="shared" si="404"/>
        <v>0.16976056190347177</v>
      </c>
      <c r="X1076">
        <f t="shared" si="405"/>
        <v>0.21015876521192445</v>
      </c>
      <c r="Y1076" t="b">
        <f t="shared" si="407"/>
        <v>0</v>
      </c>
    </row>
    <row xmlns:x14ac="http://schemas.microsoft.com/office/spreadsheetml/2009/9/ac" r="1077" x14ac:dyDescent="0.45">
      <c r="A1077">
        <v>5.3499999999999099</v>
      </c>
      <c r="B1077">
        <f t="shared" si="385"/>
        <v>0.16299999999967815</v>
      </c>
      <c r="C1077" t="b">
        <f t="shared" si="398"/>
        <v>1</v>
      </c>
      <c r="D1077" t="b">
        <f t="shared" si="386"/>
        <v>1</v>
      </c>
      <c r="E1077">
        <f t="shared" si="394"/>
        <v>5.3499999999999099</v>
      </c>
      <c r="F1077">
        <f t="shared" si="399"/>
        <v>0.16299999999967815</v>
      </c>
      <c r="G1077">
        <f t="shared" si="387"/>
        <v>0.21015484528487516</v>
      </c>
      <c r="H1077">
        <f t="shared" si="388"/>
        <v>3.4999999999876213E-2</v>
      </c>
      <c r="I1077" t="b">
        <f t="shared" si="400"/>
        <v>1</v>
      </c>
      <c r="J1077">
        <f t="shared" si="389"/>
        <v>5.3499999999999099</v>
      </c>
      <c r="K1077">
        <f t="shared" si="401"/>
        <v>3.4999999999876213E-2</v>
      </c>
      <c r="L1077">
        <f t="shared" si="390"/>
        <v>0.16976647365113884</v>
      </c>
      <c r="M1077">
        <f t="shared" si="391"/>
        <v>0.18999999999975242</v>
      </c>
      <c r="N1077">
        <f t="shared" si="392"/>
        <v>0.187999996736219</v>
      </c>
      <c r="O1077">
        <f t="shared" si="393"/>
        <v>0.15777777777777779</v>
      </c>
      <c r="P1077">
        <f t="shared" si="406"/>
        <v>0.08</v>
      </c>
      <c r="Q1077">
        <f t="shared" si="402"/>
        <v>0.08</v>
      </c>
      <c r="R1077">
        <f t="shared" si="395"/>
        <v>0.08</v>
      </c>
      <c r="S1077">
        <f t="shared" si="396"/>
        <v>0.06</v>
      </c>
      <c r="T1077">
        <f t="shared" si="397"/>
        <v>0.1</v>
      </c>
      <c r="U1077">
        <f t="shared" si="403"/>
        <v>0.08</v>
      </c>
      <c r="V1077">
        <f t="shared" si="408"/>
        <v>0.187999996736219</v>
      </c>
      <c r="W1077">
        <f t="shared" si="404"/>
        <v>0.16976175610596028</v>
      </c>
      <c r="X1077">
        <f t="shared" si="405"/>
        <v>0.21015797336712649</v>
      </c>
      <c r="Y1077" t="b">
        <f t="shared" si="407"/>
        <v>0</v>
      </c>
    </row>
    <row xmlns:x14ac="http://schemas.microsoft.com/office/spreadsheetml/2009/9/ac" r="1078" x14ac:dyDescent="0.45">
      <c r="A1078">
        <v>5.3549999999999098</v>
      </c>
      <c r="B1078">
        <f t="shared" si="385"/>
        <v>0.16299999999969847</v>
      </c>
      <c r="C1078" t="b">
        <f t="shared" si="398"/>
        <v>1</v>
      </c>
      <c r="D1078" t="b">
        <f t="shared" si="386"/>
        <v>1</v>
      </c>
      <c r="E1078">
        <f t="shared" si="394"/>
        <v>5.3549999999999098</v>
      </c>
      <c r="F1078">
        <f t="shared" si="399"/>
        <v>0.16299999999969847</v>
      </c>
      <c r="G1078">
        <f t="shared" si="387"/>
        <v>0.21015407299079497</v>
      </c>
      <c r="H1078">
        <f t="shared" si="388"/>
        <v>3.4999999999884027E-2</v>
      </c>
      <c r="I1078" t="b">
        <f t="shared" si="400"/>
        <v>1</v>
      </c>
      <c r="J1078">
        <f t="shared" si="389"/>
        <v>5.3549999999999098</v>
      </c>
      <c r="K1078">
        <f t="shared" si="401"/>
        <v>3.4999999999884027E-2</v>
      </c>
      <c r="L1078">
        <f t="shared" si="390"/>
        <v>0.16976763836866282</v>
      </c>
      <c r="M1078">
        <f t="shared" si="391"/>
        <v>0.18999999999976805</v>
      </c>
      <c r="N1078">
        <f t="shared" si="392"/>
        <v>0.18799999695306374</v>
      </c>
      <c r="O1078">
        <f t="shared" si="393"/>
        <v>0.15777777777777779</v>
      </c>
      <c r="P1078">
        <f t="shared" si="406"/>
        <v>0.08</v>
      </c>
      <c r="Q1078">
        <f t="shared" si="402"/>
        <v>0.08</v>
      </c>
      <c r="R1078">
        <f t="shared" si="395"/>
        <v>0.08</v>
      </c>
      <c r="S1078">
        <f t="shared" si="396"/>
        <v>0.06</v>
      </c>
      <c r="T1078">
        <f t="shared" si="397"/>
        <v>0.1</v>
      </c>
      <c r="U1078">
        <f t="shared" si="403"/>
        <v>0.08</v>
      </c>
      <c r="V1078">
        <f t="shared" si="408"/>
        <v>0.18799999695306374</v>
      </c>
      <c r="W1078">
        <f t="shared" si="404"/>
        <v>0.16976294435233902</v>
      </c>
      <c r="X1078">
        <f t="shared" si="405"/>
        <v>0.21015718547167095</v>
      </c>
      <c r="Y1078" t="b">
        <f t="shared" si="407"/>
        <v>0</v>
      </c>
    </row>
    <row xmlns:x14ac="http://schemas.microsoft.com/office/spreadsheetml/2009/9/ac" r="1079" x14ac:dyDescent="0.45">
      <c r="A1079">
        <v>5.3599999999999097</v>
      </c>
      <c r="B1079">
        <f t="shared" si="385"/>
        <v>0.16299999999971923</v>
      </c>
      <c r="C1079" t="b">
        <f t="shared" si="398"/>
        <v>1</v>
      </c>
      <c r="D1079" t="b">
        <f t="shared" si="386"/>
        <v>1</v>
      </c>
      <c r="E1079">
        <f t="shared" si="394"/>
        <v>5.3599999999999097</v>
      </c>
      <c r="F1079">
        <f t="shared" si="399"/>
        <v>0.16299999999971923</v>
      </c>
      <c r="G1079">
        <f t="shared" si="387"/>
        <v>0.21015330454854753</v>
      </c>
      <c r="H1079">
        <f t="shared" si="388"/>
        <v>3.499999999989202E-2</v>
      </c>
      <c r="I1079" t="b">
        <f t="shared" si="400"/>
        <v>1</v>
      </c>
      <c r="J1079">
        <f t="shared" si="389"/>
        <v>5.3599999999999097</v>
      </c>
      <c r="K1079">
        <f t="shared" si="401"/>
        <v>3.499999999989202E-2</v>
      </c>
      <c r="L1079">
        <f t="shared" si="390"/>
        <v>0.16976879727713395</v>
      </c>
      <c r="M1079">
        <f t="shared" si="391"/>
        <v>0.18999999999978404</v>
      </c>
      <c r="N1079">
        <f t="shared" si="392"/>
        <v>0.18799999717668003</v>
      </c>
      <c r="O1079">
        <f t="shared" si="393"/>
        <v>0.15777777777777779</v>
      </c>
      <c r="P1079">
        <f t="shared" si="406"/>
        <v>0.08</v>
      </c>
      <c r="Q1079">
        <f t="shared" si="402"/>
        <v>0.08</v>
      </c>
      <c r="R1079">
        <f t="shared" si="395"/>
        <v>0.08</v>
      </c>
      <c r="S1079">
        <f t="shared" si="396"/>
        <v>0.06</v>
      </c>
      <c r="T1079">
        <f t="shared" si="397"/>
        <v>0.1</v>
      </c>
      <c r="U1079">
        <f t="shared" si="403"/>
        <v>0.08</v>
      </c>
      <c r="V1079">
        <f t="shared" si="408"/>
        <v>0.18799999717668003</v>
      </c>
      <c r="W1079">
        <f t="shared" si="404"/>
        <v>0.16976412667231422</v>
      </c>
      <c r="X1079">
        <f t="shared" si="405"/>
        <v>0.21015640150586035</v>
      </c>
      <c r="Y1079" t="b">
        <f t="shared" si="407"/>
        <v>0</v>
      </c>
    </row>
    <row xmlns:x14ac="http://schemas.microsoft.com/office/spreadsheetml/2009/9/ac" r="1080" x14ac:dyDescent="0.45">
      <c r="A1080">
        <v>5.3649999999999096</v>
      </c>
      <c r="B1080">
        <f t="shared" si="385"/>
        <v>0.16299999999974035</v>
      </c>
      <c r="C1080" t="b">
        <f t="shared" si="398"/>
        <v>1</v>
      </c>
      <c r="D1080" t="b">
        <f t="shared" si="386"/>
        <v>1</v>
      </c>
      <c r="E1080">
        <f t="shared" si="394"/>
        <v>5.3649999999999096</v>
      </c>
      <c r="F1080">
        <f t="shared" si="399"/>
        <v>0.16299999999974035</v>
      </c>
      <c r="G1080">
        <f t="shared" si="387"/>
        <v>0.21015253993892175</v>
      </c>
      <c r="H1080">
        <f t="shared" si="388"/>
        <v>3.4999999999900139E-2</v>
      </c>
      <c r="I1080" t="b">
        <f t="shared" si="400"/>
        <v>1</v>
      </c>
      <c r="J1080">
        <f t="shared" si="389"/>
        <v>5.3649999999999096</v>
      </c>
      <c r="K1080">
        <f t="shared" si="401"/>
        <v>3.4999999999900139E-2</v>
      </c>
      <c r="L1080">
        <f t="shared" si="390"/>
        <v>0.16976995040552495</v>
      </c>
      <c r="M1080">
        <f t="shared" si="391"/>
        <v>0.18999999999980027</v>
      </c>
      <c r="N1080">
        <f t="shared" si="392"/>
        <v>0.18799999740585638</v>
      </c>
      <c r="O1080">
        <f t="shared" si="393"/>
        <v>0.15777777777777779</v>
      </c>
      <c r="P1080">
        <f t="shared" si="406"/>
        <v>0.08</v>
      </c>
      <c r="Q1080">
        <f t="shared" si="402"/>
        <v>0.08</v>
      </c>
      <c r="R1080">
        <f t="shared" si="395"/>
        <v>0.08</v>
      </c>
      <c r="S1080">
        <f t="shared" si="396"/>
        <v>0.06</v>
      </c>
      <c r="T1080">
        <f t="shared" si="397"/>
        <v>0.1</v>
      </c>
      <c r="U1080">
        <f t="shared" si="403"/>
        <v>0.08</v>
      </c>
      <c r="V1080">
        <f t="shared" si="408"/>
        <v>0.18799999740585638</v>
      </c>
      <c r="W1080">
        <f t="shared" si="404"/>
        <v>0.16976530309544396</v>
      </c>
      <c r="X1080">
        <f t="shared" si="405"/>
        <v>0.21015562145009559</v>
      </c>
      <c r="Y1080" t="b">
        <f t="shared" si="407"/>
        <v>0</v>
      </c>
    </row>
    <row xmlns:x14ac="http://schemas.microsoft.com/office/spreadsheetml/2009/9/ac" r="1081" x14ac:dyDescent="0.45">
      <c r="A1081">
        <v>5.3699999999999104</v>
      </c>
      <c r="B1081">
        <f t="shared" si="385"/>
        <v>0.1629999999997617</v>
      </c>
      <c r="C1081" t="b">
        <f t="shared" si="398"/>
        <v>1</v>
      </c>
      <c r="D1081" t="b">
        <f t="shared" si="386"/>
        <v>1</v>
      </c>
      <c r="E1081">
        <f t="shared" si="394"/>
        <v>5.3699999999999104</v>
      </c>
      <c r="F1081">
        <f t="shared" si="399"/>
        <v>0.1629999999997617</v>
      </c>
      <c r="G1081">
        <f t="shared" si="387"/>
        <v>0.21015177914280248</v>
      </c>
      <c r="H1081">
        <f t="shared" si="388"/>
        <v>3.4999999999908341E-2</v>
      </c>
      <c r="I1081" t="b">
        <f t="shared" si="400"/>
        <v>1</v>
      </c>
      <c r="J1081">
        <f t="shared" si="389"/>
        <v>5.3699999999999104</v>
      </c>
      <c r="K1081">
        <f t="shared" si="401"/>
        <v>3.4999999999908341E-2</v>
      </c>
      <c r="L1081">
        <f t="shared" si="390"/>
        <v>0.16977109778266414</v>
      </c>
      <c r="M1081">
        <f t="shared" si="391"/>
        <v>0.1899999999998167</v>
      </c>
      <c r="N1081">
        <f t="shared" si="392"/>
        <v>0.18799999763939479</v>
      </c>
      <c r="O1081">
        <f t="shared" si="393"/>
        <v>0.15777777777777779</v>
      </c>
      <c r="P1081">
        <f t="shared" si="406"/>
        <v>0.08</v>
      </c>
      <c r="Q1081">
        <f t="shared" si="402"/>
        <v>0.08</v>
      </c>
      <c r="R1081">
        <f t="shared" si="395"/>
        <v>0.08</v>
      </c>
      <c r="S1081">
        <f t="shared" si="396"/>
        <v>0.06</v>
      </c>
      <c r="T1081">
        <f t="shared" si="397"/>
        <v>0.1</v>
      </c>
      <c r="U1081">
        <f t="shared" si="403"/>
        <v>0.08</v>
      </c>
      <c r="V1081">
        <f t="shared" si="408"/>
        <v>0.18799999763939479</v>
      </c>
      <c r="W1081">
        <f t="shared" si="404"/>
        <v>0.16976647365113884</v>
      </c>
      <c r="X1081">
        <f t="shared" si="405"/>
        <v>0.21015484528487516</v>
      </c>
      <c r="Y1081" t="b">
        <f t="shared" si="407"/>
        <v>0</v>
      </c>
    </row>
    <row xmlns:x14ac="http://schemas.microsoft.com/office/spreadsheetml/2009/9/ac" r="1082" x14ac:dyDescent="0.45">
      <c r="A1082">
        <v>5.3749999999999103</v>
      </c>
      <c r="B1082">
        <f t="shared" si="385"/>
        <v>0.1629999999997831</v>
      </c>
      <c r="C1082" t="b">
        <f t="shared" si="398"/>
        <v>1</v>
      </c>
      <c r="D1082" t="b">
        <f t="shared" si="386"/>
        <v>1</v>
      </c>
      <c r="E1082">
        <f t="shared" si="394"/>
        <v>5.3749999999999103</v>
      </c>
      <c r="F1082">
        <f t="shared" si="399"/>
        <v>0.1629999999997831</v>
      </c>
      <c r="G1082">
        <f t="shared" si="387"/>
        <v>0.2101510221411696</v>
      </c>
      <c r="H1082">
        <f t="shared" si="388"/>
        <v>3.4999999999916584E-2</v>
      </c>
      <c r="I1082" t="b">
        <f t="shared" si="400"/>
        <v>1</v>
      </c>
      <c r="J1082">
        <f t="shared" si="389"/>
        <v>5.3749999999999103</v>
      </c>
      <c r="K1082">
        <f t="shared" si="401"/>
        <v>3.4999999999916584E-2</v>
      </c>
      <c r="L1082">
        <f t="shared" si="390"/>
        <v>0.16977223943723591</v>
      </c>
      <c r="M1082">
        <f t="shared" si="391"/>
        <v>0.18999999999983316</v>
      </c>
      <c r="N1082">
        <f t="shared" si="392"/>
        <v>0.18799999787611538</v>
      </c>
      <c r="O1082">
        <f t="shared" si="393"/>
        <v>0.15777777777777779</v>
      </c>
      <c r="P1082">
        <f t="shared" si="406"/>
        <v>0.08</v>
      </c>
      <c r="Q1082">
        <f t="shared" si="402"/>
        <v>0.08</v>
      </c>
      <c r="R1082">
        <f t="shared" si="395"/>
        <v>0.08</v>
      </c>
      <c r="S1082">
        <f t="shared" si="396"/>
        <v>0.06</v>
      </c>
      <c r="T1082">
        <f t="shared" si="397"/>
        <v>0.1</v>
      </c>
      <c r="U1082">
        <f t="shared" si="403"/>
        <v>0.08</v>
      </c>
      <c r="V1082">
        <f t="shared" si="408"/>
        <v>0.18799999787611538</v>
      </c>
      <c r="W1082">
        <f t="shared" si="404"/>
        <v>0.16976763836866282</v>
      </c>
      <c r="X1082">
        <f t="shared" si="405"/>
        <v>0.21015407299079497</v>
      </c>
      <c r="Y1082" t="b">
        <f t="shared" si="407"/>
        <v>0</v>
      </c>
    </row>
    <row xmlns:x14ac="http://schemas.microsoft.com/office/spreadsheetml/2009/9/ac" r="1083" x14ac:dyDescent="0.45">
      <c r="A1083">
        <v>5.3799999999999102</v>
      </c>
      <c r="B1083">
        <f t="shared" si="385"/>
        <v>0.16299999999980452</v>
      </c>
      <c r="C1083" t="b">
        <f t="shared" si="398"/>
        <v>1</v>
      </c>
      <c r="D1083" t="b">
        <f t="shared" si="386"/>
        <v>1</v>
      </c>
      <c r="E1083">
        <f t="shared" si="394"/>
        <v>5.3799999999999102</v>
      </c>
      <c r="F1083">
        <f t="shared" si="399"/>
        <v>0.16299999999980452</v>
      </c>
      <c r="G1083">
        <f t="shared" si="387"/>
        <v>0.21015026891509814</v>
      </c>
      <c r="H1083">
        <f t="shared" si="388"/>
        <v>3.4999999999924813E-2</v>
      </c>
      <c r="I1083" t="b">
        <f t="shared" si="400"/>
        <v>1</v>
      </c>
      <c r="J1083">
        <f t="shared" si="389"/>
        <v>5.3799999999999102</v>
      </c>
      <c r="K1083">
        <f t="shared" si="401"/>
        <v>3.4999999999924813E-2</v>
      </c>
      <c r="L1083">
        <f t="shared" si="390"/>
        <v>0.16977337539778181</v>
      </c>
      <c r="M1083">
        <f t="shared" si="391"/>
        <v>0.18999999999984962</v>
      </c>
      <c r="N1083">
        <f t="shared" si="392"/>
        <v>0.18799999811486129</v>
      </c>
      <c r="O1083">
        <f t="shared" si="393"/>
        <v>0.15777777777777779</v>
      </c>
      <c r="P1083">
        <f t="shared" si="406"/>
        <v>0.08</v>
      </c>
      <c r="Q1083">
        <f t="shared" si="402"/>
        <v>0.08</v>
      </c>
      <c r="R1083">
        <f t="shared" si="395"/>
        <v>0.08</v>
      </c>
      <c r="S1083">
        <f t="shared" si="396"/>
        <v>0.06</v>
      </c>
      <c r="T1083">
        <f t="shared" si="397"/>
        <v>0.1</v>
      </c>
      <c r="U1083">
        <f t="shared" si="403"/>
        <v>0.08</v>
      </c>
      <c r="V1083">
        <f t="shared" si="408"/>
        <v>0.18799999811486129</v>
      </c>
      <c r="W1083">
        <f t="shared" si="404"/>
        <v>0.16976879727713395</v>
      </c>
      <c r="X1083">
        <f t="shared" si="405"/>
        <v>0.21015330454854753</v>
      </c>
      <c r="Y1083" t="b">
        <f t="shared" si="407"/>
        <v>0</v>
      </c>
    </row>
    <row xmlns:x14ac="http://schemas.microsoft.com/office/spreadsheetml/2009/9/ac" r="1084" x14ac:dyDescent="0.45">
      <c r="A1084">
        <v>5.3849999999999101</v>
      </c>
      <c r="B1084">
        <f t="shared" si="385"/>
        <v>0.16299999999982584</v>
      </c>
      <c r="C1084" t="b">
        <f t="shared" si="398"/>
        <v>1</v>
      </c>
      <c r="D1084" t="b">
        <f t="shared" si="386"/>
        <v>1</v>
      </c>
      <c r="E1084">
        <f t="shared" si="394"/>
        <v>5.3849999999999101</v>
      </c>
      <c r="F1084">
        <f t="shared" si="399"/>
        <v>0.16299999999982584</v>
      </c>
      <c r="G1084">
        <f t="shared" si="387"/>
        <v>0.21014951944575744</v>
      </c>
      <c r="H1084">
        <f t="shared" si="388"/>
        <v>3.4999999999933015E-2</v>
      </c>
      <c r="I1084" t="b">
        <f t="shared" si="400"/>
        <v>1</v>
      </c>
      <c r="J1084">
        <f t="shared" si="389"/>
        <v>5.3849999999999101</v>
      </c>
      <c r="K1084">
        <f t="shared" si="401"/>
        <v>3.4999999999933015E-2</v>
      </c>
      <c r="L1084">
        <f t="shared" si="390"/>
        <v>0.16977450569270081</v>
      </c>
      <c r="M1084">
        <f t="shared" si="391"/>
        <v>0.18999999999986603</v>
      </c>
      <c r="N1084">
        <f t="shared" si="392"/>
        <v>0.18799999835450301</v>
      </c>
      <c r="O1084">
        <f t="shared" si="393"/>
        <v>0.15777777777777779</v>
      </c>
      <c r="P1084">
        <f t="shared" si="406"/>
        <v>0.08</v>
      </c>
      <c r="Q1084">
        <f t="shared" si="402"/>
        <v>0.08</v>
      </c>
      <c r="R1084">
        <f t="shared" si="395"/>
        <v>0.08</v>
      </c>
      <c r="S1084">
        <f t="shared" si="396"/>
        <v>0.06</v>
      </c>
      <c r="T1084">
        <f t="shared" si="397"/>
        <v>0.1</v>
      </c>
      <c r="U1084">
        <f t="shared" si="403"/>
        <v>0.08</v>
      </c>
      <c r="V1084">
        <f t="shared" si="408"/>
        <v>0.18799999835450301</v>
      </c>
      <c r="W1084">
        <f t="shared" si="404"/>
        <v>0.16976995040552495</v>
      </c>
      <c r="X1084">
        <f t="shared" si="405"/>
        <v>0.21015253993892175</v>
      </c>
      <c r="Y1084" t="b">
        <f t="shared" si="407"/>
        <v>0</v>
      </c>
    </row>
    <row xmlns:x14ac="http://schemas.microsoft.com/office/spreadsheetml/2009/9/ac" r="1085" x14ac:dyDescent="0.45">
      <c r="A1085">
        <v>5.38999999999991</v>
      </c>
      <c r="B1085">
        <f t="shared" si="385"/>
        <v>0.16299999999984693</v>
      </c>
      <c r="C1085" t="b">
        <f t="shared" si="398"/>
        <v>1</v>
      </c>
      <c r="D1085" t="b">
        <f t="shared" si="386"/>
        <v>1</v>
      </c>
      <c r="E1085">
        <f t="shared" si="394"/>
        <v>5.38999999999991</v>
      </c>
      <c r="F1085">
        <f t="shared" si="399"/>
        <v>0.16299999999984693</v>
      </c>
      <c r="G1085">
        <f t="shared" si="387"/>
        <v>0.2101487737144106</v>
      </c>
      <c r="H1085">
        <f t="shared" si="388"/>
        <v>3.4999999999941134E-2</v>
      </c>
      <c r="I1085" t="b">
        <f t="shared" si="400"/>
        <v>1</v>
      </c>
      <c r="J1085">
        <f t="shared" si="389"/>
        <v>5.38999999999991</v>
      </c>
      <c r="K1085">
        <f t="shared" si="401"/>
        <v>3.4999999999941134E-2</v>
      </c>
      <c r="L1085">
        <f t="shared" si="390"/>
        <v>0.16977563035025039</v>
      </c>
      <c r="M1085">
        <f t="shared" si="391"/>
        <v>0.18999999999988226</v>
      </c>
      <c r="N1085">
        <f t="shared" si="392"/>
        <v>0.18799999859394267</v>
      </c>
      <c r="O1085">
        <f t="shared" si="393"/>
        <v>0.15777777777777779</v>
      </c>
      <c r="P1085">
        <f t="shared" si="406"/>
        <v>0.08</v>
      </c>
      <c r="Q1085">
        <f t="shared" si="402"/>
        <v>0.08</v>
      </c>
      <c r="R1085">
        <f t="shared" si="395"/>
        <v>0.08</v>
      </c>
      <c r="S1085">
        <f t="shared" si="396"/>
        <v>0.06</v>
      </c>
      <c r="T1085">
        <f t="shared" si="397"/>
        <v>0.1</v>
      </c>
      <c r="U1085">
        <f t="shared" si="403"/>
        <v>0.08</v>
      </c>
      <c r="V1085">
        <f t="shared" si="408"/>
        <v>0.18799999859394267</v>
      </c>
      <c r="W1085">
        <f t="shared" si="404"/>
        <v>0.16977109778266414</v>
      </c>
      <c r="X1085">
        <f t="shared" si="405"/>
        <v>0.21015177914280248</v>
      </c>
      <c r="Y1085" t="b">
        <f t="shared" si="407"/>
        <v>0</v>
      </c>
    </row>
    <row xmlns:x14ac="http://schemas.microsoft.com/office/spreadsheetml/2009/9/ac" r="1086" x14ac:dyDescent="0.45">
      <c r="A1086">
        <v>5.3949999999999099</v>
      </c>
      <c r="B1086">
        <f t="shared" si="385"/>
        <v>0.16299999999986772</v>
      </c>
      <c r="C1086" t="b">
        <f t="shared" si="398"/>
        <v>1</v>
      </c>
      <c r="D1086" t="b">
        <f t="shared" si="386"/>
        <v>1</v>
      </c>
      <c r="E1086">
        <f t="shared" si="394"/>
        <v>5.3949999999999099</v>
      </c>
      <c r="F1086">
        <f t="shared" si="399"/>
        <v>0.16299999999986772</v>
      </c>
      <c r="G1086">
        <f t="shared" si="387"/>
        <v>0.21014803170241442</v>
      </c>
      <c r="H1086">
        <f t="shared" si="388"/>
        <v>3.4999999999949127E-2</v>
      </c>
      <c r="I1086" t="b">
        <f t="shared" si="400"/>
        <v>1</v>
      </c>
      <c r="J1086">
        <f t="shared" si="389"/>
        <v>5.3949999999999099</v>
      </c>
      <c r="K1086">
        <f t="shared" si="401"/>
        <v>3.4999999999949127E-2</v>
      </c>
      <c r="L1086">
        <f t="shared" si="390"/>
        <v>0.16977674939854703</v>
      </c>
      <c r="M1086">
        <f t="shared" si="391"/>
        <v>0.18999999999989825</v>
      </c>
      <c r="N1086">
        <f t="shared" si="392"/>
        <v>0.18799999883211782</v>
      </c>
      <c r="O1086">
        <f t="shared" si="393"/>
        <v>0.15777777777777779</v>
      </c>
      <c r="P1086">
        <f t="shared" si="406"/>
        <v>0.08</v>
      </c>
      <c r="Q1086">
        <f t="shared" si="402"/>
        <v>0.08</v>
      </c>
      <c r="R1086">
        <f t="shared" si="395"/>
        <v>0.08</v>
      </c>
      <c r="S1086">
        <f t="shared" si="396"/>
        <v>0.06</v>
      </c>
      <c r="T1086">
        <f t="shared" si="397"/>
        <v>0.1</v>
      </c>
      <c r="U1086">
        <f t="shared" si="403"/>
        <v>0.08</v>
      </c>
      <c r="V1086">
        <f t="shared" si="408"/>
        <v>0.18799999883211782</v>
      </c>
      <c r="W1086">
        <f t="shared" si="404"/>
        <v>0.16977223943723591</v>
      </c>
      <c r="X1086">
        <f t="shared" si="405"/>
        <v>0.2101510221411696</v>
      </c>
      <c r="Y1086" t="b">
        <f t="shared" si="407"/>
        <v>0</v>
      </c>
    </row>
    <row xmlns:x14ac="http://schemas.microsoft.com/office/spreadsheetml/2009/9/ac" r="1087" x14ac:dyDescent="0.45">
      <c r="A1087">
        <v>5.3999999999999098</v>
      </c>
      <c r="B1087">
        <f t="shared" si="385"/>
        <v>0.16299999999988815</v>
      </c>
      <c r="C1087" t="b">
        <f t="shared" si="398"/>
        <v>1</v>
      </c>
      <c r="D1087" t="b">
        <f t="shared" si="386"/>
        <v>1</v>
      </c>
      <c r="E1087">
        <f t="shared" si="394"/>
        <v>5.3999999999999098</v>
      </c>
      <c r="F1087">
        <f t="shared" si="399"/>
        <v>0.16299999999988815</v>
      </c>
      <c r="G1087">
        <f t="shared" si="387"/>
        <v>0.21014729339121846</v>
      </c>
      <c r="H1087">
        <f t="shared" si="388"/>
        <v>3.4999999999956982E-2</v>
      </c>
      <c r="I1087" t="b">
        <f t="shared" si="400"/>
        <v>1</v>
      </c>
      <c r="J1087">
        <f t="shared" si="389"/>
        <v>5.3999999999999098</v>
      </c>
      <c r="K1087">
        <f t="shared" si="401"/>
        <v>3.4999999999956982E-2</v>
      </c>
      <c r="L1087">
        <f t="shared" si="390"/>
        <v>0.16977786286556706</v>
      </c>
      <c r="M1087">
        <f t="shared" si="391"/>
        <v>0.18999999999991396</v>
      </c>
      <c r="N1087">
        <f t="shared" si="392"/>
        <v>0.18799999906800516</v>
      </c>
      <c r="O1087">
        <f t="shared" si="393"/>
        <v>0.15777777777777779</v>
      </c>
      <c r="P1087">
        <f t="shared" si="406"/>
        <v>0.08</v>
      </c>
      <c r="Q1087">
        <f t="shared" si="402"/>
        <v>0.08</v>
      </c>
      <c r="R1087">
        <f t="shared" si="395"/>
        <v>0.08</v>
      </c>
      <c r="S1087">
        <f t="shared" si="396"/>
        <v>0.06</v>
      </c>
      <c r="T1087">
        <f t="shared" si="397"/>
        <v>0.1</v>
      </c>
      <c r="U1087">
        <f t="shared" si="403"/>
        <v>0.08</v>
      </c>
      <c r="V1087">
        <f t="shared" si="408"/>
        <v>0.18799999906800516</v>
      </c>
      <c r="W1087">
        <f t="shared" si="404"/>
        <v>0.16977337539778181</v>
      </c>
      <c r="X1087">
        <f t="shared" si="405"/>
        <v>0.21015026891509814</v>
      </c>
      <c r="Y1087" t="b">
        <f t="shared" si="407"/>
        <v>0</v>
      </c>
    </row>
    <row xmlns:x14ac="http://schemas.microsoft.com/office/spreadsheetml/2009/9/ac" r="1088" x14ac:dyDescent="0.45">
      <c r="A1088">
        <v>5.4049999999999097</v>
      </c>
      <c r="B1088">
        <f t="shared" si="385"/>
        <v>0.16299999999990814</v>
      </c>
      <c r="C1088" t="b">
        <f t="shared" si="398"/>
        <v>1</v>
      </c>
      <c r="D1088" t="b">
        <f t="shared" si="386"/>
        <v>1</v>
      </c>
      <c r="E1088">
        <f t="shared" si="394"/>
        <v>5.4049999999999097</v>
      </c>
      <c r="F1088">
        <f t="shared" si="399"/>
        <v>0.16299999999990814</v>
      </c>
      <c r="G1088">
        <f t="shared" si="387"/>
        <v>0.21014655876236499</v>
      </c>
      <c r="H1088">
        <f t="shared" si="388"/>
        <v>3.499999999996467E-2</v>
      </c>
      <c r="I1088" t="b">
        <f t="shared" si="400"/>
        <v>1</v>
      </c>
      <c r="J1088">
        <f t="shared" si="389"/>
        <v>5.4049999999999097</v>
      </c>
      <c r="K1088">
        <f t="shared" si="401"/>
        <v>3.499999999996467E-2</v>
      </c>
      <c r="L1088">
        <f t="shared" si="390"/>
        <v>0.16977897077914711</v>
      </c>
      <c r="M1088">
        <f t="shared" si="391"/>
        <v>0.18999999999992934</v>
      </c>
      <c r="N1088">
        <f t="shared" si="392"/>
        <v>0.18799999930062378</v>
      </c>
      <c r="O1088">
        <f t="shared" si="393"/>
        <v>0.15777777777777779</v>
      </c>
      <c r="P1088">
        <f t="shared" si="406"/>
        <v>0.08</v>
      </c>
      <c r="Q1088">
        <f t="shared" si="402"/>
        <v>0.08</v>
      </c>
      <c r="R1088">
        <f t="shared" si="395"/>
        <v>0.08</v>
      </c>
      <c r="S1088">
        <f t="shared" si="396"/>
        <v>0.06</v>
      </c>
      <c r="T1088">
        <f t="shared" si="397"/>
        <v>0.1</v>
      </c>
      <c r="U1088">
        <f t="shared" si="403"/>
        <v>0.08</v>
      </c>
      <c r="V1088">
        <f t="shared" si="408"/>
        <v>0.18799999930062378</v>
      </c>
      <c r="W1088">
        <f t="shared" si="404"/>
        <v>0.16977450569270081</v>
      </c>
      <c r="X1088">
        <f t="shared" si="405"/>
        <v>0.21014951944575744</v>
      </c>
      <c r="Y1088" t="b">
        <f t="shared" si="407"/>
        <v>0</v>
      </c>
    </row>
    <row xmlns:x14ac="http://schemas.microsoft.com/office/spreadsheetml/2009/9/ac" r="1089" x14ac:dyDescent="0.45">
      <c r="A1089">
        <v>5.4099999999999104</v>
      </c>
      <c r="B1089">
        <f t="shared" si="385"/>
        <v>0.16299999999992754</v>
      </c>
      <c r="C1089" t="b">
        <f t="shared" si="398"/>
        <v>1</v>
      </c>
      <c r="D1089" t="b">
        <f t="shared" si="386"/>
        <v>1</v>
      </c>
      <c r="E1089">
        <f t="shared" si="394"/>
        <v>5.4099999999999104</v>
      </c>
      <c r="F1089">
        <f t="shared" si="399"/>
        <v>0.16299999999992754</v>
      </c>
      <c r="G1089">
        <f t="shared" si="387"/>
        <v>0.21014582779748819</v>
      </c>
      <c r="H1089">
        <f t="shared" si="388"/>
        <v>3.4999999999972137E-2</v>
      </c>
      <c r="I1089" t="b">
        <f t="shared" si="400"/>
        <v>1</v>
      </c>
      <c r="J1089">
        <f t="shared" si="389"/>
        <v>5.4099999999999104</v>
      </c>
      <c r="K1089">
        <f t="shared" si="401"/>
        <v>3.4999999999972137E-2</v>
      </c>
      <c r="L1089">
        <f t="shared" si="390"/>
        <v>0.16978007316698512</v>
      </c>
      <c r="M1089">
        <f t="shared" si="391"/>
        <v>0.18999999999994427</v>
      </c>
      <c r="N1089">
        <f t="shared" si="392"/>
        <v>0.18799999952903823</v>
      </c>
      <c r="O1089">
        <f t="shared" si="393"/>
        <v>0.15777777777777779</v>
      </c>
      <c r="P1089">
        <f t="shared" si="406"/>
        <v>0.08</v>
      </c>
      <c r="Q1089">
        <f t="shared" si="402"/>
        <v>0.08</v>
      </c>
      <c r="R1089">
        <f t="shared" si="395"/>
        <v>0.08</v>
      </c>
      <c r="S1089">
        <f t="shared" si="396"/>
        <v>0.06</v>
      </c>
      <c r="T1089">
        <f t="shared" si="397"/>
        <v>0.1</v>
      </c>
      <c r="U1089">
        <f t="shared" si="403"/>
        <v>0.08</v>
      </c>
      <c r="V1089">
        <f t="shared" si="408"/>
        <v>0.18799999952903823</v>
      </c>
      <c r="W1089">
        <f t="shared" si="404"/>
        <v>0.16977563035025039</v>
      </c>
      <c r="X1089">
        <f t="shared" si="405"/>
        <v>0.2101487737144106</v>
      </c>
      <c r="Y1089" t="b">
        <f t="shared" si="407"/>
        <v>0</v>
      </c>
    </row>
    <row xmlns:x14ac="http://schemas.microsoft.com/office/spreadsheetml/2009/9/ac" r="1090" x14ac:dyDescent="0.45">
      <c r="A1090">
        <v>5.4149999999999103</v>
      </c>
      <c r="B1090">
        <f t="shared" si="385"/>
        <v>0.16299999999994635</v>
      </c>
      <c r="C1090" t="b">
        <f t="shared" si="398"/>
        <v>1</v>
      </c>
      <c r="D1090" t="b">
        <f t="shared" si="386"/>
        <v>1</v>
      </c>
      <c r="E1090">
        <f t="shared" si="394"/>
        <v>5.4149999999999103</v>
      </c>
      <c r="F1090">
        <f t="shared" si="399"/>
        <v>0.16299999999994635</v>
      </c>
      <c r="G1090">
        <f t="shared" si="387"/>
        <v>0.21014510047831392</v>
      </c>
      <c r="H1090">
        <f t="shared" si="388"/>
        <v>3.4999999999979367E-2</v>
      </c>
      <c r="I1090" t="b">
        <f t="shared" si="400"/>
        <v>1</v>
      </c>
      <c r="J1090">
        <f t="shared" si="389"/>
        <v>5.4149999999999103</v>
      </c>
      <c r="K1090">
        <f t="shared" si="401"/>
        <v>3.4999999999979367E-2</v>
      </c>
      <c r="L1090">
        <f t="shared" si="390"/>
        <v>0.1697811700566409</v>
      </c>
      <c r="M1090">
        <f t="shared" si="391"/>
        <v>0.18999999999995876</v>
      </c>
      <c r="N1090">
        <f t="shared" si="392"/>
        <v>0.18799999975236142</v>
      </c>
      <c r="O1090">
        <f t="shared" si="393"/>
        <v>0.15777777777777779</v>
      </c>
      <c r="P1090">
        <f t="shared" si="406"/>
        <v>0.08</v>
      </c>
      <c r="Q1090">
        <f t="shared" si="402"/>
        <v>0.08</v>
      </c>
      <c r="R1090">
        <f t="shared" si="395"/>
        <v>0.08</v>
      </c>
      <c r="S1090">
        <f t="shared" si="396"/>
        <v>0.06</v>
      </c>
      <c r="T1090">
        <f t="shared" si="397"/>
        <v>0.1</v>
      </c>
      <c r="U1090">
        <f t="shared" si="403"/>
        <v>0.08</v>
      </c>
      <c r="V1090">
        <f t="shared" si="408"/>
        <v>0.18799999975236142</v>
      </c>
      <c r="W1090">
        <f t="shared" si="404"/>
        <v>0.16977674939854703</v>
      </c>
      <c r="X1090">
        <f t="shared" si="405"/>
        <v>0.21014803170241442</v>
      </c>
      <c r="Y1090" t="b">
        <f t="shared" si="407"/>
        <v>0</v>
      </c>
    </row>
    <row xmlns:x14ac="http://schemas.microsoft.com/office/spreadsheetml/2009/9/ac" r="1091" x14ac:dyDescent="0.45">
      <c r="A1091">
        <v>5.4199999999999102</v>
      </c>
      <c r="B1091">
        <f t="shared" si="385"/>
        <v>0.16299999999996453</v>
      </c>
      <c r="C1091" t="b">
        <f t="shared" si="398"/>
        <v>1</v>
      </c>
      <c r="D1091" t="b">
        <f t="shared" si="386"/>
        <v>1</v>
      </c>
      <c r="E1091">
        <f t="shared" si="394"/>
        <v>5.4199999999999102</v>
      </c>
      <c r="F1091">
        <f t="shared" si="399"/>
        <v>0.16299999999996453</v>
      </c>
      <c r="G1091">
        <f t="shared" si="387"/>
        <v>0.2101443767866592</v>
      </c>
      <c r="H1091">
        <f t="shared" si="388"/>
        <v>3.4999999999986361E-2</v>
      </c>
      <c r="I1091" t="b">
        <f t="shared" si="400"/>
        <v>1</v>
      </c>
      <c r="J1091">
        <f t="shared" si="389"/>
        <v>5.4199999999999102</v>
      </c>
      <c r="K1091">
        <f t="shared" si="401"/>
        <v>3.4999999999986361E-2</v>
      </c>
      <c r="L1091">
        <f t="shared" si="390"/>
        <v>0.16978226147553666</v>
      </c>
      <c r="M1091">
        <f t="shared" si="391"/>
        <v>0.18999999999997275</v>
      </c>
      <c r="N1091">
        <f t="shared" si="392"/>
        <v>0.18799999996975675</v>
      </c>
      <c r="O1091">
        <f t="shared" si="393"/>
        <v>0.15777777777777779</v>
      </c>
      <c r="P1091">
        <f t="shared" si="406"/>
        <v>0.08</v>
      </c>
      <c r="Q1091">
        <f t="shared" si="402"/>
        <v>0.08</v>
      </c>
      <c r="R1091">
        <f t="shared" si="395"/>
        <v>0.08</v>
      </c>
      <c r="S1091">
        <f t="shared" si="396"/>
        <v>0.06</v>
      </c>
      <c r="T1091">
        <f t="shared" si="397"/>
        <v>0.1</v>
      </c>
      <c r="U1091">
        <f t="shared" si="403"/>
        <v>0.08</v>
      </c>
      <c r="V1091">
        <f t="shared" si="408"/>
        <v>0.18799999996975675</v>
      </c>
      <c r="W1091">
        <f t="shared" si="404"/>
        <v>0.16977786286556706</v>
      </c>
      <c r="X1091">
        <f t="shared" si="405"/>
        <v>0.21014729339121846</v>
      </c>
      <c r="Y1091" t="b">
        <f t="shared" si="407"/>
        <v>0</v>
      </c>
    </row>
    <row xmlns:x14ac="http://schemas.microsoft.com/office/spreadsheetml/2009/9/ac" r="1092" x14ac:dyDescent="0.45">
      <c r="A1092">
        <v>5.4249999999999101</v>
      </c>
      <c r="B1092">
        <f t="shared" si="385"/>
        <v>0.16299999999998196</v>
      </c>
      <c r="C1092" t="b">
        <f t="shared" si="398"/>
        <v>1</v>
      </c>
      <c r="D1092" t="b">
        <f t="shared" si="386"/>
        <v>1</v>
      </c>
      <c r="E1092">
        <f t="shared" si="394"/>
        <v>5.4249999999999101</v>
      </c>
      <c r="F1092">
        <f t="shared" si="399"/>
        <v>0.16299999999998196</v>
      </c>
      <c r="G1092">
        <f t="shared" si="387"/>
        <v>0.21014365670443164</v>
      </c>
      <c r="H1092">
        <f t="shared" si="388"/>
        <v>3.4999999999993064E-2</v>
      </c>
      <c r="I1092" t="b">
        <f t="shared" si="400"/>
        <v>1</v>
      </c>
      <c r="J1092">
        <f t="shared" si="389"/>
        <v>5.4249999999999101</v>
      </c>
      <c r="K1092">
        <f t="shared" si="401"/>
        <v>3.4999999999993064E-2</v>
      </c>
      <c r="L1092">
        <f t="shared" si="390"/>
        <v>0.16978334745095797</v>
      </c>
      <c r="M1092">
        <f t="shared" si="391"/>
        <v>0.18999999999998612</v>
      </c>
      <c r="N1092">
        <f t="shared" si="392"/>
        <v>0.18800000018044061</v>
      </c>
      <c r="O1092">
        <f t="shared" si="393"/>
        <v>0.15777777777777779</v>
      </c>
      <c r="P1092">
        <f t="shared" si="406"/>
        <v>0.08</v>
      </c>
      <c r="Q1092">
        <f t="shared" si="402"/>
        <v>0.08</v>
      </c>
      <c r="R1092">
        <f t="shared" si="395"/>
        <v>0.08</v>
      </c>
      <c r="S1092">
        <f t="shared" si="396"/>
        <v>0.06</v>
      </c>
      <c r="T1092">
        <f t="shared" si="397"/>
        <v>0.1</v>
      </c>
      <c r="U1092">
        <f t="shared" si="403"/>
        <v>0.08</v>
      </c>
      <c r="V1092">
        <f t="shared" si="408"/>
        <v>0.18800000018044061</v>
      </c>
      <c r="W1092">
        <f t="shared" si="404"/>
        <v>0.16977897077914711</v>
      </c>
      <c r="X1092">
        <f t="shared" si="405"/>
        <v>0.21014655876236499</v>
      </c>
      <c r="Y1092" t="b">
        <f t="shared" si="407"/>
        <v>0</v>
      </c>
    </row>
    <row xmlns:x14ac="http://schemas.microsoft.com/office/spreadsheetml/2009/9/ac" r="1093" x14ac:dyDescent="0.45">
      <c r="A1093">
        <v>5.42999999999991</v>
      </c>
      <c r="B1093">
        <f t="shared" si="385"/>
        <v>0.16299999999999867</v>
      </c>
      <c r="C1093" t="b">
        <f t="shared" si="398"/>
        <v>1</v>
      </c>
      <c r="D1093" t="b">
        <f t="shared" si="386"/>
        <v>1</v>
      </c>
      <c r="E1093">
        <f t="shared" si="394"/>
        <v>5.42999999999991</v>
      </c>
      <c r="F1093">
        <f t="shared" si="399"/>
        <v>0.16299999999999867</v>
      </c>
      <c r="G1093">
        <f t="shared" si="387"/>
        <v>0.21014294021362917</v>
      </c>
      <c r="H1093">
        <f t="shared" si="388"/>
        <v>3.499999999999949E-2</v>
      </c>
      <c r="I1093" t="b">
        <f t="shared" si="400"/>
        <v>1</v>
      </c>
      <c r="J1093">
        <f t="shared" si="389"/>
        <v>5.42999999999991</v>
      </c>
      <c r="K1093">
        <f t="shared" si="401"/>
        <v>3.499999999999949E-2</v>
      </c>
      <c r="L1093">
        <f t="shared" si="390"/>
        <v>0.16978442801005428</v>
      </c>
      <c r="M1093">
        <f t="shared" si="391"/>
        <v>0.189999999999999</v>
      </c>
      <c r="N1093">
        <f t="shared" si="392"/>
        <v>0.18800000038368384</v>
      </c>
      <c r="O1093">
        <f t="shared" si="393"/>
        <v>0.15777777777777779</v>
      </c>
      <c r="P1093">
        <f t="shared" si="406"/>
        <v>0.08</v>
      </c>
      <c r="Q1093">
        <f t="shared" si="402"/>
        <v>0.08</v>
      </c>
      <c r="R1093">
        <f t="shared" si="395"/>
        <v>0.08</v>
      </c>
      <c r="S1093">
        <f t="shared" si="396"/>
        <v>0.06</v>
      </c>
      <c r="T1093">
        <f t="shared" si="397"/>
        <v>0.1</v>
      </c>
      <c r="U1093">
        <f t="shared" si="403"/>
        <v>0.08</v>
      </c>
      <c r="V1093">
        <f t="shared" si="408"/>
        <v>0.18800000038368384</v>
      </c>
      <c r="W1093">
        <f t="shared" si="404"/>
        <v>0.16978007316698512</v>
      </c>
      <c r="X1093">
        <f t="shared" si="405"/>
        <v>0.21014582779748819</v>
      </c>
      <c r="Y1093" t="b">
        <f t="shared" si="407"/>
        <v>0</v>
      </c>
    </row>
    <row xmlns:x14ac="http://schemas.microsoft.com/office/spreadsheetml/2009/9/ac" r="1094" x14ac:dyDescent="0.45">
      <c r="A1094">
        <v>5.4349999999999099</v>
      </c>
      <c r="B1094">
        <f t="shared" si="385"/>
        <v>0.16300000000001455</v>
      </c>
      <c r="C1094" t="b">
        <f t="shared" si="398"/>
        <v>1</v>
      </c>
      <c r="D1094" t="b">
        <f t="shared" si="386"/>
        <v>1</v>
      </c>
      <c r="E1094">
        <f t="shared" si="394"/>
        <v>5.4349999999999099</v>
      </c>
      <c r="F1094">
        <f t="shared" si="399"/>
        <v>0.16300000000001455</v>
      </c>
      <c r="G1094">
        <f t="shared" si="387"/>
        <v>0.21014222729633947</v>
      </c>
      <c r="H1094">
        <f t="shared" si="388"/>
        <v>3.5000000000005596E-2</v>
      </c>
      <c r="I1094" t="b">
        <f t="shared" si="400"/>
        <v>1</v>
      </c>
      <c r="J1094">
        <f t="shared" si="389"/>
        <v>5.4349999999999099</v>
      </c>
      <c r="K1094">
        <f t="shared" si="401"/>
        <v>3.5000000000005596E-2</v>
      </c>
      <c r="L1094">
        <f t="shared" si="390"/>
        <v>0.16978550317983959</v>
      </c>
      <c r="M1094">
        <f t="shared" si="391"/>
        <v>0.19000000000001119</v>
      </c>
      <c r="N1094">
        <f t="shared" si="392"/>
        <v>0.18800000057881358</v>
      </c>
      <c r="O1094">
        <f t="shared" si="393"/>
        <v>0.15777777777777779</v>
      </c>
      <c r="P1094">
        <f t="shared" si="406"/>
        <v>0.08</v>
      </c>
      <c r="Q1094">
        <f t="shared" si="402"/>
        <v>0.08</v>
      </c>
      <c r="R1094">
        <f t="shared" si="395"/>
        <v>0.08</v>
      </c>
      <c r="S1094">
        <f t="shared" si="396"/>
        <v>0.06</v>
      </c>
      <c r="T1094">
        <f t="shared" si="397"/>
        <v>0.1</v>
      </c>
      <c r="U1094">
        <f t="shared" si="403"/>
        <v>0.08</v>
      </c>
      <c r="V1094">
        <f t="shared" si="408"/>
        <v>0.18800000057881358</v>
      </c>
      <c r="W1094">
        <f t="shared" si="404"/>
        <v>0.1697811700566409</v>
      </c>
      <c r="X1094">
        <f t="shared" si="405"/>
        <v>0.21014510047831392</v>
      </c>
      <c r="Y1094" t="b">
        <f t="shared" si="407"/>
        <v>0</v>
      </c>
    </row>
    <row xmlns:x14ac="http://schemas.microsoft.com/office/spreadsheetml/2009/9/ac" r="1095" x14ac:dyDescent="0.45">
      <c r="A1095">
        <v>5.4399999999999098</v>
      </c>
      <c r="B1095">
        <f t="shared" ref="B1095:B1158" si="409">-(1+Marge_haute)*(A+B/Tpll*EXP(-$A1095/Tpll)+C_*EXP(-epsilon*Wn*$A1095)*COS(Wd*$A1095)+C_*(D/C_-epsilon*Wn)/Wd*EXP(-epsilon*Wn*$A1095)*SIN(Wd*$A1095))+SIGN(DeltaPexpected)*Tunnel</f>
        <v>0.16300000000002957</v>
      </c>
      <c r="C1095" t="b">
        <f t="shared" si="398"/>
        <v>1</v>
      </c>
      <c r="D1095" t="b">
        <f t="shared" ref="D1095:D1158" si="410">IF(D1094,D1094,IF(C1095,B1095&gt;B1094,C1095))</f>
        <v>1</v>
      </c>
      <c r="E1095">
        <f t="shared" si="394"/>
        <v>5.4399999999999098</v>
      </c>
      <c r="F1095">
        <f t="shared" si="399"/>
        <v>0.16300000000002957</v>
      </c>
      <c r="G1095">
        <f t="shared" ref="G1095:G1158" si="411">P0-SIGN(Rocof)*IF(D1095,DeltaPexpected+SIGN(DeltaPexpected)*Tunnel+(MIN(F$7:F$1495)-DeltaPexpected-+SIGN(DeltaPexpected)*Tunnel)*EXP(-(A1095-MIN(E$7:E$1495))/Texpodecrease),B1095)</f>
        <v>0.21014151793473962</v>
      </c>
      <c r="H1095">
        <f t="shared" ref="H1095:H1158" si="412">-(1-marge_basse)*(A+B/Tpll*EXP(-$A1095/Tpll)+C_*EXP(-epsilon*Wn*$A1095)*COS(Wd*$A1095)+C_*(D/C_-epsilon*Wn)/Wd*EXP(-epsilon*Wn*$A1095)*SIN(Wd*$A1095))-Tunnel</f>
        <v>3.5000000000011369E-2</v>
      </c>
      <c r="I1095" t="b">
        <f t="shared" si="400"/>
        <v>1</v>
      </c>
      <c r="J1095">
        <f t="shared" ref="J1095:J1158" si="413">IF(I1095,A1095,I1095)</f>
        <v>5.4399999999999098</v>
      </c>
      <c r="K1095">
        <f t="shared" si="401"/>
        <v>3.5000000000011369E-2</v>
      </c>
      <c r="L1095">
        <f t="shared" ref="L1095:L1158" si="414">P0-SIGN(Rocof)*IF(I1095,AF$23-AF$13+(MAX(K$7:K$1495)-AF$23+AF$13)*EXP(-(A1095-MIN(J$7:J$1495))/AB$21),H1095)</f>
        <v>0.16978657298719324</v>
      </c>
      <c r="M1095">
        <f t="shared" ref="M1095:M1158" si="415">P0-(1)*(A+B/Tpll*EXP(-$A1095/Tpll)+C_*EXP(-epsilon*Wn*$A1095)*COS(Wd*$A1095)+C_*(D/C_-epsilon*Wn)/Wd*EXP(-epsilon*Wn*$A1095)*SIN(Wd*$A1095))</f>
        <v>0.19000000000002276</v>
      </c>
      <c r="N1095">
        <f t="shared" ref="N1095:N1158" si="416">AB$6-(AG$17+AG$16/AC$18*EXP(-$A1095/AC$18)+AG$18*EXP(-AG$6*AG$12*$A1095)*COS(AG$5*$A1095)+AG$18*(AG$19/AG$18-AG$6*AG$12)/AG$5*EXP(-AG$6*AG$12*$A1095)*SIN(AG$5*$A1095))</f>
        <v>0.18800000076521434</v>
      </c>
      <c r="O1095">
        <f t="shared" ref="O1095:O1158" si="417">AB$6-(AH$17+AH$16/AD$18*EXP(-$A1095/AD$18)+AH$18*EXP(-AH$6*AH$12*$A1095)*COS(AH$5*$A1095)+AH$18*(AH$19/AH$18-AH$6*AH$12)/AH$5*EXP(-AH$6*AH$12*$A1095)*SIN(AH$5*$A1095))</f>
        <v>0.15777777777777779</v>
      </c>
      <c r="P1095">
        <f t="shared" si="406"/>
        <v>0.08</v>
      </c>
      <c r="Q1095">
        <f t="shared" si="402"/>
        <v>0.08</v>
      </c>
      <c r="R1095">
        <f t="shared" si="395"/>
        <v>0.08</v>
      </c>
      <c r="S1095">
        <f t="shared" si="396"/>
        <v>0.06</v>
      </c>
      <c r="T1095">
        <f t="shared" si="397"/>
        <v>0.1</v>
      </c>
      <c r="U1095">
        <f t="shared" si="403"/>
        <v>0.08</v>
      </c>
      <c r="V1095">
        <f t="shared" si="408"/>
        <v>0.18800000076521434</v>
      </c>
      <c r="W1095">
        <f t="shared" si="404"/>
        <v>0.16978226147553666</v>
      </c>
      <c r="X1095">
        <f t="shared" si="405"/>
        <v>0.2101443767866592</v>
      </c>
      <c r="Y1095" t="b">
        <f t="shared" si="407"/>
        <v>0</v>
      </c>
    </row>
    <row xmlns:x14ac="http://schemas.microsoft.com/office/spreadsheetml/2009/9/ac" r="1096" x14ac:dyDescent="0.45">
      <c r="A1096">
        <v>5.4449999999999097</v>
      </c>
      <c r="B1096">
        <f t="shared" si="409"/>
        <v>0.16300000000004372</v>
      </c>
      <c r="C1096" t="b">
        <f t="shared" si="398"/>
        <v>1</v>
      </c>
      <c r="D1096" t="b">
        <f t="shared" si="410"/>
        <v>1</v>
      </c>
      <c r="E1096">
        <f t="shared" ref="E1096:E1159" si="418">IF(D1096,A1096,D1096)</f>
        <v>5.4449999999999097</v>
      </c>
      <c r="F1096">
        <f t="shared" si="399"/>
        <v>0.16300000000004372</v>
      </c>
      <c r="G1096">
        <f t="shared" si="411"/>
        <v>0.21014081211109553</v>
      </c>
      <c r="H1096">
        <f t="shared" si="412"/>
        <v>3.5000000000016823E-2</v>
      </c>
      <c r="I1096" t="b">
        <f t="shared" si="400"/>
        <v>1</v>
      </c>
      <c r="J1096">
        <f t="shared" si="413"/>
        <v>5.4449999999999097</v>
      </c>
      <c r="K1096">
        <f t="shared" si="401"/>
        <v>3.5000000000016823E-2</v>
      </c>
      <c r="L1096">
        <f t="shared" si="414"/>
        <v>0.16978763745886047</v>
      </c>
      <c r="M1096">
        <f t="shared" si="415"/>
        <v>0.19000000000003364</v>
      </c>
      <c r="N1096">
        <f t="shared" si="416"/>
        <v>0.18800000094232902</v>
      </c>
      <c r="O1096">
        <f t="shared" si="417"/>
        <v>0.15777777777777779</v>
      </c>
      <c r="P1096">
        <f t="shared" si="406"/>
        <v>0.08</v>
      </c>
      <c r="Q1096">
        <f t="shared" si="402"/>
        <v>0.08</v>
      </c>
      <c r="R1096">
        <f t="shared" ref="R1096:R1159" si="419">$AB$6-(1+AB$17)*EXP(-AF$6*AF$12*A1096)*(COS(AF$5*A1096)-(AF$6*AF$12-1)/(AF$5)*SIN(AF$5*A1096))*AF$15</f>
        <v>0.08</v>
      </c>
      <c r="S1096">
        <f t="shared" ref="S1096:S1159" si="420">R1096-AF$13</f>
        <v>0.06</v>
      </c>
      <c r="T1096">
        <f t="shared" ref="T1096:T1159" si="421">R1096+AF$13</f>
        <v>0.1</v>
      </c>
      <c r="U1096">
        <f t="shared" si="403"/>
        <v>0.08</v>
      </c>
      <c r="V1096">
        <f t="shared" si="408"/>
        <v>0.18800000094232902</v>
      </c>
      <c r="W1096">
        <f t="shared" si="404"/>
        <v>0.16978334745095797</v>
      </c>
      <c r="X1096">
        <f t="shared" si="405"/>
        <v>0.21014365670443164</v>
      </c>
      <c r="Y1096" t="b">
        <f t="shared" si="407"/>
        <v>0</v>
      </c>
    </row>
    <row xmlns:x14ac="http://schemas.microsoft.com/office/spreadsheetml/2009/9/ac" r="1097" x14ac:dyDescent="0.45">
      <c r="A1097">
        <v>5.4499999999999096</v>
      </c>
      <c r="B1097">
        <f t="shared" si="409"/>
        <v>0.16300000000005699</v>
      </c>
      <c r="C1097" t="b">
        <f t="shared" ref="C1097:C1160" si="422">IF(C1096,C1096,(B1097&lt;B1096))</f>
        <v>1</v>
      </c>
      <c r="D1097" t="b">
        <f t="shared" si="410"/>
        <v>1</v>
      </c>
      <c r="E1097">
        <f t="shared" si="418"/>
        <v>5.4499999999999096</v>
      </c>
      <c r="F1097">
        <f t="shared" ref="F1097:F1160" si="423">IF(D1097,B1097,D1097)</f>
        <v>0.16300000000005699</v>
      </c>
      <c r="G1097">
        <f t="shared" si="411"/>
        <v>0.21014010980776149</v>
      </c>
      <c r="H1097">
        <f t="shared" si="412"/>
        <v>3.5000000000021916E-2</v>
      </c>
      <c r="I1097" t="b">
        <f t="shared" ref="I1097:I1160" si="424">IF(I1096,I1096,H1096&gt;H1097)</f>
        <v>1</v>
      </c>
      <c r="J1097">
        <f t="shared" si="413"/>
        <v>5.4499999999999096</v>
      </c>
      <c r="K1097">
        <f t="shared" ref="K1097:K1160" si="425">IF(I1097,H1097,I1097)</f>
        <v>3.5000000000021916E-2</v>
      </c>
      <c r="L1097">
        <f t="shared" si="414"/>
        <v>0.1697886966214531</v>
      </c>
      <c r="M1097">
        <f t="shared" si="415"/>
        <v>0.19000000000004386</v>
      </c>
      <c r="N1097">
        <f t="shared" si="416"/>
        <v>0.18800000110965945</v>
      </c>
      <c r="O1097">
        <f t="shared" si="417"/>
        <v>0.15777777777777779</v>
      </c>
      <c r="P1097">
        <f t="shared" si="406"/>
        <v>0.08</v>
      </c>
      <c r="Q1097">
        <f t="shared" ref="Q1097:Q1160" si="426">$AB$6-(1+AB$17)*EXP(-AF$6*AF$12*A1095)*(COS(AF$5*A1095)-(AF$6*AF$12-1)/(AF$5)*SIN(AF$5*A1095))*AF$15</f>
        <v>0.08</v>
      </c>
      <c r="R1097">
        <f t="shared" si="419"/>
        <v>0.08</v>
      </c>
      <c r="S1097">
        <f t="shared" si="420"/>
        <v>0.06</v>
      </c>
      <c r="T1097">
        <f t="shared" si="421"/>
        <v>0.1</v>
      </c>
      <c r="U1097">
        <f t="shared" ref="U1097:U1160" si="427">$AB$6-AB$18*EXP(-AF$6*AF$12*A1095)*(COS(AF$5*A1095)-(AF$6*AF$12-1)/(AF$5)*SIN(AF$5*A1095))*AF$15</f>
        <v>0.08</v>
      </c>
      <c r="V1097">
        <f t="shared" si="408"/>
        <v>0.18800000110965945</v>
      </c>
      <c r="W1097">
        <f t="shared" si="404"/>
        <v>0.16978442801005428</v>
      </c>
      <c r="X1097">
        <f t="shared" si="405"/>
        <v>0.21014294021362917</v>
      </c>
      <c r="Y1097" t="b">
        <f t="shared" si="407"/>
        <v>0</v>
      </c>
    </row>
    <row xmlns:x14ac="http://schemas.microsoft.com/office/spreadsheetml/2009/9/ac" r="1098" x14ac:dyDescent="0.45">
      <c r="A1098">
        <v>5.4549999999999104</v>
      </c>
      <c r="B1098">
        <f t="shared" si="409"/>
        <v>0.16300000000006934</v>
      </c>
      <c r="C1098" t="b">
        <f t="shared" si="422"/>
        <v>1</v>
      </c>
      <c r="D1098" t="b">
        <f t="shared" si="410"/>
        <v>1</v>
      </c>
      <c r="E1098">
        <f t="shared" si="418"/>
        <v>5.4549999999999104</v>
      </c>
      <c r="F1098">
        <f t="shared" si="423"/>
        <v>0.16300000000006934</v>
      </c>
      <c r="G1098">
        <f t="shared" si="411"/>
        <v>0.21013941100717998</v>
      </c>
      <c r="H1098">
        <f t="shared" si="412"/>
        <v>3.5000000000026663E-2</v>
      </c>
      <c r="I1098" t="b">
        <f t="shared" si="424"/>
        <v>1</v>
      </c>
      <c r="J1098">
        <f t="shared" si="413"/>
        <v>5.4549999999999104</v>
      </c>
      <c r="K1098">
        <f t="shared" si="425"/>
        <v>3.5000000000026663E-2</v>
      </c>
      <c r="L1098">
        <f t="shared" si="414"/>
        <v>0.16978975050145026</v>
      </c>
      <c r="M1098">
        <f t="shared" si="415"/>
        <v>0.19000000000005335</v>
      </c>
      <c r="N1098">
        <f t="shared" si="416"/>
        <v>0.1880000012667668</v>
      </c>
      <c r="O1098">
        <f t="shared" si="417"/>
        <v>0.15777777777777779</v>
      </c>
      <c r="P1098">
        <f t="shared" si="406"/>
        <v>0.08</v>
      </c>
      <c r="Q1098">
        <f t="shared" si="426"/>
        <v>0.08</v>
      </c>
      <c r="R1098">
        <f t="shared" si="419"/>
        <v>0.08</v>
      </c>
      <c r="S1098">
        <f t="shared" si="420"/>
        <v>0.06</v>
      </c>
      <c r="T1098">
        <f t="shared" si="421"/>
        <v>0.1</v>
      </c>
      <c r="U1098">
        <f t="shared" si="427"/>
        <v>0.08</v>
      </c>
      <c r="V1098">
        <f t="shared" si="408"/>
        <v>0.1880000012667668</v>
      </c>
      <c r="W1098">
        <f t="shared" si="404"/>
        <v>0.16978550317983959</v>
      </c>
      <c r="X1098">
        <f t="shared" si="405"/>
        <v>0.21014222729633947</v>
      </c>
      <c r="Y1098" t="b">
        <f t="shared" si="407"/>
        <v>0</v>
      </c>
    </row>
    <row xmlns:x14ac="http://schemas.microsoft.com/office/spreadsheetml/2009/9/ac" r="1099" x14ac:dyDescent="0.45">
      <c r="A1099">
        <v>5.4599999999999103</v>
      </c>
      <c r="B1099">
        <f t="shared" si="409"/>
        <v>0.16300000000008072</v>
      </c>
      <c r="C1099" t="b">
        <f t="shared" si="422"/>
        <v>1</v>
      </c>
      <c r="D1099" t="b">
        <f t="shared" si="410"/>
        <v>1</v>
      </c>
      <c r="E1099">
        <f t="shared" si="418"/>
        <v>5.4599999999999103</v>
      </c>
      <c r="F1099">
        <f t="shared" si="423"/>
        <v>0.16300000000008072</v>
      </c>
      <c r="G1099">
        <f t="shared" si="411"/>
        <v>0.21013871569188092</v>
      </c>
      <c r="H1099">
        <f t="shared" si="412"/>
        <v>3.5000000000031048E-2</v>
      </c>
      <c r="I1099" t="b">
        <f t="shared" si="424"/>
        <v>1</v>
      </c>
      <c r="J1099">
        <f t="shared" si="413"/>
        <v>5.4599999999999103</v>
      </c>
      <c r="K1099">
        <f t="shared" si="425"/>
        <v>3.5000000000031048E-2</v>
      </c>
      <c r="L1099">
        <f t="shared" si="414"/>
        <v>0.16979079912519901</v>
      </c>
      <c r="M1099">
        <f t="shared" si="415"/>
        <v>0.19000000000006212</v>
      </c>
      <c r="N1099">
        <f t="shared" si="416"/>
        <v>0.18800000141327183</v>
      </c>
      <c r="O1099">
        <f t="shared" si="417"/>
        <v>0.15777777777777779</v>
      </c>
      <c r="P1099">
        <f t="shared" si="406"/>
        <v>0.08</v>
      </c>
      <c r="Q1099">
        <f t="shared" si="426"/>
        <v>0.08</v>
      </c>
      <c r="R1099">
        <f t="shared" si="419"/>
        <v>0.08</v>
      </c>
      <c r="S1099">
        <f t="shared" si="420"/>
        <v>0.06</v>
      </c>
      <c r="T1099">
        <f t="shared" si="421"/>
        <v>0.1</v>
      </c>
      <c r="U1099">
        <f t="shared" si="427"/>
        <v>0.08</v>
      </c>
      <c r="V1099">
        <f t="shared" si="408"/>
        <v>0.18800000141327183</v>
      </c>
      <c r="W1099">
        <f t="shared" ref="W1099:W1162" si="428">IF(EMT_Simulation,L1095,L1099)</f>
        <v>0.16978657298719324</v>
      </c>
      <c r="X1099">
        <f t="shared" ref="X1099:X1162" si="429">IF(EMT_Simulation,G1095,G1099)</f>
        <v>0.21014151793473962</v>
      </c>
      <c r="Y1099" t="b">
        <f t="shared" si="407"/>
        <v>0</v>
      </c>
    </row>
    <row xmlns:x14ac="http://schemas.microsoft.com/office/spreadsheetml/2009/9/ac" r="1100" x14ac:dyDescent="0.45">
      <c r="A1100">
        <v>5.4649999999999102</v>
      </c>
      <c r="B1100">
        <f t="shared" si="409"/>
        <v>0.16300000000009121</v>
      </c>
      <c r="C1100" t="b">
        <f t="shared" si="422"/>
        <v>1</v>
      </c>
      <c r="D1100" t="b">
        <f t="shared" si="410"/>
        <v>1</v>
      </c>
      <c r="E1100">
        <f t="shared" si="418"/>
        <v>5.4649999999999102</v>
      </c>
      <c r="F1100">
        <f t="shared" si="423"/>
        <v>0.16300000000009121</v>
      </c>
      <c r="G1100">
        <f t="shared" si="411"/>
        <v>0.21013802384448133</v>
      </c>
      <c r="H1100">
        <f t="shared" si="412"/>
        <v>3.5000000000035086E-2</v>
      </c>
      <c r="I1100" t="b">
        <f t="shared" si="424"/>
        <v>1</v>
      </c>
      <c r="J1100">
        <f t="shared" si="413"/>
        <v>5.4649999999999102</v>
      </c>
      <c r="K1100">
        <f t="shared" si="425"/>
        <v>3.5000000000035086E-2</v>
      </c>
      <c r="L1100">
        <f t="shared" si="414"/>
        <v>0.16979184251891499</v>
      </c>
      <c r="M1100">
        <f t="shared" si="415"/>
        <v>0.19000000000007017</v>
      </c>
      <c r="N1100">
        <f t="shared" si="416"/>
        <v>0.18800000154885443</v>
      </c>
      <c r="O1100">
        <f t="shared" si="417"/>
        <v>0.15777777777777779</v>
      </c>
      <c r="P1100">
        <f t="shared" si="406"/>
        <v>0.08</v>
      </c>
      <c r="Q1100">
        <f t="shared" si="426"/>
        <v>0.08</v>
      </c>
      <c r="R1100">
        <f t="shared" si="419"/>
        <v>0.08</v>
      </c>
      <c r="S1100">
        <f t="shared" si="420"/>
        <v>0.06</v>
      </c>
      <c r="T1100">
        <f t="shared" si="421"/>
        <v>0.1</v>
      </c>
      <c r="U1100">
        <f t="shared" si="427"/>
        <v>0.08</v>
      </c>
      <c r="V1100">
        <f t="shared" si="408"/>
        <v>0.18800000154885443</v>
      </c>
      <c r="W1100">
        <f t="shared" si="428"/>
        <v>0.16978763745886047</v>
      </c>
      <c r="X1100">
        <f t="shared" si="429"/>
        <v>0.21014081211109553</v>
      </c>
      <c r="Y1100" t="b">
        <f t="shared" si="407"/>
        <v>0</v>
      </c>
    </row>
    <row xmlns:x14ac="http://schemas.microsoft.com/office/spreadsheetml/2009/9/ac" r="1101" x14ac:dyDescent="0.45">
      <c r="A1101">
        <v>5.46999999999991</v>
      </c>
      <c r="B1101">
        <f t="shared" si="409"/>
        <v>0.16300000000010073</v>
      </c>
      <c r="C1101" t="b">
        <f t="shared" si="422"/>
        <v>1</v>
      </c>
      <c r="D1101" t="b">
        <f t="shared" si="410"/>
        <v>1</v>
      </c>
      <c r="E1101">
        <f t="shared" si="418"/>
        <v>5.46999999999991</v>
      </c>
      <c r="F1101">
        <f t="shared" si="423"/>
        <v>0.16300000000010073</v>
      </c>
      <c r="G1101">
        <f t="shared" si="411"/>
        <v>0.21013733544768509</v>
      </c>
      <c r="H1101">
        <f t="shared" si="412"/>
        <v>3.5000000000038736E-2</v>
      </c>
      <c r="I1101" t="b">
        <f t="shared" si="424"/>
        <v>1</v>
      </c>
      <c r="J1101">
        <f t="shared" si="413"/>
        <v>5.46999999999991</v>
      </c>
      <c r="K1101">
        <f t="shared" si="425"/>
        <v>3.5000000000038736E-2</v>
      </c>
      <c r="L1101">
        <f t="shared" si="414"/>
        <v>0.16979288070868309</v>
      </c>
      <c r="M1101">
        <f t="shared" si="415"/>
        <v>0.1900000000000775</v>
      </c>
      <c r="N1101">
        <f t="shared" si="416"/>
        <v>0.18800000167325343</v>
      </c>
      <c r="O1101">
        <f t="shared" si="417"/>
        <v>0.15777777777777779</v>
      </c>
      <c r="P1101">
        <f t="shared" si="406"/>
        <v>0.08</v>
      </c>
      <c r="Q1101">
        <f t="shared" si="426"/>
        <v>0.08</v>
      </c>
      <c r="R1101">
        <f t="shared" si="419"/>
        <v>0.08</v>
      </c>
      <c r="S1101">
        <f t="shared" si="420"/>
        <v>0.06</v>
      </c>
      <c r="T1101">
        <f t="shared" si="421"/>
        <v>0.1</v>
      </c>
      <c r="U1101">
        <f t="shared" si="427"/>
        <v>0.08</v>
      </c>
      <c r="V1101">
        <f t="shared" si="408"/>
        <v>0.18800000167325343</v>
      </c>
      <c r="W1101">
        <f t="shared" si="428"/>
        <v>0.1697886966214531</v>
      </c>
      <c r="X1101">
        <f t="shared" si="429"/>
        <v>0.21014010980776149</v>
      </c>
      <c r="Y1101" t="b">
        <f t="shared" si="407"/>
        <v>0</v>
      </c>
    </row>
    <row xmlns:x14ac="http://schemas.microsoft.com/office/spreadsheetml/2009/9/ac" r="1102" x14ac:dyDescent="0.45">
      <c r="A1102">
        <v>5.4749999999999099</v>
      </c>
      <c r="B1102">
        <f t="shared" si="409"/>
        <v>0.16300000000010928</v>
      </c>
      <c r="C1102" t="b">
        <f t="shared" si="422"/>
        <v>1</v>
      </c>
      <c r="D1102" t="b">
        <f t="shared" si="410"/>
        <v>1</v>
      </c>
      <c r="E1102">
        <f t="shared" si="418"/>
        <v>5.4749999999999099</v>
      </c>
      <c r="F1102">
        <f t="shared" si="423"/>
        <v>0.16300000000010928</v>
      </c>
      <c r="G1102">
        <f t="shared" si="411"/>
        <v>0.21013665048428215</v>
      </c>
      <c r="H1102">
        <f t="shared" si="412"/>
        <v>3.5000000000042039E-2</v>
      </c>
      <c r="I1102" t="b">
        <f t="shared" si="424"/>
        <v>1</v>
      </c>
      <c r="J1102">
        <f t="shared" si="413"/>
        <v>5.4749999999999099</v>
      </c>
      <c r="K1102">
        <f t="shared" si="425"/>
        <v>3.5000000000042039E-2</v>
      </c>
      <c r="L1102">
        <f t="shared" si="414"/>
        <v>0.16979391372045813</v>
      </c>
      <c r="M1102">
        <f t="shared" si="415"/>
        <v>0.19000000000008407</v>
      </c>
      <c r="N1102">
        <f t="shared" si="416"/>
        <v>0.18800000178626569</v>
      </c>
      <c r="O1102">
        <f t="shared" si="417"/>
        <v>0.15777777777777779</v>
      </c>
      <c r="P1102">
        <f t="shared" ref="P1102:P1165" si="430">$AB$6-EXP(-AF$6*AF$12*A1102)*(COS(AF$5*A1102)-(AF$6*AF$12-1)/(AF$5)*SIN(AF$5*A1102))*AF$15</f>
        <v>0.08</v>
      </c>
      <c r="Q1102">
        <f t="shared" si="426"/>
        <v>0.08</v>
      </c>
      <c r="R1102">
        <f t="shared" si="419"/>
        <v>0.08</v>
      </c>
      <c r="S1102">
        <f t="shared" si="420"/>
        <v>0.06</v>
      </c>
      <c r="T1102">
        <f t="shared" si="421"/>
        <v>0.1</v>
      </c>
      <c r="U1102">
        <f t="shared" si="427"/>
        <v>0.08</v>
      </c>
      <c r="V1102">
        <f t="shared" si="408"/>
        <v>0.18800000178626569</v>
      </c>
      <c r="W1102">
        <f t="shared" si="428"/>
        <v>0.16978975050145026</v>
      </c>
      <c r="X1102">
        <f t="shared" si="429"/>
        <v>0.21013941100717998</v>
      </c>
      <c r="Y1102" t="b">
        <f t="shared" si="407"/>
        <v>0</v>
      </c>
    </row>
    <row xmlns:x14ac="http://schemas.microsoft.com/office/spreadsheetml/2009/9/ac" r="1103" x14ac:dyDescent="0.45">
      <c r="A1103">
        <v>5.4799999999999098</v>
      </c>
      <c r="B1103">
        <f t="shared" si="409"/>
        <v>0.16300000000011691</v>
      </c>
      <c r="C1103" t="b">
        <f t="shared" si="422"/>
        <v>1</v>
      </c>
      <c r="D1103" t="b">
        <f t="shared" si="410"/>
        <v>1</v>
      </c>
      <c r="E1103">
        <f t="shared" si="418"/>
        <v>5.4799999999999098</v>
      </c>
      <c r="F1103">
        <f t="shared" si="423"/>
        <v>0.16300000000011691</v>
      </c>
      <c r="G1103">
        <f t="shared" si="411"/>
        <v>0.21013596893714848</v>
      </c>
      <c r="H1103">
        <f t="shared" si="412"/>
        <v>3.5000000000044967E-2</v>
      </c>
      <c r="I1103" t="b">
        <f t="shared" si="424"/>
        <v>1</v>
      </c>
      <c r="J1103">
        <f t="shared" si="413"/>
        <v>5.4799999999999098</v>
      </c>
      <c r="K1103">
        <f t="shared" si="425"/>
        <v>3.5000000000044967E-2</v>
      </c>
      <c r="L1103">
        <f t="shared" si="414"/>
        <v>0.16979494158006547</v>
      </c>
      <c r="M1103">
        <f t="shared" si="415"/>
        <v>0.19000000000008993</v>
      </c>
      <c r="N1103">
        <f t="shared" si="416"/>
        <v>0.1880000018877454</v>
      </c>
      <c r="O1103">
        <f t="shared" si="417"/>
        <v>0.15777777777777779</v>
      </c>
      <c r="P1103">
        <f t="shared" si="430"/>
        <v>0.08</v>
      </c>
      <c r="Q1103">
        <f t="shared" si="426"/>
        <v>0.08</v>
      </c>
      <c r="R1103">
        <f t="shared" si="419"/>
        <v>0.08</v>
      </c>
      <c r="S1103">
        <f t="shared" si="420"/>
        <v>0.06</v>
      </c>
      <c r="T1103">
        <f t="shared" si="421"/>
        <v>0.1</v>
      </c>
      <c r="U1103">
        <f t="shared" si="427"/>
        <v>0.08</v>
      </c>
      <c r="V1103">
        <f t="shared" si="408"/>
        <v>0.1880000018877454</v>
      </c>
      <c r="W1103">
        <f t="shared" si="428"/>
        <v>0.16979079912519901</v>
      </c>
      <c r="X1103">
        <f t="shared" si="429"/>
        <v>0.21013871569188092</v>
      </c>
      <c r="Y1103" t="b">
        <f t="shared" ref="Y1103:Y1166" si="431">IF(Y1102,TRUE,IF(P1103&lt;P1102,TRUE))</f>
        <v>0</v>
      </c>
    </row>
    <row xmlns:x14ac="http://schemas.microsoft.com/office/spreadsheetml/2009/9/ac" r="1104" x14ac:dyDescent="0.45">
      <c r="A1104">
        <v>5.4849999999999097</v>
      </c>
      <c r="B1104">
        <f t="shared" si="409"/>
        <v>0.1630000000001236</v>
      </c>
      <c r="C1104" t="b">
        <f t="shared" si="422"/>
        <v>1</v>
      </c>
      <c r="D1104" t="b">
        <f t="shared" si="410"/>
        <v>1</v>
      </c>
      <c r="E1104">
        <f t="shared" si="418"/>
        <v>5.4849999999999097</v>
      </c>
      <c r="F1104">
        <f t="shared" si="423"/>
        <v>0.1630000000001236</v>
      </c>
      <c r="G1104">
        <f t="shared" si="411"/>
        <v>0.21013529078924531</v>
      </c>
      <c r="H1104">
        <f t="shared" si="412"/>
        <v>3.5000000000047549E-2</v>
      </c>
      <c r="I1104" t="b">
        <f t="shared" si="424"/>
        <v>1</v>
      </c>
      <c r="J1104">
        <f t="shared" si="413"/>
        <v>5.4849999999999097</v>
      </c>
      <c r="K1104">
        <f t="shared" si="425"/>
        <v>3.5000000000047549E-2</v>
      </c>
      <c r="L1104">
        <f t="shared" si="414"/>
        <v>0.1697959643132016</v>
      </c>
      <c r="M1104">
        <f t="shared" si="415"/>
        <v>0.19000000000009509</v>
      </c>
      <c r="N1104">
        <f t="shared" si="416"/>
        <v>0.1880000019776028</v>
      </c>
      <c r="O1104">
        <f t="shared" si="417"/>
        <v>0.15777777777777779</v>
      </c>
      <c r="P1104">
        <f t="shared" si="430"/>
        <v>0.08</v>
      </c>
      <c r="Q1104">
        <f t="shared" si="426"/>
        <v>0.08</v>
      </c>
      <c r="R1104">
        <f t="shared" si="419"/>
        <v>0.08</v>
      </c>
      <c r="S1104">
        <f t="shared" si="420"/>
        <v>0.06</v>
      </c>
      <c r="T1104">
        <f t="shared" si="421"/>
        <v>0.1</v>
      </c>
      <c r="U1104">
        <f t="shared" si="427"/>
        <v>0.08</v>
      </c>
      <c r="V1104">
        <f t="shared" si="408"/>
        <v>0.1880000019776028</v>
      </c>
      <c r="W1104">
        <f t="shared" si="428"/>
        <v>0.16979184251891499</v>
      </c>
      <c r="X1104">
        <f t="shared" si="429"/>
        <v>0.21013802384448133</v>
      </c>
      <c r="Y1104" t="b">
        <f t="shared" si="431"/>
        <v>0</v>
      </c>
    </row>
    <row xmlns:x14ac="http://schemas.microsoft.com/office/spreadsheetml/2009/9/ac" r="1105" x14ac:dyDescent="0.45">
      <c r="A1105">
        <v>5.4899999999999096</v>
      </c>
      <c r="B1105">
        <f t="shared" si="409"/>
        <v>0.16300000000012937</v>
      </c>
      <c r="C1105" t="b">
        <f t="shared" si="422"/>
        <v>1</v>
      </c>
      <c r="D1105" t="b">
        <f t="shared" si="410"/>
        <v>1</v>
      </c>
      <c r="E1105">
        <f t="shared" si="418"/>
        <v>5.4899999999999096</v>
      </c>
      <c r="F1105">
        <f t="shared" si="423"/>
        <v>0.16300000000012937</v>
      </c>
      <c r="G1105">
        <f t="shared" si="411"/>
        <v>0.21013461602361888</v>
      </c>
      <c r="H1105">
        <f t="shared" si="412"/>
        <v>3.5000000000049769E-2</v>
      </c>
      <c r="I1105" t="b">
        <f t="shared" si="424"/>
        <v>1</v>
      </c>
      <c r="J1105">
        <f t="shared" si="413"/>
        <v>5.4899999999999096</v>
      </c>
      <c r="K1105">
        <f t="shared" si="425"/>
        <v>3.5000000000049769E-2</v>
      </c>
      <c r="L1105">
        <f t="shared" si="414"/>
        <v>0.16979698194543494</v>
      </c>
      <c r="M1105">
        <f t="shared" si="415"/>
        <v>0.19000000000009953</v>
      </c>
      <c r="N1105">
        <f t="shared" si="416"/>
        <v>0.18800000205580275</v>
      </c>
      <c r="O1105">
        <f t="shared" si="417"/>
        <v>0.15777777777777779</v>
      </c>
      <c r="P1105">
        <f t="shared" si="430"/>
        <v>0.08</v>
      </c>
      <c r="Q1105">
        <f t="shared" si="426"/>
        <v>0.08</v>
      </c>
      <c r="R1105">
        <f t="shared" si="419"/>
        <v>0.08</v>
      </c>
      <c r="S1105">
        <f t="shared" si="420"/>
        <v>0.06</v>
      </c>
      <c r="T1105">
        <f t="shared" si="421"/>
        <v>0.1</v>
      </c>
      <c r="U1105">
        <f t="shared" si="427"/>
        <v>0.08</v>
      </c>
      <c r="V1105">
        <f t="shared" si="408"/>
        <v>0.18800000205580275</v>
      </c>
      <c r="W1105">
        <f t="shared" si="428"/>
        <v>0.16979288070868309</v>
      </c>
      <c r="X1105">
        <f t="shared" si="429"/>
        <v>0.21013733544768509</v>
      </c>
      <c r="Y1105" t="b">
        <f t="shared" si="431"/>
        <v>0</v>
      </c>
    </row>
    <row xmlns:x14ac="http://schemas.microsoft.com/office/spreadsheetml/2009/9/ac" r="1106" x14ac:dyDescent="0.45">
      <c r="A1106">
        <v>5.4949999999999104</v>
      </c>
      <c r="B1106">
        <f t="shared" si="409"/>
        <v>0.16300000000013426</v>
      </c>
      <c r="C1106" t="b">
        <f t="shared" si="422"/>
        <v>1</v>
      </c>
      <c r="D1106" t="b">
        <f t="shared" si="410"/>
        <v>1</v>
      </c>
      <c r="E1106">
        <f t="shared" si="418"/>
        <v>5.4949999999999104</v>
      </c>
      <c r="F1106">
        <f t="shared" si="423"/>
        <v>0.16300000000013426</v>
      </c>
      <c r="G1106">
        <f t="shared" si="411"/>
        <v>0.21013394462340013</v>
      </c>
      <c r="H1106">
        <f t="shared" si="412"/>
        <v>3.5000000000051643E-2</v>
      </c>
      <c r="I1106" t="b">
        <f t="shared" si="424"/>
        <v>1</v>
      </c>
      <c r="J1106">
        <f t="shared" si="413"/>
        <v>5.4949999999999104</v>
      </c>
      <c r="K1106">
        <f t="shared" si="425"/>
        <v>3.5000000000051643E-2</v>
      </c>
      <c r="L1106">
        <f t="shared" si="414"/>
        <v>0.16979799450220634</v>
      </c>
      <c r="M1106">
        <f t="shared" si="415"/>
        <v>0.19000000000010328</v>
      </c>
      <c r="N1106">
        <f t="shared" si="416"/>
        <v>0.18800000212236337</v>
      </c>
      <c r="O1106">
        <f t="shared" si="417"/>
        <v>0.15777777777777779</v>
      </c>
      <c r="P1106">
        <f t="shared" si="430"/>
        <v>0.08</v>
      </c>
      <c r="Q1106">
        <f t="shared" si="426"/>
        <v>0.08</v>
      </c>
      <c r="R1106">
        <f t="shared" si="419"/>
        <v>0.08</v>
      </c>
      <c r="S1106">
        <f t="shared" si="420"/>
        <v>0.06</v>
      </c>
      <c r="T1106">
        <f t="shared" si="421"/>
        <v>0.1</v>
      </c>
      <c r="U1106">
        <f t="shared" si="427"/>
        <v>0.08</v>
      </c>
      <c r="V1106">
        <f t="shared" si="408"/>
        <v>0.18800000212236337</v>
      </c>
      <c r="W1106">
        <f t="shared" si="428"/>
        <v>0.16979391372045813</v>
      </c>
      <c r="X1106">
        <f t="shared" si="429"/>
        <v>0.21013665048428215</v>
      </c>
      <c r="Y1106" t="b">
        <f t="shared" si="431"/>
        <v>0</v>
      </c>
    </row>
    <row xmlns:x14ac="http://schemas.microsoft.com/office/spreadsheetml/2009/9/ac" r="1107" x14ac:dyDescent="0.45">
      <c r="A1107">
        <v>5.4999999999999103</v>
      </c>
      <c r="B1107">
        <f t="shared" si="409"/>
        <v>0.16300000000013828</v>
      </c>
      <c r="C1107" t="b">
        <f t="shared" si="422"/>
        <v>1</v>
      </c>
      <c r="D1107" t="b">
        <f t="shared" si="410"/>
        <v>1</v>
      </c>
      <c r="E1107">
        <f t="shared" si="418"/>
        <v>5.4999999999999103</v>
      </c>
      <c r="F1107">
        <f t="shared" si="423"/>
        <v>0.16300000000013828</v>
      </c>
      <c r="G1107">
        <f t="shared" si="411"/>
        <v>0.21013327657180386</v>
      </c>
      <c r="H1107">
        <f t="shared" si="412"/>
        <v>3.5000000000053183E-2</v>
      </c>
      <c r="I1107" t="b">
        <f t="shared" si="424"/>
        <v>1</v>
      </c>
      <c r="J1107">
        <f t="shared" si="413"/>
        <v>5.4999999999999103</v>
      </c>
      <c r="K1107">
        <f t="shared" si="425"/>
        <v>3.5000000000053183E-2</v>
      </c>
      <c r="L1107">
        <f t="shared" si="414"/>
        <v>0.16979900200882977</v>
      </c>
      <c r="M1107">
        <f t="shared" si="415"/>
        <v>0.19000000000010636</v>
      </c>
      <c r="N1107">
        <f t="shared" si="416"/>
        <v>0.18800000217735413</v>
      </c>
      <c r="O1107">
        <f t="shared" si="417"/>
        <v>0.15777777777777779</v>
      </c>
      <c r="P1107">
        <f t="shared" si="430"/>
        <v>0.08</v>
      </c>
      <c r="Q1107">
        <f t="shared" si="426"/>
        <v>0.08</v>
      </c>
      <c r="R1107">
        <f t="shared" si="419"/>
        <v>0.08</v>
      </c>
      <c r="S1107">
        <f t="shared" si="420"/>
        <v>0.06</v>
      </c>
      <c r="T1107">
        <f t="shared" si="421"/>
        <v>0.1</v>
      </c>
      <c r="U1107">
        <f t="shared" si="427"/>
        <v>0.08</v>
      </c>
      <c r="V1107">
        <f t="shared" si="408"/>
        <v>0.18800000217735413</v>
      </c>
      <c r="W1107">
        <f t="shared" si="428"/>
        <v>0.16979494158006547</v>
      </c>
      <c r="X1107">
        <f t="shared" si="429"/>
        <v>0.21013596893714848</v>
      </c>
      <c r="Y1107" t="b">
        <f t="shared" si="431"/>
        <v>0</v>
      </c>
    </row>
    <row xmlns:x14ac="http://schemas.microsoft.com/office/spreadsheetml/2009/9/ac" r="1108" x14ac:dyDescent="0.45">
      <c r="A1108">
        <v>5.5049999999999102</v>
      </c>
      <c r="B1108">
        <f t="shared" si="409"/>
        <v>0.16300000000014142</v>
      </c>
      <c r="C1108" t="b">
        <f t="shared" si="422"/>
        <v>1</v>
      </c>
      <c r="D1108" t="b">
        <f t="shared" si="410"/>
        <v>1</v>
      </c>
      <c r="E1108">
        <f t="shared" si="418"/>
        <v>5.5049999999999102</v>
      </c>
      <c r="F1108">
        <f t="shared" si="423"/>
        <v>0.16300000000014142</v>
      </c>
      <c r="G1108">
        <f t="shared" si="411"/>
        <v>0.21013261185212889</v>
      </c>
      <c r="H1108">
        <f t="shared" si="412"/>
        <v>3.500000000005439E-2</v>
      </c>
      <c r="I1108" t="b">
        <f t="shared" si="424"/>
        <v>1</v>
      </c>
      <c r="J1108">
        <f t="shared" si="413"/>
        <v>5.5049999999999102</v>
      </c>
      <c r="K1108">
        <f t="shared" si="425"/>
        <v>3.500000000005439E-2</v>
      </c>
      <c r="L1108">
        <f t="shared" si="414"/>
        <v>0.16980000449049298</v>
      </c>
      <c r="M1108">
        <f t="shared" si="415"/>
        <v>0.1900000000001088</v>
      </c>
      <c r="N1108">
        <f t="shared" si="416"/>
        <v>0.18800000222089386</v>
      </c>
      <c r="O1108">
        <f t="shared" si="417"/>
        <v>0.15777777777777779</v>
      </c>
      <c r="P1108">
        <f t="shared" si="430"/>
        <v>0.08</v>
      </c>
      <c r="Q1108">
        <f t="shared" si="426"/>
        <v>0.08</v>
      </c>
      <c r="R1108">
        <f t="shared" si="419"/>
        <v>0.08</v>
      </c>
      <c r="S1108">
        <f t="shared" si="420"/>
        <v>0.06</v>
      </c>
      <c r="T1108">
        <f t="shared" si="421"/>
        <v>0.1</v>
      </c>
      <c r="U1108">
        <f t="shared" si="427"/>
        <v>0.08</v>
      </c>
      <c r="V1108">
        <f t="shared" si="408"/>
        <v>0.18800000222089386</v>
      </c>
      <c r="W1108">
        <f t="shared" si="428"/>
        <v>0.1697959643132016</v>
      </c>
      <c r="X1108">
        <f t="shared" si="429"/>
        <v>0.21013529078924531</v>
      </c>
      <c r="Y1108" t="b">
        <f t="shared" si="431"/>
        <v>0</v>
      </c>
    </row>
    <row xmlns:x14ac="http://schemas.microsoft.com/office/spreadsheetml/2009/9/ac" r="1109" x14ac:dyDescent="0.45">
      <c r="A1109">
        <v>5.5099999999999101</v>
      </c>
      <c r="B1109">
        <f t="shared" si="409"/>
        <v>0.16300000000014372</v>
      </c>
      <c r="C1109" t="b">
        <f t="shared" si="422"/>
        <v>1</v>
      </c>
      <c r="D1109" t="b">
        <f t="shared" si="410"/>
        <v>1</v>
      </c>
      <c r="E1109">
        <f t="shared" si="418"/>
        <v>5.5099999999999101</v>
      </c>
      <c r="F1109">
        <f t="shared" si="423"/>
        <v>0.16300000000014372</v>
      </c>
      <c r="G1109">
        <f t="shared" si="411"/>
        <v>0.21013195044775707</v>
      </c>
      <c r="H1109">
        <f t="shared" si="412"/>
        <v>3.5000000000055279E-2</v>
      </c>
      <c r="I1109" t="b">
        <f t="shared" si="424"/>
        <v>1</v>
      </c>
      <c r="J1109">
        <f t="shared" si="413"/>
        <v>5.5099999999999101</v>
      </c>
      <c r="K1109">
        <f t="shared" si="425"/>
        <v>3.5000000000055279E-2</v>
      </c>
      <c r="L1109">
        <f t="shared" si="414"/>
        <v>0.169801001972258</v>
      </c>
      <c r="M1109">
        <f t="shared" si="415"/>
        <v>0.19000000000011055</v>
      </c>
      <c r="N1109">
        <f t="shared" si="416"/>
        <v>0.18800000225314895</v>
      </c>
      <c r="O1109">
        <f t="shared" si="417"/>
        <v>0.15777777777777779</v>
      </c>
      <c r="P1109">
        <f t="shared" si="430"/>
        <v>0.08</v>
      </c>
      <c r="Q1109">
        <f t="shared" si="426"/>
        <v>0.08</v>
      </c>
      <c r="R1109">
        <f t="shared" si="419"/>
        <v>0.08</v>
      </c>
      <c r="S1109">
        <f t="shared" si="420"/>
        <v>0.06</v>
      </c>
      <c r="T1109">
        <f t="shared" si="421"/>
        <v>0.1</v>
      </c>
      <c r="U1109">
        <f t="shared" si="427"/>
        <v>0.08</v>
      </c>
      <c r="V1109">
        <f t="shared" ref="V1109:V1172" si="432">MAX(IF(Y1109,MAX(H1109,$AB$6+$AF$13),MAX(T1109,$AB$6+$AF$13)),O1109,N1109)</f>
        <v>0.18800000225314895</v>
      </c>
      <c r="W1109">
        <f t="shared" si="428"/>
        <v>0.16979698194543494</v>
      </c>
      <c r="X1109">
        <f t="shared" si="429"/>
        <v>0.21013461602361888</v>
      </c>
      <c r="Y1109" t="b">
        <f t="shared" si="431"/>
        <v>0</v>
      </c>
    </row>
    <row xmlns:x14ac="http://schemas.microsoft.com/office/spreadsheetml/2009/9/ac" r="1110" x14ac:dyDescent="0.45">
      <c r="A1110">
        <v>5.51499999999991</v>
      </c>
      <c r="B1110">
        <f t="shared" si="409"/>
        <v>0.16300000000014525</v>
      </c>
      <c r="C1110" t="b">
        <f t="shared" si="422"/>
        <v>1</v>
      </c>
      <c r="D1110" t="b">
        <f t="shared" si="410"/>
        <v>1</v>
      </c>
      <c r="E1110">
        <f t="shared" si="418"/>
        <v>5.51499999999991</v>
      </c>
      <c r="F1110">
        <f t="shared" si="423"/>
        <v>0.16300000000014525</v>
      </c>
      <c r="G1110">
        <f t="shared" si="411"/>
        <v>0.21013129234215339</v>
      </c>
      <c r="H1110">
        <f t="shared" si="412"/>
        <v>3.5000000000055861E-2</v>
      </c>
      <c r="I1110" t="b">
        <f t="shared" si="424"/>
        <v>1</v>
      </c>
      <c r="J1110">
        <f t="shared" si="413"/>
        <v>5.51499999999991</v>
      </c>
      <c r="K1110">
        <f t="shared" si="425"/>
        <v>3.5000000000055861E-2</v>
      </c>
      <c r="L1110">
        <f t="shared" si="414"/>
        <v>0.16980199447906197</v>
      </c>
      <c r="M1110">
        <f t="shared" si="415"/>
        <v>0.19000000000011175</v>
      </c>
      <c r="N1110">
        <f t="shared" si="416"/>
        <v>0.18800000227433072</v>
      </c>
      <c r="O1110">
        <f t="shared" si="417"/>
        <v>0.15777777777777779</v>
      </c>
      <c r="P1110">
        <f t="shared" si="430"/>
        <v>0.08</v>
      </c>
      <c r="Q1110">
        <f t="shared" si="426"/>
        <v>0.08</v>
      </c>
      <c r="R1110">
        <f t="shared" si="419"/>
        <v>0.08</v>
      </c>
      <c r="S1110">
        <f t="shared" si="420"/>
        <v>0.06</v>
      </c>
      <c r="T1110">
        <f t="shared" si="421"/>
        <v>0.1</v>
      </c>
      <c r="U1110">
        <f t="shared" si="427"/>
        <v>0.08</v>
      </c>
      <c r="V1110">
        <f t="shared" si="432"/>
        <v>0.18800000227433072</v>
      </c>
      <c r="W1110">
        <f t="shared" si="428"/>
        <v>0.16979799450220634</v>
      </c>
      <c r="X1110">
        <f t="shared" si="429"/>
        <v>0.21013394462340013</v>
      </c>
      <c r="Y1110" t="b">
        <f t="shared" si="431"/>
        <v>0</v>
      </c>
    </row>
    <row xmlns:x14ac="http://schemas.microsoft.com/office/spreadsheetml/2009/9/ac" r="1111" x14ac:dyDescent="0.45">
      <c r="A1111">
        <v>5.5199999999999099</v>
      </c>
      <c r="B1111">
        <f t="shared" si="409"/>
        <v>0.16300000000014597</v>
      </c>
      <c r="C1111" t="b">
        <f t="shared" si="422"/>
        <v>1</v>
      </c>
      <c r="D1111" t="b">
        <f t="shared" si="410"/>
        <v>1</v>
      </c>
      <c r="E1111">
        <f t="shared" si="418"/>
        <v>5.5199999999999099</v>
      </c>
      <c r="F1111">
        <f t="shared" si="423"/>
        <v>0.16300000000014597</v>
      </c>
      <c r="G1111">
        <f t="shared" si="411"/>
        <v>0.21013063751886502</v>
      </c>
      <c r="H1111">
        <f t="shared" si="412"/>
        <v>3.5000000000056153E-2</v>
      </c>
      <c r="I1111" t="b">
        <f t="shared" si="424"/>
        <v>1</v>
      </c>
      <c r="J1111">
        <f t="shared" si="413"/>
        <v>5.5199999999999099</v>
      </c>
      <c r="K1111">
        <f t="shared" si="425"/>
        <v>3.5000000000056153E-2</v>
      </c>
      <c r="L1111">
        <f t="shared" si="414"/>
        <v>0.16980298203571764</v>
      </c>
      <c r="M1111">
        <f t="shared" si="415"/>
        <v>0.1900000000001123</v>
      </c>
      <c r="N1111">
        <f t="shared" si="416"/>
        <v>0.18800000228469341</v>
      </c>
      <c r="O1111">
        <f t="shared" si="417"/>
        <v>0.15777777777777779</v>
      </c>
      <c r="P1111">
        <f t="shared" si="430"/>
        <v>0.08</v>
      </c>
      <c r="Q1111">
        <f t="shared" si="426"/>
        <v>0.08</v>
      </c>
      <c r="R1111">
        <f t="shared" si="419"/>
        <v>0.08</v>
      </c>
      <c r="S1111">
        <f t="shared" si="420"/>
        <v>0.06</v>
      </c>
      <c r="T1111">
        <f t="shared" si="421"/>
        <v>0.1</v>
      </c>
      <c r="U1111">
        <f t="shared" si="427"/>
        <v>0.08</v>
      </c>
      <c r="V1111">
        <f t="shared" si="432"/>
        <v>0.18800000228469341</v>
      </c>
      <c r="W1111">
        <f t="shared" si="428"/>
        <v>0.16979900200882977</v>
      </c>
      <c r="X1111">
        <f t="shared" si="429"/>
        <v>0.21013327657180386</v>
      </c>
      <c r="Y1111" t="b">
        <f t="shared" si="431"/>
        <v>0</v>
      </c>
    </row>
    <row xmlns:x14ac="http://schemas.microsoft.com/office/spreadsheetml/2009/9/ac" r="1112" x14ac:dyDescent="0.45">
      <c r="A1112">
        <v>5.5249999999999098</v>
      </c>
      <c r="B1112">
        <f t="shared" si="409"/>
        <v>0.163000000000146</v>
      </c>
      <c r="C1112" t="b">
        <f t="shared" si="422"/>
        <v>1</v>
      </c>
      <c r="D1112" t="b">
        <f t="shared" si="410"/>
        <v>1</v>
      </c>
      <c r="E1112">
        <f t="shared" si="418"/>
        <v>5.5249999999999098</v>
      </c>
      <c r="F1112">
        <f t="shared" si="423"/>
        <v>0.163000000000146</v>
      </c>
      <c r="G1112">
        <f t="shared" si="411"/>
        <v>0.21012998596152149</v>
      </c>
      <c r="H1112">
        <f t="shared" si="412"/>
        <v>3.5000000000056153E-2</v>
      </c>
      <c r="I1112" t="b">
        <f t="shared" si="424"/>
        <v>1</v>
      </c>
      <c r="J1112">
        <f t="shared" si="413"/>
        <v>5.5249999999999098</v>
      </c>
      <c r="K1112">
        <f t="shared" si="425"/>
        <v>3.5000000000056153E-2</v>
      </c>
      <c r="L1112">
        <f t="shared" si="414"/>
        <v>0.16980396466691389</v>
      </c>
      <c r="M1112">
        <f t="shared" si="415"/>
        <v>0.1900000000001123</v>
      </c>
      <c r="N1112">
        <f t="shared" si="416"/>
        <v>0.18800000228453148</v>
      </c>
      <c r="O1112">
        <f t="shared" si="417"/>
        <v>0.15777777777777779</v>
      </c>
      <c r="P1112">
        <f t="shared" si="430"/>
        <v>0.08</v>
      </c>
      <c r="Q1112">
        <f t="shared" si="426"/>
        <v>0.08</v>
      </c>
      <c r="R1112">
        <f t="shared" si="419"/>
        <v>0.08</v>
      </c>
      <c r="S1112">
        <f t="shared" si="420"/>
        <v>0.06</v>
      </c>
      <c r="T1112">
        <f t="shared" si="421"/>
        <v>0.1</v>
      </c>
      <c r="U1112">
        <f t="shared" si="427"/>
        <v>0.08</v>
      </c>
      <c r="V1112">
        <f t="shared" si="432"/>
        <v>0.18800000228453148</v>
      </c>
      <c r="W1112">
        <f t="shared" si="428"/>
        <v>0.16980000449049298</v>
      </c>
      <c r="X1112">
        <f t="shared" si="429"/>
        <v>0.21013261185212889</v>
      </c>
      <c r="Y1112" t="b">
        <f t="shared" si="431"/>
        <v>0</v>
      </c>
    </row>
    <row xmlns:x14ac="http://schemas.microsoft.com/office/spreadsheetml/2009/9/ac" r="1113" x14ac:dyDescent="0.45">
      <c r="A1113">
        <v>5.5299999999999097</v>
      </c>
      <c r="B1113">
        <f t="shared" si="409"/>
        <v>0.16300000000014531</v>
      </c>
      <c r="C1113" t="b">
        <f t="shared" si="422"/>
        <v>1</v>
      </c>
      <c r="D1113" t="b">
        <f t="shared" si="410"/>
        <v>1</v>
      </c>
      <c r="E1113">
        <f t="shared" si="418"/>
        <v>5.5299999999999097</v>
      </c>
      <c r="F1113">
        <f t="shared" si="423"/>
        <v>0.16300000000014531</v>
      </c>
      <c r="G1113">
        <f t="shared" si="411"/>
        <v>0.21012933765383374</v>
      </c>
      <c r="H1113">
        <f t="shared" si="412"/>
        <v>3.5000000000055889E-2</v>
      </c>
      <c r="I1113" t="b">
        <f t="shared" si="424"/>
        <v>1</v>
      </c>
      <c r="J1113">
        <f t="shared" si="413"/>
        <v>5.5299999999999097</v>
      </c>
      <c r="K1113">
        <f t="shared" si="425"/>
        <v>3.5000000000055889E-2</v>
      </c>
      <c r="L1113">
        <f t="shared" si="414"/>
        <v>0.16980494239721663</v>
      </c>
      <c r="M1113">
        <f t="shared" si="415"/>
        <v>0.19000000000011177</v>
      </c>
      <c r="N1113">
        <f t="shared" si="416"/>
        <v>0.18800000227417712</v>
      </c>
      <c r="O1113">
        <f t="shared" si="417"/>
        <v>0.15777777777777779</v>
      </c>
      <c r="P1113">
        <f t="shared" si="430"/>
        <v>0.08</v>
      </c>
      <c r="Q1113">
        <f t="shared" si="426"/>
        <v>0.08</v>
      </c>
      <c r="R1113">
        <f t="shared" si="419"/>
        <v>0.08</v>
      </c>
      <c r="S1113">
        <f t="shared" si="420"/>
        <v>0.06</v>
      </c>
      <c r="T1113">
        <f t="shared" si="421"/>
        <v>0.1</v>
      </c>
      <c r="U1113">
        <f t="shared" si="427"/>
        <v>0.08</v>
      </c>
      <c r="V1113">
        <f t="shared" si="432"/>
        <v>0.18800000227417712</v>
      </c>
      <c r="W1113">
        <f t="shared" si="428"/>
        <v>0.169801001972258</v>
      </c>
      <c r="X1113">
        <f t="shared" si="429"/>
        <v>0.21013195044775707</v>
      </c>
      <c r="Y1113" t="b">
        <f t="shared" si="431"/>
        <v>0</v>
      </c>
    </row>
    <row xmlns:x14ac="http://schemas.microsoft.com/office/spreadsheetml/2009/9/ac" r="1114" x14ac:dyDescent="0.45">
      <c r="A1114">
        <v>5.5349999999999104</v>
      </c>
      <c r="B1114">
        <f t="shared" si="409"/>
        <v>0.16300000000014395</v>
      </c>
      <c r="C1114" t="b">
        <f t="shared" si="422"/>
        <v>1</v>
      </c>
      <c r="D1114" t="b">
        <f t="shared" si="410"/>
        <v>1</v>
      </c>
      <c r="E1114">
        <f t="shared" si="418"/>
        <v>5.5349999999999104</v>
      </c>
      <c r="F1114">
        <f t="shared" si="423"/>
        <v>0.16300000000014395</v>
      </c>
      <c r="G1114">
        <f t="shared" si="411"/>
        <v>0.21012869257959405</v>
      </c>
      <c r="H1114">
        <f t="shared" si="412"/>
        <v>3.5000000000055362E-2</v>
      </c>
      <c r="I1114" t="b">
        <f t="shared" si="424"/>
        <v>1</v>
      </c>
      <c r="J1114">
        <f t="shared" si="413"/>
        <v>5.5349999999999104</v>
      </c>
      <c r="K1114">
        <f t="shared" si="425"/>
        <v>3.5000000000055362E-2</v>
      </c>
      <c r="L1114">
        <f t="shared" si="414"/>
        <v>0.16980591525106914</v>
      </c>
      <c r="M1114">
        <f t="shared" si="415"/>
        <v>0.19000000000011075</v>
      </c>
      <c r="N1114">
        <f t="shared" si="416"/>
        <v>0.18800000225399752</v>
      </c>
      <c r="O1114">
        <f t="shared" si="417"/>
        <v>0.15777777777777779</v>
      </c>
      <c r="P1114">
        <f t="shared" si="430"/>
        <v>0.08</v>
      </c>
      <c r="Q1114">
        <f t="shared" si="426"/>
        <v>0.08</v>
      </c>
      <c r="R1114">
        <f t="shared" si="419"/>
        <v>0.08</v>
      </c>
      <c r="S1114">
        <f t="shared" si="420"/>
        <v>0.06</v>
      </c>
      <c r="T1114">
        <f t="shared" si="421"/>
        <v>0.1</v>
      </c>
      <c r="U1114">
        <f t="shared" si="427"/>
        <v>0.08</v>
      </c>
      <c r="V1114">
        <f t="shared" si="432"/>
        <v>0.18800000225399752</v>
      </c>
      <c r="W1114">
        <f t="shared" si="428"/>
        <v>0.16980199447906197</v>
      </c>
      <c r="X1114">
        <f t="shared" si="429"/>
        <v>0.21013129234215339</v>
      </c>
      <c r="Y1114" t="b">
        <f t="shared" si="431"/>
        <v>0</v>
      </c>
    </row>
    <row xmlns:x14ac="http://schemas.microsoft.com/office/spreadsheetml/2009/9/ac" r="1115" x14ac:dyDescent="0.45">
      <c r="A1115">
        <v>5.5399999999999103</v>
      </c>
      <c r="B1115">
        <f t="shared" si="409"/>
        <v>0.16300000000014198</v>
      </c>
      <c r="C1115" t="b">
        <f t="shared" si="422"/>
        <v>1</v>
      </c>
      <c r="D1115" t="b">
        <f t="shared" si="410"/>
        <v>1</v>
      </c>
      <c r="E1115">
        <f t="shared" si="418"/>
        <v>5.5399999999999103</v>
      </c>
      <c r="F1115">
        <f t="shared" si="423"/>
        <v>0.16300000000014198</v>
      </c>
      <c r="G1115">
        <f t="shared" si="411"/>
        <v>0.2101280507226756</v>
      </c>
      <c r="H1115">
        <f t="shared" si="412"/>
        <v>3.5000000000054612E-2</v>
      </c>
      <c r="I1115" t="b">
        <f t="shared" si="424"/>
        <v>1</v>
      </c>
      <c r="J1115">
        <f t="shared" si="413"/>
        <v>5.5399999999999103</v>
      </c>
      <c r="K1115">
        <f t="shared" si="425"/>
        <v>3.5000000000054612E-2</v>
      </c>
      <c r="L1115">
        <f t="shared" si="414"/>
        <v>0.16980688325279281</v>
      </c>
      <c r="M1115">
        <f t="shared" si="415"/>
        <v>0.19000000000010922</v>
      </c>
      <c r="N1115">
        <f t="shared" si="416"/>
        <v>0.1880000022243922</v>
      </c>
      <c r="O1115">
        <f t="shared" si="417"/>
        <v>0.15777777777777779</v>
      </c>
      <c r="P1115">
        <f t="shared" si="430"/>
        <v>0.08</v>
      </c>
      <c r="Q1115">
        <f t="shared" si="426"/>
        <v>0.08</v>
      </c>
      <c r="R1115">
        <f t="shared" si="419"/>
        <v>0.08</v>
      </c>
      <c r="S1115">
        <f t="shared" si="420"/>
        <v>0.06</v>
      </c>
      <c r="T1115">
        <f t="shared" si="421"/>
        <v>0.1</v>
      </c>
      <c r="U1115">
        <f t="shared" si="427"/>
        <v>0.08</v>
      </c>
      <c r="V1115">
        <f t="shared" si="432"/>
        <v>0.1880000022243922</v>
      </c>
      <c r="W1115">
        <f t="shared" si="428"/>
        <v>0.16980298203571764</v>
      </c>
      <c r="X1115">
        <f t="shared" si="429"/>
        <v>0.21013063751886502</v>
      </c>
      <c r="Y1115" t="b">
        <f t="shared" si="431"/>
        <v>0</v>
      </c>
    </row>
    <row xmlns:x14ac="http://schemas.microsoft.com/office/spreadsheetml/2009/9/ac" r="1116" x14ac:dyDescent="0.45">
      <c r="A1116">
        <v>5.5449999999999102</v>
      </c>
      <c r="B1116">
        <f t="shared" si="409"/>
        <v>0.16300000000013942</v>
      </c>
      <c r="C1116" t="b">
        <f t="shared" si="422"/>
        <v>1</v>
      </c>
      <c r="D1116" t="b">
        <f t="shared" si="410"/>
        <v>1</v>
      </c>
      <c r="E1116">
        <f t="shared" si="418"/>
        <v>5.5449999999999102</v>
      </c>
      <c r="F1116">
        <f t="shared" si="423"/>
        <v>0.16300000000013942</v>
      </c>
      <c r="G1116">
        <f t="shared" si="411"/>
        <v>0.21012741206703184</v>
      </c>
      <c r="H1116">
        <f t="shared" si="412"/>
        <v>3.5000000000053627E-2</v>
      </c>
      <c r="I1116" t="b">
        <f t="shared" si="424"/>
        <v>1</v>
      </c>
      <c r="J1116">
        <f t="shared" si="413"/>
        <v>5.5449999999999102</v>
      </c>
      <c r="K1116">
        <f t="shared" si="425"/>
        <v>3.5000000000053627E-2</v>
      </c>
      <c r="L1116">
        <f t="shared" si="414"/>
        <v>0.16980784642658775</v>
      </c>
      <c r="M1116">
        <f t="shared" si="415"/>
        <v>0.19000000000010725</v>
      </c>
      <c r="N1116">
        <f t="shared" si="416"/>
        <v>0.18800000218579016</v>
      </c>
      <c r="O1116">
        <f t="shared" si="417"/>
        <v>0.15777777777777779</v>
      </c>
      <c r="P1116">
        <f t="shared" si="430"/>
        <v>0.08</v>
      </c>
      <c r="Q1116">
        <f t="shared" si="426"/>
        <v>0.08</v>
      </c>
      <c r="R1116">
        <f t="shared" si="419"/>
        <v>0.08</v>
      </c>
      <c r="S1116">
        <f t="shared" si="420"/>
        <v>0.06</v>
      </c>
      <c r="T1116">
        <f t="shared" si="421"/>
        <v>0.1</v>
      </c>
      <c r="U1116">
        <f t="shared" si="427"/>
        <v>0.08</v>
      </c>
      <c r="V1116">
        <f t="shared" si="432"/>
        <v>0.18800000218579016</v>
      </c>
      <c r="W1116">
        <f t="shared" si="428"/>
        <v>0.16980396466691389</v>
      </c>
      <c r="X1116">
        <f t="shared" si="429"/>
        <v>0.21012998596152149</v>
      </c>
      <c r="Y1116" t="b">
        <f t="shared" si="431"/>
        <v>0</v>
      </c>
    </row>
    <row xmlns:x14ac="http://schemas.microsoft.com/office/spreadsheetml/2009/9/ac" r="1117" x14ac:dyDescent="0.45">
      <c r="A1117">
        <v>5.5499999999999101</v>
      </c>
      <c r="B1117">
        <f t="shared" si="409"/>
        <v>0.16300000000013634</v>
      </c>
      <c r="C1117" t="b">
        <f t="shared" si="422"/>
        <v>1</v>
      </c>
      <c r="D1117" t="b">
        <f t="shared" si="410"/>
        <v>1</v>
      </c>
      <c r="E1117">
        <f t="shared" si="418"/>
        <v>5.5499999999999101</v>
      </c>
      <c r="F1117">
        <f t="shared" si="423"/>
        <v>0.16300000000013634</v>
      </c>
      <c r="G1117">
        <f t="shared" si="411"/>
        <v>0.21012677659669643</v>
      </c>
      <c r="H1117">
        <f t="shared" si="412"/>
        <v>3.5000000000052434E-2</v>
      </c>
      <c r="I1117" t="b">
        <f t="shared" si="424"/>
        <v>1</v>
      </c>
      <c r="J1117">
        <f t="shared" si="413"/>
        <v>5.5499999999999101</v>
      </c>
      <c r="K1117">
        <f t="shared" si="425"/>
        <v>3.5000000000052434E-2</v>
      </c>
      <c r="L1117">
        <f t="shared" si="414"/>
        <v>0.16980880479653335</v>
      </c>
      <c r="M1117">
        <f t="shared" si="415"/>
        <v>0.19000000000010486</v>
      </c>
      <c r="N1117">
        <f t="shared" si="416"/>
        <v>0.18800000213864704</v>
      </c>
      <c r="O1117">
        <f t="shared" si="417"/>
        <v>0.15777777777777779</v>
      </c>
      <c r="P1117">
        <f t="shared" si="430"/>
        <v>0.08</v>
      </c>
      <c r="Q1117">
        <f t="shared" si="426"/>
        <v>0.08</v>
      </c>
      <c r="R1117">
        <f t="shared" si="419"/>
        <v>0.08</v>
      </c>
      <c r="S1117">
        <f t="shared" si="420"/>
        <v>0.06</v>
      </c>
      <c r="T1117">
        <f t="shared" si="421"/>
        <v>0.1</v>
      </c>
      <c r="U1117">
        <f t="shared" si="427"/>
        <v>0.08</v>
      </c>
      <c r="V1117">
        <f t="shared" si="432"/>
        <v>0.18800000213864704</v>
      </c>
      <c r="W1117">
        <f t="shared" si="428"/>
        <v>0.16980494239721663</v>
      </c>
      <c r="X1117">
        <f t="shared" si="429"/>
        <v>0.21012933765383374</v>
      </c>
      <c r="Y1117" t="b">
        <f t="shared" si="431"/>
        <v>0</v>
      </c>
    </row>
    <row xmlns:x14ac="http://schemas.microsoft.com/office/spreadsheetml/2009/9/ac" r="1118" x14ac:dyDescent="0.45">
      <c r="A1118">
        <v>5.55499999999991</v>
      </c>
      <c r="B1118">
        <f t="shared" si="409"/>
        <v>0.16300000000013273</v>
      </c>
      <c r="C1118" t="b">
        <f t="shared" si="422"/>
        <v>1</v>
      </c>
      <c r="D1118" t="b">
        <f t="shared" si="410"/>
        <v>1</v>
      </c>
      <c r="E1118">
        <f t="shared" si="418"/>
        <v>5.55499999999991</v>
      </c>
      <c r="F1118">
        <f t="shared" si="423"/>
        <v>0.16300000000013273</v>
      </c>
      <c r="G1118">
        <f t="shared" si="411"/>
        <v>0.21012614429578252</v>
      </c>
      <c r="H1118">
        <f t="shared" si="412"/>
        <v>3.5000000000051046E-2</v>
      </c>
      <c r="I1118" t="b">
        <f t="shared" si="424"/>
        <v>1</v>
      </c>
      <c r="J1118">
        <f t="shared" si="413"/>
        <v>5.55499999999991</v>
      </c>
      <c r="K1118">
        <f t="shared" si="425"/>
        <v>3.5000000000051046E-2</v>
      </c>
      <c r="L1118">
        <f t="shared" si="414"/>
        <v>0.1698097583865889</v>
      </c>
      <c r="M1118">
        <f t="shared" si="415"/>
        <v>0.19000000000010209</v>
      </c>
      <c r="N1118">
        <f t="shared" si="416"/>
        <v>0.18800000208344228</v>
      </c>
      <c r="O1118">
        <f t="shared" si="417"/>
        <v>0.15777777777777779</v>
      </c>
      <c r="P1118">
        <f t="shared" si="430"/>
        <v>0.08</v>
      </c>
      <c r="Q1118">
        <f t="shared" si="426"/>
        <v>0.08</v>
      </c>
      <c r="R1118">
        <f t="shared" si="419"/>
        <v>0.08</v>
      </c>
      <c r="S1118">
        <f t="shared" si="420"/>
        <v>0.06</v>
      </c>
      <c r="T1118">
        <f t="shared" si="421"/>
        <v>0.1</v>
      </c>
      <c r="U1118">
        <f t="shared" si="427"/>
        <v>0.08</v>
      </c>
      <c r="V1118">
        <f t="shared" si="432"/>
        <v>0.18800000208344228</v>
      </c>
      <c r="W1118">
        <f t="shared" si="428"/>
        <v>0.16980591525106914</v>
      </c>
      <c r="X1118">
        <f t="shared" si="429"/>
        <v>0.21012869257959405</v>
      </c>
      <c r="Y1118" t="b">
        <f t="shared" si="431"/>
        <v>0</v>
      </c>
    </row>
    <row xmlns:x14ac="http://schemas.microsoft.com/office/spreadsheetml/2009/9/ac" r="1119" x14ac:dyDescent="0.45">
      <c r="A1119">
        <v>5.5599999999999099</v>
      </c>
      <c r="B1119">
        <f t="shared" si="409"/>
        <v>0.16300000000012865</v>
      </c>
      <c r="C1119" t="b">
        <f t="shared" si="422"/>
        <v>1</v>
      </c>
      <c r="D1119" t="b">
        <f t="shared" si="410"/>
        <v>1</v>
      </c>
      <c r="E1119">
        <f t="shared" si="418"/>
        <v>5.5599999999999099</v>
      </c>
      <c r="F1119">
        <f t="shared" si="423"/>
        <v>0.16300000000012865</v>
      </c>
      <c r="G1119">
        <f t="shared" si="411"/>
        <v>0.2101255151484826</v>
      </c>
      <c r="H1119">
        <f t="shared" si="412"/>
        <v>3.5000000000049492E-2</v>
      </c>
      <c r="I1119" t="b">
        <f t="shared" si="424"/>
        <v>1</v>
      </c>
      <c r="J1119">
        <f t="shared" si="413"/>
        <v>5.5599999999999099</v>
      </c>
      <c r="K1119">
        <f t="shared" si="425"/>
        <v>3.5000000000049492E-2</v>
      </c>
      <c r="L1119">
        <f t="shared" si="414"/>
        <v>0.16981070722059421</v>
      </c>
      <c r="M1119">
        <f t="shared" si="415"/>
        <v>0.19000000000009898</v>
      </c>
      <c r="N1119">
        <f t="shared" si="416"/>
        <v>0.18800000202067615</v>
      </c>
      <c r="O1119">
        <f t="shared" si="417"/>
        <v>0.15777777777777779</v>
      </c>
      <c r="P1119">
        <f t="shared" si="430"/>
        <v>0.08</v>
      </c>
      <c r="Q1119">
        <f t="shared" si="426"/>
        <v>0.08</v>
      </c>
      <c r="R1119">
        <f t="shared" si="419"/>
        <v>0.08</v>
      </c>
      <c r="S1119">
        <f t="shared" si="420"/>
        <v>0.06</v>
      </c>
      <c r="T1119">
        <f t="shared" si="421"/>
        <v>0.1</v>
      </c>
      <c r="U1119">
        <f t="shared" si="427"/>
        <v>0.08</v>
      </c>
      <c r="V1119">
        <f t="shared" si="432"/>
        <v>0.18800000202067615</v>
      </c>
      <c r="W1119">
        <f t="shared" si="428"/>
        <v>0.16980688325279281</v>
      </c>
      <c r="X1119">
        <f t="shared" si="429"/>
        <v>0.2101280507226756</v>
      </c>
      <c r="Y1119" t="b">
        <f t="shared" si="431"/>
        <v>0</v>
      </c>
    </row>
    <row xmlns:x14ac="http://schemas.microsoft.com/office/spreadsheetml/2009/9/ac" r="1120" x14ac:dyDescent="0.45">
      <c r="A1120">
        <v>5.5649999999999098</v>
      </c>
      <c r="B1120">
        <f t="shared" si="409"/>
        <v>0.16300000000012418</v>
      </c>
      <c r="C1120" t="b">
        <f t="shared" si="422"/>
        <v>1</v>
      </c>
      <c r="D1120" t="b">
        <f t="shared" si="410"/>
        <v>1</v>
      </c>
      <c r="E1120">
        <f t="shared" si="418"/>
        <v>5.5649999999999098</v>
      </c>
      <c r="F1120">
        <f t="shared" si="423"/>
        <v>0.16300000000012418</v>
      </c>
      <c r="G1120">
        <f t="shared" si="411"/>
        <v>0.21012488913906791</v>
      </c>
      <c r="H1120">
        <f t="shared" si="412"/>
        <v>3.5000000000047771E-2</v>
      </c>
      <c r="I1120" t="b">
        <f t="shared" si="424"/>
        <v>1</v>
      </c>
      <c r="J1120">
        <f t="shared" si="413"/>
        <v>5.5649999999999098</v>
      </c>
      <c r="K1120">
        <f t="shared" si="425"/>
        <v>3.5000000000047771E-2</v>
      </c>
      <c r="L1120">
        <f t="shared" si="414"/>
        <v>0.16981165132227016</v>
      </c>
      <c r="M1120">
        <f t="shared" si="415"/>
        <v>0.19000000000009554</v>
      </c>
      <c r="N1120">
        <f t="shared" si="416"/>
        <v>0.18800000195086702</v>
      </c>
      <c r="O1120">
        <f t="shared" si="417"/>
        <v>0.15777777777777779</v>
      </c>
      <c r="P1120">
        <f t="shared" si="430"/>
        <v>0.08</v>
      </c>
      <c r="Q1120">
        <f t="shared" si="426"/>
        <v>0.08</v>
      </c>
      <c r="R1120">
        <f t="shared" si="419"/>
        <v>0.08</v>
      </c>
      <c r="S1120">
        <f t="shared" si="420"/>
        <v>0.06</v>
      </c>
      <c r="T1120">
        <f t="shared" si="421"/>
        <v>0.1</v>
      </c>
      <c r="U1120">
        <f t="shared" si="427"/>
        <v>0.08</v>
      </c>
      <c r="V1120">
        <f t="shared" si="432"/>
        <v>0.18800000195086702</v>
      </c>
      <c r="W1120">
        <f t="shared" si="428"/>
        <v>0.16980784642658775</v>
      </c>
      <c r="X1120">
        <f t="shared" si="429"/>
        <v>0.21012741206703184</v>
      </c>
      <c r="Y1120" t="b">
        <f t="shared" si="431"/>
        <v>0</v>
      </c>
    </row>
    <row xmlns:x14ac="http://schemas.microsoft.com/office/spreadsheetml/2009/9/ac" r="1121" x14ac:dyDescent="0.45">
      <c r="A1121">
        <v>5.5699999999999097</v>
      </c>
      <c r="B1121">
        <f t="shared" si="409"/>
        <v>0.16300000000011933</v>
      </c>
      <c r="C1121" t="b">
        <f t="shared" si="422"/>
        <v>1</v>
      </c>
      <c r="D1121" t="b">
        <f t="shared" si="410"/>
        <v>1</v>
      </c>
      <c r="E1121">
        <f t="shared" si="418"/>
        <v>5.5699999999999097</v>
      </c>
      <c r="F1121">
        <f t="shared" si="423"/>
        <v>0.16300000000011933</v>
      </c>
      <c r="G1121">
        <f t="shared" si="411"/>
        <v>0.21012426625188818</v>
      </c>
      <c r="H1121">
        <f t="shared" si="412"/>
        <v>3.5000000000045897E-2</v>
      </c>
      <c r="I1121" t="b">
        <f t="shared" si="424"/>
        <v>1</v>
      </c>
      <c r="J1121">
        <f t="shared" si="413"/>
        <v>5.5699999999999097</v>
      </c>
      <c r="K1121">
        <f t="shared" si="425"/>
        <v>3.5000000000045897E-2</v>
      </c>
      <c r="L1121">
        <f t="shared" si="414"/>
        <v>0.16981259071521937</v>
      </c>
      <c r="M1121">
        <f t="shared" si="415"/>
        <v>0.19000000000009182</v>
      </c>
      <c r="N1121">
        <f t="shared" si="416"/>
        <v>0.18800000187454824</v>
      </c>
      <c r="O1121">
        <f t="shared" si="417"/>
        <v>0.15777777777777779</v>
      </c>
      <c r="P1121">
        <f t="shared" si="430"/>
        <v>0.08</v>
      </c>
      <c r="Q1121">
        <f t="shared" si="426"/>
        <v>0.08</v>
      </c>
      <c r="R1121">
        <f t="shared" si="419"/>
        <v>0.08</v>
      </c>
      <c r="S1121">
        <f t="shared" si="420"/>
        <v>0.06</v>
      </c>
      <c r="T1121">
        <f t="shared" si="421"/>
        <v>0.1</v>
      </c>
      <c r="U1121">
        <f t="shared" si="427"/>
        <v>0.08</v>
      </c>
      <c r="V1121">
        <f t="shared" si="432"/>
        <v>0.18800000187454824</v>
      </c>
      <c r="W1121">
        <f t="shared" si="428"/>
        <v>0.16980880479653335</v>
      </c>
      <c r="X1121">
        <f t="shared" si="429"/>
        <v>0.21012677659669643</v>
      </c>
      <c r="Y1121" t="b">
        <f t="shared" si="431"/>
        <v>0</v>
      </c>
    </row>
    <row xmlns:x14ac="http://schemas.microsoft.com/office/spreadsheetml/2009/9/ac" r="1122" x14ac:dyDescent="0.45">
      <c r="A1122">
        <v>5.5749999999999096</v>
      </c>
      <c r="B1122">
        <f t="shared" si="409"/>
        <v>0.16300000000011416</v>
      </c>
      <c r="C1122" t="b">
        <f t="shared" si="422"/>
        <v>1</v>
      </c>
      <c r="D1122" t="b">
        <f t="shared" si="410"/>
        <v>1</v>
      </c>
      <c r="E1122">
        <f t="shared" si="418"/>
        <v>5.5749999999999096</v>
      </c>
      <c r="F1122">
        <f t="shared" si="423"/>
        <v>0.16300000000011416</v>
      </c>
      <c r="G1122">
        <f t="shared" si="411"/>
        <v>0.21012364647137122</v>
      </c>
      <c r="H1122">
        <f t="shared" si="412"/>
        <v>3.5000000000043913E-2</v>
      </c>
      <c r="I1122" t="b">
        <f t="shared" si="424"/>
        <v>1</v>
      </c>
      <c r="J1122">
        <f t="shared" si="413"/>
        <v>5.5749999999999096</v>
      </c>
      <c r="K1122">
        <f t="shared" si="425"/>
        <v>3.5000000000043913E-2</v>
      </c>
      <c r="L1122">
        <f t="shared" si="414"/>
        <v>0.16981352542292671</v>
      </c>
      <c r="M1122">
        <f t="shared" si="415"/>
        <v>0.19000000000008782</v>
      </c>
      <c r="N1122">
        <f t="shared" si="416"/>
        <v>0.1880000017922655</v>
      </c>
      <c r="O1122">
        <f t="shared" si="417"/>
        <v>0.15777777777777779</v>
      </c>
      <c r="P1122">
        <f t="shared" si="430"/>
        <v>0.08</v>
      </c>
      <c r="Q1122">
        <f t="shared" si="426"/>
        <v>0.08</v>
      </c>
      <c r="R1122">
        <f t="shared" si="419"/>
        <v>0.08</v>
      </c>
      <c r="S1122">
        <f t="shared" si="420"/>
        <v>0.06</v>
      </c>
      <c r="T1122">
        <f t="shared" si="421"/>
        <v>0.1</v>
      </c>
      <c r="U1122">
        <f t="shared" si="427"/>
        <v>0.08</v>
      </c>
      <c r="V1122">
        <f t="shared" si="432"/>
        <v>0.1880000017922655</v>
      </c>
      <c r="W1122">
        <f t="shared" si="428"/>
        <v>0.1698097583865889</v>
      </c>
      <c r="X1122">
        <f t="shared" si="429"/>
        <v>0.21012614429578252</v>
      </c>
      <c r="Y1122" t="b">
        <f t="shared" si="431"/>
        <v>0</v>
      </c>
    </row>
    <row xmlns:x14ac="http://schemas.microsoft.com/office/spreadsheetml/2009/9/ac" r="1123" x14ac:dyDescent="0.45">
      <c r="A1123">
        <v>5.5799999999999104</v>
      </c>
      <c r="B1123">
        <f t="shared" si="409"/>
        <v>0.16300000000010867</v>
      </c>
      <c r="C1123" t="b">
        <f t="shared" si="422"/>
        <v>1</v>
      </c>
      <c r="D1123" t="b">
        <f t="shared" si="410"/>
        <v>1</v>
      </c>
      <c r="E1123">
        <f t="shared" si="418"/>
        <v>5.5799999999999104</v>
      </c>
      <c r="F1123">
        <f t="shared" si="423"/>
        <v>0.16300000000010867</v>
      </c>
      <c r="G1123">
        <f t="shared" si="411"/>
        <v>0.21012302978202252</v>
      </c>
      <c r="H1123">
        <f t="shared" si="412"/>
        <v>3.5000000000041789E-2</v>
      </c>
      <c r="I1123" t="b">
        <f t="shared" si="424"/>
        <v>1</v>
      </c>
      <c r="J1123">
        <f t="shared" si="413"/>
        <v>5.5799999999999104</v>
      </c>
      <c r="K1123">
        <f t="shared" si="425"/>
        <v>3.5000000000041789E-2</v>
      </c>
      <c r="L1123">
        <f t="shared" si="414"/>
        <v>0.1698144554687599</v>
      </c>
      <c r="M1123">
        <f t="shared" si="415"/>
        <v>0.1900000000000836</v>
      </c>
      <c r="N1123">
        <f t="shared" si="416"/>
        <v>0.18800000170457393</v>
      </c>
      <c r="O1123">
        <f t="shared" si="417"/>
        <v>0.15777777777777779</v>
      </c>
      <c r="P1123">
        <f t="shared" si="430"/>
        <v>0.08</v>
      </c>
      <c r="Q1123">
        <f t="shared" si="426"/>
        <v>0.08</v>
      </c>
      <c r="R1123">
        <f t="shared" si="419"/>
        <v>0.08</v>
      </c>
      <c r="S1123">
        <f t="shared" si="420"/>
        <v>0.06</v>
      </c>
      <c r="T1123">
        <f t="shared" si="421"/>
        <v>0.1</v>
      </c>
      <c r="U1123">
        <f t="shared" si="427"/>
        <v>0.08</v>
      </c>
      <c r="V1123">
        <f t="shared" si="432"/>
        <v>0.18800000170457393</v>
      </c>
      <c r="W1123">
        <f t="shared" si="428"/>
        <v>0.16981070722059421</v>
      </c>
      <c r="X1123">
        <f t="shared" si="429"/>
        <v>0.2101255151484826</v>
      </c>
      <c r="Y1123" t="b">
        <f t="shared" si="431"/>
        <v>0</v>
      </c>
    </row>
    <row xmlns:x14ac="http://schemas.microsoft.com/office/spreadsheetml/2009/9/ac" r="1124" x14ac:dyDescent="0.45">
      <c r="A1124">
        <v>5.5849999999999103</v>
      </c>
      <c r="B1124">
        <f t="shared" si="409"/>
        <v>0.16300000000010295</v>
      </c>
      <c r="C1124" t="b">
        <f t="shared" si="422"/>
        <v>1</v>
      </c>
      <c r="D1124" t="b">
        <f t="shared" si="410"/>
        <v>1</v>
      </c>
      <c r="E1124">
        <f t="shared" si="418"/>
        <v>5.5849999999999103</v>
      </c>
      <c r="F1124">
        <f t="shared" si="423"/>
        <v>0.16300000000010295</v>
      </c>
      <c r="G1124">
        <f t="shared" si="411"/>
        <v>0.21012241616842475</v>
      </c>
      <c r="H1124">
        <f t="shared" si="412"/>
        <v>3.5000000000039597E-2</v>
      </c>
      <c r="I1124" t="b">
        <f t="shared" si="424"/>
        <v>1</v>
      </c>
      <c r="J1124">
        <f t="shared" si="413"/>
        <v>5.5849999999999103</v>
      </c>
      <c r="K1124">
        <f t="shared" si="425"/>
        <v>3.5000000000039597E-2</v>
      </c>
      <c r="L1124">
        <f t="shared" si="414"/>
        <v>0.16981538087597015</v>
      </c>
      <c r="M1124">
        <f t="shared" si="415"/>
        <v>0.19000000000007919</v>
      </c>
      <c r="N1124">
        <f t="shared" si="416"/>
        <v>0.18800000161203534</v>
      </c>
      <c r="O1124">
        <f t="shared" si="417"/>
        <v>0.15777777777777779</v>
      </c>
      <c r="P1124">
        <f t="shared" si="430"/>
        <v>0.08</v>
      </c>
      <c r="Q1124">
        <f t="shared" si="426"/>
        <v>0.08</v>
      </c>
      <c r="R1124">
        <f t="shared" si="419"/>
        <v>0.08</v>
      </c>
      <c r="S1124">
        <f t="shared" si="420"/>
        <v>0.06</v>
      </c>
      <c r="T1124">
        <f t="shared" si="421"/>
        <v>0.1</v>
      </c>
      <c r="U1124">
        <f t="shared" si="427"/>
        <v>0.08</v>
      </c>
      <c r="V1124">
        <f t="shared" si="432"/>
        <v>0.18800000161203534</v>
      </c>
      <c r="W1124">
        <f t="shared" si="428"/>
        <v>0.16981165132227016</v>
      </c>
      <c r="X1124">
        <f t="shared" si="429"/>
        <v>0.21012488913906791</v>
      </c>
      <c r="Y1124" t="b">
        <f t="shared" si="431"/>
        <v>0</v>
      </c>
    </row>
    <row xmlns:x14ac="http://schemas.microsoft.com/office/spreadsheetml/2009/9/ac" r="1125" x14ac:dyDescent="0.45">
      <c r="A1125">
        <v>5.5899999999999102</v>
      </c>
      <c r="B1125">
        <f t="shared" si="409"/>
        <v>0.16300000000009701</v>
      </c>
      <c r="C1125" t="b">
        <f t="shared" si="422"/>
        <v>1</v>
      </c>
      <c r="D1125" t="b">
        <f t="shared" si="410"/>
        <v>1</v>
      </c>
      <c r="E1125">
        <f t="shared" si="418"/>
        <v>5.5899999999999102</v>
      </c>
      <c r="F1125">
        <f t="shared" si="423"/>
        <v>0.16300000000009701</v>
      </c>
      <c r="G1125">
        <f t="shared" si="411"/>
        <v>0.21012180561523758</v>
      </c>
      <c r="H1125">
        <f t="shared" si="412"/>
        <v>3.5000000000037307E-2</v>
      </c>
      <c r="I1125" t="b">
        <f t="shared" si="424"/>
        <v>1</v>
      </c>
      <c r="J1125">
        <f t="shared" si="413"/>
        <v>5.5899999999999102</v>
      </c>
      <c r="K1125">
        <f t="shared" si="425"/>
        <v>3.5000000000037307E-2</v>
      </c>
      <c r="L1125">
        <f t="shared" si="414"/>
        <v>0.16981630166769268</v>
      </c>
      <c r="M1125">
        <f t="shared" si="415"/>
        <v>0.19000000000007461</v>
      </c>
      <c r="N1125">
        <f t="shared" si="416"/>
        <v>0.18800000151521537</v>
      </c>
      <c r="O1125">
        <f t="shared" si="417"/>
        <v>0.15777777777777779</v>
      </c>
      <c r="P1125">
        <f t="shared" si="430"/>
        <v>0.08</v>
      </c>
      <c r="Q1125">
        <f t="shared" si="426"/>
        <v>0.08</v>
      </c>
      <c r="R1125">
        <f t="shared" si="419"/>
        <v>0.08</v>
      </c>
      <c r="S1125">
        <f t="shared" si="420"/>
        <v>0.06</v>
      </c>
      <c r="T1125">
        <f t="shared" si="421"/>
        <v>0.1</v>
      </c>
      <c r="U1125">
        <f t="shared" si="427"/>
        <v>0.08</v>
      </c>
      <c r="V1125">
        <f t="shared" si="432"/>
        <v>0.18800000151521537</v>
      </c>
      <c r="W1125">
        <f t="shared" si="428"/>
        <v>0.16981259071521937</v>
      </c>
      <c r="X1125">
        <f t="shared" si="429"/>
        <v>0.21012426625188818</v>
      </c>
      <c r="Y1125" t="b">
        <f t="shared" si="431"/>
        <v>0</v>
      </c>
    </row>
    <row xmlns:x14ac="http://schemas.microsoft.com/office/spreadsheetml/2009/9/ac" r="1126" x14ac:dyDescent="0.45">
      <c r="A1126">
        <v>5.59499999999991</v>
      </c>
      <c r="B1126">
        <f t="shared" si="409"/>
        <v>0.16300000000009088</v>
      </c>
      <c r="C1126" t="b">
        <f t="shared" si="422"/>
        <v>1</v>
      </c>
      <c r="D1126" t="b">
        <f t="shared" si="410"/>
        <v>1</v>
      </c>
      <c r="E1126">
        <f t="shared" si="418"/>
        <v>5.59499999999991</v>
      </c>
      <c r="F1126">
        <f t="shared" si="423"/>
        <v>0.16300000000009088</v>
      </c>
      <c r="G1126">
        <f t="shared" si="411"/>
        <v>0.21012119810719715</v>
      </c>
      <c r="H1126">
        <f t="shared" si="412"/>
        <v>3.5000000000034948E-2</v>
      </c>
      <c r="I1126" t="b">
        <f t="shared" si="424"/>
        <v>1</v>
      </c>
      <c r="J1126">
        <f t="shared" si="413"/>
        <v>5.59499999999991</v>
      </c>
      <c r="K1126">
        <f t="shared" si="425"/>
        <v>3.5000000000034948E-2</v>
      </c>
      <c r="L1126">
        <f t="shared" si="414"/>
        <v>0.16981721786694731</v>
      </c>
      <c r="M1126">
        <f t="shared" si="415"/>
        <v>0.19000000000006989</v>
      </c>
      <c r="N1126">
        <f t="shared" si="416"/>
        <v>0.18800000141468109</v>
      </c>
      <c r="O1126">
        <f t="shared" si="417"/>
        <v>0.15777777777777779</v>
      </c>
      <c r="P1126">
        <f t="shared" si="430"/>
        <v>0.08</v>
      </c>
      <c r="Q1126">
        <f t="shared" si="426"/>
        <v>0.08</v>
      </c>
      <c r="R1126">
        <f t="shared" si="419"/>
        <v>0.08</v>
      </c>
      <c r="S1126">
        <f t="shared" si="420"/>
        <v>0.06</v>
      </c>
      <c r="T1126">
        <f t="shared" si="421"/>
        <v>0.1</v>
      </c>
      <c r="U1126">
        <f t="shared" si="427"/>
        <v>0.08</v>
      </c>
      <c r="V1126">
        <f t="shared" si="432"/>
        <v>0.18800000141468109</v>
      </c>
      <c r="W1126">
        <f t="shared" si="428"/>
        <v>0.16981352542292671</v>
      </c>
      <c r="X1126">
        <f t="shared" si="429"/>
        <v>0.21012364647137122</v>
      </c>
      <c r="Y1126" t="b">
        <f t="shared" si="431"/>
        <v>0</v>
      </c>
    </row>
    <row xmlns:x14ac="http://schemas.microsoft.com/office/spreadsheetml/2009/9/ac" r="1127" x14ac:dyDescent="0.45">
      <c r="A1127">
        <v>5.5999999999999099</v>
      </c>
      <c r="B1127">
        <f t="shared" si="409"/>
        <v>0.1630000000000846</v>
      </c>
      <c r="C1127" t="b">
        <f t="shared" si="422"/>
        <v>1</v>
      </c>
      <c r="D1127" t="b">
        <f t="shared" si="410"/>
        <v>1</v>
      </c>
      <c r="E1127">
        <f t="shared" si="418"/>
        <v>5.5999999999999099</v>
      </c>
      <c r="F1127">
        <f t="shared" si="423"/>
        <v>0.1630000000000846</v>
      </c>
      <c r="G1127">
        <f t="shared" si="411"/>
        <v>0.21012059362911573</v>
      </c>
      <c r="H1127">
        <f t="shared" si="412"/>
        <v>3.5000000000032547E-2</v>
      </c>
      <c r="I1127" t="b">
        <f t="shared" si="424"/>
        <v>1</v>
      </c>
      <c r="J1127">
        <f t="shared" si="413"/>
        <v>5.5999999999999099</v>
      </c>
      <c r="K1127">
        <f t="shared" si="425"/>
        <v>3.5000000000032547E-2</v>
      </c>
      <c r="L1127">
        <f t="shared" si="414"/>
        <v>0.1698181294966391</v>
      </c>
      <c r="M1127">
        <f t="shared" si="415"/>
        <v>0.19000000000006509</v>
      </c>
      <c r="N1127">
        <f t="shared" si="416"/>
        <v>0.1880000013109982</v>
      </c>
      <c r="O1127">
        <f t="shared" si="417"/>
        <v>0.15777777777777779</v>
      </c>
      <c r="P1127">
        <f t="shared" si="430"/>
        <v>0.08</v>
      </c>
      <c r="Q1127">
        <f t="shared" si="426"/>
        <v>0.08</v>
      </c>
      <c r="R1127">
        <f t="shared" si="419"/>
        <v>0.08</v>
      </c>
      <c r="S1127">
        <f t="shared" si="420"/>
        <v>0.06</v>
      </c>
      <c r="T1127">
        <f t="shared" si="421"/>
        <v>0.1</v>
      </c>
      <c r="U1127">
        <f t="shared" si="427"/>
        <v>0.08</v>
      </c>
      <c r="V1127">
        <f t="shared" si="432"/>
        <v>0.1880000013109982</v>
      </c>
      <c r="W1127">
        <f t="shared" si="428"/>
        <v>0.1698144554687599</v>
      </c>
      <c r="X1127">
        <f t="shared" si="429"/>
        <v>0.21012302978202252</v>
      </c>
      <c r="Y1127" t="b">
        <f t="shared" si="431"/>
        <v>0</v>
      </c>
    </row>
    <row xmlns:x14ac="http://schemas.microsoft.com/office/spreadsheetml/2009/9/ac" r="1128" x14ac:dyDescent="0.45">
      <c r="A1128">
        <v>5.6049999999999098</v>
      </c>
      <c r="B1128">
        <f t="shared" si="409"/>
        <v>0.16300000000007825</v>
      </c>
      <c r="C1128" t="b">
        <f t="shared" si="422"/>
        <v>1</v>
      </c>
      <c r="D1128" t="b">
        <f t="shared" si="410"/>
        <v>1</v>
      </c>
      <c r="E1128">
        <f t="shared" si="418"/>
        <v>5.6049999999999098</v>
      </c>
      <c r="F1128">
        <f t="shared" si="423"/>
        <v>0.16300000000007825</v>
      </c>
      <c r="G1128">
        <f t="shared" si="411"/>
        <v>0.21011999216588123</v>
      </c>
      <c r="H1128">
        <f t="shared" si="412"/>
        <v>3.5000000000030104E-2</v>
      </c>
      <c r="I1128" t="b">
        <f t="shared" si="424"/>
        <v>1</v>
      </c>
      <c r="J1128">
        <f t="shared" si="413"/>
        <v>5.6049999999999098</v>
      </c>
      <c r="K1128">
        <f t="shared" si="425"/>
        <v>3.5000000000030104E-2</v>
      </c>
      <c r="L1128">
        <f t="shared" si="414"/>
        <v>0.16981903657955888</v>
      </c>
      <c r="M1128">
        <f t="shared" si="415"/>
        <v>0.1900000000000602</v>
      </c>
      <c r="N1128">
        <f t="shared" si="416"/>
        <v>0.18800000120472871</v>
      </c>
      <c r="O1128">
        <f t="shared" si="417"/>
        <v>0.15777777777777779</v>
      </c>
      <c r="P1128">
        <f t="shared" si="430"/>
        <v>0.08</v>
      </c>
      <c r="Q1128">
        <f t="shared" si="426"/>
        <v>0.08</v>
      </c>
      <c r="R1128">
        <f t="shared" si="419"/>
        <v>0.08</v>
      </c>
      <c r="S1128">
        <f t="shared" si="420"/>
        <v>0.06</v>
      </c>
      <c r="T1128">
        <f t="shared" si="421"/>
        <v>0.1</v>
      </c>
      <c r="U1128">
        <f t="shared" si="427"/>
        <v>0.08</v>
      </c>
      <c r="V1128">
        <f t="shared" si="432"/>
        <v>0.18800000120472871</v>
      </c>
      <c r="W1128">
        <f t="shared" si="428"/>
        <v>0.16981538087597015</v>
      </c>
      <c r="X1128">
        <f t="shared" si="429"/>
        <v>0.21012241616842475</v>
      </c>
      <c r="Y1128" t="b">
        <f t="shared" si="431"/>
        <v>0</v>
      </c>
    </row>
    <row xmlns:x14ac="http://schemas.microsoft.com/office/spreadsheetml/2009/9/ac" r="1129" x14ac:dyDescent="0.45">
      <c r="A1129">
        <v>5.6099999999999097</v>
      </c>
      <c r="B1129">
        <f t="shared" si="409"/>
        <v>0.16300000000007184</v>
      </c>
      <c r="C1129" t="b">
        <f t="shared" si="422"/>
        <v>1</v>
      </c>
      <c r="D1129" t="b">
        <f t="shared" si="410"/>
        <v>1</v>
      </c>
      <c r="E1129">
        <f t="shared" si="418"/>
        <v>5.6099999999999097</v>
      </c>
      <c r="F1129">
        <f t="shared" si="423"/>
        <v>0.16300000000007184</v>
      </c>
      <c r="G1129">
        <f t="shared" si="411"/>
        <v>0.21011939370245719</v>
      </c>
      <c r="H1129">
        <f t="shared" si="412"/>
        <v>3.5000000000027634E-2</v>
      </c>
      <c r="I1129" t="b">
        <f t="shared" si="424"/>
        <v>1</v>
      </c>
      <c r="J1129">
        <f t="shared" si="413"/>
        <v>5.6099999999999097</v>
      </c>
      <c r="K1129">
        <f t="shared" si="425"/>
        <v>3.5000000000027634E-2</v>
      </c>
      <c r="L1129">
        <f t="shared" si="414"/>
        <v>0.16981993913838367</v>
      </c>
      <c r="M1129">
        <f t="shared" si="415"/>
        <v>0.19000000000005526</v>
      </c>
      <c r="N1129">
        <f t="shared" si="416"/>
        <v>0.18800000109642842</v>
      </c>
      <c r="O1129">
        <f t="shared" si="417"/>
        <v>0.15777777777777779</v>
      </c>
      <c r="P1129">
        <f t="shared" si="430"/>
        <v>0.08</v>
      </c>
      <c r="Q1129">
        <f t="shared" si="426"/>
        <v>0.08</v>
      </c>
      <c r="R1129">
        <f t="shared" si="419"/>
        <v>0.08</v>
      </c>
      <c r="S1129">
        <f t="shared" si="420"/>
        <v>0.06</v>
      </c>
      <c r="T1129">
        <f t="shared" si="421"/>
        <v>0.1</v>
      </c>
      <c r="U1129">
        <f t="shared" si="427"/>
        <v>0.08</v>
      </c>
      <c r="V1129">
        <f t="shared" si="432"/>
        <v>0.18800000109642842</v>
      </c>
      <c r="W1129">
        <f t="shared" si="428"/>
        <v>0.16981630166769268</v>
      </c>
      <c r="X1129">
        <f t="shared" si="429"/>
        <v>0.21012180561523758</v>
      </c>
      <c r="Y1129" t="b">
        <f t="shared" si="431"/>
        <v>0</v>
      </c>
    </row>
    <row xmlns:x14ac="http://schemas.microsoft.com/office/spreadsheetml/2009/9/ac" r="1130" x14ac:dyDescent="0.45">
      <c r="A1130">
        <v>5.6149999999999096</v>
      </c>
      <c r="B1130">
        <f t="shared" si="409"/>
        <v>0.16300000000006537</v>
      </c>
      <c r="C1130" t="b">
        <f t="shared" si="422"/>
        <v>1</v>
      </c>
      <c r="D1130" t="b">
        <f t="shared" si="410"/>
        <v>1</v>
      </c>
      <c r="E1130">
        <f t="shared" si="418"/>
        <v>5.6149999999999096</v>
      </c>
      <c r="F1130">
        <f t="shared" si="423"/>
        <v>0.16300000000006537</v>
      </c>
      <c r="G1130">
        <f t="shared" si="411"/>
        <v>0.21011879822388196</v>
      </c>
      <c r="H1130">
        <f t="shared" si="412"/>
        <v>3.500000000002515E-2</v>
      </c>
      <c r="I1130" t="b">
        <f t="shared" si="424"/>
        <v>1</v>
      </c>
      <c r="J1130">
        <f t="shared" si="413"/>
        <v>5.6149999999999096</v>
      </c>
      <c r="K1130">
        <f t="shared" si="425"/>
        <v>3.500000000002515E-2</v>
      </c>
      <c r="L1130">
        <f t="shared" si="414"/>
        <v>0.16982083719567759</v>
      </c>
      <c r="M1130">
        <f t="shared" si="415"/>
        <v>0.1900000000000503</v>
      </c>
      <c r="N1130">
        <f t="shared" si="416"/>
        <v>0.18800000098664471</v>
      </c>
      <c r="O1130">
        <f t="shared" si="417"/>
        <v>0.15777777777777779</v>
      </c>
      <c r="P1130">
        <f t="shared" si="430"/>
        <v>0.08</v>
      </c>
      <c r="Q1130">
        <f t="shared" si="426"/>
        <v>0.08</v>
      </c>
      <c r="R1130">
        <f t="shared" si="419"/>
        <v>0.08</v>
      </c>
      <c r="S1130">
        <f t="shared" si="420"/>
        <v>0.06</v>
      </c>
      <c r="T1130">
        <f t="shared" si="421"/>
        <v>0.1</v>
      </c>
      <c r="U1130">
        <f t="shared" si="427"/>
        <v>0.08</v>
      </c>
      <c r="V1130">
        <f t="shared" si="432"/>
        <v>0.18800000098664471</v>
      </c>
      <c r="W1130">
        <f t="shared" si="428"/>
        <v>0.16981721786694731</v>
      </c>
      <c r="X1130">
        <f t="shared" si="429"/>
        <v>0.21012119810719715</v>
      </c>
      <c r="Y1130" t="b">
        <f t="shared" si="431"/>
        <v>0</v>
      </c>
    </row>
    <row xmlns:x14ac="http://schemas.microsoft.com/office/spreadsheetml/2009/9/ac" r="1131" x14ac:dyDescent="0.45">
      <c r="A1131">
        <v>5.6199999999999104</v>
      </c>
      <c r="B1131">
        <f t="shared" si="409"/>
        <v>0.16300000000005896</v>
      </c>
      <c r="C1131" t="b">
        <f t="shared" si="422"/>
        <v>1</v>
      </c>
      <c r="D1131" t="b">
        <f t="shared" si="410"/>
        <v>1</v>
      </c>
      <c r="E1131">
        <f t="shared" si="418"/>
        <v>5.6199999999999104</v>
      </c>
      <c r="F1131">
        <f t="shared" si="423"/>
        <v>0.16300000000005896</v>
      </c>
      <c r="G1131">
        <f t="shared" si="411"/>
        <v>0.21011820571526846</v>
      </c>
      <c r="H1131">
        <f t="shared" si="412"/>
        <v>3.500000000002268E-2</v>
      </c>
      <c r="I1131" t="b">
        <f t="shared" si="424"/>
        <v>1</v>
      </c>
      <c r="J1131">
        <f t="shared" si="413"/>
        <v>5.6199999999999104</v>
      </c>
      <c r="K1131">
        <f t="shared" si="425"/>
        <v>3.500000000002268E-2</v>
      </c>
      <c r="L1131">
        <f t="shared" si="414"/>
        <v>0.16982173077389204</v>
      </c>
      <c r="M1131">
        <f t="shared" si="415"/>
        <v>0.19000000000004535</v>
      </c>
      <c r="N1131">
        <f t="shared" si="416"/>
        <v>0.18800000087591434</v>
      </c>
      <c r="O1131">
        <f t="shared" si="417"/>
        <v>0.15777777777777779</v>
      </c>
      <c r="P1131">
        <f t="shared" si="430"/>
        <v>0.08</v>
      </c>
      <c r="Q1131">
        <f t="shared" si="426"/>
        <v>0.08</v>
      </c>
      <c r="R1131">
        <f t="shared" si="419"/>
        <v>0.08</v>
      </c>
      <c r="S1131">
        <f t="shared" si="420"/>
        <v>0.06</v>
      </c>
      <c r="T1131">
        <f t="shared" si="421"/>
        <v>0.1</v>
      </c>
      <c r="U1131">
        <f t="shared" si="427"/>
        <v>0.08</v>
      </c>
      <c r="V1131">
        <f t="shared" si="432"/>
        <v>0.18800000087591434</v>
      </c>
      <c r="W1131">
        <f t="shared" si="428"/>
        <v>0.1698181294966391</v>
      </c>
      <c r="X1131">
        <f t="shared" si="429"/>
        <v>0.21012059362911573</v>
      </c>
      <c r="Y1131" t="b">
        <f t="shared" si="431"/>
        <v>0</v>
      </c>
    </row>
    <row xmlns:x14ac="http://schemas.microsoft.com/office/spreadsheetml/2009/9/ac" r="1132" x14ac:dyDescent="0.45">
      <c r="A1132">
        <v>5.6249999999999103</v>
      </c>
      <c r="B1132">
        <f t="shared" si="409"/>
        <v>0.16300000000005252</v>
      </c>
      <c r="C1132" t="b">
        <f t="shared" si="422"/>
        <v>1</v>
      </c>
      <c r="D1132" t="b">
        <f t="shared" si="410"/>
        <v>1</v>
      </c>
      <c r="E1132">
        <f t="shared" si="418"/>
        <v>5.6249999999999103</v>
      </c>
      <c r="F1132">
        <f t="shared" si="423"/>
        <v>0.16300000000005252</v>
      </c>
      <c r="G1132">
        <f t="shared" si="411"/>
        <v>0.21011761616180402</v>
      </c>
      <c r="H1132">
        <f t="shared" si="412"/>
        <v>3.5000000000020209E-2</v>
      </c>
      <c r="I1132" t="b">
        <f t="shared" si="424"/>
        <v>1</v>
      </c>
      <c r="J1132">
        <f t="shared" si="413"/>
        <v>5.6249999999999103</v>
      </c>
      <c r="K1132">
        <f t="shared" si="425"/>
        <v>3.5000000000020209E-2</v>
      </c>
      <c r="L1132">
        <f t="shared" si="414"/>
        <v>0.16982261989536657</v>
      </c>
      <c r="M1132">
        <f t="shared" si="415"/>
        <v>0.19000000000004041</v>
      </c>
      <c r="N1132">
        <f t="shared" si="416"/>
        <v>0.18800000076476142</v>
      </c>
      <c r="O1132">
        <f t="shared" si="417"/>
        <v>0.15777777777777779</v>
      </c>
      <c r="P1132">
        <f t="shared" si="430"/>
        <v>0.08</v>
      </c>
      <c r="Q1132">
        <f t="shared" si="426"/>
        <v>0.08</v>
      </c>
      <c r="R1132">
        <f t="shared" si="419"/>
        <v>0.08</v>
      </c>
      <c r="S1132">
        <f t="shared" si="420"/>
        <v>0.06</v>
      </c>
      <c r="T1132">
        <f t="shared" si="421"/>
        <v>0.1</v>
      </c>
      <c r="U1132">
        <f t="shared" si="427"/>
        <v>0.08</v>
      </c>
      <c r="V1132">
        <f t="shared" si="432"/>
        <v>0.18800000076476142</v>
      </c>
      <c r="W1132">
        <f t="shared" si="428"/>
        <v>0.16981903657955888</v>
      </c>
      <c r="X1132">
        <f t="shared" si="429"/>
        <v>0.21011999216588123</v>
      </c>
      <c r="Y1132" t="b">
        <f t="shared" si="431"/>
        <v>0</v>
      </c>
    </row>
    <row xmlns:x14ac="http://schemas.microsoft.com/office/spreadsheetml/2009/9/ac" r="1133" x14ac:dyDescent="0.45">
      <c r="A1133">
        <v>5.6299999999999102</v>
      </c>
      <c r="B1133">
        <f t="shared" si="409"/>
        <v>0.16300000000004616</v>
      </c>
      <c r="C1133" t="b">
        <f t="shared" si="422"/>
        <v>1</v>
      </c>
      <c r="D1133" t="b">
        <f t="shared" si="410"/>
        <v>1</v>
      </c>
      <c r="E1133">
        <f t="shared" si="418"/>
        <v>5.6299999999999102</v>
      </c>
      <c r="F1133">
        <f t="shared" si="423"/>
        <v>0.16300000000004616</v>
      </c>
      <c r="G1133">
        <f t="shared" si="411"/>
        <v>0.21011702954874972</v>
      </c>
      <c r="H1133">
        <f t="shared" si="412"/>
        <v>3.5000000000017753E-2</v>
      </c>
      <c r="I1133" t="b">
        <f t="shared" si="424"/>
        <v>1</v>
      </c>
      <c r="J1133">
        <f t="shared" si="413"/>
        <v>5.6299999999999102</v>
      </c>
      <c r="K1133">
        <f t="shared" si="425"/>
        <v>3.5000000000017753E-2</v>
      </c>
      <c r="L1133">
        <f t="shared" si="414"/>
        <v>0.1698235045823292</v>
      </c>
      <c r="M1133">
        <f t="shared" si="415"/>
        <v>0.19000000000003553</v>
      </c>
      <c r="N1133">
        <f t="shared" si="416"/>
        <v>0.18800000065369538</v>
      </c>
      <c r="O1133">
        <f t="shared" si="417"/>
        <v>0.15777777777777779</v>
      </c>
      <c r="P1133">
        <f t="shared" si="430"/>
        <v>0.08</v>
      </c>
      <c r="Q1133">
        <f t="shared" si="426"/>
        <v>0.08</v>
      </c>
      <c r="R1133">
        <f t="shared" si="419"/>
        <v>0.08</v>
      </c>
      <c r="S1133">
        <f t="shared" si="420"/>
        <v>0.06</v>
      </c>
      <c r="T1133">
        <f t="shared" si="421"/>
        <v>0.1</v>
      </c>
      <c r="U1133">
        <f t="shared" si="427"/>
        <v>0.08</v>
      </c>
      <c r="V1133">
        <f t="shared" si="432"/>
        <v>0.18800000065369538</v>
      </c>
      <c r="W1133">
        <f t="shared" si="428"/>
        <v>0.16981993913838367</v>
      </c>
      <c r="X1133">
        <f t="shared" si="429"/>
        <v>0.21011939370245719</v>
      </c>
      <c r="Y1133" t="b">
        <f t="shared" si="431"/>
        <v>0</v>
      </c>
    </row>
    <row xmlns:x14ac="http://schemas.microsoft.com/office/spreadsheetml/2009/9/ac" r="1134" x14ac:dyDescent="0.45">
      <c r="A1134">
        <v>5.6349999999999101</v>
      </c>
      <c r="B1134">
        <f t="shared" si="409"/>
        <v>0.16300000000003989</v>
      </c>
      <c r="C1134" t="b">
        <f t="shared" si="422"/>
        <v>1</v>
      </c>
      <c r="D1134" t="b">
        <f t="shared" si="410"/>
        <v>1</v>
      </c>
      <c r="E1134">
        <f t="shared" si="418"/>
        <v>5.6349999999999101</v>
      </c>
      <c r="F1134">
        <f t="shared" si="423"/>
        <v>0.16300000000003989</v>
      </c>
      <c r="G1134">
        <f t="shared" si="411"/>
        <v>0.21011644586144029</v>
      </c>
      <c r="H1134">
        <f t="shared" si="412"/>
        <v>3.5000000000015352E-2</v>
      </c>
      <c r="I1134" t="b">
        <f t="shared" si="424"/>
        <v>1</v>
      </c>
      <c r="J1134">
        <f t="shared" si="413"/>
        <v>5.6349999999999101</v>
      </c>
      <c r="K1134">
        <f t="shared" si="425"/>
        <v>3.5000000000015352E-2</v>
      </c>
      <c r="L1134">
        <f t="shared" si="414"/>
        <v>0.16982438485689724</v>
      </c>
      <c r="M1134">
        <f t="shared" si="415"/>
        <v>0.1900000000000307</v>
      </c>
      <c r="N1134">
        <f t="shared" si="416"/>
        <v>0.18800000054320926</v>
      </c>
      <c r="O1134">
        <f t="shared" si="417"/>
        <v>0.15777777777777779</v>
      </c>
      <c r="P1134">
        <f t="shared" si="430"/>
        <v>0.08</v>
      </c>
      <c r="Q1134">
        <f t="shared" si="426"/>
        <v>0.08</v>
      </c>
      <c r="R1134">
        <f t="shared" si="419"/>
        <v>0.08</v>
      </c>
      <c r="S1134">
        <f t="shared" si="420"/>
        <v>0.06</v>
      </c>
      <c r="T1134">
        <f t="shared" si="421"/>
        <v>0.1</v>
      </c>
      <c r="U1134">
        <f t="shared" si="427"/>
        <v>0.08</v>
      </c>
      <c r="V1134">
        <f t="shared" si="432"/>
        <v>0.18800000054320926</v>
      </c>
      <c r="W1134">
        <f t="shared" si="428"/>
        <v>0.16982083719567759</v>
      </c>
      <c r="X1134">
        <f t="shared" si="429"/>
        <v>0.21011879822388196</v>
      </c>
      <c r="Y1134" t="b">
        <f t="shared" si="431"/>
        <v>0</v>
      </c>
    </row>
    <row xmlns:x14ac="http://schemas.microsoft.com/office/spreadsheetml/2009/9/ac" r="1135" x14ac:dyDescent="0.45">
      <c r="A1135">
        <v>5.63999999999991</v>
      </c>
      <c r="B1135">
        <f t="shared" si="409"/>
        <v>0.16300000000003376</v>
      </c>
      <c r="C1135" t="b">
        <f t="shared" si="422"/>
        <v>1</v>
      </c>
      <c r="D1135" t="b">
        <f t="shared" si="410"/>
        <v>1</v>
      </c>
      <c r="E1135">
        <f t="shared" si="418"/>
        <v>5.63999999999991</v>
      </c>
      <c r="F1135">
        <f t="shared" si="423"/>
        <v>0.16300000000003376</v>
      </c>
      <c r="G1135">
        <f t="shared" si="411"/>
        <v>0.2101158650852834</v>
      </c>
      <c r="H1135">
        <f t="shared" si="412"/>
        <v>3.5000000000012979E-2</v>
      </c>
      <c r="I1135" t="b">
        <f t="shared" si="424"/>
        <v>1</v>
      </c>
      <c r="J1135">
        <f t="shared" si="413"/>
        <v>5.63999999999991</v>
      </c>
      <c r="K1135">
        <f t="shared" si="425"/>
        <v>3.5000000000012979E-2</v>
      </c>
      <c r="L1135">
        <f t="shared" si="414"/>
        <v>0.16982526074107757</v>
      </c>
      <c r="M1135">
        <f t="shared" si="415"/>
        <v>0.19000000000002598</v>
      </c>
      <c r="N1135">
        <f t="shared" si="416"/>
        <v>0.18800000043377796</v>
      </c>
      <c r="O1135">
        <f t="shared" si="417"/>
        <v>0.15777777777777779</v>
      </c>
      <c r="P1135">
        <f t="shared" si="430"/>
        <v>0.08</v>
      </c>
      <c r="Q1135">
        <f t="shared" si="426"/>
        <v>0.08</v>
      </c>
      <c r="R1135">
        <f t="shared" si="419"/>
        <v>0.08</v>
      </c>
      <c r="S1135">
        <f t="shared" si="420"/>
        <v>0.06</v>
      </c>
      <c r="T1135">
        <f t="shared" si="421"/>
        <v>0.1</v>
      </c>
      <c r="U1135">
        <f t="shared" si="427"/>
        <v>0.08</v>
      </c>
      <c r="V1135">
        <f t="shared" si="432"/>
        <v>0.18800000043377796</v>
      </c>
      <c r="W1135">
        <f t="shared" si="428"/>
        <v>0.16982173077389204</v>
      </c>
      <c r="X1135">
        <f t="shared" si="429"/>
        <v>0.21011820571526846</v>
      </c>
      <c r="Y1135" t="b">
        <f t="shared" si="431"/>
        <v>0</v>
      </c>
    </row>
    <row xmlns:x14ac="http://schemas.microsoft.com/office/spreadsheetml/2009/9/ac" r="1136" x14ac:dyDescent="0.45">
      <c r="A1136">
        <v>5.6449999999999099</v>
      </c>
      <c r="B1136">
        <f t="shared" si="409"/>
        <v>0.16300000000002773</v>
      </c>
      <c r="C1136" t="b">
        <f t="shared" si="422"/>
        <v>1</v>
      </c>
      <c r="D1136" t="b">
        <f t="shared" si="410"/>
        <v>1</v>
      </c>
      <c r="E1136">
        <f t="shared" si="418"/>
        <v>5.6449999999999099</v>
      </c>
      <c r="F1136">
        <f t="shared" si="423"/>
        <v>0.16300000000002773</v>
      </c>
      <c r="G1136">
        <f t="shared" si="411"/>
        <v>0.21011528720575973</v>
      </c>
      <c r="H1136">
        <f t="shared" si="412"/>
        <v>3.5000000000010675E-2</v>
      </c>
      <c r="I1136" t="b">
        <f t="shared" si="424"/>
        <v>1</v>
      </c>
      <c r="J1136">
        <f t="shared" si="413"/>
        <v>5.6449999999999099</v>
      </c>
      <c r="K1136">
        <f t="shared" si="425"/>
        <v>3.5000000000010675E-2</v>
      </c>
      <c r="L1136">
        <f t="shared" si="414"/>
        <v>0.16982613225676729</v>
      </c>
      <c r="M1136">
        <f t="shared" si="415"/>
        <v>0.19000000000002135</v>
      </c>
      <c r="N1136">
        <f t="shared" si="416"/>
        <v>0.18800000032585679</v>
      </c>
      <c r="O1136">
        <f t="shared" si="417"/>
        <v>0.15777777777777779</v>
      </c>
      <c r="P1136">
        <f t="shared" si="430"/>
        <v>0.08</v>
      </c>
      <c r="Q1136">
        <f t="shared" si="426"/>
        <v>0.08</v>
      </c>
      <c r="R1136">
        <f t="shared" si="419"/>
        <v>0.08</v>
      </c>
      <c r="S1136">
        <f t="shared" si="420"/>
        <v>0.06</v>
      </c>
      <c r="T1136">
        <f t="shared" si="421"/>
        <v>0.1</v>
      </c>
      <c r="U1136">
        <f t="shared" si="427"/>
        <v>0.08</v>
      </c>
      <c r="V1136">
        <f t="shared" si="432"/>
        <v>0.18800000032585679</v>
      </c>
      <c r="W1136">
        <f t="shared" si="428"/>
        <v>0.16982261989536657</v>
      </c>
      <c r="X1136">
        <f t="shared" si="429"/>
        <v>0.21011761616180402</v>
      </c>
      <c r="Y1136" t="b">
        <f t="shared" si="431"/>
        <v>0</v>
      </c>
    </row>
    <row xmlns:x14ac="http://schemas.microsoft.com/office/spreadsheetml/2009/9/ac" r="1137" x14ac:dyDescent="0.45">
      <c r="A1137">
        <v>5.6499999999999098</v>
      </c>
      <c r="B1137">
        <f t="shared" si="409"/>
        <v>0.16300000000002191</v>
      </c>
      <c r="C1137" t="b">
        <f t="shared" si="422"/>
        <v>1</v>
      </c>
      <c r="D1137" t="b">
        <f t="shared" si="410"/>
        <v>1</v>
      </c>
      <c r="E1137">
        <f t="shared" si="418"/>
        <v>5.6499999999999098</v>
      </c>
      <c r="F1137">
        <f t="shared" si="423"/>
        <v>0.16300000000002191</v>
      </c>
      <c r="G1137">
        <f t="shared" si="411"/>
        <v>0.21011471220842221</v>
      </c>
      <c r="H1137">
        <f t="shared" si="412"/>
        <v>3.5000000000008427E-2</v>
      </c>
      <c r="I1137" t="b">
        <f t="shared" si="424"/>
        <v>1</v>
      </c>
      <c r="J1137">
        <f t="shared" si="413"/>
        <v>5.6499999999999098</v>
      </c>
      <c r="K1137">
        <f t="shared" si="425"/>
        <v>3.5000000000008427E-2</v>
      </c>
      <c r="L1137">
        <f t="shared" si="414"/>
        <v>0.16982699942575435</v>
      </c>
      <c r="M1137">
        <f t="shared" si="415"/>
        <v>0.19000000000001685</v>
      </c>
      <c r="N1137">
        <f t="shared" si="416"/>
        <v>0.18800000021987989</v>
      </c>
      <c r="O1137">
        <f t="shared" si="417"/>
        <v>0.15777777777777779</v>
      </c>
      <c r="P1137">
        <f t="shared" si="430"/>
        <v>0.08</v>
      </c>
      <c r="Q1137">
        <f t="shared" si="426"/>
        <v>0.08</v>
      </c>
      <c r="R1137">
        <f t="shared" si="419"/>
        <v>0.08</v>
      </c>
      <c r="S1137">
        <f t="shared" si="420"/>
        <v>0.06</v>
      </c>
      <c r="T1137">
        <f t="shared" si="421"/>
        <v>0.1</v>
      </c>
      <c r="U1137">
        <f t="shared" si="427"/>
        <v>0.08</v>
      </c>
      <c r="V1137">
        <f t="shared" si="432"/>
        <v>0.18800000021987989</v>
      </c>
      <c r="W1137">
        <f t="shared" si="428"/>
        <v>0.1698235045823292</v>
      </c>
      <c r="X1137">
        <f t="shared" si="429"/>
        <v>0.21011702954874972</v>
      </c>
      <c r="Y1137" t="b">
        <f t="shared" si="431"/>
        <v>0</v>
      </c>
    </row>
    <row xmlns:x14ac="http://schemas.microsoft.com/office/spreadsheetml/2009/9/ac" r="1138" x14ac:dyDescent="0.45">
      <c r="A1138">
        <v>5.6549999999999097</v>
      </c>
      <c r="B1138">
        <f t="shared" si="409"/>
        <v>0.16300000000001622</v>
      </c>
      <c r="C1138" t="b">
        <f t="shared" si="422"/>
        <v>1</v>
      </c>
      <c r="D1138" t="b">
        <f t="shared" si="410"/>
        <v>1</v>
      </c>
      <c r="E1138">
        <f t="shared" si="418"/>
        <v>5.6549999999999097</v>
      </c>
      <c r="F1138">
        <f t="shared" si="423"/>
        <v>0.16300000000001622</v>
      </c>
      <c r="G1138">
        <f t="shared" si="411"/>
        <v>0.21011414007889584</v>
      </c>
      <c r="H1138">
        <f t="shared" si="412"/>
        <v>3.5000000000006234E-2</v>
      </c>
      <c r="I1138" t="b">
        <f t="shared" si="424"/>
        <v>1</v>
      </c>
      <c r="J1138">
        <f t="shared" si="413"/>
        <v>5.6549999999999097</v>
      </c>
      <c r="K1138">
        <f t="shared" si="425"/>
        <v>3.5000000000006234E-2</v>
      </c>
      <c r="L1138">
        <f t="shared" si="414"/>
        <v>0.16982786226971811</v>
      </c>
      <c r="M1138">
        <f t="shared" si="415"/>
        <v>0.19000000000001249</v>
      </c>
      <c r="N1138">
        <f t="shared" si="416"/>
        <v>0.18800000011625906</v>
      </c>
      <c r="O1138">
        <f t="shared" si="417"/>
        <v>0.15777777777777779</v>
      </c>
      <c r="P1138">
        <f t="shared" si="430"/>
        <v>0.08</v>
      </c>
      <c r="Q1138">
        <f t="shared" si="426"/>
        <v>0.08</v>
      </c>
      <c r="R1138">
        <f t="shared" si="419"/>
        <v>0.08</v>
      </c>
      <c r="S1138">
        <f t="shared" si="420"/>
        <v>0.06</v>
      </c>
      <c r="T1138">
        <f t="shared" si="421"/>
        <v>0.1</v>
      </c>
      <c r="U1138">
        <f t="shared" si="427"/>
        <v>0.08</v>
      </c>
      <c r="V1138">
        <f t="shared" si="432"/>
        <v>0.18800000011625906</v>
      </c>
      <c r="W1138">
        <f t="shared" si="428"/>
        <v>0.16982438485689724</v>
      </c>
      <c r="X1138">
        <f t="shared" si="429"/>
        <v>0.21011644586144029</v>
      </c>
      <c r="Y1138" t="b">
        <f t="shared" si="431"/>
        <v>0</v>
      </c>
    </row>
    <row xmlns:x14ac="http://schemas.microsoft.com/office/spreadsheetml/2009/9/ac" r="1139" x14ac:dyDescent="0.45">
      <c r="A1139">
        <v>5.6599999999999104</v>
      </c>
      <c r="B1139">
        <f t="shared" si="409"/>
        <v>0.16300000000001075</v>
      </c>
      <c r="C1139" t="b">
        <f t="shared" si="422"/>
        <v>1</v>
      </c>
      <c r="D1139" t="b">
        <f t="shared" si="410"/>
        <v>1</v>
      </c>
      <c r="E1139">
        <f t="shared" si="418"/>
        <v>5.6599999999999104</v>
      </c>
      <c r="F1139">
        <f t="shared" si="423"/>
        <v>0.16300000000001075</v>
      </c>
      <c r="G1139">
        <f t="shared" si="411"/>
        <v>0.2101135708028774</v>
      </c>
      <c r="H1139">
        <f t="shared" si="412"/>
        <v>3.5000000000004139E-2</v>
      </c>
      <c r="I1139" t="b">
        <f t="shared" si="424"/>
        <v>1</v>
      </c>
      <c r="J1139">
        <f t="shared" si="413"/>
        <v>5.6599999999999104</v>
      </c>
      <c r="K1139">
        <f t="shared" si="425"/>
        <v>3.5000000000004139E-2</v>
      </c>
      <c r="L1139">
        <f t="shared" si="414"/>
        <v>0.16982872081022959</v>
      </c>
      <c r="M1139">
        <f t="shared" si="415"/>
        <v>0.19000000000000827</v>
      </c>
      <c r="N1139">
        <f t="shared" si="416"/>
        <v>0.1880000000153827</v>
      </c>
      <c r="O1139">
        <f t="shared" si="417"/>
        <v>0.15777777777777779</v>
      </c>
      <c r="P1139">
        <f t="shared" si="430"/>
        <v>0.08</v>
      </c>
      <c r="Q1139">
        <f t="shared" si="426"/>
        <v>0.08</v>
      </c>
      <c r="R1139">
        <f t="shared" si="419"/>
        <v>0.08</v>
      </c>
      <c r="S1139">
        <f t="shared" si="420"/>
        <v>0.06</v>
      </c>
      <c r="T1139">
        <f t="shared" si="421"/>
        <v>0.1</v>
      </c>
      <c r="U1139">
        <f t="shared" si="427"/>
        <v>0.08</v>
      </c>
      <c r="V1139">
        <f t="shared" si="432"/>
        <v>0.1880000000153827</v>
      </c>
      <c r="W1139">
        <f t="shared" si="428"/>
        <v>0.16982526074107757</v>
      </c>
      <c r="X1139">
        <f t="shared" si="429"/>
        <v>0.2101158650852834</v>
      </c>
      <c r="Y1139" t="b">
        <f t="shared" si="431"/>
        <v>0</v>
      </c>
    </row>
    <row xmlns:x14ac="http://schemas.microsoft.com/office/spreadsheetml/2009/9/ac" r="1140" x14ac:dyDescent="0.45">
      <c r="A1140">
        <v>5.6649999999999103</v>
      </c>
      <c r="B1140">
        <f t="shared" si="409"/>
        <v>0.1630000000000055</v>
      </c>
      <c r="C1140" t="b">
        <f t="shared" si="422"/>
        <v>1</v>
      </c>
      <c r="D1140" t="b">
        <f t="shared" si="410"/>
        <v>1</v>
      </c>
      <c r="E1140">
        <f t="shared" si="418"/>
        <v>5.6649999999999103</v>
      </c>
      <c r="F1140">
        <f t="shared" si="423"/>
        <v>0.1630000000000055</v>
      </c>
      <c r="G1140">
        <f t="shared" si="411"/>
        <v>0.21011300436613495</v>
      </c>
      <c r="H1140">
        <f t="shared" si="412"/>
        <v>3.5000000000002113E-2</v>
      </c>
      <c r="I1140" t="b">
        <f t="shared" si="424"/>
        <v>1</v>
      </c>
      <c r="J1140">
        <f t="shared" si="413"/>
        <v>5.6649999999999103</v>
      </c>
      <c r="K1140">
        <f t="shared" si="425"/>
        <v>3.5000000000002113E-2</v>
      </c>
      <c r="L1140">
        <f t="shared" si="414"/>
        <v>0.16982957506875246</v>
      </c>
      <c r="M1140">
        <f t="shared" si="415"/>
        <v>0.19000000000000422</v>
      </c>
      <c r="N1140">
        <f t="shared" si="416"/>
        <v>0.18799999991761457</v>
      </c>
      <c r="O1140">
        <f t="shared" si="417"/>
        <v>0.15777777777777779</v>
      </c>
      <c r="P1140">
        <f t="shared" si="430"/>
        <v>0.08</v>
      </c>
      <c r="Q1140">
        <f t="shared" si="426"/>
        <v>0.08</v>
      </c>
      <c r="R1140">
        <f t="shared" si="419"/>
        <v>0.08</v>
      </c>
      <c r="S1140">
        <f t="shared" si="420"/>
        <v>0.06</v>
      </c>
      <c r="T1140">
        <f t="shared" si="421"/>
        <v>0.1</v>
      </c>
      <c r="U1140">
        <f t="shared" si="427"/>
        <v>0.08</v>
      </c>
      <c r="V1140">
        <f t="shared" si="432"/>
        <v>0.18799999991761457</v>
      </c>
      <c r="W1140">
        <f t="shared" si="428"/>
        <v>0.16982613225676729</v>
      </c>
      <c r="X1140">
        <f t="shared" si="429"/>
        <v>0.21011528720575973</v>
      </c>
      <c r="Y1140" t="b">
        <f t="shared" si="431"/>
        <v>0</v>
      </c>
    </row>
    <row xmlns:x14ac="http://schemas.microsoft.com/office/spreadsheetml/2009/9/ac" r="1141" x14ac:dyDescent="0.45">
      <c r="A1141">
        <v>5.6699999999999102</v>
      </c>
      <c r="B1141">
        <f t="shared" si="409"/>
        <v>0.16300000000000048</v>
      </c>
      <c r="C1141" t="b">
        <f t="shared" si="422"/>
        <v>1</v>
      </c>
      <c r="D1141" t="b">
        <f t="shared" si="410"/>
        <v>1</v>
      </c>
      <c r="E1141">
        <f t="shared" si="418"/>
        <v>5.6699999999999102</v>
      </c>
      <c r="F1141">
        <f t="shared" si="423"/>
        <v>0.16300000000000048</v>
      </c>
      <c r="G1141">
        <f t="shared" si="411"/>
        <v>0.21011244075450752</v>
      </c>
      <c r="H1141">
        <f t="shared" si="412"/>
        <v>3.5000000000000184E-2</v>
      </c>
      <c r="I1141" t="b">
        <f t="shared" si="424"/>
        <v>1</v>
      </c>
      <c r="J1141">
        <f t="shared" si="413"/>
        <v>5.6699999999999102</v>
      </c>
      <c r="K1141">
        <f t="shared" si="425"/>
        <v>3.5000000000000184E-2</v>
      </c>
      <c r="L1141">
        <f t="shared" si="414"/>
        <v>0.16983042506664314</v>
      </c>
      <c r="M1141">
        <f t="shared" si="415"/>
        <v>0.19000000000000036</v>
      </c>
      <c r="N1141">
        <f t="shared" si="416"/>
        <v>0.18799999982329324</v>
      </c>
      <c r="O1141">
        <f t="shared" si="417"/>
        <v>0.15777777777777779</v>
      </c>
      <c r="P1141">
        <f t="shared" si="430"/>
        <v>0.08</v>
      </c>
      <c r="Q1141">
        <f t="shared" si="426"/>
        <v>0.08</v>
      </c>
      <c r="R1141">
        <f t="shared" si="419"/>
        <v>0.08</v>
      </c>
      <c r="S1141">
        <f t="shared" si="420"/>
        <v>0.06</v>
      </c>
      <c r="T1141">
        <f t="shared" si="421"/>
        <v>0.1</v>
      </c>
      <c r="U1141">
        <f t="shared" si="427"/>
        <v>0.08</v>
      </c>
      <c r="V1141">
        <f t="shared" si="432"/>
        <v>0.18799999982329324</v>
      </c>
      <c r="W1141">
        <f t="shared" si="428"/>
        <v>0.16982699942575435</v>
      </c>
      <c r="X1141">
        <f t="shared" si="429"/>
        <v>0.21011471220842221</v>
      </c>
      <c r="Y1141" t="b">
        <f t="shared" si="431"/>
        <v>0</v>
      </c>
    </row>
    <row xmlns:x14ac="http://schemas.microsoft.com/office/spreadsheetml/2009/9/ac" r="1142" x14ac:dyDescent="0.45">
      <c r="A1142">
        <v>5.6749999999999101</v>
      </c>
      <c r="B1142">
        <f t="shared" si="409"/>
        <v>0.16299999999999568</v>
      </c>
      <c r="C1142" t="b">
        <f t="shared" si="422"/>
        <v>1</v>
      </c>
      <c r="D1142" t="b">
        <f t="shared" si="410"/>
        <v>1</v>
      </c>
      <c r="E1142">
        <f t="shared" si="418"/>
        <v>5.6749999999999101</v>
      </c>
      <c r="F1142">
        <f t="shared" si="423"/>
        <v>0.16299999999999568</v>
      </c>
      <c r="G1142">
        <f t="shared" si="411"/>
        <v>0.21011187995390479</v>
      </c>
      <c r="H1142">
        <f t="shared" si="412"/>
        <v>3.4999999999998338E-2</v>
      </c>
      <c r="I1142" t="b">
        <f t="shared" si="424"/>
        <v>1</v>
      </c>
      <c r="J1142">
        <f t="shared" si="413"/>
        <v>5.6749999999999101</v>
      </c>
      <c r="K1142">
        <f t="shared" si="425"/>
        <v>3.4999999999998338E-2</v>
      </c>
      <c r="L1142">
        <f t="shared" si="414"/>
        <v>0.16983127082515165</v>
      </c>
      <c r="M1142">
        <f t="shared" si="415"/>
        <v>0.18999999999999667</v>
      </c>
      <c r="N1142">
        <f t="shared" si="416"/>
        <v>0.18799999973273121</v>
      </c>
      <c r="O1142">
        <f t="shared" si="417"/>
        <v>0.15777777777777779</v>
      </c>
      <c r="P1142">
        <f t="shared" si="430"/>
        <v>0.08</v>
      </c>
      <c r="Q1142">
        <f t="shared" si="426"/>
        <v>0.08</v>
      </c>
      <c r="R1142">
        <f t="shared" si="419"/>
        <v>0.08</v>
      </c>
      <c r="S1142">
        <f t="shared" si="420"/>
        <v>0.06</v>
      </c>
      <c r="T1142">
        <f t="shared" si="421"/>
        <v>0.1</v>
      </c>
      <c r="U1142">
        <f t="shared" si="427"/>
        <v>0.08</v>
      </c>
      <c r="V1142">
        <f t="shared" si="432"/>
        <v>0.18799999973273121</v>
      </c>
      <c r="W1142">
        <f t="shared" si="428"/>
        <v>0.16982786226971811</v>
      </c>
      <c r="X1142">
        <f t="shared" si="429"/>
        <v>0.21011414007889584</v>
      </c>
      <c r="Y1142" t="b">
        <f t="shared" si="431"/>
        <v>0</v>
      </c>
    </row>
    <row xmlns:x14ac="http://schemas.microsoft.com/office/spreadsheetml/2009/9/ac" r="1143" x14ac:dyDescent="0.45">
      <c r="A1143">
        <v>5.67999999999991</v>
      </c>
      <c r="B1143">
        <f t="shared" si="409"/>
        <v>0.16299999999999115</v>
      </c>
      <c r="C1143" t="b">
        <f t="shared" si="422"/>
        <v>1</v>
      </c>
      <c r="D1143" t="b">
        <f t="shared" si="410"/>
        <v>1</v>
      </c>
      <c r="E1143">
        <f t="shared" si="418"/>
        <v>5.67999999999991</v>
      </c>
      <c r="F1143">
        <f t="shared" si="423"/>
        <v>0.16299999999999115</v>
      </c>
      <c r="G1143">
        <f t="shared" si="411"/>
        <v>0.2101113219503068</v>
      </c>
      <c r="H1143">
        <f t="shared" si="412"/>
        <v>3.4999999999996603E-2</v>
      </c>
      <c r="I1143" t="b">
        <f t="shared" si="424"/>
        <v>1</v>
      </c>
      <c r="J1143">
        <f t="shared" si="413"/>
        <v>5.67999999999991</v>
      </c>
      <c r="K1143">
        <f t="shared" si="425"/>
        <v>3.4999999999996603E-2</v>
      </c>
      <c r="L1143">
        <f t="shared" si="414"/>
        <v>0.16983211236542201</v>
      </c>
      <c r="M1143">
        <f t="shared" si="415"/>
        <v>0.1899999999999932</v>
      </c>
      <c r="N1143">
        <f t="shared" si="416"/>
        <v>0.18799999964621428</v>
      </c>
      <c r="O1143">
        <f t="shared" si="417"/>
        <v>0.15777777777777779</v>
      </c>
      <c r="P1143">
        <f t="shared" si="430"/>
        <v>0.08</v>
      </c>
      <c r="Q1143">
        <f t="shared" si="426"/>
        <v>0.08</v>
      </c>
      <c r="R1143">
        <f t="shared" si="419"/>
        <v>0.08</v>
      </c>
      <c r="S1143">
        <f t="shared" si="420"/>
        <v>0.06</v>
      </c>
      <c r="T1143">
        <f t="shared" si="421"/>
        <v>0.1</v>
      </c>
      <c r="U1143">
        <f t="shared" si="427"/>
        <v>0.08</v>
      </c>
      <c r="V1143">
        <f t="shared" si="432"/>
        <v>0.18799999964621428</v>
      </c>
      <c r="W1143">
        <f t="shared" si="428"/>
        <v>0.16982872081022959</v>
      </c>
      <c r="X1143">
        <f t="shared" si="429"/>
        <v>0.2101135708028774</v>
      </c>
      <c r="Y1143" t="b">
        <f t="shared" si="431"/>
        <v>0</v>
      </c>
    </row>
    <row xmlns:x14ac="http://schemas.microsoft.com/office/spreadsheetml/2009/9/ac" r="1144" x14ac:dyDescent="0.45">
      <c r="A1144">
        <v>5.6849999999999099</v>
      </c>
      <c r="B1144">
        <f t="shared" si="409"/>
        <v>0.16299999999998691</v>
      </c>
      <c r="C1144" t="b">
        <f t="shared" si="422"/>
        <v>1</v>
      </c>
      <c r="D1144" t="b">
        <f t="shared" si="410"/>
        <v>1</v>
      </c>
      <c r="E1144">
        <f t="shared" si="418"/>
        <v>5.6849999999999099</v>
      </c>
      <c r="F1144">
        <f t="shared" si="423"/>
        <v>0.16299999999998691</v>
      </c>
      <c r="G1144">
        <f t="shared" si="411"/>
        <v>0.21011076672976331</v>
      </c>
      <c r="H1144">
        <f t="shared" si="412"/>
        <v>3.4999999999994966E-2</v>
      </c>
      <c r="I1144" t="b">
        <f t="shared" si="424"/>
        <v>1</v>
      </c>
      <c r="J1144">
        <f t="shared" si="413"/>
        <v>5.6849999999999099</v>
      </c>
      <c r="K1144">
        <f t="shared" si="425"/>
        <v>3.4999999999994966E-2</v>
      </c>
      <c r="L1144">
        <f t="shared" si="414"/>
        <v>0.16983294970849278</v>
      </c>
      <c r="M1144">
        <f t="shared" si="415"/>
        <v>0.18999999999998993</v>
      </c>
      <c r="N1144">
        <f t="shared" si="416"/>
        <v>0.18799999956400129</v>
      </c>
      <c r="O1144">
        <f t="shared" si="417"/>
        <v>0.15777777777777779</v>
      </c>
      <c r="P1144">
        <f t="shared" si="430"/>
        <v>0.08</v>
      </c>
      <c r="Q1144">
        <f t="shared" si="426"/>
        <v>0.08</v>
      </c>
      <c r="R1144">
        <f t="shared" si="419"/>
        <v>0.08</v>
      </c>
      <c r="S1144">
        <f t="shared" si="420"/>
        <v>0.06</v>
      </c>
      <c r="T1144">
        <f t="shared" si="421"/>
        <v>0.1</v>
      </c>
      <c r="U1144">
        <f t="shared" si="427"/>
        <v>0.08</v>
      </c>
      <c r="V1144">
        <f t="shared" si="432"/>
        <v>0.18799999956400129</v>
      </c>
      <c r="W1144">
        <f t="shared" si="428"/>
        <v>0.16982957506875246</v>
      </c>
      <c r="X1144">
        <f t="shared" si="429"/>
        <v>0.21011300436613495</v>
      </c>
      <c r="Y1144" t="b">
        <f t="shared" si="431"/>
        <v>0</v>
      </c>
    </row>
    <row xmlns:x14ac="http://schemas.microsoft.com/office/spreadsheetml/2009/9/ac" r="1145" x14ac:dyDescent="0.45">
      <c r="A1145">
        <v>5.6899999999999098</v>
      </c>
      <c r="B1145">
        <f t="shared" si="409"/>
        <v>0.16299999999998288</v>
      </c>
      <c r="C1145" t="b">
        <f t="shared" si="422"/>
        <v>1</v>
      </c>
      <c r="D1145" t="b">
        <f t="shared" si="410"/>
        <v>1</v>
      </c>
      <c r="E1145">
        <f t="shared" si="418"/>
        <v>5.6899999999999098</v>
      </c>
      <c r="F1145">
        <f t="shared" si="423"/>
        <v>0.16299999999998288</v>
      </c>
      <c r="G1145">
        <f t="shared" si="411"/>
        <v>0.21011021427839388</v>
      </c>
      <c r="H1145">
        <f t="shared" si="412"/>
        <v>3.4999999999993425E-2</v>
      </c>
      <c r="I1145" t="b">
        <f t="shared" si="424"/>
        <v>1</v>
      </c>
      <c r="J1145">
        <f t="shared" si="413"/>
        <v>5.6899999999999098</v>
      </c>
      <c r="K1145">
        <f t="shared" si="425"/>
        <v>3.4999999999993425E-2</v>
      </c>
      <c r="L1145">
        <f t="shared" si="414"/>
        <v>0.16983378287529752</v>
      </c>
      <c r="M1145">
        <f t="shared" si="415"/>
        <v>0.18999999999998685</v>
      </c>
      <c r="N1145">
        <f t="shared" si="416"/>
        <v>0.18799999948632365</v>
      </c>
      <c r="O1145">
        <f t="shared" si="417"/>
        <v>0.15777777777777779</v>
      </c>
      <c r="P1145">
        <f t="shared" si="430"/>
        <v>0.08</v>
      </c>
      <c r="Q1145">
        <f t="shared" si="426"/>
        <v>0.08</v>
      </c>
      <c r="R1145">
        <f t="shared" si="419"/>
        <v>0.08</v>
      </c>
      <c r="S1145">
        <f t="shared" si="420"/>
        <v>0.06</v>
      </c>
      <c r="T1145">
        <f t="shared" si="421"/>
        <v>0.1</v>
      </c>
      <c r="U1145">
        <f t="shared" si="427"/>
        <v>0.08</v>
      </c>
      <c r="V1145">
        <f t="shared" si="432"/>
        <v>0.18799999948632365</v>
      </c>
      <c r="W1145">
        <f t="shared" si="428"/>
        <v>0.16983042506664314</v>
      </c>
      <c r="X1145">
        <f t="shared" si="429"/>
        <v>0.21011244075450752</v>
      </c>
      <c r="Y1145" t="b">
        <f t="shared" si="431"/>
        <v>0</v>
      </c>
    </row>
    <row xmlns:x14ac="http://schemas.microsoft.com/office/spreadsheetml/2009/9/ac" r="1146" x14ac:dyDescent="0.45">
      <c r="A1146">
        <v>5.6949999999999097</v>
      </c>
      <c r="B1146">
        <f t="shared" si="409"/>
        <v>0.16299999999997919</v>
      </c>
      <c r="C1146" t="b">
        <f t="shared" si="422"/>
        <v>1</v>
      </c>
      <c r="D1146" t="b">
        <f t="shared" si="410"/>
        <v>1</v>
      </c>
      <c r="E1146">
        <f t="shared" si="418"/>
        <v>5.6949999999999097</v>
      </c>
      <c r="F1146">
        <f t="shared" si="423"/>
        <v>0.16299999999997919</v>
      </c>
      <c r="G1146">
        <f t="shared" si="411"/>
        <v>0.21010966458238711</v>
      </c>
      <c r="H1146">
        <f t="shared" si="412"/>
        <v>3.4999999999991996E-2</v>
      </c>
      <c r="I1146" t="b">
        <f t="shared" si="424"/>
        <v>1</v>
      </c>
      <c r="J1146">
        <f t="shared" si="413"/>
        <v>5.6949999999999097</v>
      </c>
      <c r="K1146">
        <f t="shared" si="425"/>
        <v>3.4999999999991996E-2</v>
      </c>
      <c r="L1146">
        <f t="shared" si="414"/>
        <v>0.16983461188666549</v>
      </c>
      <c r="M1146">
        <f t="shared" si="415"/>
        <v>0.18999999999998399</v>
      </c>
      <c r="N1146">
        <f t="shared" si="416"/>
        <v>0.18799999941338524</v>
      </c>
      <c r="O1146">
        <f t="shared" si="417"/>
        <v>0.15777777777777779</v>
      </c>
      <c r="P1146">
        <f t="shared" si="430"/>
        <v>0.08</v>
      </c>
      <c r="Q1146">
        <f t="shared" si="426"/>
        <v>0.08</v>
      </c>
      <c r="R1146">
        <f t="shared" si="419"/>
        <v>0.08</v>
      </c>
      <c r="S1146">
        <f t="shared" si="420"/>
        <v>0.06</v>
      </c>
      <c r="T1146">
        <f t="shared" si="421"/>
        <v>0.1</v>
      </c>
      <c r="U1146">
        <f t="shared" si="427"/>
        <v>0.08</v>
      </c>
      <c r="V1146">
        <f t="shared" si="432"/>
        <v>0.18799999941338524</v>
      </c>
      <c r="W1146">
        <f t="shared" si="428"/>
        <v>0.16983127082515165</v>
      </c>
      <c r="X1146">
        <f t="shared" si="429"/>
        <v>0.21011187995390479</v>
      </c>
      <c r="Y1146" t="b">
        <f t="shared" si="431"/>
        <v>0</v>
      </c>
    </row>
    <row xmlns:x14ac="http://schemas.microsoft.com/office/spreadsheetml/2009/9/ac" r="1147" x14ac:dyDescent="0.45">
      <c r="A1147">
        <v>5.6999999999999096</v>
      </c>
      <c r="B1147">
        <f t="shared" si="409"/>
        <v>0.16299999999997572</v>
      </c>
      <c r="C1147" t="b">
        <f t="shared" si="422"/>
        <v>1</v>
      </c>
      <c r="D1147" t="b">
        <f t="shared" si="410"/>
        <v>1</v>
      </c>
      <c r="E1147">
        <f t="shared" si="418"/>
        <v>5.6999999999999096</v>
      </c>
      <c r="F1147">
        <f t="shared" si="423"/>
        <v>0.16299999999997572</v>
      </c>
      <c r="G1147">
        <f t="shared" si="411"/>
        <v>0.21010911762800066</v>
      </c>
      <c r="H1147">
        <f t="shared" si="412"/>
        <v>3.4999999999990664E-2</v>
      </c>
      <c r="I1147" t="b">
        <f t="shared" si="424"/>
        <v>1</v>
      </c>
      <c r="J1147">
        <f t="shared" si="413"/>
        <v>5.6999999999999096</v>
      </c>
      <c r="K1147">
        <f t="shared" si="425"/>
        <v>3.4999999999990664E-2</v>
      </c>
      <c r="L1147">
        <f t="shared" si="414"/>
        <v>0.16983543676332202</v>
      </c>
      <c r="M1147">
        <f t="shared" si="415"/>
        <v>0.18999999999998135</v>
      </c>
      <c r="N1147">
        <f t="shared" si="416"/>
        <v>0.18799999934536241</v>
      </c>
      <c r="O1147">
        <f t="shared" si="417"/>
        <v>0.15777777777777779</v>
      </c>
      <c r="P1147">
        <f t="shared" si="430"/>
        <v>0.08</v>
      </c>
      <c r="Q1147">
        <f t="shared" si="426"/>
        <v>0.08</v>
      </c>
      <c r="R1147">
        <f t="shared" si="419"/>
        <v>0.08</v>
      </c>
      <c r="S1147">
        <f t="shared" si="420"/>
        <v>0.06</v>
      </c>
      <c r="T1147">
        <f t="shared" si="421"/>
        <v>0.1</v>
      </c>
      <c r="U1147">
        <f t="shared" si="427"/>
        <v>0.08</v>
      </c>
      <c r="V1147">
        <f t="shared" si="432"/>
        <v>0.18799999934536241</v>
      </c>
      <c r="W1147">
        <f t="shared" si="428"/>
        <v>0.16983211236542201</v>
      </c>
      <c r="X1147">
        <f t="shared" si="429"/>
        <v>0.2101113219503068</v>
      </c>
      <c r="Y1147" t="b">
        <f t="shared" si="431"/>
        <v>0</v>
      </c>
    </row>
    <row xmlns:x14ac="http://schemas.microsoft.com/office/spreadsheetml/2009/9/ac" r="1148" x14ac:dyDescent="0.45">
      <c r="A1148">
        <v>5.7049999999999104</v>
      </c>
      <c r="B1148">
        <f t="shared" si="409"/>
        <v>0.16299999999997258</v>
      </c>
      <c r="C1148" t="b">
        <f t="shared" si="422"/>
        <v>1</v>
      </c>
      <c r="D1148" t="b">
        <f t="shared" si="410"/>
        <v>1</v>
      </c>
      <c r="E1148">
        <f t="shared" si="418"/>
        <v>5.7049999999999104</v>
      </c>
      <c r="F1148">
        <f t="shared" si="423"/>
        <v>0.16299999999997258</v>
      </c>
      <c r="G1148">
        <f t="shared" si="411"/>
        <v>0.21010857340156053</v>
      </c>
      <c r="H1148">
        <f t="shared" si="412"/>
        <v>3.4999999999989456E-2</v>
      </c>
      <c r="I1148" t="b">
        <f t="shared" si="424"/>
        <v>1</v>
      </c>
      <c r="J1148">
        <f t="shared" si="413"/>
        <v>5.7049999999999104</v>
      </c>
      <c r="K1148">
        <f t="shared" si="425"/>
        <v>3.4999999999989456E-2</v>
      </c>
      <c r="L1148">
        <f t="shared" si="414"/>
        <v>0.1698362575258891</v>
      </c>
      <c r="M1148">
        <f t="shared" si="415"/>
        <v>0.18999999999997891</v>
      </c>
      <c r="N1148">
        <f t="shared" si="416"/>
        <v>0.18799999928240396</v>
      </c>
      <c r="O1148">
        <f t="shared" si="417"/>
        <v>0.15777777777777779</v>
      </c>
      <c r="P1148">
        <f t="shared" si="430"/>
        <v>0.08</v>
      </c>
      <c r="Q1148">
        <f t="shared" si="426"/>
        <v>0.08</v>
      </c>
      <c r="R1148">
        <f t="shared" si="419"/>
        <v>0.08</v>
      </c>
      <c r="S1148">
        <f t="shared" si="420"/>
        <v>0.06</v>
      </c>
      <c r="T1148">
        <f t="shared" si="421"/>
        <v>0.1</v>
      </c>
      <c r="U1148">
        <f t="shared" si="427"/>
        <v>0.08</v>
      </c>
      <c r="V1148">
        <f t="shared" si="432"/>
        <v>0.18799999928240396</v>
      </c>
      <c r="W1148">
        <f t="shared" si="428"/>
        <v>0.16983294970849278</v>
      </c>
      <c r="X1148">
        <f t="shared" si="429"/>
        <v>0.21011076672976331</v>
      </c>
      <c r="Y1148" t="b">
        <f t="shared" si="431"/>
        <v>0</v>
      </c>
    </row>
    <row xmlns:x14ac="http://schemas.microsoft.com/office/spreadsheetml/2009/9/ac" r="1149" x14ac:dyDescent="0.45">
      <c r="A1149">
        <v>5.7099999999999103</v>
      </c>
      <c r="B1149">
        <f t="shared" si="409"/>
        <v>0.16299999999996972</v>
      </c>
      <c r="C1149" t="b">
        <f t="shared" si="422"/>
        <v>1</v>
      </c>
      <c r="D1149" t="b">
        <f t="shared" si="410"/>
        <v>1</v>
      </c>
      <c r="E1149">
        <f t="shared" si="418"/>
        <v>5.7099999999999103</v>
      </c>
      <c r="F1149">
        <f t="shared" si="423"/>
        <v>0.16299999999996972</v>
      </c>
      <c r="G1149">
        <f t="shared" si="411"/>
        <v>0.21010803188946114</v>
      </c>
      <c r="H1149">
        <f t="shared" si="412"/>
        <v>3.499999999998836E-2</v>
      </c>
      <c r="I1149" t="b">
        <f t="shared" si="424"/>
        <v>1</v>
      </c>
      <c r="J1149">
        <f t="shared" si="413"/>
        <v>5.7099999999999103</v>
      </c>
      <c r="K1149">
        <f t="shared" si="425"/>
        <v>3.499999999998836E-2</v>
      </c>
      <c r="L1149">
        <f t="shared" si="414"/>
        <v>0.16983707419488575</v>
      </c>
      <c r="M1149">
        <f t="shared" si="415"/>
        <v>0.18999999999997672</v>
      </c>
      <c r="N1149">
        <f t="shared" si="416"/>
        <v>0.18799999922463148</v>
      </c>
      <c r="O1149">
        <f t="shared" si="417"/>
        <v>0.15777777777777779</v>
      </c>
      <c r="P1149">
        <f t="shared" si="430"/>
        <v>0.08</v>
      </c>
      <c r="Q1149">
        <f t="shared" si="426"/>
        <v>0.08</v>
      </c>
      <c r="R1149">
        <f t="shared" si="419"/>
        <v>0.08</v>
      </c>
      <c r="S1149">
        <f t="shared" si="420"/>
        <v>0.06</v>
      </c>
      <c r="T1149">
        <f t="shared" si="421"/>
        <v>0.1</v>
      </c>
      <c r="U1149">
        <f t="shared" si="427"/>
        <v>0.08</v>
      </c>
      <c r="V1149">
        <f t="shared" si="432"/>
        <v>0.18799999922463148</v>
      </c>
      <c r="W1149">
        <f t="shared" si="428"/>
        <v>0.16983378287529752</v>
      </c>
      <c r="X1149">
        <f t="shared" si="429"/>
        <v>0.21011021427839388</v>
      </c>
      <c r="Y1149" t="b">
        <f t="shared" si="431"/>
        <v>0</v>
      </c>
    </row>
    <row xmlns:x14ac="http://schemas.microsoft.com/office/spreadsheetml/2009/9/ac" r="1150" x14ac:dyDescent="0.45">
      <c r="A1150">
        <v>5.7149999999999102</v>
      </c>
      <c r="B1150">
        <f t="shared" si="409"/>
        <v>0.16299999999996712</v>
      </c>
      <c r="C1150" t="b">
        <f t="shared" si="422"/>
        <v>1</v>
      </c>
      <c r="D1150" t="b">
        <f t="shared" si="410"/>
        <v>1</v>
      </c>
      <c r="E1150">
        <f t="shared" si="418"/>
        <v>5.7149999999999102</v>
      </c>
      <c r="F1150">
        <f t="shared" si="423"/>
        <v>0.16299999999996712</v>
      </c>
      <c r="G1150">
        <f t="shared" si="411"/>
        <v>0.21010749307816462</v>
      </c>
      <c r="H1150">
        <f t="shared" si="412"/>
        <v>3.4999999999987361E-2</v>
      </c>
      <c r="I1150" t="b">
        <f t="shared" si="424"/>
        <v>1</v>
      </c>
      <c r="J1150">
        <f t="shared" si="413"/>
        <v>5.7149999999999102</v>
      </c>
      <c r="K1150">
        <f t="shared" si="425"/>
        <v>3.4999999999987361E-2</v>
      </c>
      <c r="L1150">
        <f t="shared" si="414"/>
        <v>0.16983788679072881</v>
      </c>
      <c r="M1150">
        <f t="shared" si="415"/>
        <v>0.18999999999997472</v>
      </c>
      <c r="N1150">
        <f t="shared" si="416"/>
        <v>0.1879999991721395</v>
      </c>
      <c r="O1150">
        <f t="shared" si="417"/>
        <v>0.15777777777777779</v>
      </c>
      <c r="P1150">
        <f t="shared" si="430"/>
        <v>0.08</v>
      </c>
      <c r="Q1150">
        <f t="shared" si="426"/>
        <v>0.08</v>
      </c>
      <c r="R1150">
        <f t="shared" si="419"/>
        <v>0.08</v>
      </c>
      <c r="S1150">
        <f t="shared" si="420"/>
        <v>0.06</v>
      </c>
      <c r="T1150">
        <f t="shared" si="421"/>
        <v>0.1</v>
      </c>
      <c r="U1150">
        <f t="shared" si="427"/>
        <v>0.08</v>
      </c>
      <c r="V1150">
        <f t="shared" si="432"/>
        <v>0.1879999991721395</v>
      </c>
      <c r="W1150">
        <f t="shared" si="428"/>
        <v>0.16983461188666549</v>
      </c>
      <c r="X1150">
        <f t="shared" si="429"/>
        <v>0.21010966458238711</v>
      </c>
      <c r="Y1150" t="b">
        <f t="shared" si="431"/>
        <v>0</v>
      </c>
    </row>
    <row xmlns:x14ac="http://schemas.microsoft.com/office/spreadsheetml/2009/9/ac" r="1151" x14ac:dyDescent="0.45">
      <c r="A1151">
        <v>5.71999999999991</v>
      </c>
      <c r="B1151">
        <f t="shared" si="409"/>
        <v>0.16299999999996484</v>
      </c>
      <c r="C1151" t="b">
        <f t="shared" si="422"/>
        <v>1</v>
      </c>
      <c r="D1151" t="b">
        <f t="shared" si="410"/>
        <v>1</v>
      </c>
      <c r="E1151">
        <f t="shared" si="418"/>
        <v>5.71999999999991</v>
      </c>
      <c r="F1151">
        <f t="shared" si="423"/>
        <v>0.16299999999996484</v>
      </c>
      <c r="G1151">
        <f t="shared" si="411"/>
        <v>0.21010695695420062</v>
      </c>
      <c r="H1151">
        <f t="shared" si="412"/>
        <v>3.4999999999986472E-2</v>
      </c>
      <c r="I1151" t="b">
        <f t="shared" si="424"/>
        <v>1</v>
      </c>
      <c r="J1151">
        <f t="shared" si="413"/>
        <v>5.71999999999991</v>
      </c>
      <c r="K1151">
        <f t="shared" si="425"/>
        <v>3.4999999999986472E-2</v>
      </c>
      <c r="L1151">
        <f t="shared" si="414"/>
        <v>0.16983869533373319</v>
      </c>
      <c r="M1151">
        <f t="shared" si="415"/>
        <v>0.18999999999997297</v>
      </c>
      <c r="N1151">
        <f t="shared" si="416"/>
        <v>0.18799999912499599</v>
      </c>
      <c r="O1151">
        <f t="shared" si="417"/>
        <v>0.15777777777777779</v>
      </c>
      <c r="P1151">
        <f t="shared" si="430"/>
        <v>0.08</v>
      </c>
      <c r="Q1151">
        <f t="shared" si="426"/>
        <v>0.08</v>
      </c>
      <c r="R1151">
        <f t="shared" si="419"/>
        <v>0.08</v>
      </c>
      <c r="S1151">
        <f t="shared" si="420"/>
        <v>0.06</v>
      </c>
      <c r="T1151">
        <f t="shared" si="421"/>
        <v>0.1</v>
      </c>
      <c r="U1151">
        <f t="shared" si="427"/>
        <v>0.08</v>
      </c>
      <c r="V1151">
        <f t="shared" si="432"/>
        <v>0.18799999912499599</v>
      </c>
      <c r="W1151">
        <f t="shared" si="428"/>
        <v>0.16983543676332202</v>
      </c>
      <c r="X1151">
        <f t="shared" si="429"/>
        <v>0.21010911762800066</v>
      </c>
      <c r="Y1151" t="b">
        <f t="shared" si="431"/>
        <v>0</v>
      </c>
    </row>
    <row xmlns:x14ac="http://schemas.microsoft.com/office/spreadsheetml/2009/9/ac" r="1152" x14ac:dyDescent="0.45">
      <c r="A1152">
        <v>5.7249999999999099</v>
      </c>
      <c r="B1152">
        <f t="shared" si="409"/>
        <v>0.16299999999996279</v>
      </c>
      <c r="C1152" t="b">
        <f t="shared" si="422"/>
        <v>1</v>
      </c>
      <c r="D1152" t="b">
        <f t="shared" si="410"/>
        <v>1</v>
      </c>
      <c r="E1152">
        <f t="shared" si="418"/>
        <v>5.7249999999999099</v>
      </c>
      <c r="F1152">
        <f t="shared" si="423"/>
        <v>0.16299999999996279</v>
      </c>
      <c r="G1152">
        <f t="shared" si="411"/>
        <v>0.21010642350416603</v>
      </c>
      <c r="H1152">
        <f t="shared" si="412"/>
        <v>3.4999999999985695E-2</v>
      </c>
      <c r="I1152" t="b">
        <f t="shared" si="424"/>
        <v>1</v>
      </c>
      <c r="J1152">
        <f t="shared" si="413"/>
        <v>5.7249999999999099</v>
      </c>
      <c r="K1152">
        <f t="shared" si="425"/>
        <v>3.4999999999985695E-2</v>
      </c>
      <c r="L1152">
        <f t="shared" si="414"/>
        <v>0.16983949984411251</v>
      </c>
      <c r="M1152">
        <f t="shared" si="415"/>
        <v>0.18999999999997139</v>
      </c>
      <c r="N1152">
        <f t="shared" si="416"/>
        <v>0.18799999908324297</v>
      </c>
      <c r="O1152">
        <f t="shared" si="417"/>
        <v>0.15777777777777779</v>
      </c>
      <c r="P1152">
        <f t="shared" si="430"/>
        <v>0.08</v>
      </c>
      <c r="Q1152">
        <f t="shared" si="426"/>
        <v>0.08</v>
      </c>
      <c r="R1152">
        <f t="shared" si="419"/>
        <v>0.08</v>
      </c>
      <c r="S1152">
        <f t="shared" si="420"/>
        <v>0.06</v>
      </c>
      <c r="T1152">
        <f t="shared" si="421"/>
        <v>0.1</v>
      </c>
      <c r="U1152">
        <f t="shared" si="427"/>
        <v>0.08</v>
      </c>
      <c r="V1152">
        <f t="shared" si="432"/>
        <v>0.18799999908324297</v>
      </c>
      <c r="W1152">
        <f t="shared" si="428"/>
        <v>0.1698362575258891</v>
      </c>
      <c r="X1152">
        <f t="shared" si="429"/>
        <v>0.21010857340156053</v>
      </c>
      <c r="Y1152" t="b">
        <f t="shared" si="431"/>
        <v>0</v>
      </c>
    </row>
    <row xmlns:x14ac="http://schemas.microsoft.com/office/spreadsheetml/2009/9/ac" r="1153" x14ac:dyDescent="0.45">
      <c r="A1153">
        <v>5.7299999999999098</v>
      </c>
      <c r="B1153">
        <f t="shared" si="409"/>
        <v>0.16299999999996106</v>
      </c>
      <c r="C1153" t="b">
        <f t="shared" si="422"/>
        <v>1</v>
      </c>
      <c r="D1153" t="b">
        <f t="shared" si="410"/>
        <v>1</v>
      </c>
      <c r="E1153">
        <f t="shared" si="418"/>
        <v>5.7299999999999098</v>
      </c>
      <c r="F1153">
        <f t="shared" si="423"/>
        <v>0.16299999999996106</v>
      </c>
      <c r="G1153">
        <f t="shared" si="411"/>
        <v>0.21010589271472463</v>
      </c>
      <c r="H1153">
        <f t="shared" si="412"/>
        <v>3.4999999999985029E-2</v>
      </c>
      <c r="I1153" t="b">
        <f t="shared" si="424"/>
        <v>1</v>
      </c>
      <c r="J1153">
        <f t="shared" si="413"/>
        <v>5.7299999999999098</v>
      </c>
      <c r="K1153">
        <f t="shared" si="425"/>
        <v>3.4999999999985029E-2</v>
      </c>
      <c r="L1153">
        <f t="shared" si="414"/>
        <v>0.16984030034197958</v>
      </c>
      <c r="M1153">
        <f t="shared" si="415"/>
        <v>0.18999999999997005</v>
      </c>
      <c r="N1153">
        <f t="shared" si="416"/>
        <v>0.18799999904689707</v>
      </c>
      <c r="O1153">
        <f t="shared" si="417"/>
        <v>0.15777777777777779</v>
      </c>
      <c r="P1153">
        <f t="shared" si="430"/>
        <v>0.08</v>
      </c>
      <c r="Q1153">
        <f t="shared" si="426"/>
        <v>0.08</v>
      </c>
      <c r="R1153">
        <f t="shared" si="419"/>
        <v>0.08</v>
      </c>
      <c r="S1153">
        <f t="shared" si="420"/>
        <v>0.06</v>
      </c>
      <c r="T1153">
        <f t="shared" si="421"/>
        <v>0.1</v>
      </c>
      <c r="U1153">
        <f t="shared" si="427"/>
        <v>0.08</v>
      </c>
      <c r="V1153">
        <f t="shared" si="432"/>
        <v>0.18799999904689707</v>
      </c>
      <c r="W1153">
        <f t="shared" si="428"/>
        <v>0.16983707419488575</v>
      </c>
      <c r="X1153">
        <f t="shared" si="429"/>
        <v>0.21010803188946114</v>
      </c>
      <c r="Y1153" t="b">
        <f t="shared" si="431"/>
        <v>0</v>
      </c>
    </row>
    <row xmlns:x14ac="http://schemas.microsoft.com/office/spreadsheetml/2009/9/ac" r="1154" x14ac:dyDescent="0.45">
      <c r="A1154">
        <v>5.7349999999999097</v>
      </c>
      <c r="B1154">
        <f t="shared" si="409"/>
        <v>0.16299999999995959</v>
      </c>
      <c r="C1154" t="b">
        <f t="shared" si="422"/>
        <v>1</v>
      </c>
      <c r="D1154" t="b">
        <f t="shared" si="410"/>
        <v>1</v>
      </c>
      <c r="E1154">
        <f t="shared" si="418"/>
        <v>5.7349999999999097</v>
      </c>
      <c r="F1154">
        <f t="shared" si="423"/>
        <v>0.16299999999995959</v>
      </c>
      <c r="G1154">
        <f t="shared" si="411"/>
        <v>0.21010536457260659</v>
      </c>
      <c r="H1154">
        <f t="shared" si="412"/>
        <v>3.499999999998446E-2</v>
      </c>
      <c r="I1154" t="b">
        <f t="shared" si="424"/>
        <v>1</v>
      </c>
      <c r="J1154">
        <f t="shared" si="413"/>
        <v>5.7349999999999097</v>
      </c>
      <c r="K1154">
        <f t="shared" si="425"/>
        <v>3.499999999998446E-2</v>
      </c>
      <c r="L1154">
        <f t="shared" si="414"/>
        <v>0.16984109684734688</v>
      </c>
      <c r="M1154">
        <f t="shared" si="415"/>
        <v>0.18999999999996892</v>
      </c>
      <c r="N1154">
        <f t="shared" si="416"/>
        <v>0.18799999901595024</v>
      </c>
      <c r="O1154">
        <f t="shared" si="417"/>
        <v>0.15777777777777779</v>
      </c>
      <c r="P1154">
        <f t="shared" si="430"/>
        <v>0.08</v>
      </c>
      <c r="Q1154">
        <f t="shared" si="426"/>
        <v>0.08</v>
      </c>
      <c r="R1154">
        <f t="shared" si="419"/>
        <v>0.08</v>
      </c>
      <c r="S1154">
        <f t="shared" si="420"/>
        <v>0.06</v>
      </c>
      <c r="T1154">
        <f t="shared" si="421"/>
        <v>0.1</v>
      </c>
      <c r="U1154">
        <f t="shared" si="427"/>
        <v>0.08</v>
      </c>
      <c r="V1154">
        <f t="shared" si="432"/>
        <v>0.18799999901595024</v>
      </c>
      <c r="W1154">
        <f t="shared" si="428"/>
        <v>0.16983788679072881</v>
      </c>
      <c r="X1154">
        <f t="shared" si="429"/>
        <v>0.21010749307816462</v>
      </c>
      <c r="Y1154" t="b">
        <f t="shared" si="431"/>
        <v>0</v>
      </c>
    </row>
    <row xmlns:x14ac="http://schemas.microsoft.com/office/spreadsheetml/2009/9/ac" r="1155" x14ac:dyDescent="0.45">
      <c r="A1155">
        <v>5.7399999999999096</v>
      </c>
      <c r="B1155">
        <f t="shared" si="409"/>
        <v>0.16299999999995837</v>
      </c>
      <c r="C1155" t="b">
        <f t="shared" si="422"/>
        <v>1</v>
      </c>
      <c r="D1155" t="b">
        <f t="shared" si="410"/>
        <v>1</v>
      </c>
      <c r="E1155">
        <f t="shared" si="418"/>
        <v>5.7399999999999096</v>
      </c>
      <c r="F1155">
        <f t="shared" si="423"/>
        <v>0.16299999999995837</v>
      </c>
      <c r="G1155">
        <f t="shared" si="411"/>
        <v>0.21010483906460836</v>
      </c>
      <c r="H1155">
        <f t="shared" si="412"/>
        <v>3.4999999999983988E-2</v>
      </c>
      <c r="I1155" t="b">
        <f t="shared" si="424"/>
        <v>1</v>
      </c>
      <c r="J1155">
        <f t="shared" si="413"/>
        <v>5.7399999999999096</v>
      </c>
      <c r="K1155">
        <f t="shared" si="425"/>
        <v>3.4999999999983988E-2</v>
      </c>
      <c r="L1155">
        <f t="shared" si="414"/>
        <v>0.16984188938012709</v>
      </c>
      <c r="M1155">
        <f t="shared" si="415"/>
        <v>0.18999999999996797</v>
      </c>
      <c r="N1155">
        <f t="shared" si="416"/>
        <v>0.18799999899037056</v>
      </c>
      <c r="O1155">
        <f t="shared" si="417"/>
        <v>0.15777777777777779</v>
      </c>
      <c r="P1155">
        <f t="shared" si="430"/>
        <v>0.08</v>
      </c>
      <c r="Q1155">
        <f t="shared" si="426"/>
        <v>0.08</v>
      </c>
      <c r="R1155">
        <f t="shared" si="419"/>
        <v>0.08</v>
      </c>
      <c r="S1155">
        <f t="shared" si="420"/>
        <v>0.06</v>
      </c>
      <c r="T1155">
        <f t="shared" si="421"/>
        <v>0.1</v>
      </c>
      <c r="U1155">
        <f t="shared" si="427"/>
        <v>0.08</v>
      </c>
      <c r="V1155">
        <f t="shared" si="432"/>
        <v>0.18799999899037056</v>
      </c>
      <c r="W1155">
        <f t="shared" si="428"/>
        <v>0.16983869533373319</v>
      </c>
      <c r="X1155">
        <f t="shared" si="429"/>
        <v>0.21010695695420062</v>
      </c>
      <c r="Y1155" t="b">
        <f t="shared" si="431"/>
        <v>0</v>
      </c>
    </row>
    <row xmlns:x14ac="http://schemas.microsoft.com/office/spreadsheetml/2009/9/ac" r="1156" x14ac:dyDescent="0.45">
      <c r="A1156">
        <v>5.7449999999999104</v>
      </c>
      <c r="B1156">
        <f t="shared" si="409"/>
        <v>0.16299999999995743</v>
      </c>
      <c r="C1156" t="b">
        <f t="shared" si="422"/>
        <v>1</v>
      </c>
      <c r="D1156" t="b">
        <f t="shared" si="410"/>
        <v>1</v>
      </c>
      <c r="E1156">
        <f t="shared" si="418"/>
        <v>5.7449999999999104</v>
      </c>
      <c r="F1156">
        <f t="shared" si="423"/>
        <v>0.16299999999995743</v>
      </c>
      <c r="G1156">
        <f t="shared" si="411"/>
        <v>0.21010431617759223</v>
      </c>
      <c r="H1156">
        <f t="shared" si="412"/>
        <v>3.4999999999983628E-2</v>
      </c>
      <c r="I1156" t="b">
        <f t="shared" si="424"/>
        <v>1</v>
      </c>
      <c r="J1156">
        <f t="shared" si="413"/>
        <v>5.7449999999999104</v>
      </c>
      <c r="K1156">
        <f t="shared" si="425"/>
        <v>3.4999999999983628E-2</v>
      </c>
      <c r="L1156">
        <f t="shared" si="414"/>
        <v>0.16984267796013358</v>
      </c>
      <c r="M1156">
        <f t="shared" si="415"/>
        <v>0.18999999999996725</v>
      </c>
      <c r="N1156">
        <f t="shared" si="416"/>
        <v>0.18799999897010317</v>
      </c>
      <c r="O1156">
        <f t="shared" si="417"/>
        <v>0.15777777777777779</v>
      </c>
      <c r="P1156">
        <f t="shared" si="430"/>
        <v>0.08</v>
      </c>
      <c r="Q1156">
        <f t="shared" si="426"/>
        <v>0.08</v>
      </c>
      <c r="R1156">
        <f t="shared" si="419"/>
        <v>0.08</v>
      </c>
      <c r="S1156">
        <f t="shared" si="420"/>
        <v>0.06</v>
      </c>
      <c r="T1156">
        <f t="shared" si="421"/>
        <v>0.1</v>
      </c>
      <c r="U1156">
        <f t="shared" si="427"/>
        <v>0.08</v>
      </c>
      <c r="V1156">
        <f t="shared" si="432"/>
        <v>0.18799999897010317</v>
      </c>
      <c r="W1156">
        <f t="shared" si="428"/>
        <v>0.16983949984411251</v>
      </c>
      <c r="X1156">
        <f t="shared" si="429"/>
        <v>0.21010642350416603</v>
      </c>
      <c r="Y1156" t="b">
        <f t="shared" si="431"/>
        <v>0</v>
      </c>
    </row>
    <row xmlns:x14ac="http://schemas.microsoft.com/office/spreadsheetml/2009/9/ac" r="1157" x14ac:dyDescent="0.45">
      <c r="A1157">
        <v>5.7499999999999103</v>
      </c>
      <c r="B1157">
        <f t="shared" si="409"/>
        <v>0.16299999999995674</v>
      </c>
      <c r="C1157" t="b">
        <f t="shared" si="422"/>
        <v>1</v>
      </c>
      <c r="D1157" t="b">
        <f t="shared" si="410"/>
        <v>1</v>
      </c>
      <c r="E1157">
        <f t="shared" si="418"/>
        <v>5.7499999999999103</v>
      </c>
      <c r="F1157">
        <f t="shared" si="423"/>
        <v>0.16299999999995674</v>
      </c>
      <c r="G1157">
        <f t="shared" si="411"/>
        <v>0.21010379589848593</v>
      </c>
      <c r="H1157">
        <f t="shared" si="412"/>
        <v>3.4999999999983364E-2</v>
      </c>
      <c r="I1157" t="b">
        <f t="shared" si="424"/>
        <v>1</v>
      </c>
      <c r="J1157">
        <f t="shared" si="413"/>
        <v>5.7499999999999103</v>
      </c>
      <c r="K1157">
        <f t="shared" si="425"/>
        <v>3.4999999999983364E-2</v>
      </c>
      <c r="L1157">
        <f t="shared" si="414"/>
        <v>0.16984346260708083</v>
      </c>
      <c r="M1157">
        <f t="shared" si="415"/>
        <v>0.18999999999996672</v>
      </c>
      <c r="N1157">
        <f t="shared" si="416"/>
        <v>0.18799999895507125</v>
      </c>
      <c r="O1157">
        <f t="shared" si="417"/>
        <v>0.15777777777777779</v>
      </c>
      <c r="P1157">
        <f t="shared" si="430"/>
        <v>0.08</v>
      </c>
      <c r="Q1157">
        <f t="shared" si="426"/>
        <v>0.08</v>
      </c>
      <c r="R1157">
        <f t="shared" si="419"/>
        <v>0.08</v>
      </c>
      <c r="S1157">
        <f t="shared" si="420"/>
        <v>0.06</v>
      </c>
      <c r="T1157">
        <f t="shared" si="421"/>
        <v>0.1</v>
      </c>
      <c r="U1157">
        <f t="shared" si="427"/>
        <v>0.08</v>
      </c>
      <c r="V1157">
        <f t="shared" si="432"/>
        <v>0.18799999895507125</v>
      </c>
      <c r="W1157">
        <f t="shared" si="428"/>
        <v>0.16984030034197958</v>
      </c>
      <c r="X1157">
        <f t="shared" si="429"/>
        <v>0.21010589271472463</v>
      </c>
      <c r="Y1157" t="b">
        <f t="shared" si="431"/>
        <v>0</v>
      </c>
    </row>
    <row xmlns:x14ac="http://schemas.microsoft.com/office/spreadsheetml/2009/9/ac" r="1158" x14ac:dyDescent="0.45">
      <c r="A1158">
        <v>5.7549999999999102</v>
      </c>
      <c r="B1158">
        <f t="shared" si="409"/>
        <v>0.16299999999995626</v>
      </c>
      <c r="C1158" t="b">
        <f t="shared" si="422"/>
        <v>1</v>
      </c>
      <c r="D1158" t="b">
        <f t="shared" si="410"/>
        <v>1</v>
      </c>
      <c r="E1158">
        <f t="shared" si="418"/>
        <v>5.7549999999999102</v>
      </c>
      <c r="F1158">
        <f t="shared" si="423"/>
        <v>0.16299999999995626</v>
      </c>
      <c r="G1158">
        <f t="shared" si="411"/>
        <v>0.21010327821428254</v>
      </c>
      <c r="H1158">
        <f t="shared" si="412"/>
        <v>3.4999999999983183E-2</v>
      </c>
      <c r="I1158" t="b">
        <f t="shared" si="424"/>
        <v>1</v>
      </c>
      <c r="J1158">
        <f t="shared" si="413"/>
        <v>5.7549999999999102</v>
      </c>
      <c r="K1158">
        <f t="shared" si="425"/>
        <v>3.4999999999983183E-2</v>
      </c>
      <c r="L1158">
        <f t="shared" si="414"/>
        <v>0.16984424334058518</v>
      </c>
      <c r="M1158">
        <f t="shared" si="415"/>
        <v>0.18999999999996636</v>
      </c>
      <c r="N1158">
        <f t="shared" si="416"/>
        <v>0.18799999894517705</v>
      </c>
      <c r="O1158">
        <f t="shared" si="417"/>
        <v>0.15777777777777779</v>
      </c>
      <c r="P1158">
        <f t="shared" si="430"/>
        <v>0.08</v>
      </c>
      <c r="Q1158">
        <f t="shared" si="426"/>
        <v>0.08</v>
      </c>
      <c r="R1158">
        <f t="shared" si="419"/>
        <v>0.08</v>
      </c>
      <c r="S1158">
        <f t="shared" si="420"/>
        <v>0.06</v>
      </c>
      <c r="T1158">
        <f t="shared" si="421"/>
        <v>0.1</v>
      </c>
      <c r="U1158">
        <f t="shared" si="427"/>
        <v>0.08</v>
      </c>
      <c r="V1158">
        <f t="shared" si="432"/>
        <v>0.18799999894517705</v>
      </c>
      <c r="W1158">
        <f t="shared" si="428"/>
        <v>0.16984109684734688</v>
      </c>
      <c r="X1158">
        <f t="shared" si="429"/>
        <v>0.21010536457260659</v>
      </c>
      <c r="Y1158" t="b">
        <f t="shared" si="431"/>
        <v>0</v>
      </c>
    </row>
    <row xmlns:x14ac="http://schemas.microsoft.com/office/spreadsheetml/2009/9/ac" r="1159" x14ac:dyDescent="0.45">
      <c r="A1159">
        <v>5.7599999999999101</v>
      </c>
      <c r="B1159">
        <f t="shared" ref="B1159:B1222" si="433">-(1+Marge_haute)*(A+B/Tpll*EXP(-$A1159/Tpll)+C_*EXP(-epsilon*Wn*$A1159)*COS(Wd*$A1159)+C_*(D/C_-epsilon*Wn)/Wd*EXP(-epsilon*Wn*$A1159)*SIN(Wd*$A1159))+SIGN(DeltaPexpected)*Tunnel</f>
        <v>0.16299999999995604</v>
      </c>
      <c r="C1159" t="b">
        <f t="shared" si="422"/>
        <v>1</v>
      </c>
      <c r="D1159" t="b">
        <f t="shared" ref="D1159:D1222" si="434">IF(D1158,D1158,IF(C1159,B1159&gt;B1158,C1159))</f>
        <v>1</v>
      </c>
      <c r="E1159">
        <f t="shared" si="418"/>
        <v>5.7599999999999101</v>
      </c>
      <c r="F1159">
        <f t="shared" si="423"/>
        <v>0.16299999999995604</v>
      </c>
      <c r="G1159">
        <f t="shared" ref="G1159:G1222" si="435">P0-SIGN(Rocof)*IF(D1159,DeltaPexpected+SIGN(DeltaPexpected)*Tunnel+(MIN(F$7:F$1495)-DeltaPexpected-+SIGN(DeltaPexpected)*Tunnel)*EXP(-(A1159-MIN(E$7:E$1495))/Texpodecrease),B1159)</f>
        <v>0.21010276311203985</v>
      </c>
      <c r="H1159">
        <f t="shared" ref="H1159:H1222" si="436">-(1-marge_basse)*(A+B/Tpll*EXP(-$A1159/Tpll)+C_*EXP(-epsilon*Wn*$A1159)*COS(Wd*$A1159)+C_*(D/C_-epsilon*Wn)/Wd*EXP(-epsilon*Wn*$A1159)*SIN(Wd*$A1159))-Tunnel</f>
        <v>3.49999999999831E-2</v>
      </c>
      <c r="I1159" t="b">
        <f t="shared" si="424"/>
        <v>1</v>
      </c>
      <c r="J1159">
        <f t="shared" ref="J1159:J1222" si="437">IF(I1159,A1159,I1159)</f>
        <v>5.7599999999999101</v>
      </c>
      <c r="K1159">
        <f t="shared" si="425"/>
        <v>3.49999999999831E-2</v>
      </c>
      <c r="L1159">
        <f t="shared" ref="L1159:L1222" si="438">P0-SIGN(Rocof)*IF(I1159,AF$23-AF$13+(MAX(K$7:K$1495)-AF$23+AF$13)*EXP(-(A1159-MIN(J$7:J$1495))/AB$21),H1159)</f>
        <v>0.16984502018016487</v>
      </c>
      <c r="M1159">
        <f t="shared" ref="M1159:M1222" si="439">P0-(1)*(A+B/Tpll*EXP(-$A1159/Tpll)+C_*EXP(-epsilon*Wn*$A1159)*COS(Wd*$A1159)+C_*(D/C_-epsilon*Wn)/Wd*EXP(-epsilon*Wn*$A1159)*SIN(Wd*$A1159))</f>
        <v>0.1899999999999662</v>
      </c>
      <c r="N1159">
        <f t="shared" ref="N1159:N1222" si="440">AB$6-(AG$17+AG$16/AC$18*EXP(-$A1159/AC$18)+AG$18*EXP(-AG$6*AG$12*$A1159)*COS(AG$5*$A1159)+AG$18*(AG$19/AG$18-AG$6*AG$12)/AG$5*EXP(-AG$6*AG$12*$A1159)*SIN(AG$5*$A1159))</f>
        <v>0.18799999894030289</v>
      </c>
      <c r="O1159">
        <f t="shared" ref="O1159:O1222" si="441">AB$6-(AH$17+AH$16/AD$18*EXP(-$A1159/AD$18)+AH$18*EXP(-AH$6*AH$12*$A1159)*COS(AH$5*$A1159)+AH$18*(AH$19/AH$18-AH$6*AH$12)/AH$5*EXP(-AH$6*AH$12*$A1159)*SIN(AH$5*$A1159))</f>
        <v>0.15777777777777779</v>
      </c>
      <c r="P1159">
        <f t="shared" si="430"/>
        <v>0.08</v>
      </c>
      <c r="Q1159">
        <f t="shared" si="426"/>
        <v>0.08</v>
      </c>
      <c r="R1159">
        <f t="shared" si="419"/>
        <v>0.08</v>
      </c>
      <c r="S1159">
        <f t="shared" si="420"/>
        <v>0.06</v>
      </c>
      <c r="T1159">
        <f t="shared" si="421"/>
        <v>0.1</v>
      </c>
      <c r="U1159">
        <f t="shared" si="427"/>
        <v>0.08</v>
      </c>
      <c r="V1159">
        <f t="shared" si="432"/>
        <v>0.18799999894030289</v>
      </c>
      <c r="W1159">
        <f t="shared" si="428"/>
        <v>0.16984188938012709</v>
      </c>
      <c r="X1159">
        <f t="shared" si="429"/>
        <v>0.21010483906460836</v>
      </c>
      <c r="Y1159" t="b">
        <f t="shared" si="431"/>
        <v>0</v>
      </c>
    </row>
    <row xmlns:x14ac="http://schemas.microsoft.com/office/spreadsheetml/2009/9/ac" r="1160" x14ac:dyDescent="0.45">
      <c r="A1160">
        <v>5.76499999999991</v>
      </c>
      <c r="B1160">
        <f t="shared" si="433"/>
        <v>0.16299999999995604</v>
      </c>
      <c r="C1160" t="b">
        <f t="shared" si="422"/>
        <v>1</v>
      </c>
      <c r="D1160" t="b">
        <f t="shared" si="434"/>
        <v>1</v>
      </c>
      <c r="E1160">
        <f t="shared" ref="E1160:E1223" si="442">IF(D1160,A1160,D1160)</f>
        <v>5.76499999999991</v>
      </c>
      <c r="F1160">
        <f t="shared" si="423"/>
        <v>0.16299999999995604</v>
      </c>
      <c r="G1160">
        <f t="shared" si="435"/>
        <v>0.21010225057888032</v>
      </c>
      <c r="H1160">
        <f t="shared" si="436"/>
        <v>3.4999999999983086E-2</v>
      </c>
      <c r="I1160" t="b">
        <f t="shared" si="424"/>
        <v>1</v>
      </c>
      <c r="J1160">
        <f t="shared" si="437"/>
        <v>5.76499999999991</v>
      </c>
      <c r="K1160">
        <f t="shared" si="425"/>
        <v>3.4999999999983086E-2</v>
      </c>
      <c r="L1160">
        <f t="shared" si="438"/>
        <v>0.16984579314524101</v>
      </c>
      <c r="M1160">
        <f t="shared" si="439"/>
        <v>0.1899999999999662</v>
      </c>
      <c r="N1160">
        <f t="shared" si="440"/>
        <v>0.18799999894031244</v>
      </c>
      <c r="O1160">
        <f t="shared" si="441"/>
        <v>0.15777777777777779</v>
      </c>
      <c r="P1160">
        <f t="shared" si="430"/>
        <v>0.08</v>
      </c>
      <c r="Q1160">
        <f t="shared" si="426"/>
        <v>0.08</v>
      </c>
      <c r="R1160">
        <f t="shared" ref="R1160:R1223" si="443">$AB$6-(1+AB$17)*EXP(-AF$6*AF$12*A1160)*(COS(AF$5*A1160)-(AF$6*AF$12-1)/(AF$5)*SIN(AF$5*A1160))*AF$15</f>
        <v>0.08</v>
      </c>
      <c r="S1160">
        <f t="shared" ref="S1160:S1223" si="444">R1160-AF$13</f>
        <v>0.06</v>
      </c>
      <c r="T1160">
        <f t="shared" ref="T1160:T1223" si="445">R1160+AF$13</f>
        <v>0.1</v>
      </c>
      <c r="U1160">
        <f t="shared" si="427"/>
        <v>0.08</v>
      </c>
      <c r="V1160">
        <f t="shared" si="432"/>
        <v>0.18799999894031244</v>
      </c>
      <c r="W1160">
        <f t="shared" si="428"/>
        <v>0.16984267796013358</v>
      </c>
      <c r="X1160">
        <f t="shared" si="429"/>
        <v>0.21010431617759223</v>
      </c>
      <c r="Y1160" t="b">
        <f t="shared" si="431"/>
        <v>0</v>
      </c>
    </row>
    <row xmlns:x14ac="http://schemas.microsoft.com/office/spreadsheetml/2009/9/ac" r="1161" x14ac:dyDescent="0.45">
      <c r="A1161">
        <v>5.7699999999999001</v>
      </c>
      <c r="B1161">
        <f t="shared" si="433"/>
        <v>0.16299999999995624</v>
      </c>
      <c r="C1161" t="b">
        <f t="shared" ref="C1161:C1224" si="446">IF(C1160,C1160,(B1161&lt;B1160))</f>
        <v>1</v>
      </c>
      <c r="D1161" t="b">
        <f t="shared" si="434"/>
        <v>1</v>
      </c>
      <c r="E1161">
        <f t="shared" si="442"/>
        <v>5.7699999999999001</v>
      </c>
      <c r="F1161">
        <f t="shared" ref="F1161:F1224" si="447">IF(D1161,B1161,D1161)</f>
        <v>0.16299999999995624</v>
      </c>
      <c r="G1161">
        <f t="shared" si="435"/>
        <v>0.21010174060199061</v>
      </c>
      <c r="H1161">
        <f t="shared" si="436"/>
        <v>3.499999999998317E-2</v>
      </c>
      <c r="I1161" t="b">
        <f t="shared" ref="I1161:I1224" si="448">IF(I1160,I1160,H1160&gt;H1161)</f>
        <v>1</v>
      </c>
      <c r="J1161">
        <f t="shared" si="437"/>
        <v>5.7699999999999001</v>
      </c>
      <c r="K1161">
        <f t="shared" ref="K1161:K1224" si="449">IF(I1161,H1161,I1161)</f>
        <v>3.499999999998317E-2</v>
      </c>
      <c r="L1161">
        <f t="shared" si="438"/>
        <v>0.16984656225513775</v>
      </c>
      <c r="M1161">
        <f t="shared" si="439"/>
        <v>0.18999999999996636</v>
      </c>
      <c r="N1161">
        <f t="shared" si="440"/>
        <v>0.18799999894505187</v>
      </c>
      <c r="O1161">
        <f t="shared" si="441"/>
        <v>0.15777777777777779</v>
      </c>
      <c r="P1161">
        <f t="shared" si="430"/>
        <v>0.08</v>
      </c>
      <c r="Q1161">
        <f t="shared" ref="Q1161:Q1224" si="450">$AB$6-(1+AB$17)*EXP(-AF$6*AF$12*A1159)*(COS(AF$5*A1159)-(AF$6*AF$12-1)/(AF$5)*SIN(AF$5*A1159))*AF$15</f>
        <v>0.08</v>
      </c>
      <c r="R1161">
        <f t="shared" si="443"/>
        <v>0.08</v>
      </c>
      <c r="S1161">
        <f t="shared" si="444"/>
        <v>0.06</v>
      </c>
      <c r="T1161">
        <f t="shared" si="445"/>
        <v>0.1</v>
      </c>
      <c r="U1161">
        <f t="shared" ref="U1161:U1224" si="451">$AB$6-AB$18*EXP(-AF$6*AF$12*A1159)*(COS(AF$5*A1159)-(AF$6*AF$12-1)/(AF$5)*SIN(AF$5*A1159))*AF$15</f>
        <v>0.08</v>
      </c>
      <c r="V1161">
        <f t="shared" si="432"/>
        <v>0.18799999894505187</v>
      </c>
      <c r="W1161">
        <f t="shared" si="428"/>
        <v>0.16984346260708083</v>
      </c>
      <c r="X1161">
        <f t="shared" si="429"/>
        <v>0.21010379589848593</v>
      </c>
      <c r="Y1161" t="b">
        <f t="shared" si="431"/>
        <v>0</v>
      </c>
    </row>
    <row xmlns:x14ac="http://schemas.microsoft.com/office/spreadsheetml/2009/9/ac" r="1162" x14ac:dyDescent="0.45">
      <c r="A1162">
        <v>5.7749999999999</v>
      </c>
      <c r="B1162">
        <f t="shared" si="433"/>
        <v>0.16299999999995665</v>
      </c>
      <c r="C1162" t="b">
        <f t="shared" si="446"/>
        <v>1</v>
      </c>
      <c r="D1162" t="b">
        <f t="shared" si="434"/>
        <v>1</v>
      </c>
      <c r="E1162">
        <f t="shared" si="442"/>
        <v>5.7749999999999</v>
      </c>
      <c r="F1162">
        <f t="shared" si="447"/>
        <v>0.16299999999995665</v>
      </c>
      <c r="G1162">
        <f t="shared" si="435"/>
        <v>0.21010123316862123</v>
      </c>
      <c r="H1162">
        <f t="shared" si="436"/>
        <v>3.4999999999983336E-2</v>
      </c>
      <c r="I1162" t="b">
        <f t="shared" si="448"/>
        <v>1</v>
      </c>
      <c r="J1162">
        <f t="shared" si="437"/>
        <v>5.7749999999999</v>
      </c>
      <c r="K1162">
        <f t="shared" si="449"/>
        <v>3.4999999999983336E-2</v>
      </c>
      <c r="L1162">
        <f t="shared" si="438"/>
        <v>0.16984732752908288</v>
      </c>
      <c r="M1162">
        <f t="shared" si="439"/>
        <v>0.18999999999996667</v>
      </c>
      <c r="N1162">
        <f t="shared" si="440"/>
        <v>0.18799999895435102</v>
      </c>
      <c r="O1162">
        <f t="shared" si="441"/>
        <v>0.15777777777777779</v>
      </c>
      <c r="P1162">
        <f t="shared" si="430"/>
        <v>0.08</v>
      </c>
      <c r="Q1162">
        <f t="shared" si="450"/>
        <v>0.08</v>
      </c>
      <c r="R1162">
        <f t="shared" si="443"/>
        <v>0.08</v>
      </c>
      <c r="S1162">
        <f t="shared" si="444"/>
        <v>0.06</v>
      </c>
      <c r="T1162">
        <f t="shared" si="445"/>
        <v>0.1</v>
      </c>
      <c r="U1162">
        <f t="shared" si="451"/>
        <v>0.08</v>
      </c>
      <c r="V1162">
        <f t="shared" si="432"/>
        <v>0.18799999895435102</v>
      </c>
      <c r="W1162">
        <f t="shared" si="428"/>
        <v>0.16984424334058518</v>
      </c>
      <c r="X1162">
        <f t="shared" si="429"/>
        <v>0.21010327821428254</v>
      </c>
      <c r="Y1162" t="b">
        <f t="shared" si="431"/>
        <v>0</v>
      </c>
    </row>
    <row xmlns:x14ac="http://schemas.microsoft.com/office/spreadsheetml/2009/9/ac" r="1163" x14ac:dyDescent="0.45">
      <c r="A1163">
        <v>5.7799999999998999</v>
      </c>
      <c r="B1163">
        <f t="shared" si="433"/>
        <v>0.16299999999995723</v>
      </c>
      <c r="C1163" t="b">
        <f t="shared" si="446"/>
        <v>1</v>
      </c>
      <c r="D1163" t="b">
        <f t="shared" si="434"/>
        <v>1</v>
      </c>
      <c r="E1163">
        <f t="shared" si="442"/>
        <v>5.7799999999998999</v>
      </c>
      <c r="F1163">
        <f t="shared" si="447"/>
        <v>0.16299999999995723</v>
      </c>
      <c r="G1163">
        <f t="shared" si="435"/>
        <v>0.21010072826608633</v>
      </c>
      <c r="H1163">
        <f t="shared" si="436"/>
        <v>3.4999999999983558E-2</v>
      </c>
      <c r="I1163" t="b">
        <f t="shared" si="448"/>
        <v>1</v>
      </c>
      <c r="J1163">
        <f t="shared" si="437"/>
        <v>5.7799999999998999</v>
      </c>
      <c r="K1163">
        <f t="shared" si="449"/>
        <v>3.4999999999983558E-2</v>
      </c>
      <c r="L1163">
        <f t="shared" si="438"/>
        <v>0.16984808898620829</v>
      </c>
      <c r="M1163">
        <f t="shared" si="439"/>
        <v>0.18999999999996711</v>
      </c>
      <c r="N1163">
        <f t="shared" si="440"/>
        <v>0.1879999989680248</v>
      </c>
      <c r="O1163">
        <f t="shared" si="441"/>
        <v>0.15777777777777779</v>
      </c>
      <c r="P1163">
        <f t="shared" si="430"/>
        <v>0.08</v>
      </c>
      <c r="Q1163">
        <f t="shared" si="450"/>
        <v>0.08</v>
      </c>
      <c r="R1163">
        <f t="shared" si="443"/>
        <v>0.08</v>
      </c>
      <c r="S1163">
        <f t="shared" si="444"/>
        <v>0.06</v>
      </c>
      <c r="T1163">
        <f t="shared" si="445"/>
        <v>0.1</v>
      </c>
      <c r="U1163">
        <f t="shared" si="451"/>
        <v>0.08</v>
      </c>
      <c r="V1163">
        <f t="shared" si="432"/>
        <v>0.1879999989680248</v>
      </c>
      <c r="W1163">
        <f t="shared" ref="W1163:W1226" si="452">IF(EMT_Simulation,L1159,L1163)</f>
        <v>0.16984502018016487</v>
      </c>
      <c r="X1163">
        <f t="shared" ref="X1163:X1226" si="453">IF(EMT_Simulation,G1159,G1163)</f>
        <v>0.21010276311203985</v>
      </c>
      <c r="Y1163" t="b">
        <f t="shared" si="431"/>
        <v>0</v>
      </c>
    </row>
    <row xmlns:x14ac="http://schemas.microsoft.com/office/spreadsheetml/2009/9/ac" r="1164" x14ac:dyDescent="0.45">
      <c r="A1164">
        <v>5.7849999999998998</v>
      </c>
      <c r="B1164">
        <f t="shared" si="433"/>
        <v>0.16299999999995801</v>
      </c>
      <c r="C1164" t="b">
        <f t="shared" si="446"/>
        <v>1</v>
      </c>
      <c r="D1164" t="b">
        <f t="shared" si="434"/>
        <v>1</v>
      </c>
      <c r="E1164">
        <f t="shared" si="442"/>
        <v>5.7849999999998998</v>
      </c>
      <c r="F1164">
        <f t="shared" si="447"/>
        <v>0.16299999999995801</v>
      </c>
      <c r="G1164">
        <f t="shared" si="435"/>
        <v>0.21010022588176336</v>
      </c>
      <c r="H1164">
        <f t="shared" si="436"/>
        <v>3.499999999998385E-2</v>
      </c>
      <c r="I1164" t="b">
        <f t="shared" si="448"/>
        <v>1</v>
      </c>
      <c r="J1164">
        <f t="shared" si="437"/>
        <v>5.7849999999998998</v>
      </c>
      <c r="K1164">
        <f t="shared" si="449"/>
        <v>3.499999999998385E-2</v>
      </c>
      <c r="L1164">
        <f t="shared" si="438"/>
        <v>0.16984884664555044</v>
      </c>
      <c r="M1164">
        <f t="shared" si="439"/>
        <v>0.18999999999996769</v>
      </c>
      <c r="N1164">
        <f t="shared" si="440"/>
        <v>0.18799999898587444</v>
      </c>
      <c r="O1164">
        <f t="shared" si="441"/>
        <v>0.15777777777777779</v>
      </c>
      <c r="P1164">
        <f t="shared" si="430"/>
        <v>0.08</v>
      </c>
      <c r="Q1164">
        <f t="shared" si="450"/>
        <v>0.08</v>
      </c>
      <c r="R1164">
        <f t="shared" si="443"/>
        <v>0.08</v>
      </c>
      <c r="S1164">
        <f t="shared" si="444"/>
        <v>0.06</v>
      </c>
      <c r="T1164">
        <f t="shared" si="445"/>
        <v>0.1</v>
      </c>
      <c r="U1164">
        <f t="shared" si="451"/>
        <v>0.08</v>
      </c>
      <c r="V1164">
        <f t="shared" si="432"/>
        <v>0.18799999898587444</v>
      </c>
      <c r="W1164">
        <f t="shared" si="452"/>
        <v>0.16984579314524101</v>
      </c>
      <c r="X1164">
        <f t="shared" si="453"/>
        <v>0.21010225057888032</v>
      </c>
      <c r="Y1164" t="b">
        <f t="shared" si="431"/>
        <v>0</v>
      </c>
    </row>
    <row xmlns:x14ac="http://schemas.microsoft.com/office/spreadsheetml/2009/9/ac" r="1165" x14ac:dyDescent="0.45">
      <c r="A1165">
        <v>5.7899999999998997</v>
      </c>
      <c r="B1165">
        <f t="shared" si="433"/>
        <v>0.16299999999995893</v>
      </c>
      <c r="C1165" t="b">
        <f t="shared" si="446"/>
        <v>1</v>
      </c>
      <c r="D1165" t="b">
        <f t="shared" si="434"/>
        <v>1</v>
      </c>
      <c r="E1165">
        <f t="shared" si="442"/>
        <v>5.7899999999998997</v>
      </c>
      <c r="F1165">
        <f t="shared" si="447"/>
        <v>0.16299999999995893</v>
      </c>
      <c r="G1165">
        <f t="shared" si="435"/>
        <v>0.21009972600309262</v>
      </c>
      <c r="H1165">
        <f t="shared" si="436"/>
        <v>3.499999999998421E-2</v>
      </c>
      <c r="I1165" t="b">
        <f t="shared" si="448"/>
        <v>1</v>
      </c>
      <c r="J1165">
        <f t="shared" si="437"/>
        <v>5.7899999999998997</v>
      </c>
      <c r="K1165">
        <f t="shared" si="449"/>
        <v>3.499999999998421E-2</v>
      </c>
      <c r="L1165">
        <f t="shared" si="438"/>
        <v>0.16984960052605086</v>
      </c>
      <c r="M1165">
        <f t="shared" si="439"/>
        <v>0.18999999999996842</v>
      </c>
      <c r="N1165">
        <f t="shared" si="440"/>
        <v>0.18799999900768871</v>
      </c>
      <c r="O1165">
        <f t="shared" si="441"/>
        <v>0.15777777777777779</v>
      </c>
      <c r="P1165">
        <f t="shared" si="430"/>
        <v>0.08</v>
      </c>
      <c r="Q1165">
        <f t="shared" si="450"/>
        <v>0.08</v>
      </c>
      <c r="R1165">
        <f t="shared" si="443"/>
        <v>0.08</v>
      </c>
      <c r="S1165">
        <f t="shared" si="444"/>
        <v>0.06</v>
      </c>
      <c r="T1165">
        <f t="shared" si="445"/>
        <v>0.1</v>
      </c>
      <c r="U1165">
        <f t="shared" si="451"/>
        <v>0.08</v>
      </c>
      <c r="V1165">
        <f t="shared" si="432"/>
        <v>0.18799999900768871</v>
      </c>
      <c r="W1165">
        <f t="shared" si="452"/>
        <v>0.16984656225513775</v>
      </c>
      <c r="X1165">
        <f t="shared" si="453"/>
        <v>0.21010174060199061</v>
      </c>
      <c r="Y1165" t="b">
        <f t="shared" si="431"/>
        <v>0</v>
      </c>
    </row>
    <row xmlns:x14ac="http://schemas.microsoft.com/office/spreadsheetml/2009/9/ac" r="1166" x14ac:dyDescent="0.45">
      <c r="A1166">
        <v>5.7949999999998996</v>
      </c>
      <c r="B1166">
        <f t="shared" si="433"/>
        <v>0.16299999999996001</v>
      </c>
      <c r="C1166" t="b">
        <f t="shared" si="446"/>
        <v>1</v>
      </c>
      <c r="D1166" t="b">
        <f t="shared" si="434"/>
        <v>1</v>
      </c>
      <c r="E1166">
        <f t="shared" si="442"/>
        <v>5.7949999999998996</v>
      </c>
      <c r="F1166">
        <f t="shared" si="447"/>
        <v>0.16299999999996001</v>
      </c>
      <c r="G1166">
        <f t="shared" si="435"/>
        <v>0.21009922861757718</v>
      </c>
      <c r="H1166">
        <f t="shared" si="436"/>
        <v>3.4999999999984627E-2</v>
      </c>
      <c r="I1166" t="b">
        <f t="shared" si="448"/>
        <v>1</v>
      </c>
      <c r="J1166">
        <f t="shared" si="437"/>
        <v>5.7949999999998996</v>
      </c>
      <c r="K1166">
        <f t="shared" si="449"/>
        <v>3.4999999999984627E-2</v>
      </c>
      <c r="L1166">
        <f t="shared" si="438"/>
        <v>0.16985035064655657</v>
      </c>
      <c r="M1166">
        <f t="shared" si="439"/>
        <v>0.18999999999996925</v>
      </c>
      <c r="N1166">
        <f t="shared" si="440"/>
        <v>0.18799999903324538</v>
      </c>
      <c r="O1166">
        <f t="shared" si="441"/>
        <v>0.15777777777777779</v>
      </c>
      <c r="P1166">
        <f t="shared" ref="P1166:P1229" si="454">$AB$6-EXP(-AF$6*AF$12*A1166)*(COS(AF$5*A1166)-(AF$6*AF$12-1)/(AF$5)*SIN(AF$5*A1166))*AF$15</f>
        <v>0.08</v>
      </c>
      <c r="Q1166">
        <f t="shared" si="450"/>
        <v>0.08</v>
      </c>
      <c r="R1166">
        <f t="shared" si="443"/>
        <v>0.08</v>
      </c>
      <c r="S1166">
        <f t="shared" si="444"/>
        <v>0.06</v>
      </c>
      <c r="T1166">
        <f t="shared" si="445"/>
        <v>0.1</v>
      </c>
      <c r="U1166">
        <f t="shared" si="451"/>
        <v>0.08</v>
      </c>
      <c r="V1166">
        <f t="shared" si="432"/>
        <v>0.18799999903324538</v>
      </c>
      <c r="W1166">
        <f t="shared" si="452"/>
        <v>0.16984732752908288</v>
      </c>
      <c r="X1166">
        <f t="shared" si="453"/>
        <v>0.21010123316862123</v>
      </c>
      <c r="Y1166" t="b">
        <f t="shared" si="431"/>
        <v>0</v>
      </c>
    </row>
    <row xmlns:x14ac="http://schemas.microsoft.com/office/spreadsheetml/2009/9/ac" r="1167" x14ac:dyDescent="0.45">
      <c r="A1167">
        <v>5.7999999999999003</v>
      </c>
      <c r="B1167">
        <f t="shared" si="433"/>
        <v>0.16299999999996123</v>
      </c>
      <c r="C1167" t="b">
        <f t="shared" si="446"/>
        <v>1</v>
      </c>
      <c r="D1167" t="b">
        <f t="shared" si="434"/>
        <v>1</v>
      </c>
      <c r="E1167">
        <f t="shared" si="442"/>
        <v>5.7999999999999003</v>
      </c>
      <c r="F1167">
        <f t="shared" si="447"/>
        <v>0.16299999999996123</v>
      </c>
      <c r="G1167">
        <f t="shared" si="435"/>
        <v>0.21009873371278232</v>
      </c>
      <c r="H1167">
        <f t="shared" si="436"/>
        <v>3.4999999999985099E-2</v>
      </c>
      <c r="I1167" t="b">
        <f t="shared" si="448"/>
        <v>1</v>
      </c>
      <c r="J1167">
        <f t="shared" si="437"/>
        <v>5.7999999999999003</v>
      </c>
      <c r="K1167">
        <f t="shared" si="449"/>
        <v>3.4999999999985099E-2</v>
      </c>
      <c r="L1167">
        <f t="shared" si="438"/>
        <v>0.16985109702582069</v>
      </c>
      <c r="M1167">
        <f t="shared" si="439"/>
        <v>0.18999999999997019</v>
      </c>
      <c r="N1167">
        <f t="shared" si="440"/>
        <v>0.18799999906231252</v>
      </c>
      <c r="O1167">
        <f t="shared" si="441"/>
        <v>0.15777777777777779</v>
      </c>
      <c r="P1167">
        <f t="shared" si="454"/>
        <v>0.08</v>
      </c>
      <c r="Q1167">
        <f t="shared" si="450"/>
        <v>0.08</v>
      </c>
      <c r="R1167">
        <f t="shared" si="443"/>
        <v>0.08</v>
      </c>
      <c r="S1167">
        <f t="shared" si="444"/>
        <v>0.06</v>
      </c>
      <c r="T1167">
        <f t="shared" si="445"/>
        <v>0.1</v>
      </c>
      <c r="U1167">
        <f t="shared" si="451"/>
        <v>0.08</v>
      </c>
      <c r="V1167">
        <f t="shared" si="432"/>
        <v>0.18799999906231252</v>
      </c>
      <c r="W1167">
        <f t="shared" si="452"/>
        <v>0.16984808898620829</v>
      </c>
      <c r="X1167">
        <f t="shared" si="453"/>
        <v>0.21010072826608633</v>
      </c>
      <c r="Y1167" t="b">
        <f t="shared" ref="Y1167:Y1230" si="455">IF(Y1166,TRUE,IF(P1167&lt;P1166,TRUE))</f>
        <v>0</v>
      </c>
    </row>
    <row xmlns:x14ac="http://schemas.microsoft.com/office/spreadsheetml/2009/9/ac" r="1168" x14ac:dyDescent="0.45">
      <c r="A1168">
        <v>5.8049999999999002</v>
      </c>
      <c r="B1168">
        <f t="shared" si="433"/>
        <v>0.16299999999996259</v>
      </c>
      <c r="C1168" t="b">
        <f t="shared" si="446"/>
        <v>1</v>
      </c>
      <c r="D1168" t="b">
        <f t="shared" si="434"/>
        <v>1</v>
      </c>
      <c r="E1168">
        <f t="shared" si="442"/>
        <v>5.8049999999999002</v>
      </c>
      <c r="F1168">
        <f t="shared" si="447"/>
        <v>0.16299999999996259</v>
      </c>
      <c r="G1168">
        <f t="shared" si="435"/>
        <v>0.21009824127633542</v>
      </c>
      <c r="H1168">
        <f t="shared" si="436"/>
        <v>3.4999999999985612E-2</v>
      </c>
      <c r="I1168" t="b">
        <f t="shared" si="448"/>
        <v>1</v>
      </c>
      <c r="J1168">
        <f t="shared" si="437"/>
        <v>5.8049999999999002</v>
      </c>
      <c r="K1168">
        <f t="shared" si="449"/>
        <v>3.4999999999985612E-2</v>
      </c>
      <c r="L1168">
        <f t="shared" si="438"/>
        <v>0.16985183968250267</v>
      </c>
      <c r="M1168">
        <f t="shared" si="439"/>
        <v>0.18999999999997122</v>
      </c>
      <c r="N1168">
        <f t="shared" si="440"/>
        <v>0.18799999909464982</v>
      </c>
      <c r="O1168">
        <f t="shared" si="441"/>
        <v>0.15777777777777779</v>
      </c>
      <c r="P1168">
        <f t="shared" si="454"/>
        <v>0.08</v>
      </c>
      <c r="Q1168">
        <f t="shared" si="450"/>
        <v>0.08</v>
      </c>
      <c r="R1168">
        <f t="shared" si="443"/>
        <v>0.08</v>
      </c>
      <c r="S1168">
        <f t="shared" si="444"/>
        <v>0.06</v>
      </c>
      <c r="T1168">
        <f t="shared" si="445"/>
        <v>0.1</v>
      </c>
      <c r="U1168">
        <f t="shared" si="451"/>
        <v>0.08</v>
      </c>
      <c r="V1168">
        <f t="shared" si="432"/>
        <v>0.18799999909464982</v>
      </c>
      <c r="W1168">
        <f t="shared" si="452"/>
        <v>0.16984884664555044</v>
      </c>
      <c r="X1168">
        <f t="shared" si="453"/>
        <v>0.21010022588176336</v>
      </c>
      <c r="Y1168" t="b">
        <f t="shared" si="455"/>
        <v>0</v>
      </c>
    </row>
    <row xmlns:x14ac="http://schemas.microsoft.com/office/spreadsheetml/2009/9/ac" r="1169" x14ac:dyDescent="0.45">
      <c r="A1169">
        <v>5.8099999999999001</v>
      </c>
      <c r="B1169">
        <f t="shared" si="433"/>
        <v>0.16299999999996406</v>
      </c>
      <c r="C1169" t="b">
        <f t="shared" si="446"/>
        <v>1</v>
      </c>
      <c r="D1169" t="b">
        <f t="shared" si="434"/>
        <v>1</v>
      </c>
      <c r="E1169">
        <f t="shared" si="442"/>
        <v>5.8099999999999001</v>
      </c>
      <c r="F1169">
        <f t="shared" si="447"/>
        <v>0.16299999999996406</v>
      </c>
      <c r="G1169">
        <f t="shared" si="435"/>
        <v>0.21009775129592556</v>
      </c>
      <c r="H1169">
        <f t="shared" si="436"/>
        <v>3.4999999999986181E-2</v>
      </c>
      <c r="I1169" t="b">
        <f t="shared" si="448"/>
        <v>1</v>
      </c>
      <c r="J1169">
        <f t="shared" si="437"/>
        <v>5.8099999999999001</v>
      </c>
      <c r="K1169">
        <f t="shared" si="449"/>
        <v>3.4999999999986181E-2</v>
      </c>
      <c r="L1169">
        <f t="shared" si="438"/>
        <v>0.169852578635169</v>
      </c>
      <c r="M1169">
        <f t="shared" si="439"/>
        <v>0.18999999999997236</v>
      </c>
      <c r="N1169">
        <f t="shared" si="440"/>
        <v>0.18799999913000995</v>
      </c>
      <c r="O1169">
        <f t="shared" si="441"/>
        <v>0.15777777777777779</v>
      </c>
      <c r="P1169">
        <f t="shared" si="454"/>
        <v>0.08</v>
      </c>
      <c r="Q1169">
        <f t="shared" si="450"/>
        <v>0.08</v>
      </c>
      <c r="R1169">
        <f t="shared" si="443"/>
        <v>0.08</v>
      </c>
      <c r="S1169">
        <f t="shared" si="444"/>
        <v>0.06</v>
      </c>
      <c r="T1169">
        <f t="shared" si="445"/>
        <v>0.1</v>
      </c>
      <c r="U1169">
        <f t="shared" si="451"/>
        <v>0.08</v>
      </c>
      <c r="V1169">
        <f t="shared" si="432"/>
        <v>0.18799999913000995</v>
      </c>
      <c r="W1169">
        <f t="shared" si="452"/>
        <v>0.16984960052605086</v>
      </c>
      <c r="X1169">
        <f t="shared" si="453"/>
        <v>0.21009972600309262</v>
      </c>
      <c r="Y1169" t="b">
        <f t="shared" si="455"/>
        <v>0</v>
      </c>
    </row>
    <row xmlns:x14ac="http://schemas.microsoft.com/office/spreadsheetml/2009/9/ac" r="1170" x14ac:dyDescent="0.45">
      <c r="A1170">
        <v>5.8149999999999</v>
      </c>
      <c r="B1170">
        <f t="shared" si="433"/>
        <v>0.16299999999996562</v>
      </c>
      <c r="C1170" t="b">
        <f t="shared" si="446"/>
        <v>1</v>
      </c>
      <c r="D1170" t="b">
        <f t="shared" si="434"/>
        <v>1</v>
      </c>
      <c r="E1170">
        <f t="shared" si="442"/>
        <v>5.8149999999999</v>
      </c>
      <c r="F1170">
        <f t="shared" si="447"/>
        <v>0.16299999999996562</v>
      </c>
      <c r="G1170">
        <f t="shared" si="435"/>
        <v>0.21009726375930321</v>
      </c>
      <c r="H1170">
        <f t="shared" si="436"/>
        <v>3.4999999999986778E-2</v>
      </c>
      <c r="I1170" t="b">
        <f t="shared" si="448"/>
        <v>1</v>
      </c>
      <c r="J1170">
        <f t="shared" si="437"/>
        <v>5.8149999999999</v>
      </c>
      <c r="K1170">
        <f t="shared" si="449"/>
        <v>3.4999999999986778E-2</v>
      </c>
      <c r="L1170">
        <f t="shared" si="438"/>
        <v>0.16985331390229352</v>
      </c>
      <c r="M1170">
        <f t="shared" si="439"/>
        <v>0.18999999999997355</v>
      </c>
      <c r="N1170">
        <f t="shared" si="440"/>
        <v>0.18799999916813986</v>
      </c>
      <c r="O1170">
        <f t="shared" si="441"/>
        <v>0.15777777777777779</v>
      </c>
      <c r="P1170">
        <f t="shared" si="454"/>
        <v>0.08</v>
      </c>
      <c r="Q1170">
        <f t="shared" si="450"/>
        <v>0.08</v>
      </c>
      <c r="R1170">
        <f t="shared" si="443"/>
        <v>0.08</v>
      </c>
      <c r="S1170">
        <f t="shared" si="444"/>
        <v>0.06</v>
      </c>
      <c r="T1170">
        <f t="shared" si="445"/>
        <v>0.1</v>
      </c>
      <c r="U1170">
        <f t="shared" si="451"/>
        <v>0.08</v>
      </c>
      <c r="V1170">
        <f t="shared" si="432"/>
        <v>0.18799999916813986</v>
      </c>
      <c r="W1170">
        <f t="shared" si="452"/>
        <v>0.16985035064655657</v>
      </c>
      <c r="X1170">
        <f t="shared" si="453"/>
        <v>0.21009922861757718</v>
      </c>
      <c r="Y1170" t="b">
        <f t="shared" si="455"/>
        <v>0</v>
      </c>
    </row>
    <row xmlns:x14ac="http://schemas.microsoft.com/office/spreadsheetml/2009/9/ac" r="1171" x14ac:dyDescent="0.45">
      <c r="A1171">
        <v>5.8199999999998999</v>
      </c>
      <c r="B1171">
        <f t="shared" si="433"/>
        <v>0.16299999999996725</v>
      </c>
      <c r="C1171" t="b">
        <f t="shared" si="446"/>
        <v>1</v>
      </c>
      <c r="D1171" t="b">
        <f t="shared" si="434"/>
        <v>1</v>
      </c>
      <c r="E1171">
        <f t="shared" si="442"/>
        <v>5.8199999999998999</v>
      </c>
      <c r="F1171">
        <f t="shared" si="447"/>
        <v>0.16299999999996725</v>
      </c>
      <c r="G1171">
        <f t="shared" si="435"/>
        <v>0.21009677865427989</v>
      </c>
      <c r="H1171">
        <f t="shared" si="436"/>
        <v>3.4999999999987402E-2</v>
      </c>
      <c r="I1171" t="b">
        <f t="shared" si="448"/>
        <v>1</v>
      </c>
      <c r="J1171">
        <f t="shared" si="437"/>
        <v>5.8199999999998999</v>
      </c>
      <c r="K1171">
        <f t="shared" si="449"/>
        <v>3.4999999999987402E-2</v>
      </c>
      <c r="L1171">
        <f t="shared" si="438"/>
        <v>0.16985404550225799</v>
      </c>
      <c r="M1171">
        <f t="shared" si="439"/>
        <v>0.1899999999999748</v>
      </c>
      <c r="N1171">
        <f t="shared" si="440"/>
        <v>0.18799999920878219</v>
      </c>
      <c r="O1171">
        <f t="shared" si="441"/>
        <v>0.15777777777777779</v>
      </c>
      <c r="P1171">
        <f t="shared" si="454"/>
        <v>0.08</v>
      </c>
      <c r="Q1171">
        <f t="shared" si="450"/>
        <v>0.08</v>
      </c>
      <c r="R1171">
        <f t="shared" si="443"/>
        <v>0.08</v>
      </c>
      <c r="S1171">
        <f t="shared" si="444"/>
        <v>0.06</v>
      </c>
      <c r="T1171">
        <f t="shared" si="445"/>
        <v>0.1</v>
      </c>
      <c r="U1171">
        <f t="shared" si="451"/>
        <v>0.08</v>
      </c>
      <c r="V1171">
        <f t="shared" si="432"/>
        <v>0.18799999920878219</v>
      </c>
      <c r="W1171">
        <f t="shared" si="452"/>
        <v>0.16985109702582069</v>
      </c>
      <c r="X1171">
        <f t="shared" si="453"/>
        <v>0.21009873371278232</v>
      </c>
      <c r="Y1171" t="b">
        <f t="shared" si="455"/>
        <v>0</v>
      </c>
    </row>
    <row xmlns:x14ac="http://schemas.microsoft.com/office/spreadsheetml/2009/9/ac" r="1172" x14ac:dyDescent="0.45">
      <c r="A1172">
        <v>5.8249999999998998</v>
      </c>
      <c r="B1172">
        <f t="shared" si="433"/>
        <v>0.16299999999996898</v>
      </c>
      <c r="C1172" t="b">
        <f t="shared" si="446"/>
        <v>1</v>
      </c>
      <c r="D1172" t="b">
        <f t="shared" si="434"/>
        <v>1</v>
      </c>
      <c r="E1172">
        <f t="shared" si="442"/>
        <v>5.8249999999998998</v>
      </c>
      <c r="F1172">
        <f t="shared" si="447"/>
        <v>0.16299999999996898</v>
      </c>
      <c r="G1172">
        <f t="shared" si="435"/>
        <v>0.21009629596872792</v>
      </c>
      <c r="H1172">
        <f t="shared" si="436"/>
        <v>3.4999999999988068E-2</v>
      </c>
      <c r="I1172" t="b">
        <f t="shared" si="448"/>
        <v>1</v>
      </c>
      <c r="J1172">
        <f t="shared" si="437"/>
        <v>5.8249999999998998</v>
      </c>
      <c r="K1172">
        <f t="shared" si="449"/>
        <v>3.4999999999988068E-2</v>
      </c>
      <c r="L1172">
        <f t="shared" si="438"/>
        <v>0.1698547734533524</v>
      </c>
      <c r="M1172">
        <f t="shared" si="439"/>
        <v>0.18999999999997613</v>
      </c>
      <c r="N1172">
        <f t="shared" si="440"/>
        <v>0.18799999925167626</v>
      </c>
      <c r="O1172">
        <f t="shared" si="441"/>
        <v>0.15777777777777779</v>
      </c>
      <c r="P1172">
        <f t="shared" si="454"/>
        <v>0.08</v>
      </c>
      <c r="Q1172">
        <f t="shared" si="450"/>
        <v>0.08</v>
      </c>
      <c r="R1172">
        <f t="shared" si="443"/>
        <v>0.08</v>
      </c>
      <c r="S1172">
        <f t="shared" si="444"/>
        <v>0.06</v>
      </c>
      <c r="T1172">
        <f t="shared" si="445"/>
        <v>0.1</v>
      </c>
      <c r="U1172">
        <f t="shared" si="451"/>
        <v>0.08</v>
      </c>
      <c r="V1172">
        <f t="shared" si="432"/>
        <v>0.18799999925167626</v>
      </c>
      <c r="W1172">
        <f t="shared" si="452"/>
        <v>0.16985183968250267</v>
      </c>
      <c r="X1172">
        <f t="shared" si="453"/>
        <v>0.21009824127633542</v>
      </c>
      <c r="Y1172" t="b">
        <f t="shared" si="455"/>
        <v>0</v>
      </c>
    </row>
    <row xmlns:x14ac="http://schemas.microsoft.com/office/spreadsheetml/2009/9/ac" r="1173" x14ac:dyDescent="0.45">
      <c r="A1173">
        <v>5.8299999999998997</v>
      </c>
      <c r="B1173">
        <f t="shared" si="433"/>
        <v>0.16299999999997078</v>
      </c>
      <c r="C1173" t="b">
        <f t="shared" si="446"/>
        <v>1</v>
      </c>
      <c r="D1173" t="b">
        <f t="shared" si="434"/>
        <v>1</v>
      </c>
      <c r="E1173">
        <f t="shared" si="442"/>
        <v>5.8299999999998997</v>
      </c>
      <c r="F1173">
        <f t="shared" si="447"/>
        <v>0.16299999999997078</v>
      </c>
      <c r="G1173">
        <f t="shared" si="435"/>
        <v>0.21009581569058028</v>
      </c>
      <c r="H1173">
        <f t="shared" si="436"/>
        <v>3.4999999999988762E-2</v>
      </c>
      <c r="I1173" t="b">
        <f t="shared" si="448"/>
        <v>1</v>
      </c>
      <c r="J1173">
        <f t="shared" si="437"/>
        <v>5.8299999999998997</v>
      </c>
      <c r="K1173">
        <f t="shared" si="449"/>
        <v>3.4999999999988762E-2</v>
      </c>
      <c r="L1173">
        <f t="shared" si="438"/>
        <v>0.16985549777377557</v>
      </c>
      <c r="M1173">
        <f t="shared" si="439"/>
        <v>0.18999999999997752</v>
      </c>
      <c r="N1173">
        <f t="shared" si="440"/>
        <v>0.18799999929655981</v>
      </c>
      <c r="O1173">
        <f t="shared" si="441"/>
        <v>0.15777777777777779</v>
      </c>
      <c r="P1173">
        <f t="shared" si="454"/>
        <v>0.08</v>
      </c>
      <c r="Q1173">
        <f t="shared" si="450"/>
        <v>0.08</v>
      </c>
      <c r="R1173">
        <f t="shared" si="443"/>
        <v>0.08</v>
      </c>
      <c r="S1173">
        <f t="shared" si="444"/>
        <v>0.06</v>
      </c>
      <c r="T1173">
        <f t="shared" si="445"/>
        <v>0.1</v>
      </c>
      <c r="U1173">
        <f t="shared" si="451"/>
        <v>0.08</v>
      </c>
      <c r="V1173">
        <f t="shared" ref="V1173:V1236" si="456">MAX(IF(Y1173,MAX(H1173,$AB$6+$AF$13),MAX(T1173,$AB$6+$AF$13)),O1173,N1173)</f>
        <v>0.18799999929655981</v>
      </c>
      <c r="W1173">
        <f t="shared" si="452"/>
        <v>0.169852578635169</v>
      </c>
      <c r="X1173">
        <f t="shared" si="453"/>
        <v>0.21009775129592556</v>
      </c>
      <c r="Y1173" t="b">
        <f t="shared" si="455"/>
        <v>0</v>
      </c>
    </row>
    <row xmlns:x14ac="http://schemas.microsoft.com/office/spreadsheetml/2009/9/ac" r="1174" x14ac:dyDescent="0.45">
      <c r="A1174">
        <v>5.8349999999998996</v>
      </c>
      <c r="B1174">
        <f t="shared" si="433"/>
        <v>0.16299999999997261</v>
      </c>
      <c r="C1174" t="b">
        <f t="shared" si="446"/>
        <v>1</v>
      </c>
      <c r="D1174" t="b">
        <f t="shared" si="434"/>
        <v>1</v>
      </c>
      <c r="E1174">
        <f t="shared" si="442"/>
        <v>5.8349999999998996</v>
      </c>
      <c r="F1174">
        <f t="shared" si="447"/>
        <v>0.16299999999997261</v>
      </c>
      <c r="G1174">
        <f t="shared" si="435"/>
        <v>0.2100953378078298</v>
      </c>
      <c r="H1174">
        <f t="shared" si="436"/>
        <v>3.499999999998947E-2</v>
      </c>
      <c r="I1174" t="b">
        <f t="shared" si="448"/>
        <v>1</v>
      </c>
      <c r="J1174">
        <f t="shared" si="437"/>
        <v>5.8349999999998996</v>
      </c>
      <c r="K1174">
        <f t="shared" si="449"/>
        <v>3.499999999998947E-2</v>
      </c>
      <c r="L1174">
        <f t="shared" si="438"/>
        <v>0.16985621848163557</v>
      </c>
      <c r="M1174">
        <f t="shared" si="439"/>
        <v>0.18999999999997894</v>
      </c>
      <c r="N1174">
        <f t="shared" si="440"/>
        <v>0.1879999993431698</v>
      </c>
      <c r="O1174">
        <f t="shared" si="441"/>
        <v>0.15777777777777779</v>
      </c>
      <c r="P1174">
        <f t="shared" si="454"/>
        <v>0.08</v>
      </c>
      <c r="Q1174">
        <f t="shared" si="450"/>
        <v>0.08</v>
      </c>
      <c r="R1174">
        <f t="shared" si="443"/>
        <v>0.08</v>
      </c>
      <c r="S1174">
        <f t="shared" si="444"/>
        <v>0.06</v>
      </c>
      <c r="T1174">
        <f t="shared" si="445"/>
        <v>0.1</v>
      </c>
      <c r="U1174">
        <f t="shared" si="451"/>
        <v>0.08</v>
      </c>
      <c r="V1174">
        <f t="shared" si="456"/>
        <v>0.1879999993431698</v>
      </c>
      <c r="W1174">
        <f t="shared" si="452"/>
        <v>0.16985331390229352</v>
      </c>
      <c r="X1174">
        <f t="shared" si="453"/>
        <v>0.21009726375930321</v>
      </c>
      <c r="Y1174" t="b">
        <f t="shared" si="455"/>
        <v>0</v>
      </c>
    </row>
    <row xmlns:x14ac="http://schemas.microsoft.com/office/spreadsheetml/2009/9/ac" r="1175" x14ac:dyDescent="0.45">
      <c r="A1175">
        <v>5.8399999999999004</v>
      </c>
      <c r="B1175">
        <f t="shared" si="433"/>
        <v>0.1629999999999745</v>
      </c>
      <c r="C1175" t="b">
        <f t="shared" si="446"/>
        <v>1</v>
      </c>
      <c r="D1175" t="b">
        <f t="shared" si="434"/>
        <v>1</v>
      </c>
      <c r="E1175">
        <f t="shared" si="442"/>
        <v>5.8399999999999004</v>
      </c>
      <c r="F1175">
        <f t="shared" si="447"/>
        <v>0.1629999999999745</v>
      </c>
      <c r="G1175">
        <f t="shared" si="435"/>
        <v>0.21009486230852953</v>
      </c>
      <c r="H1175">
        <f t="shared" si="436"/>
        <v>3.4999999999990192E-2</v>
      </c>
      <c r="I1175" t="b">
        <f t="shared" si="448"/>
        <v>1</v>
      </c>
      <c r="J1175">
        <f t="shared" si="437"/>
        <v>5.8399999999999004</v>
      </c>
      <c r="K1175">
        <f t="shared" si="449"/>
        <v>3.4999999999990192E-2</v>
      </c>
      <c r="L1175">
        <f t="shared" si="438"/>
        <v>0.16985693559495013</v>
      </c>
      <c r="M1175">
        <f t="shared" si="439"/>
        <v>0.18999999999998038</v>
      </c>
      <c r="N1175">
        <f t="shared" si="440"/>
        <v>0.18799999939124379</v>
      </c>
      <c r="O1175">
        <f t="shared" si="441"/>
        <v>0.15777777777777779</v>
      </c>
      <c r="P1175">
        <f t="shared" si="454"/>
        <v>0.08</v>
      </c>
      <c r="Q1175">
        <f t="shared" si="450"/>
        <v>0.08</v>
      </c>
      <c r="R1175">
        <f t="shared" si="443"/>
        <v>0.08</v>
      </c>
      <c r="S1175">
        <f t="shared" si="444"/>
        <v>0.06</v>
      </c>
      <c r="T1175">
        <f t="shared" si="445"/>
        <v>0.1</v>
      </c>
      <c r="U1175">
        <f t="shared" si="451"/>
        <v>0.08</v>
      </c>
      <c r="V1175">
        <f t="shared" si="456"/>
        <v>0.18799999939124379</v>
      </c>
      <c r="W1175">
        <f t="shared" si="452"/>
        <v>0.16985404550225799</v>
      </c>
      <c r="X1175">
        <f t="shared" si="453"/>
        <v>0.21009677865427989</v>
      </c>
      <c r="Y1175" t="b">
        <f t="shared" si="455"/>
        <v>0</v>
      </c>
    </row>
    <row xmlns:x14ac="http://schemas.microsoft.com/office/spreadsheetml/2009/9/ac" r="1176" x14ac:dyDescent="0.45">
      <c r="A1176">
        <v>5.8449999999999003</v>
      </c>
      <c r="B1176">
        <f t="shared" si="433"/>
        <v>0.16299999999997639</v>
      </c>
      <c r="C1176" t="b">
        <f t="shared" si="446"/>
        <v>1</v>
      </c>
      <c r="D1176" t="b">
        <f t="shared" si="434"/>
        <v>1</v>
      </c>
      <c r="E1176">
        <f t="shared" si="442"/>
        <v>5.8449999999999003</v>
      </c>
      <c r="F1176">
        <f t="shared" si="447"/>
        <v>0.16299999999997639</v>
      </c>
      <c r="G1176">
        <f t="shared" si="435"/>
        <v>0.21009438918079193</v>
      </c>
      <c r="H1176">
        <f t="shared" si="436"/>
        <v>3.4999999999990927E-2</v>
      </c>
      <c r="I1176" t="b">
        <f t="shared" si="448"/>
        <v>1</v>
      </c>
      <c r="J1176">
        <f t="shared" si="437"/>
        <v>5.8449999999999003</v>
      </c>
      <c r="K1176">
        <f t="shared" si="449"/>
        <v>3.4999999999990927E-2</v>
      </c>
      <c r="L1176">
        <f t="shared" si="438"/>
        <v>0.16985764913164711</v>
      </c>
      <c r="M1176">
        <f t="shared" si="439"/>
        <v>0.18999999999998185</v>
      </c>
      <c r="N1176">
        <f t="shared" si="440"/>
        <v>0.18799999944052109</v>
      </c>
      <c r="O1176">
        <f t="shared" si="441"/>
        <v>0.15777777777777779</v>
      </c>
      <c r="P1176">
        <f t="shared" si="454"/>
        <v>0.08</v>
      </c>
      <c r="Q1176">
        <f t="shared" si="450"/>
        <v>0.08</v>
      </c>
      <c r="R1176">
        <f t="shared" si="443"/>
        <v>0.08</v>
      </c>
      <c r="S1176">
        <f t="shared" si="444"/>
        <v>0.06</v>
      </c>
      <c r="T1176">
        <f t="shared" si="445"/>
        <v>0.1</v>
      </c>
      <c r="U1176">
        <f t="shared" si="451"/>
        <v>0.08</v>
      </c>
      <c r="V1176">
        <f t="shared" si="456"/>
        <v>0.18799999944052109</v>
      </c>
      <c r="W1176">
        <f t="shared" si="452"/>
        <v>0.1698547734533524</v>
      </c>
      <c r="X1176">
        <f t="shared" si="453"/>
        <v>0.21009629596872792</v>
      </c>
      <c r="Y1176" t="b">
        <f t="shared" si="455"/>
        <v>0</v>
      </c>
    </row>
    <row xmlns:x14ac="http://schemas.microsoft.com/office/spreadsheetml/2009/9/ac" r="1177" x14ac:dyDescent="0.45">
      <c r="A1177">
        <v>5.8499999999999002</v>
      </c>
      <c r="B1177">
        <f t="shared" si="433"/>
        <v>0.16299999999997836</v>
      </c>
      <c r="C1177" t="b">
        <f t="shared" si="446"/>
        <v>1</v>
      </c>
      <c r="D1177" t="b">
        <f t="shared" si="434"/>
        <v>1</v>
      </c>
      <c r="E1177">
        <f t="shared" si="442"/>
        <v>5.8499999999999002</v>
      </c>
      <c r="F1177">
        <f t="shared" si="447"/>
        <v>0.16299999999997836</v>
      </c>
      <c r="G1177">
        <f t="shared" si="435"/>
        <v>0.21009391841278874</v>
      </c>
      <c r="H1177">
        <f t="shared" si="436"/>
        <v>3.4999999999991677E-2</v>
      </c>
      <c r="I1177" t="b">
        <f t="shared" si="448"/>
        <v>1</v>
      </c>
      <c r="J1177">
        <f t="shared" si="437"/>
        <v>5.8499999999999002</v>
      </c>
      <c r="K1177">
        <f t="shared" si="449"/>
        <v>3.4999999999991677E-2</v>
      </c>
      <c r="L1177">
        <f t="shared" si="438"/>
        <v>0.16985835910956495</v>
      </c>
      <c r="M1177">
        <f t="shared" si="439"/>
        <v>0.18999999999998335</v>
      </c>
      <c r="N1177">
        <f t="shared" si="440"/>
        <v>0.18799999949074386</v>
      </c>
      <c r="O1177">
        <f t="shared" si="441"/>
        <v>0.15777777777777779</v>
      </c>
      <c r="P1177">
        <f t="shared" si="454"/>
        <v>0.08</v>
      </c>
      <c r="Q1177">
        <f t="shared" si="450"/>
        <v>0.08</v>
      </c>
      <c r="R1177">
        <f t="shared" si="443"/>
        <v>0.08</v>
      </c>
      <c r="S1177">
        <f t="shared" si="444"/>
        <v>0.06</v>
      </c>
      <c r="T1177">
        <f t="shared" si="445"/>
        <v>0.1</v>
      </c>
      <c r="U1177">
        <f t="shared" si="451"/>
        <v>0.08</v>
      </c>
      <c r="V1177">
        <f t="shared" si="456"/>
        <v>0.18799999949074386</v>
      </c>
      <c r="W1177">
        <f t="shared" si="452"/>
        <v>0.16985549777377557</v>
      </c>
      <c r="X1177">
        <f t="shared" si="453"/>
        <v>0.21009581569058028</v>
      </c>
      <c r="Y1177" t="b">
        <f t="shared" si="455"/>
        <v>0</v>
      </c>
    </row>
    <row xmlns:x14ac="http://schemas.microsoft.com/office/spreadsheetml/2009/9/ac" r="1178" x14ac:dyDescent="0.45">
      <c r="A1178">
        <v>5.8549999999999001</v>
      </c>
      <c r="B1178">
        <f t="shared" si="433"/>
        <v>0.16299999999998027</v>
      </c>
      <c r="C1178" t="b">
        <f t="shared" si="446"/>
        <v>1</v>
      </c>
      <c r="D1178" t="b">
        <f t="shared" si="434"/>
        <v>1</v>
      </c>
      <c r="E1178">
        <f t="shared" si="442"/>
        <v>5.8549999999999001</v>
      </c>
      <c r="F1178">
        <f t="shared" si="447"/>
        <v>0.16299999999998027</v>
      </c>
      <c r="G1178">
        <f t="shared" si="435"/>
        <v>0.21009344999275076</v>
      </c>
      <c r="H1178">
        <f t="shared" si="436"/>
        <v>3.4999999999992412E-2</v>
      </c>
      <c r="I1178" t="b">
        <f t="shared" si="448"/>
        <v>1</v>
      </c>
      <c r="J1178">
        <f t="shared" si="437"/>
        <v>5.8549999999999001</v>
      </c>
      <c r="K1178">
        <f t="shared" si="449"/>
        <v>3.4999999999992412E-2</v>
      </c>
      <c r="L1178">
        <f t="shared" si="438"/>
        <v>0.16985906554645316</v>
      </c>
      <c r="M1178">
        <f t="shared" si="439"/>
        <v>0.18999999999998485</v>
      </c>
      <c r="N1178">
        <f t="shared" si="440"/>
        <v>0.18799999954165811</v>
      </c>
      <c r="O1178">
        <f t="shared" si="441"/>
        <v>0.15777777777777779</v>
      </c>
      <c r="P1178">
        <f t="shared" si="454"/>
        <v>0.08</v>
      </c>
      <c r="Q1178">
        <f t="shared" si="450"/>
        <v>0.08</v>
      </c>
      <c r="R1178">
        <f t="shared" si="443"/>
        <v>0.08</v>
      </c>
      <c r="S1178">
        <f t="shared" si="444"/>
        <v>0.06</v>
      </c>
      <c r="T1178">
        <f t="shared" si="445"/>
        <v>0.1</v>
      </c>
      <c r="U1178">
        <f t="shared" si="451"/>
        <v>0.08</v>
      </c>
      <c r="V1178">
        <f t="shared" si="456"/>
        <v>0.18799999954165811</v>
      </c>
      <c r="W1178">
        <f t="shared" si="452"/>
        <v>0.16985621848163557</v>
      </c>
      <c r="X1178">
        <f t="shared" si="453"/>
        <v>0.2100953378078298</v>
      </c>
      <c r="Y1178" t="b">
        <f t="shared" si="455"/>
        <v>0</v>
      </c>
    </row>
    <row xmlns:x14ac="http://schemas.microsoft.com/office/spreadsheetml/2009/9/ac" r="1179" x14ac:dyDescent="0.45">
      <c r="A1179">
        <v>5.8599999999999</v>
      </c>
      <c r="B1179">
        <f t="shared" si="433"/>
        <v>0.16299999999998221</v>
      </c>
      <c r="C1179" t="b">
        <f t="shared" si="446"/>
        <v>1</v>
      </c>
      <c r="D1179" t="b">
        <f t="shared" si="434"/>
        <v>1</v>
      </c>
      <c r="E1179">
        <f t="shared" si="442"/>
        <v>5.8599999999999</v>
      </c>
      <c r="F1179">
        <f t="shared" si="447"/>
        <v>0.16299999999998221</v>
      </c>
      <c r="G1179">
        <f t="shared" si="435"/>
        <v>0.21009298390896747</v>
      </c>
      <c r="H1179">
        <f t="shared" si="436"/>
        <v>3.4999999999993162E-2</v>
      </c>
      <c r="I1179" t="b">
        <f t="shared" si="448"/>
        <v>1</v>
      </c>
      <c r="J1179">
        <f t="shared" si="437"/>
        <v>5.8599999999999</v>
      </c>
      <c r="K1179">
        <f t="shared" si="449"/>
        <v>3.4999999999993162E-2</v>
      </c>
      <c r="L1179">
        <f t="shared" si="438"/>
        <v>0.16985976845997269</v>
      </c>
      <c r="M1179">
        <f t="shared" si="439"/>
        <v>0.18999999999998635</v>
      </c>
      <c r="N1179">
        <f t="shared" si="440"/>
        <v>0.1879999995930148</v>
      </c>
      <c r="O1179">
        <f t="shared" si="441"/>
        <v>0.15777777777777779</v>
      </c>
      <c r="P1179">
        <f t="shared" si="454"/>
        <v>0.08</v>
      </c>
      <c r="Q1179">
        <f t="shared" si="450"/>
        <v>0.08</v>
      </c>
      <c r="R1179">
        <f t="shared" si="443"/>
        <v>0.08</v>
      </c>
      <c r="S1179">
        <f t="shared" si="444"/>
        <v>0.06</v>
      </c>
      <c r="T1179">
        <f t="shared" si="445"/>
        <v>0.1</v>
      </c>
      <c r="U1179">
        <f t="shared" si="451"/>
        <v>0.08</v>
      </c>
      <c r="V1179">
        <f t="shared" si="456"/>
        <v>0.1879999995930148</v>
      </c>
      <c r="W1179">
        <f t="shared" si="452"/>
        <v>0.16985693559495013</v>
      </c>
      <c r="X1179">
        <f t="shared" si="453"/>
        <v>0.21009486230852953</v>
      </c>
      <c r="Y1179" t="b">
        <f t="shared" si="455"/>
        <v>0</v>
      </c>
    </row>
    <row xmlns:x14ac="http://schemas.microsoft.com/office/spreadsheetml/2009/9/ac" r="1180" x14ac:dyDescent="0.45">
      <c r="A1180">
        <v>5.8649999999998998</v>
      </c>
      <c r="B1180">
        <f t="shared" si="433"/>
        <v>0.16299999999998416</v>
      </c>
      <c r="C1180" t="b">
        <f t="shared" si="446"/>
        <v>1</v>
      </c>
      <c r="D1180" t="b">
        <f t="shared" si="434"/>
        <v>1</v>
      </c>
      <c r="E1180">
        <f t="shared" si="442"/>
        <v>5.8649999999998998</v>
      </c>
      <c r="F1180">
        <f t="shared" si="447"/>
        <v>0.16299999999998416</v>
      </c>
      <c r="G1180">
        <f t="shared" si="435"/>
        <v>0.21009252014978674</v>
      </c>
      <c r="H1180">
        <f t="shared" si="436"/>
        <v>3.4999999999993911E-2</v>
      </c>
      <c r="I1180" t="b">
        <f t="shared" si="448"/>
        <v>1</v>
      </c>
      <c r="J1180">
        <f t="shared" si="437"/>
        <v>5.8649999999998998</v>
      </c>
      <c r="K1180">
        <f t="shared" si="449"/>
        <v>3.4999999999993911E-2</v>
      </c>
      <c r="L1180">
        <f t="shared" si="438"/>
        <v>0.16986046786769643</v>
      </c>
      <c r="M1180">
        <f t="shared" si="439"/>
        <v>0.18999999999998782</v>
      </c>
      <c r="N1180">
        <f t="shared" si="440"/>
        <v>0.18799999964457081</v>
      </c>
      <c r="O1180">
        <f t="shared" si="441"/>
        <v>0.15777777777777779</v>
      </c>
      <c r="P1180">
        <f t="shared" si="454"/>
        <v>0.08</v>
      </c>
      <c r="Q1180">
        <f t="shared" si="450"/>
        <v>0.08</v>
      </c>
      <c r="R1180">
        <f t="shared" si="443"/>
        <v>0.08</v>
      </c>
      <c r="S1180">
        <f t="shared" si="444"/>
        <v>0.06</v>
      </c>
      <c r="T1180">
        <f t="shared" si="445"/>
        <v>0.1</v>
      </c>
      <c r="U1180">
        <f t="shared" si="451"/>
        <v>0.08</v>
      </c>
      <c r="V1180">
        <f t="shared" si="456"/>
        <v>0.18799999964457081</v>
      </c>
      <c r="W1180">
        <f t="shared" si="452"/>
        <v>0.16985764913164711</v>
      </c>
      <c r="X1180">
        <f t="shared" si="453"/>
        <v>0.21009438918079193</v>
      </c>
      <c r="Y1180" t="b">
        <f t="shared" si="455"/>
        <v>0</v>
      </c>
    </row>
    <row xmlns:x14ac="http://schemas.microsoft.com/office/spreadsheetml/2009/9/ac" r="1181" x14ac:dyDescent="0.45">
      <c r="A1181">
        <v>5.8699999999998997</v>
      </c>
      <c r="B1181">
        <f t="shared" si="433"/>
        <v>0.16299999999998607</v>
      </c>
      <c r="C1181" t="b">
        <f t="shared" si="446"/>
        <v>1</v>
      </c>
      <c r="D1181" t="b">
        <f t="shared" si="434"/>
        <v>1</v>
      </c>
      <c r="E1181">
        <f t="shared" si="442"/>
        <v>5.8699999999998997</v>
      </c>
      <c r="F1181">
        <f t="shared" si="447"/>
        <v>0.16299999999998607</v>
      </c>
      <c r="G1181">
        <f t="shared" si="435"/>
        <v>0.21009205870361458</v>
      </c>
      <c r="H1181">
        <f t="shared" si="436"/>
        <v>3.4999999999994647E-2</v>
      </c>
      <c r="I1181" t="b">
        <f t="shared" si="448"/>
        <v>1</v>
      </c>
      <c r="J1181">
        <f t="shared" si="437"/>
        <v>5.8699999999998997</v>
      </c>
      <c r="K1181">
        <f t="shared" si="449"/>
        <v>3.4999999999994647E-2</v>
      </c>
      <c r="L1181">
        <f t="shared" si="438"/>
        <v>0.16986116378710958</v>
      </c>
      <c r="M1181">
        <f t="shared" si="439"/>
        <v>0.18999999999998929</v>
      </c>
      <c r="N1181">
        <f t="shared" si="440"/>
        <v>0.18799999969608966</v>
      </c>
      <c r="O1181">
        <f t="shared" si="441"/>
        <v>0.15777777777777779</v>
      </c>
      <c r="P1181">
        <f t="shared" si="454"/>
        <v>0.08</v>
      </c>
      <c r="Q1181">
        <f t="shared" si="450"/>
        <v>0.08</v>
      </c>
      <c r="R1181">
        <f t="shared" si="443"/>
        <v>0.08</v>
      </c>
      <c r="S1181">
        <f t="shared" si="444"/>
        <v>0.06</v>
      </c>
      <c r="T1181">
        <f t="shared" si="445"/>
        <v>0.1</v>
      </c>
      <c r="U1181">
        <f t="shared" si="451"/>
        <v>0.08</v>
      </c>
      <c r="V1181">
        <f t="shared" si="456"/>
        <v>0.18799999969608966</v>
      </c>
      <c r="W1181">
        <f t="shared" si="452"/>
        <v>0.16985835910956495</v>
      </c>
      <c r="X1181">
        <f t="shared" si="453"/>
        <v>0.21009391841278874</v>
      </c>
      <c r="Y1181" t="b">
        <f t="shared" si="455"/>
        <v>0</v>
      </c>
    </row>
    <row xmlns:x14ac="http://schemas.microsoft.com/office/spreadsheetml/2009/9/ac" r="1182" x14ac:dyDescent="0.45">
      <c r="A1182">
        <v>5.8749999999998996</v>
      </c>
      <c r="B1182">
        <f t="shared" si="433"/>
        <v>0.16299999999998793</v>
      </c>
      <c r="C1182" t="b">
        <f t="shared" si="446"/>
        <v>1</v>
      </c>
      <c r="D1182" t="b">
        <f t="shared" si="434"/>
        <v>1</v>
      </c>
      <c r="E1182">
        <f t="shared" si="442"/>
        <v>5.8749999999998996</v>
      </c>
      <c r="F1182">
        <f t="shared" si="447"/>
        <v>0.16299999999998793</v>
      </c>
      <c r="G1182">
        <f t="shared" si="435"/>
        <v>0.21009159955891482</v>
      </c>
      <c r="H1182">
        <f t="shared" si="436"/>
        <v>3.4999999999995368E-2</v>
      </c>
      <c r="I1182" t="b">
        <f t="shared" si="448"/>
        <v>1</v>
      </c>
      <c r="J1182">
        <f t="shared" si="437"/>
        <v>5.8749999999998996</v>
      </c>
      <c r="K1182">
        <f t="shared" si="449"/>
        <v>3.4999999999995368E-2</v>
      </c>
      <c r="L1182">
        <f t="shared" si="438"/>
        <v>0.16986185623561018</v>
      </c>
      <c r="M1182">
        <f t="shared" si="439"/>
        <v>0.18999999999999073</v>
      </c>
      <c r="N1182">
        <f t="shared" si="440"/>
        <v>0.18799999974734255</v>
      </c>
      <c r="O1182">
        <f t="shared" si="441"/>
        <v>0.15777777777777779</v>
      </c>
      <c r="P1182">
        <f t="shared" si="454"/>
        <v>0.08</v>
      </c>
      <c r="Q1182">
        <f t="shared" si="450"/>
        <v>0.08</v>
      </c>
      <c r="R1182">
        <f t="shared" si="443"/>
        <v>0.08</v>
      </c>
      <c r="S1182">
        <f t="shared" si="444"/>
        <v>0.06</v>
      </c>
      <c r="T1182">
        <f t="shared" si="445"/>
        <v>0.1</v>
      </c>
      <c r="U1182">
        <f t="shared" si="451"/>
        <v>0.08</v>
      </c>
      <c r="V1182">
        <f t="shared" si="456"/>
        <v>0.18799999974734255</v>
      </c>
      <c r="W1182">
        <f t="shared" si="452"/>
        <v>0.16985906554645316</v>
      </c>
      <c r="X1182">
        <f t="shared" si="453"/>
        <v>0.21009344999275076</v>
      </c>
      <c r="Y1182" t="b">
        <f t="shared" si="455"/>
        <v>0</v>
      </c>
    </row>
    <row xmlns:x14ac="http://schemas.microsoft.com/office/spreadsheetml/2009/9/ac" r="1183" x14ac:dyDescent="0.45">
      <c r="A1183">
        <v>5.8799999999999004</v>
      </c>
      <c r="B1183">
        <f t="shared" si="433"/>
        <v>0.16299999999998982</v>
      </c>
      <c r="C1183" t="b">
        <f t="shared" si="446"/>
        <v>1</v>
      </c>
      <c r="D1183" t="b">
        <f t="shared" si="434"/>
        <v>1</v>
      </c>
      <c r="E1183">
        <f t="shared" si="442"/>
        <v>5.8799999999999004</v>
      </c>
      <c r="F1183">
        <f t="shared" si="447"/>
        <v>0.16299999999998982</v>
      </c>
      <c r="G1183">
        <f t="shared" si="435"/>
        <v>0.21009114270420881</v>
      </c>
      <c r="H1183">
        <f t="shared" si="436"/>
        <v>3.499999999999609E-2</v>
      </c>
      <c r="I1183" t="b">
        <f t="shared" si="448"/>
        <v>1</v>
      </c>
      <c r="J1183">
        <f t="shared" si="437"/>
        <v>5.8799999999999004</v>
      </c>
      <c r="K1183">
        <f t="shared" si="449"/>
        <v>3.499999999999609E-2</v>
      </c>
      <c r="L1183">
        <f t="shared" si="438"/>
        <v>0.16986254523050948</v>
      </c>
      <c r="M1183">
        <f t="shared" si="439"/>
        <v>0.18999999999999218</v>
      </c>
      <c r="N1183">
        <f t="shared" si="440"/>
        <v>0.18799999979810914</v>
      </c>
      <c r="O1183">
        <f t="shared" si="441"/>
        <v>0.15777777777777779</v>
      </c>
      <c r="P1183">
        <f t="shared" si="454"/>
        <v>0.08</v>
      </c>
      <c r="Q1183">
        <f t="shared" si="450"/>
        <v>0.08</v>
      </c>
      <c r="R1183">
        <f t="shared" si="443"/>
        <v>0.08</v>
      </c>
      <c r="S1183">
        <f t="shared" si="444"/>
        <v>0.06</v>
      </c>
      <c r="T1183">
        <f t="shared" si="445"/>
        <v>0.1</v>
      </c>
      <c r="U1183">
        <f t="shared" si="451"/>
        <v>0.08</v>
      </c>
      <c r="V1183">
        <f t="shared" si="456"/>
        <v>0.18799999979810914</v>
      </c>
      <c r="W1183">
        <f t="shared" si="452"/>
        <v>0.16985976845997269</v>
      </c>
      <c r="X1183">
        <f t="shared" si="453"/>
        <v>0.21009298390896747</v>
      </c>
      <c r="Y1183" t="b">
        <f t="shared" si="455"/>
        <v>0</v>
      </c>
    </row>
    <row xmlns:x14ac="http://schemas.microsoft.com/office/spreadsheetml/2009/9/ac" r="1184" x14ac:dyDescent="0.45">
      <c r="A1184">
        <v>5.8849999999999003</v>
      </c>
      <c r="B1184">
        <f t="shared" si="433"/>
        <v>0.1629999999999916</v>
      </c>
      <c r="C1184" t="b">
        <f t="shared" si="446"/>
        <v>1</v>
      </c>
      <c r="D1184" t="b">
        <f t="shared" si="434"/>
        <v>1</v>
      </c>
      <c r="E1184">
        <f t="shared" si="442"/>
        <v>5.8849999999999003</v>
      </c>
      <c r="F1184">
        <f t="shared" si="447"/>
        <v>0.1629999999999916</v>
      </c>
      <c r="G1184">
        <f t="shared" si="435"/>
        <v>0.21009068812807513</v>
      </c>
      <c r="H1184">
        <f t="shared" si="436"/>
        <v>3.499999999999677E-2</v>
      </c>
      <c r="I1184" t="b">
        <f t="shared" si="448"/>
        <v>1</v>
      </c>
      <c r="J1184">
        <f t="shared" si="437"/>
        <v>5.8849999999999003</v>
      </c>
      <c r="K1184">
        <f t="shared" si="449"/>
        <v>3.499999999999677E-2</v>
      </c>
      <c r="L1184">
        <f t="shared" si="438"/>
        <v>0.16986323078903237</v>
      </c>
      <c r="M1184">
        <f t="shared" si="439"/>
        <v>0.18999999999999356</v>
      </c>
      <c r="N1184">
        <f t="shared" si="440"/>
        <v>0.18799999984817811</v>
      </c>
      <c r="O1184">
        <f t="shared" si="441"/>
        <v>0.15777777777777779</v>
      </c>
      <c r="P1184">
        <f t="shared" si="454"/>
        <v>0.08</v>
      </c>
      <c r="Q1184">
        <f t="shared" si="450"/>
        <v>0.08</v>
      </c>
      <c r="R1184">
        <f t="shared" si="443"/>
        <v>0.08</v>
      </c>
      <c r="S1184">
        <f t="shared" si="444"/>
        <v>0.06</v>
      </c>
      <c r="T1184">
        <f t="shared" si="445"/>
        <v>0.1</v>
      </c>
      <c r="U1184">
        <f t="shared" si="451"/>
        <v>0.08</v>
      </c>
      <c r="V1184">
        <f t="shared" si="456"/>
        <v>0.18799999984817811</v>
      </c>
      <c r="W1184">
        <f t="shared" si="452"/>
        <v>0.16986046786769643</v>
      </c>
      <c r="X1184">
        <f t="shared" si="453"/>
        <v>0.21009252014978674</v>
      </c>
      <c r="Y1184" t="b">
        <f t="shared" si="455"/>
        <v>0</v>
      </c>
    </row>
    <row xmlns:x14ac="http://schemas.microsoft.com/office/spreadsheetml/2009/9/ac" r="1185" x14ac:dyDescent="0.45">
      <c r="A1185">
        <v>5.8899999999999002</v>
      </c>
      <c r="B1185">
        <f t="shared" si="433"/>
        <v>0.1629999999999934</v>
      </c>
      <c r="C1185" t="b">
        <f t="shared" si="446"/>
        <v>1</v>
      </c>
      <c r="D1185" t="b">
        <f t="shared" si="434"/>
        <v>1</v>
      </c>
      <c r="E1185">
        <f t="shared" si="442"/>
        <v>5.8899999999999002</v>
      </c>
      <c r="F1185">
        <f t="shared" si="447"/>
        <v>0.1629999999999934</v>
      </c>
      <c r="G1185">
        <f t="shared" si="435"/>
        <v>0.21009023581914937</v>
      </c>
      <c r="H1185">
        <f t="shared" si="436"/>
        <v>3.4999999999997464E-2</v>
      </c>
      <c r="I1185" t="b">
        <f t="shared" si="448"/>
        <v>1</v>
      </c>
      <c r="J1185">
        <f t="shared" si="437"/>
        <v>5.8899999999999002</v>
      </c>
      <c r="K1185">
        <f t="shared" si="449"/>
        <v>3.4999999999997464E-2</v>
      </c>
      <c r="L1185">
        <f t="shared" si="438"/>
        <v>0.16986391292831787</v>
      </c>
      <c r="M1185">
        <f t="shared" si="439"/>
        <v>0.18999999999999492</v>
      </c>
      <c r="N1185">
        <f t="shared" si="440"/>
        <v>0.18799999989734789</v>
      </c>
      <c r="O1185">
        <f t="shared" si="441"/>
        <v>0.15777777777777779</v>
      </c>
      <c r="P1185">
        <f t="shared" si="454"/>
        <v>0.08</v>
      </c>
      <c r="Q1185">
        <f t="shared" si="450"/>
        <v>0.08</v>
      </c>
      <c r="R1185">
        <f t="shared" si="443"/>
        <v>0.08</v>
      </c>
      <c r="S1185">
        <f t="shared" si="444"/>
        <v>0.06</v>
      </c>
      <c r="T1185">
        <f t="shared" si="445"/>
        <v>0.1</v>
      </c>
      <c r="U1185">
        <f t="shared" si="451"/>
        <v>0.08</v>
      </c>
      <c r="V1185">
        <f t="shared" si="456"/>
        <v>0.18799999989734789</v>
      </c>
      <c r="W1185">
        <f t="shared" si="452"/>
        <v>0.16986116378710958</v>
      </c>
      <c r="X1185">
        <f t="shared" si="453"/>
        <v>0.21009205870361458</v>
      </c>
      <c r="Y1185" t="b">
        <f t="shared" si="455"/>
        <v>0</v>
      </c>
    </row>
    <row xmlns:x14ac="http://schemas.microsoft.com/office/spreadsheetml/2009/9/ac" r="1186" x14ac:dyDescent="0.45">
      <c r="A1186">
        <v>5.8949999999999001</v>
      </c>
      <c r="B1186">
        <f t="shared" si="433"/>
        <v>0.16299999999999509</v>
      </c>
      <c r="C1186" t="b">
        <f t="shared" si="446"/>
        <v>1</v>
      </c>
      <c r="D1186" t="b">
        <f t="shared" si="434"/>
        <v>1</v>
      </c>
      <c r="E1186">
        <f t="shared" si="442"/>
        <v>5.8949999999999001</v>
      </c>
      <c r="F1186">
        <f t="shared" si="447"/>
        <v>0.16299999999999509</v>
      </c>
      <c r="G1186">
        <f t="shared" si="435"/>
        <v>0.2100897857661238</v>
      </c>
      <c r="H1186">
        <f t="shared" si="436"/>
        <v>3.4999999999998116E-2</v>
      </c>
      <c r="I1186" t="b">
        <f t="shared" si="448"/>
        <v>1</v>
      </c>
      <c r="J1186">
        <f t="shared" si="437"/>
        <v>5.8949999999999001</v>
      </c>
      <c r="K1186">
        <f t="shared" si="449"/>
        <v>3.4999999999998116E-2</v>
      </c>
      <c r="L1186">
        <f t="shared" si="438"/>
        <v>0.16986459166541951</v>
      </c>
      <c r="M1186">
        <f t="shared" si="439"/>
        <v>0.18999999999999623</v>
      </c>
      <c r="N1186">
        <f t="shared" si="440"/>
        <v>0.1879999999454274</v>
      </c>
      <c r="O1186">
        <f t="shared" si="441"/>
        <v>0.15777777777777779</v>
      </c>
      <c r="P1186">
        <f t="shared" si="454"/>
        <v>0.08</v>
      </c>
      <c r="Q1186">
        <f t="shared" si="450"/>
        <v>0.08</v>
      </c>
      <c r="R1186">
        <f t="shared" si="443"/>
        <v>0.08</v>
      </c>
      <c r="S1186">
        <f t="shared" si="444"/>
        <v>0.06</v>
      </c>
      <c r="T1186">
        <f t="shared" si="445"/>
        <v>0.1</v>
      </c>
      <c r="U1186">
        <f t="shared" si="451"/>
        <v>0.08</v>
      </c>
      <c r="V1186">
        <f t="shared" si="456"/>
        <v>0.1879999999454274</v>
      </c>
      <c r="W1186">
        <f t="shared" si="452"/>
        <v>0.16986185623561018</v>
      </c>
      <c r="X1186">
        <f t="shared" si="453"/>
        <v>0.21009159955891482</v>
      </c>
      <c r="Y1186" t="b">
        <f t="shared" si="455"/>
        <v>0</v>
      </c>
    </row>
    <row xmlns:x14ac="http://schemas.microsoft.com/office/spreadsheetml/2009/9/ac" r="1187" x14ac:dyDescent="0.45">
      <c r="A1187">
        <v>5.8999999999999</v>
      </c>
      <c r="B1187">
        <f t="shared" si="433"/>
        <v>0.16299999999999673</v>
      </c>
      <c r="C1187" t="b">
        <f t="shared" si="446"/>
        <v>1</v>
      </c>
      <c r="D1187" t="b">
        <f t="shared" si="434"/>
        <v>1</v>
      </c>
      <c r="E1187">
        <f t="shared" si="442"/>
        <v>5.8999999999999</v>
      </c>
      <c r="F1187">
        <f t="shared" si="447"/>
        <v>0.16299999999999673</v>
      </c>
      <c r="G1187">
        <f t="shared" si="435"/>
        <v>0.21008933795774704</v>
      </c>
      <c r="H1187">
        <f t="shared" si="436"/>
        <v>3.499999999999874E-2</v>
      </c>
      <c r="I1187" t="b">
        <f t="shared" si="448"/>
        <v>1</v>
      </c>
      <c r="J1187">
        <f t="shared" si="437"/>
        <v>5.8999999999999</v>
      </c>
      <c r="K1187">
        <f t="shared" si="449"/>
        <v>3.499999999999874E-2</v>
      </c>
      <c r="L1187">
        <f t="shared" si="438"/>
        <v>0.1698652670173057</v>
      </c>
      <c r="M1187">
        <f t="shared" si="439"/>
        <v>0.1899999999999975</v>
      </c>
      <c r="N1187">
        <f t="shared" si="440"/>
        <v>0.18799999999223632</v>
      </c>
      <c r="O1187">
        <f t="shared" si="441"/>
        <v>0.15777777777777779</v>
      </c>
      <c r="P1187">
        <f t="shared" si="454"/>
        <v>0.08</v>
      </c>
      <c r="Q1187">
        <f t="shared" si="450"/>
        <v>0.08</v>
      </c>
      <c r="R1187">
        <f t="shared" si="443"/>
        <v>0.08</v>
      </c>
      <c r="S1187">
        <f t="shared" si="444"/>
        <v>0.06</v>
      </c>
      <c r="T1187">
        <f t="shared" si="445"/>
        <v>0.1</v>
      </c>
      <c r="U1187">
        <f t="shared" si="451"/>
        <v>0.08</v>
      </c>
      <c r="V1187">
        <f t="shared" si="456"/>
        <v>0.18799999999223632</v>
      </c>
      <c r="W1187">
        <f t="shared" si="452"/>
        <v>0.16986254523050948</v>
      </c>
      <c r="X1187">
        <f t="shared" si="453"/>
        <v>0.21009114270420881</v>
      </c>
      <c r="Y1187" t="b">
        <f t="shared" si="455"/>
        <v>0</v>
      </c>
    </row>
    <row xmlns:x14ac="http://schemas.microsoft.com/office/spreadsheetml/2009/9/ac" r="1188" x14ac:dyDescent="0.45">
      <c r="A1188">
        <v>5.9049999999998999</v>
      </c>
      <c r="B1188">
        <f t="shared" si="433"/>
        <v>0.16299999999999831</v>
      </c>
      <c r="C1188" t="b">
        <f t="shared" si="446"/>
        <v>1</v>
      </c>
      <c r="D1188" t="b">
        <f t="shared" si="434"/>
        <v>1</v>
      </c>
      <c r="E1188">
        <f t="shared" si="442"/>
        <v>5.9049999999998999</v>
      </c>
      <c r="F1188">
        <f t="shared" si="447"/>
        <v>0.16299999999999831</v>
      </c>
      <c r="G1188">
        <f t="shared" si="435"/>
        <v>0.21008889238282391</v>
      </c>
      <c r="H1188">
        <f t="shared" si="436"/>
        <v>3.4999999999999351E-2</v>
      </c>
      <c r="I1188" t="b">
        <f t="shared" si="448"/>
        <v>1</v>
      </c>
      <c r="J1188">
        <f t="shared" si="437"/>
        <v>5.9049999999998999</v>
      </c>
      <c r="K1188">
        <f t="shared" si="449"/>
        <v>3.4999999999999351E-2</v>
      </c>
      <c r="L1188">
        <f t="shared" si="438"/>
        <v>0.16986593900086033</v>
      </c>
      <c r="M1188">
        <f t="shared" si="439"/>
        <v>0.18999999999999873</v>
      </c>
      <c r="N1188">
        <f t="shared" si="440"/>
        <v>0.1880000000376057</v>
      </c>
      <c r="O1188">
        <f t="shared" si="441"/>
        <v>0.15777777777777779</v>
      </c>
      <c r="P1188">
        <f t="shared" si="454"/>
        <v>0.08</v>
      </c>
      <c r="Q1188">
        <f t="shared" si="450"/>
        <v>0.08</v>
      </c>
      <c r="R1188">
        <f t="shared" si="443"/>
        <v>0.08</v>
      </c>
      <c r="S1188">
        <f t="shared" si="444"/>
        <v>0.06</v>
      </c>
      <c r="T1188">
        <f t="shared" si="445"/>
        <v>0.1</v>
      </c>
      <c r="U1188">
        <f t="shared" si="451"/>
        <v>0.08</v>
      </c>
      <c r="V1188">
        <f t="shared" si="456"/>
        <v>0.1880000000376057</v>
      </c>
      <c r="W1188">
        <f t="shared" si="452"/>
        <v>0.16986323078903237</v>
      </c>
      <c r="X1188">
        <f t="shared" si="453"/>
        <v>0.21009068812807513</v>
      </c>
      <c r="Y1188" t="b">
        <f t="shared" si="455"/>
        <v>0</v>
      </c>
    </row>
    <row xmlns:x14ac="http://schemas.microsoft.com/office/spreadsheetml/2009/9/ac" r="1189" x14ac:dyDescent="0.45">
      <c r="A1189">
        <v>5.9099999999998998</v>
      </c>
      <c r="B1189">
        <f t="shared" si="433"/>
        <v>0.16299999999999984</v>
      </c>
      <c r="C1189" t="b">
        <f t="shared" si="446"/>
        <v>1</v>
      </c>
      <c r="D1189" t="b">
        <f t="shared" si="434"/>
        <v>1</v>
      </c>
      <c r="E1189">
        <f t="shared" si="442"/>
        <v>5.9099999999998998</v>
      </c>
      <c r="F1189">
        <f t="shared" si="447"/>
        <v>0.16299999999999984</v>
      </c>
      <c r="G1189">
        <f t="shared" si="435"/>
        <v>0.21008844903021495</v>
      </c>
      <c r="H1189">
        <f t="shared" si="436"/>
        <v>3.4999999999999934E-2</v>
      </c>
      <c r="I1189" t="b">
        <f t="shared" si="448"/>
        <v>1</v>
      </c>
      <c r="J1189">
        <f t="shared" si="437"/>
        <v>5.9099999999998998</v>
      </c>
      <c r="K1189">
        <f t="shared" si="449"/>
        <v>3.4999999999999934E-2</v>
      </c>
      <c r="L1189">
        <f t="shared" si="438"/>
        <v>0.16986660763288297</v>
      </c>
      <c r="M1189">
        <f t="shared" si="439"/>
        <v>0.18999999999999989</v>
      </c>
      <c r="N1189">
        <f t="shared" si="440"/>
        <v>0.1880000000813784</v>
      </c>
      <c r="O1189">
        <f t="shared" si="441"/>
        <v>0.15777777777777779</v>
      </c>
      <c r="P1189">
        <f t="shared" si="454"/>
        <v>0.08</v>
      </c>
      <c r="Q1189">
        <f t="shared" si="450"/>
        <v>0.08</v>
      </c>
      <c r="R1189">
        <f t="shared" si="443"/>
        <v>0.08</v>
      </c>
      <c r="S1189">
        <f t="shared" si="444"/>
        <v>0.06</v>
      </c>
      <c r="T1189">
        <f t="shared" si="445"/>
        <v>0.1</v>
      </c>
      <c r="U1189">
        <f t="shared" si="451"/>
        <v>0.08</v>
      </c>
      <c r="V1189">
        <f t="shared" si="456"/>
        <v>0.1880000000813784</v>
      </c>
      <c r="W1189">
        <f t="shared" si="452"/>
        <v>0.16986391292831787</v>
      </c>
      <c r="X1189">
        <f t="shared" si="453"/>
        <v>0.21009023581914937</v>
      </c>
      <c r="Y1189" t="b">
        <f t="shared" si="455"/>
        <v>0</v>
      </c>
    </row>
    <row xmlns:x14ac="http://schemas.microsoft.com/office/spreadsheetml/2009/9/ac" r="1190" x14ac:dyDescent="0.45">
      <c r="A1190">
        <v>5.9149999999998997</v>
      </c>
      <c r="B1190">
        <f t="shared" si="433"/>
        <v>0.16300000000000128</v>
      </c>
      <c r="C1190" t="b">
        <f t="shared" si="446"/>
        <v>1</v>
      </c>
      <c r="D1190" t="b">
        <f t="shared" si="434"/>
        <v>1</v>
      </c>
      <c r="E1190">
        <f t="shared" si="442"/>
        <v>5.9149999999998997</v>
      </c>
      <c r="F1190">
        <f t="shared" si="447"/>
        <v>0.16300000000000128</v>
      </c>
      <c r="G1190">
        <f t="shared" si="435"/>
        <v>0.21008800788883636</v>
      </c>
      <c r="H1190">
        <f t="shared" si="436"/>
        <v>3.5000000000000489E-2</v>
      </c>
      <c r="I1190" t="b">
        <f t="shared" si="448"/>
        <v>1</v>
      </c>
      <c r="J1190">
        <f t="shared" si="437"/>
        <v>5.9149999999998997</v>
      </c>
      <c r="K1190">
        <f t="shared" si="449"/>
        <v>3.5000000000000489E-2</v>
      </c>
      <c r="L1190">
        <f t="shared" si="438"/>
        <v>0.16986727293008952</v>
      </c>
      <c r="M1190">
        <f t="shared" si="439"/>
        <v>0.190000000000001</v>
      </c>
      <c r="N1190">
        <f t="shared" si="440"/>
        <v>0.18800000012340928</v>
      </c>
      <c r="O1190">
        <f t="shared" si="441"/>
        <v>0.15777777777777779</v>
      </c>
      <c r="P1190">
        <f t="shared" si="454"/>
        <v>0.08</v>
      </c>
      <c r="Q1190">
        <f t="shared" si="450"/>
        <v>0.08</v>
      </c>
      <c r="R1190">
        <f t="shared" si="443"/>
        <v>0.08</v>
      </c>
      <c r="S1190">
        <f t="shared" si="444"/>
        <v>0.06</v>
      </c>
      <c r="T1190">
        <f t="shared" si="445"/>
        <v>0.1</v>
      </c>
      <c r="U1190">
        <f t="shared" si="451"/>
        <v>0.08</v>
      </c>
      <c r="V1190">
        <f t="shared" si="456"/>
        <v>0.18800000012340928</v>
      </c>
      <c r="W1190">
        <f t="shared" si="452"/>
        <v>0.16986459166541951</v>
      </c>
      <c r="X1190">
        <f t="shared" si="453"/>
        <v>0.2100897857661238</v>
      </c>
      <c r="Y1190" t="b">
        <f t="shared" si="455"/>
        <v>0</v>
      </c>
    </row>
    <row xmlns:x14ac="http://schemas.microsoft.com/office/spreadsheetml/2009/9/ac" r="1191" x14ac:dyDescent="0.45">
      <c r="A1191">
        <v>5.9199999999998996</v>
      </c>
      <c r="B1191">
        <f t="shared" si="433"/>
        <v>0.16300000000000264</v>
      </c>
      <c r="C1191" t="b">
        <f t="shared" si="446"/>
        <v>1</v>
      </c>
      <c r="D1191" t="b">
        <f t="shared" si="434"/>
        <v>1</v>
      </c>
      <c r="E1191">
        <f t="shared" si="442"/>
        <v>5.9199999999998996</v>
      </c>
      <c r="F1191">
        <f t="shared" si="447"/>
        <v>0.16300000000000264</v>
      </c>
      <c r="G1191">
        <f t="shared" si="435"/>
        <v>0.21008756894765956</v>
      </c>
      <c r="H1191">
        <f t="shared" si="436"/>
        <v>3.5000000000001016E-2</v>
      </c>
      <c r="I1191" t="b">
        <f t="shared" si="448"/>
        <v>1</v>
      </c>
      <c r="J1191">
        <f t="shared" si="437"/>
        <v>5.9199999999998996</v>
      </c>
      <c r="K1191">
        <f t="shared" si="449"/>
        <v>3.5000000000001016E-2</v>
      </c>
      <c r="L1191">
        <f t="shared" si="438"/>
        <v>0.16986793490911239</v>
      </c>
      <c r="M1191">
        <f t="shared" si="439"/>
        <v>0.19000000000000206</v>
      </c>
      <c r="N1191">
        <f t="shared" si="440"/>
        <v>0.18800000016356561</v>
      </c>
      <c r="O1191">
        <f t="shared" si="441"/>
        <v>0.15777777777777779</v>
      </c>
      <c r="P1191">
        <f t="shared" si="454"/>
        <v>0.08</v>
      </c>
      <c r="Q1191">
        <f t="shared" si="450"/>
        <v>0.08</v>
      </c>
      <c r="R1191">
        <f t="shared" si="443"/>
        <v>0.08</v>
      </c>
      <c r="S1191">
        <f t="shared" si="444"/>
        <v>0.06</v>
      </c>
      <c r="T1191">
        <f t="shared" si="445"/>
        <v>0.1</v>
      </c>
      <c r="U1191">
        <f t="shared" si="451"/>
        <v>0.08</v>
      </c>
      <c r="V1191">
        <f t="shared" si="456"/>
        <v>0.18800000016356561</v>
      </c>
      <c r="W1191">
        <f t="shared" si="452"/>
        <v>0.1698652670173057</v>
      </c>
      <c r="X1191">
        <f t="shared" si="453"/>
        <v>0.21008933795774704</v>
      </c>
      <c r="Y1191" t="b">
        <f t="shared" si="455"/>
        <v>0</v>
      </c>
    </row>
    <row xmlns:x14ac="http://schemas.microsoft.com/office/spreadsheetml/2009/9/ac" r="1192" x14ac:dyDescent="0.45">
      <c r="A1192">
        <v>5.9249999999999003</v>
      </c>
      <c r="B1192">
        <f t="shared" si="433"/>
        <v>0.16300000000000392</v>
      </c>
      <c r="C1192" t="b">
        <f t="shared" si="446"/>
        <v>1</v>
      </c>
      <c r="D1192" t="b">
        <f t="shared" si="434"/>
        <v>1</v>
      </c>
      <c r="E1192">
        <f t="shared" si="442"/>
        <v>5.9249999999999003</v>
      </c>
      <c r="F1192">
        <f t="shared" si="447"/>
        <v>0.16300000000000392</v>
      </c>
      <c r="G1192">
        <f t="shared" si="435"/>
        <v>0.21008713219571107</v>
      </c>
      <c r="H1192">
        <f t="shared" si="436"/>
        <v>3.5000000000001516E-2</v>
      </c>
      <c r="I1192" t="b">
        <f t="shared" si="448"/>
        <v>1</v>
      </c>
      <c r="J1192">
        <f t="shared" si="437"/>
        <v>5.9249999999999003</v>
      </c>
      <c r="K1192">
        <f t="shared" si="449"/>
        <v>3.5000000000001516E-2</v>
      </c>
      <c r="L1192">
        <f t="shared" si="438"/>
        <v>0.16986859358650111</v>
      </c>
      <c r="M1192">
        <f t="shared" si="439"/>
        <v>0.19000000000000303</v>
      </c>
      <c r="N1192">
        <f t="shared" si="440"/>
        <v>0.18800000020172714</v>
      </c>
      <c r="O1192">
        <f t="shared" si="441"/>
        <v>0.15777777777777779</v>
      </c>
      <c r="P1192">
        <f t="shared" si="454"/>
        <v>0.08</v>
      </c>
      <c r="Q1192">
        <f t="shared" si="450"/>
        <v>0.08</v>
      </c>
      <c r="R1192">
        <f t="shared" si="443"/>
        <v>0.08</v>
      </c>
      <c r="S1192">
        <f t="shared" si="444"/>
        <v>0.06</v>
      </c>
      <c r="T1192">
        <f t="shared" si="445"/>
        <v>0.1</v>
      </c>
      <c r="U1192">
        <f t="shared" si="451"/>
        <v>0.08</v>
      </c>
      <c r="V1192">
        <f t="shared" si="456"/>
        <v>0.18800000020172714</v>
      </c>
      <c r="W1192">
        <f t="shared" si="452"/>
        <v>0.16986593900086033</v>
      </c>
      <c r="X1192">
        <f t="shared" si="453"/>
        <v>0.21008889238282391</v>
      </c>
      <c r="Y1192" t="b">
        <f t="shared" si="455"/>
        <v>0</v>
      </c>
    </row>
    <row xmlns:x14ac="http://schemas.microsoft.com/office/spreadsheetml/2009/9/ac" r="1193" x14ac:dyDescent="0.45">
      <c r="A1193">
        <v>5.9299999999999002</v>
      </c>
      <c r="B1193">
        <f t="shared" si="433"/>
        <v>0.16300000000000514</v>
      </c>
      <c r="C1193" t="b">
        <f t="shared" si="446"/>
        <v>1</v>
      </c>
      <c r="D1193" t="b">
        <f t="shared" si="434"/>
        <v>1</v>
      </c>
      <c r="E1193">
        <f t="shared" si="442"/>
        <v>5.9299999999999002</v>
      </c>
      <c r="F1193">
        <f t="shared" si="447"/>
        <v>0.16300000000000514</v>
      </c>
      <c r="G1193">
        <f t="shared" si="435"/>
        <v>0.21008669762207199</v>
      </c>
      <c r="H1193">
        <f t="shared" si="436"/>
        <v>3.5000000000001974E-2</v>
      </c>
      <c r="I1193" t="b">
        <f t="shared" si="448"/>
        <v>1</v>
      </c>
      <c r="J1193">
        <f t="shared" si="437"/>
        <v>5.9299999999999002</v>
      </c>
      <c r="K1193">
        <f t="shared" si="449"/>
        <v>3.5000000000001974E-2</v>
      </c>
      <c r="L1193">
        <f t="shared" si="438"/>
        <v>0.16986924897872263</v>
      </c>
      <c r="M1193">
        <f t="shared" si="439"/>
        <v>0.19000000000000394</v>
      </c>
      <c r="N1193">
        <f t="shared" si="440"/>
        <v>0.1880000002377864</v>
      </c>
      <c r="O1193">
        <f t="shared" si="441"/>
        <v>0.15777777777777779</v>
      </c>
      <c r="P1193">
        <f t="shared" si="454"/>
        <v>0.08</v>
      </c>
      <c r="Q1193">
        <f t="shared" si="450"/>
        <v>0.08</v>
      </c>
      <c r="R1193">
        <f t="shared" si="443"/>
        <v>0.08</v>
      </c>
      <c r="S1193">
        <f t="shared" si="444"/>
        <v>0.06</v>
      </c>
      <c r="T1193">
        <f t="shared" si="445"/>
        <v>0.1</v>
      </c>
      <c r="U1193">
        <f t="shared" si="451"/>
        <v>0.08</v>
      </c>
      <c r="V1193">
        <f t="shared" si="456"/>
        <v>0.1880000002377864</v>
      </c>
      <c r="W1193">
        <f t="shared" si="452"/>
        <v>0.16986660763288297</v>
      </c>
      <c r="X1193">
        <f t="shared" si="453"/>
        <v>0.21008844903021495</v>
      </c>
      <c r="Y1193" t="b">
        <f t="shared" si="455"/>
        <v>0</v>
      </c>
    </row>
    <row xmlns:x14ac="http://schemas.microsoft.com/office/spreadsheetml/2009/9/ac" r="1194" x14ac:dyDescent="0.45">
      <c r="A1194">
        <v>5.9349999999999001</v>
      </c>
      <c r="B1194">
        <f t="shared" si="433"/>
        <v>0.16300000000000625</v>
      </c>
      <c r="C1194" t="b">
        <f t="shared" si="446"/>
        <v>1</v>
      </c>
      <c r="D1194" t="b">
        <f t="shared" si="434"/>
        <v>1</v>
      </c>
      <c r="E1194">
        <f t="shared" si="442"/>
        <v>5.9349999999999001</v>
      </c>
      <c r="F1194">
        <f t="shared" si="447"/>
        <v>0.16300000000000625</v>
      </c>
      <c r="G1194">
        <f t="shared" si="435"/>
        <v>0.21008626521587792</v>
      </c>
      <c r="H1194">
        <f t="shared" si="436"/>
        <v>3.5000000000002404E-2</v>
      </c>
      <c r="I1194" t="b">
        <f t="shared" si="448"/>
        <v>1</v>
      </c>
      <c r="J1194">
        <f t="shared" si="437"/>
        <v>5.9349999999999001</v>
      </c>
      <c r="K1194">
        <f t="shared" si="449"/>
        <v>3.5000000000002404E-2</v>
      </c>
      <c r="L1194">
        <f t="shared" si="438"/>
        <v>0.16986990110216185</v>
      </c>
      <c r="M1194">
        <f t="shared" si="439"/>
        <v>0.1900000000000048</v>
      </c>
      <c r="N1194">
        <f t="shared" si="440"/>
        <v>0.18800000027164862</v>
      </c>
      <c r="O1194">
        <f t="shared" si="441"/>
        <v>0.15777777777777779</v>
      </c>
      <c r="P1194">
        <f t="shared" si="454"/>
        <v>0.08</v>
      </c>
      <c r="Q1194">
        <f t="shared" si="450"/>
        <v>0.08</v>
      </c>
      <c r="R1194">
        <f t="shared" si="443"/>
        <v>0.08</v>
      </c>
      <c r="S1194">
        <f t="shared" si="444"/>
        <v>0.06</v>
      </c>
      <c r="T1194">
        <f t="shared" si="445"/>
        <v>0.1</v>
      </c>
      <c r="U1194">
        <f t="shared" si="451"/>
        <v>0.08</v>
      </c>
      <c r="V1194">
        <f t="shared" si="456"/>
        <v>0.18800000027164862</v>
      </c>
      <c r="W1194">
        <f t="shared" si="452"/>
        <v>0.16986727293008952</v>
      </c>
      <c r="X1194">
        <f t="shared" si="453"/>
        <v>0.21008800788883636</v>
      </c>
      <c r="Y1194" t="b">
        <f t="shared" si="455"/>
        <v>0</v>
      </c>
    </row>
    <row xmlns:x14ac="http://schemas.microsoft.com/office/spreadsheetml/2009/9/ac" r="1195" x14ac:dyDescent="0.45">
      <c r="A1195">
        <v>5.9399999999999</v>
      </c>
      <c r="B1195">
        <f t="shared" si="433"/>
        <v>0.16300000000000728</v>
      </c>
      <c r="C1195" t="b">
        <f t="shared" si="446"/>
        <v>1</v>
      </c>
      <c r="D1195" t="b">
        <f t="shared" si="434"/>
        <v>1</v>
      </c>
      <c r="E1195">
        <f t="shared" si="442"/>
        <v>5.9399999999999</v>
      </c>
      <c r="F1195">
        <f t="shared" si="447"/>
        <v>0.16300000000000728</v>
      </c>
      <c r="G1195">
        <f t="shared" si="435"/>
        <v>0.21008583496631877</v>
      </c>
      <c r="H1195">
        <f t="shared" si="436"/>
        <v>3.5000000000002807E-2</v>
      </c>
      <c r="I1195" t="b">
        <f t="shared" si="448"/>
        <v>1</v>
      </c>
      <c r="J1195">
        <f t="shared" si="437"/>
        <v>5.9399999999999</v>
      </c>
      <c r="K1195">
        <f t="shared" si="449"/>
        <v>3.5000000000002807E-2</v>
      </c>
      <c r="L1195">
        <f t="shared" si="438"/>
        <v>0.16987054997312184</v>
      </c>
      <c r="M1195">
        <f t="shared" si="439"/>
        <v>0.19000000000000561</v>
      </c>
      <c r="N1195">
        <f t="shared" si="440"/>
        <v>0.18800000030323183</v>
      </c>
      <c r="O1195">
        <f t="shared" si="441"/>
        <v>0.15777777777777779</v>
      </c>
      <c r="P1195">
        <f t="shared" si="454"/>
        <v>0.08</v>
      </c>
      <c r="Q1195">
        <f t="shared" si="450"/>
        <v>0.08</v>
      </c>
      <c r="R1195">
        <f t="shared" si="443"/>
        <v>0.08</v>
      </c>
      <c r="S1195">
        <f t="shared" si="444"/>
        <v>0.06</v>
      </c>
      <c r="T1195">
        <f t="shared" si="445"/>
        <v>0.1</v>
      </c>
      <c r="U1195">
        <f t="shared" si="451"/>
        <v>0.08</v>
      </c>
      <c r="V1195">
        <f t="shared" si="456"/>
        <v>0.18800000030323183</v>
      </c>
      <c r="W1195">
        <f t="shared" si="452"/>
        <v>0.16986793490911239</v>
      </c>
      <c r="X1195">
        <f t="shared" si="453"/>
        <v>0.21008756894765956</v>
      </c>
      <c r="Y1195" t="b">
        <f t="shared" si="455"/>
        <v>0</v>
      </c>
    </row>
    <row xmlns:x14ac="http://schemas.microsoft.com/office/spreadsheetml/2009/9/ac" r="1196" x14ac:dyDescent="0.45">
      <c r="A1196">
        <v>5.9449999999998999</v>
      </c>
      <c r="B1196">
        <f t="shared" si="433"/>
        <v>0.16300000000000825</v>
      </c>
      <c r="C1196" t="b">
        <f t="shared" si="446"/>
        <v>1</v>
      </c>
      <c r="D1196" t="b">
        <f t="shared" si="434"/>
        <v>1</v>
      </c>
      <c r="E1196">
        <f t="shared" si="442"/>
        <v>5.9449999999998999</v>
      </c>
      <c r="F1196">
        <f t="shared" si="447"/>
        <v>0.16300000000000825</v>
      </c>
      <c r="G1196">
        <f t="shared" si="435"/>
        <v>0.21008540686263827</v>
      </c>
      <c r="H1196">
        <f t="shared" si="436"/>
        <v>3.5000000000003167E-2</v>
      </c>
      <c r="I1196" t="b">
        <f t="shared" si="448"/>
        <v>1</v>
      </c>
      <c r="J1196">
        <f t="shared" si="437"/>
        <v>5.9449999999998999</v>
      </c>
      <c r="K1196">
        <f t="shared" si="449"/>
        <v>3.5000000000003167E-2</v>
      </c>
      <c r="L1196">
        <f t="shared" si="438"/>
        <v>0.16987119560782438</v>
      </c>
      <c r="M1196">
        <f t="shared" si="439"/>
        <v>0.19000000000000633</v>
      </c>
      <c r="N1196">
        <f t="shared" si="440"/>
        <v>0.18800000033246683</v>
      </c>
      <c r="O1196">
        <f t="shared" si="441"/>
        <v>0.15777777777777779</v>
      </c>
      <c r="P1196">
        <f t="shared" si="454"/>
        <v>0.08</v>
      </c>
      <c r="Q1196">
        <f t="shared" si="450"/>
        <v>0.08</v>
      </c>
      <c r="R1196">
        <f t="shared" si="443"/>
        <v>0.08</v>
      </c>
      <c r="S1196">
        <f t="shared" si="444"/>
        <v>0.06</v>
      </c>
      <c r="T1196">
        <f t="shared" si="445"/>
        <v>0.1</v>
      </c>
      <c r="U1196">
        <f t="shared" si="451"/>
        <v>0.08</v>
      </c>
      <c r="V1196">
        <f t="shared" si="456"/>
        <v>0.18800000033246683</v>
      </c>
      <c r="W1196">
        <f t="shared" si="452"/>
        <v>0.16986859358650111</v>
      </c>
      <c r="X1196">
        <f t="shared" si="453"/>
        <v>0.21008713219571107</v>
      </c>
      <c r="Y1196" t="b">
        <f t="shared" si="455"/>
        <v>0</v>
      </c>
    </row>
    <row xmlns:x14ac="http://schemas.microsoft.com/office/spreadsheetml/2009/9/ac" r="1197" x14ac:dyDescent="0.45">
      <c r="A1197">
        <v>5.9499999999998998</v>
      </c>
      <c r="B1197">
        <f t="shared" si="433"/>
        <v>0.16300000000000911</v>
      </c>
      <c r="C1197" t="b">
        <f t="shared" si="446"/>
        <v>1</v>
      </c>
      <c r="D1197" t="b">
        <f t="shared" si="434"/>
        <v>1</v>
      </c>
      <c r="E1197">
        <f t="shared" si="442"/>
        <v>5.9499999999998998</v>
      </c>
      <c r="F1197">
        <f t="shared" si="447"/>
        <v>0.16300000000000911</v>
      </c>
      <c r="G1197">
        <f t="shared" si="435"/>
        <v>0.2100849808941338</v>
      </c>
      <c r="H1197">
        <f t="shared" si="436"/>
        <v>3.5000000000003501E-2</v>
      </c>
      <c r="I1197" t="b">
        <f t="shared" si="448"/>
        <v>1</v>
      </c>
      <c r="J1197">
        <f t="shared" si="437"/>
        <v>5.9499999999998998</v>
      </c>
      <c r="K1197">
        <f t="shared" si="449"/>
        <v>3.5000000000003501E-2</v>
      </c>
      <c r="L1197">
        <f t="shared" si="438"/>
        <v>0.16987183802241046</v>
      </c>
      <c r="M1197">
        <f t="shared" si="439"/>
        <v>0.190000000000007</v>
      </c>
      <c r="N1197">
        <f t="shared" si="440"/>
        <v>0.18800000035929706</v>
      </c>
      <c r="O1197">
        <f t="shared" si="441"/>
        <v>0.15777777777777779</v>
      </c>
      <c r="P1197">
        <f t="shared" si="454"/>
        <v>0.08</v>
      </c>
      <c r="Q1197">
        <f t="shared" si="450"/>
        <v>0.08</v>
      </c>
      <c r="R1197">
        <f t="shared" si="443"/>
        <v>0.08</v>
      </c>
      <c r="S1197">
        <f t="shared" si="444"/>
        <v>0.06</v>
      </c>
      <c r="T1197">
        <f t="shared" si="445"/>
        <v>0.1</v>
      </c>
      <c r="U1197">
        <f t="shared" si="451"/>
        <v>0.08</v>
      </c>
      <c r="V1197">
        <f t="shared" si="456"/>
        <v>0.18800000035929706</v>
      </c>
      <c r="W1197">
        <f t="shared" si="452"/>
        <v>0.16986924897872263</v>
      </c>
      <c r="X1197">
        <f t="shared" si="453"/>
        <v>0.21008669762207199</v>
      </c>
      <c r="Y1197" t="b">
        <f t="shared" si="455"/>
        <v>0</v>
      </c>
    </row>
    <row xmlns:x14ac="http://schemas.microsoft.com/office/spreadsheetml/2009/9/ac" r="1198" x14ac:dyDescent="0.45">
      <c r="A1198">
        <v>5.9549999999998997</v>
      </c>
      <c r="B1198">
        <f t="shared" si="433"/>
        <v>0.16300000000000989</v>
      </c>
      <c r="C1198" t="b">
        <f t="shared" si="446"/>
        <v>1</v>
      </c>
      <c r="D1198" t="b">
        <f t="shared" si="434"/>
        <v>1</v>
      </c>
      <c r="E1198">
        <f t="shared" si="442"/>
        <v>5.9549999999998997</v>
      </c>
      <c r="F1198">
        <f t="shared" si="447"/>
        <v>0.16300000000000989</v>
      </c>
      <c r="G1198">
        <f t="shared" si="435"/>
        <v>0.21008455705015605</v>
      </c>
      <c r="H1198">
        <f t="shared" si="436"/>
        <v>3.5000000000003806E-2</v>
      </c>
      <c r="I1198" t="b">
        <f t="shared" si="448"/>
        <v>1</v>
      </c>
      <c r="J1198">
        <f t="shared" si="437"/>
        <v>5.9549999999998997</v>
      </c>
      <c r="K1198">
        <f t="shared" si="449"/>
        <v>3.5000000000003806E-2</v>
      </c>
      <c r="L1198">
        <f t="shared" si="438"/>
        <v>0.16987247723294036</v>
      </c>
      <c r="M1198">
        <f t="shared" si="439"/>
        <v>0.19000000000000761</v>
      </c>
      <c r="N1198">
        <f t="shared" si="440"/>
        <v>0.18800000038367853</v>
      </c>
      <c r="O1198">
        <f t="shared" si="441"/>
        <v>0.15777777777777779</v>
      </c>
      <c r="P1198">
        <f t="shared" si="454"/>
        <v>0.08</v>
      </c>
      <c r="Q1198">
        <f t="shared" si="450"/>
        <v>0.08</v>
      </c>
      <c r="R1198">
        <f t="shared" si="443"/>
        <v>0.08</v>
      </c>
      <c r="S1198">
        <f t="shared" si="444"/>
        <v>0.06</v>
      </c>
      <c r="T1198">
        <f t="shared" si="445"/>
        <v>0.1</v>
      </c>
      <c r="U1198">
        <f t="shared" si="451"/>
        <v>0.08</v>
      </c>
      <c r="V1198">
        <f t="shared" si="456"/>
        <v>0.18800000038367853</v>
      </c>
      <c r="W1198">
        <f t="shared" si="452"/>
        <v>0.16986990110216185</v>
      </c>
      <c r="X1198">
        <f t="shared" si="453"/>
        <v>0.21008626521587792</v>
      </c>
      <c r="Y1198" t="b">
        <f t="shared" si="455"/>
        <v>0</v>
      </c>
    </row>
    <row xmlns:x14ac="http://schemas.microsoft.com/office/spreadsheetml/2009/9/ac" r="1199" x14ac:dyDescent="0.45">
      <c r="A1199">
        <v>5.9599999999998996</v>
      </c>
      <c r="B1199">
        <f t="shared" si="433"/>
        <v>0.16300000000001058</v>
      </c>
      <c r="C1199" t="b">
        <f t="shared" si="446"/>
        <v>1</v>
      </c>
      <c r="D1199" t="b">
        <f t="shared" si="434"/>
        <v>1</v>
      </c>
      <c r="E1199">
        <f t="shared" si="442"/>
        <v>5.9599999999998996</v>
      </c>
      <c r="F1199">
        <f t="shared" si="447"/>
        <v>0.16300000000001058</v>
      </c>
      <c r="G1199">
        <f t="shared" si="435"/>
        <v>0.210084135320109</v>
      </c>
      <c r="H1199">
        <f t="shared" si="436"/>
        <v>3.500000000000407E-2</v>
      </c>
      <c r="I1199" t="b">
        <f t="shared" si="448"/>
        <v>1</v>
      </c>
      <c r="J1199">
        <f t="shared" si="437"/>
        <v>5.9599999999998996</v>
      </c>
      <c r="K1199">
        <f t="shared" si="449"/>
        <v>3.500000000000407E-2</v>
      </c>
      <c r="L1199">
        <f t="shared" si="438"/>
        <v>0.1698731132553945</v>
      </c>
      <c r="M1199">
        <f t="shared" si="439"/>
        <v>0.19000000000000816</v>
      </c>
      <c r="N1199">
        <f t="shared" si="440"/>
        <v>0.18800000040557951</v>
      </c>
      <c r="O1199">
        <f t="shared" si="441"/>
        <v>0.15777777777777779</v>
      </c>
      <c r="P1199">
        <f t="shared" si="454"/>
        <v>0.08</v>
      </c>
      <c r="Q1199">
        <f t="shared" si="450"/>
        <v>0.08</v>
      </c>
      <c r="R1199">
        <f t="shared" si="443"/>
        <v>0.08</v>
      </c>
      <c r="S1199">
        <f t="shared" si="444"/>
        <v>0.06</v>
      </c>
      <c r="T1199">
        <f t="shared" si="445"/>
        <v>0.1</v>
      </c>
      <c r="U1199">
        <f t="shared" si="451"/>
        <v>0.08</v>
      </c>
      <c r="V1199">
        <f t="shared" si="456"/>
        <v>0.18800000040557951</v>
      </c>
      <c r="W1199">
        <f t="shared" si="452"/>
        <v>0.16987054997312184</v>
      </c>
      <c r="X1199">
        <f t="shared" si="453"/>
        <v>0.21008583496631877</v>
      </c>
      <c r="Y1199" t="b">
        <f t="shared" si="455"/>
        <v>0</v>
      </c>
    </row>
    <row xmlns:x14ac="http://schemas.microsoft.com/office/spreadsheetml/2009/9/ac" r="1200" x14ac:dyDescent="0.45">
      <c r="A1200">
        <v>5.9649999999999004</v>
      </c>
      <c r="B1200">
        <f t="shared" si="433"/>
        <v>0.16300000000001119</v>
      </c>
      <c r="C1200" t="b">
        <f t="shared" si="446"/>
        <v>1</v>
      </c>
      <c r="D1200" t="b">
        <f t="shared" si="434"/>
        <v>1</v>
      </c>
      <c r="E1200">
        <f t="shared" si="442"/>
        <v>5.9649999999999004</v>
      </c>
      <c r="F1200">
        <f t="shared" si="447"/>
        <v>0.16300000000001119</v>
      </c>
      <c r="G1200">
        <f t="shared" si="435"/>
        <v>0.21008371569344936</v>
      </c>
      <c r="H1200">
        <f t="shared" si="436"/>
        <v>3.5000000000004305E-2</v>
      </c>
      <c r="I1200" t="b">
        <f t="shared" si="448"/>
        <v>1</v>
      </c>
      <c r="J1200">
        <f t="shared" si="437"/>
        <v>5.9649999999999004</v>
      </c>
      <c r="K1200">
        <f t="shared" si="449"/>
        <v>3.5000000000004305E-2</v>
      </c>
      <c r="L1200">
        <f t="shared" si="438"/>
        <v>0.16987374610567338</v>
      </c>
      <c r="M1200">
        <f t="shared" si="439"/>
        <v>0.19000000000000861</v>
      </c>
      <c r="N1200">
        <f t="shared" si="440"/>
        <v>0.18800000042498033</v>
      </c>
      <c r="O1200">
        <f t="shared" si="441"/>
        <v>0.15777777777777779</v>
      </c>
      <c r="P1200">
        <f t="shared" si="454"/>
        <v>0.08</v>
      </c>
      <c r="Q1200">
        <f t="shared" si="450"/>
        <v>0.08</v>
      </c>
      <c r="R1200">
        <f t="shared" si="443"/>
        <v>0.08</v>
      </c>
      <c r="S1200">
        <f t="shared" si="444"/>
        <v>0.06</v>
      </c>
      <c r="T1200">
        <f t="shared" si="445"/>
        <v>0.1</v>
      </c>
      <c r="U1200">
        <f t="shared" si="451"/>
        <v>0.08</v>
      </c>
      <c r="V1200">
        <f t="shared" si="456"/>
        <v>0.18800000042498033</v>
      </c>
      <c r="W1200">
        <f t="shared" si="452"/>
        <v>0.16987119560782438</v>
      </c>
      <c r="X1200">
        <f t="shared" si="453"/>
        <v>0.21008540686263827</v>
      </c>
      <c r="Y1200" t="b">
        <f t="shared" si="455"/>
        <v>0</v>
      </c>
    </row>
    <row xmlns:x14ac="http://schemas.microsoft.com/office/spreadsheetml/2009/9/ac" r="1201" x14ac:dyDescent="0.45">
      <c r="A1201">
        <v>5.9699999999999003</v>
      </c>
      <c r="B1201">
        <f t="shared" si="433"/>
        <v>0.16300000000001169</v>
      </c>
      <c r="C1201" t="b">
        <f t="shared" si="446"/>
        <v>1</v>
      </c>
      <c r="D1201" t="b">
        <f t="shared" si="434"/>
        <v>1</v>
      </c>
      <c r="E1201">
        <f t="shared" si="442"/>
        <v>5.9699999999999003</v>
      </c>
      <c r="F1201">
        <f t="shared" si="447"/>
        <v>0.16300000000001169</v>
      </c>
      <c r="G1201">
        <f t="shared" si="435"/>
        <v>0.21008329815968635</v>
      </c>
      <c r="H1201">
        <f t="shared" si="436"/>
        <v>3.50000000000045E-2</v>
      </c>
      <c r="I1201" t="b">
        <f t="shared" si="448"/>
        <v>1</v>
      </c>
      <c r="J1201">
        <f t="shared" si="437"/>
        <v>5.9699999999999003</v>
      </c>
      <c r="K1201">
        <f t="shared" si="449"/>
        <v>3.50000000000045E-2</v>
      </c>
      <c r="L1201">
        <f t="shared" si="438"/>
        <v>0.16987437579959835</v>
      </c>
      <c r="M1201">
        <f t="shared" si="439"/>
        <v>0.190000000000009</v>
      </c>
      <c r="N1201">
        <f t="shared" si="440"/>
        <v>0.18800000044187315</v>
      </c>
      <c r="O1201">
        <f t="shared" si="441"/>
        <v>0.15777777777777779</v>
      </c>
      <c r="P1201">
        <f t="shared" si="454"/>
        <v>0.08</v>
      </c>
      <c r="Q1201">
        <f t="shared" si="450"/>
        <v>0.08</v>
      </c>
      <c r="R1201">
        <f t="shared" si="443"/>
        <v>0.08</v>
      </c>
      <c r="S1201">
        <f t="shared" si="444"/>
        <v>0.06</v>
      </c>
      <c r="T1201">
        <f t="shared" si="445"/>
        <v>0.1</v>
      </c>
      <c r="U1201">
        <f t="shared" si="451"/>
        <v>0.08</v>
      </c>
      <c r="V1201">
        <f t="shared" si="456"/>
        <v>0.18800000044187315</v>
      </c>
      <c r="W1201">
        <f t="shared" si="452"/>
        <v>0.16987183802241046</v>
      </c>
      <c r="X1201">
        <f t="shared" si="453"/>
        <v>0.2100849808941338</v>
      </c>
      <c r="Y1201" t="b">
        <f t="shared" si="455"/>
        <v>0</v>
      </c>
    </row>
    <row xmlns:x14ac="http://schemas.microsoft.com/office/spreadsheetml/2009/9/ac" r="1202" x14ac:dyDescent="0.45">
      <c r="A1202">
        <v>5.9749999999999002</v>
      </c>
      <c r="B1202">
        <f t="shared" si="433"/>
        <v>0.16300000000001216</v>
      </c>
      <c r="C1202" t="b">
        <f t="shared" si="446"/>
        <v>1</v>
      </c>
      <c r="D1202" t="b">
        <f t="shared" si="434"/>
        <v>1</v>
      </c>
      <c r="E1202">
        <f t="shared" si="442"/>
        <v>5.9749999999999002</v>
      </c>
      <c r="F1202">
        <f t="shared" si="447"/>
        <v>0.16300000000001216</v>
      </c>
      <c r="G1202">
        <f t="shared" si="435"/>
        <v>0.21008288270838171</v>
      </c>
      <c r="H1202">
        <f t="shared" si="436"/>
        <v>3.500000000000468E-2</v>
      </c>
      <c r="I1202" t="b">
        <f t="shared" si="448"/>
        <v>1</v>
      </c>
      <c r="J1202">
        <f t="shared" si="437"/>
        <v>5.9749999999999002</v>
      </c>
      <c r="K1202">
        <f t="shared" si="449"/>
        <v>3.500000000000468E-2</v>
      </c>
      <c r="L1202">
        <f t="shared" si="438"/>
        <v>0.16987500235291175</v>
      </c>
      <c r="M1202">
        <f t="shared" si="439"/>
        <v>0.19000000000000936</v>
      </c>
      <c r="N1202">
        <f t="shared" si="440"/>
        <v>0.18800000045626158</v>
      </c>
      <c r="O1202">
        <f t="shared" si="441"/>
        <v>0.15777777777777779</v>
      </c>
      <c r="P1202">
        <f t="shared" si="454"/>
        <v>0.08</v>
      </c>
      <c r="Q1202">
        <f t="shared" si="450"/>
        <v>0.08</v>
      </c>
      <c r="R1202">
        <f t="shared" si="443"/>
        <v>0.08</v>
      </c>
      <c r="S1202">
        <f t="shared" si="444"/>
        <v>0.06</v>
      </c>
      <c r="T1202">
        <f t="shared" si="445"/>
        <v>0.1</v>
      </c>
      <c r="U1202">
        <f t="shared" si="451"/>
        <v>0.08</v>
      </c>
      <c r="V1202">
        <f t="shared" si="456"/>
        <v>0.18800000045626158</v>
      </c>
      <c r="W1202">
        <f t="shared" si="452"/>
        <v>0.16987247723294036</v>
      </c>
      <c r="X1202">
        <f t="shared" si="453"/>
        <v>0.21008455705015605</v>
      </c>
      <c r="Y1202" t="b">
        <f t="shared" si="455"/>
        <v>0</v>
      </c>
    </row>
    <row xmlns:x14ac="http://schemas.microsoft.com/office/spreadsheetml/2009/9/ac" r="1203" x14ac:dyDescent="0.45">
      <c r="A1203">
        <v>5.9799999999999001</v>
      </c>
      <c r="B1203">
        <f t="shared" si="433"/>
        <v>0.16300000000001252</v>
      </c>
      <c r="C1203" t="b">
        <f t="shared" si="446"/>
        <v>1</v>
      </c>
      <c r="D1203" t="b">
        <f t="shared" si="434"/>
        <v>1</v>
      </c>
      <c r="E1203">
        <f t="shared" si="442"/>
        <v>5.9799999999999001</v>
      </c>
      <c r="F1203">
        <f t="shared" si="447"/>
        <v>0.16300000000001252</v>
      </c>
      <c r="G1203">
        <f t="shared" si="435"/>
        <v>0.21008246932914909</v>
      </c>
      <c r="H1203">
        <f t="shared" si="436"/>
        <v>3.5000000000004819E-2</v>
      </c>
      <c r="I1203" t="b">
        <f t="shared" si="448"/>
        <v>1</v>
      </c>
      <c r="J1203">
        <f t="shared" si="437"/>
        <v>5.9799999999999001</v>
      </c>
      <c r="K1203">
        <f t="shared" si="449"/>
        <v>3.5000000000004819E-2</v>
      </c>
      <c r="L1203">
        <f t="shared" si="438"/>
        <v>0.16987562578127746</v>
      </c>
      <c r="M1203">
        <f t="shared" si="439"/>
        <v>0.19000000000000963</v>
      </c>
      <c r="N1203">
        <f t="shared" si="440"/>
        <v>0.18800000046816023</v>
      </c>
      <c r="O1203">
        <f t="shared" si="441"/>
        <v>0.15777777777777779</v>
      </c>
      <c r="P1203">
        <f t="shared" si="454"/>
        <v>0.08</v>
      </c>
      <c r="Q1203">
        <f t="shared" si="450"/>
        <v>0.08</v>
      </c>
      <c r="R1203">
        <f t="shared" si="443"/>
        <v>0.08</v>
      </c>
      <c r="S1203">
        <f t="shared" si="444"/>
        <v>0.06</v>
      </c>
      <c r="T1203">
        <f t="shared" si="445"/>
        <v>0.1</v>
      </c>
      <c r="U1203">
        <f t="shared" si="451"/>
        <v>0.08</v>
      </c>
      <c r="V1203">
        <f t="shared" si="456"/>
        <v>0.18800000046816023</v>
      </c>
      <c r="W1203">
        <f t="shared" si="452"/>
        <v>0.1698731132553945</v>
      </c>
      <c r="X1203">
        <f t="shared" si="453"/>
        <v>0.210084135320109</v>
      </c>
      <c r="Y1203" t="b">
        <f t="shared" si="455"/>
        <v>0</v>
      </c>
    </row>
    <row xmlns:x14ac="http://schemas.microsoft.com/office/spreadsheetml/2009/9/ac" r="1204" x14ac:dyDescent="0.45">
      <c r="A1204">
        <v>5.9849999999999</v>
      </c>
      <c r="B1204">
        <f t="shared" si="433"/>
        <v>0.1630000000000128</v>
      </c>
      <c r="C1204" t="b">
        <f t="shared" si="446"/>
        <v>1</v>
      </c>
      <c r="D1204" t="b">
        <f t="shared" si="434"/>
        <v>1</v>
      </c>
      <c r="E1204">
        <f t="shared" si="442"/>
        <v>5.9849999999999</v>
      </c>
      <c r="F1204">
        <f t="shared" si="447"/>
        <v>0.1630000000000128</v>
      </c>
      <c r="G1204">
        <f t="shared" si="435"/>
        <v>0.21008205801165403</v>
      </c>
      <c r="H1204">
        <f t="shared" si="436"/>
        <v>3.500000000000493E-2</v>
      </c>
      <c r="I1204" t="b">
        <f t="shared" si="448"/>
        <v>1</v>
      </c>
      <c r="J1204">
        <f t="shared" si="437"/>
        <v>5.9849999999999</v>
      </c>
      <c r="K1204">
        <f t="shared" si="449"/>
        <v>3.500000000000493E-2</v>
      </c>
      <c r="L1204">
        <f t="shared" si="438"/>
        <v>0.16987624610028124</v>
      </c>
      <c r="M1204">
        <f t="shared" si="439"/>
        <v>0.19000000000000986</v>
      </c>
      <c r="N1204">
        <f t="shared" si="440"/>
        <v>0.18800000047759441</v>
      </c>
      <c r="O1204">
        <f t="shared" si="441"/>
        <v>0.15777777777777779</v>
      </c>
      <c r="P1204">
        <f t="shared" si="454"/>
        <v>0.08</v>
      </c>
      <c r="Q1204">
        <f t="shared" si="450"/>
        <v>0.08</v>
      </c>
      <c r="R1204">
        <f t="shared" si="443"/>
        <v>0.08</v>
      </c>
      <c r="S1204">
        <f t="shared" si="444"/>
        <v>0.06</v>
      </c>
      <c r="T1204">
        <f t="shared" si="445"/>
        <v>0.1</v>
      </c>
      <c r="U1204">
        <f t="shared" si="451"/>
        <v>0.08</v>
      </c>
      <c r="V1204">
        <f t="shared" si="456"/>
        <v>0.18800000047759441</v>
      </c>
      <c r="W1204">
        <f t="shared" si="452"/>
        <v>0.16987374610567338</v>
      </c>
      <c r="X1204">
        <f t="shared" si="453"/>
        <v>0.21008371569344936</v>
      </c>
      <c r="Y1204" t="b">
        <f t="shared" si="455"/>
        <v>0</v>
      </c>
    </row>
    <row xmlns:x14ac="http://schemas.microsoft.com/office/spreadsheetml/2009/9/ac" r="1205" x14ac:dyDescent="0.45">
      <c r="A1205">
        <v>5.9899999999998998</v>
      </c>
      <c r="B1205">
        <f t="shared" si="433"/>
        <v>0.16300000000001302</v>
      </c>
      <c r="C1205" t="b">
        <f t="shared" si="446"/>
        <v>1</v>
      </c>
      <c r="D1205" t="b">
        <f t="shared" si="434"/>
        <v>1</v>
      </c>
      <c r="E1205">
        <f t="shared" si="442"/>
        <v>5.9899999999998998</v>
      </c>
      <c r="F1205">
        <f t="shared" si="447"/>
        <v>0.16300000000001302</v>
      </c>
      <c r="G1205">
        <f t="shared" si="435"/>
        <v>0.21008164874561347</v>
      </c>
      <c r="H1205">
        <f t="shared" si="436"/>
        <v>3.5000000000005013E-2</v>
      </c>
      <c r="I1205" t="b">
        <f t="shared" si="448"/>
        <v>1</v>
      </c>
      <c r="J1205">
        <f t="shared" si="437"/>
        <v>5.9899999999998998</v>
      </c>
      <c r="K1205">
        <f t="shared" si="449"/>
        <v>3.5000000000005013E-2</v>
      </c>
      <c r="L1205">
        <f t="shared" si="438"/>
        <v>0.16987686332543106</v>
      </c>
      <c r="M1205">
        <f t="shared" si="439"/>
        <v>0.19000000000001002</v>
      </c>
      <c r="N1205">
        <f t="shared" si="440"/>
        <v>0.18800000048459961</v>
      </c>
      <c r="O1205">
        <f t="shared" si="441"/>
        <v>0.15777777777777779</v>
      </c>
      <c r="P1205">
        <f t="shared" si="454"/>
        <v>0.08</v>
      </c>
      <c r="Q1205">
        <f t="shared" si="450"/>
        <v>0.08</v>
      </c>
      <c r="R1205">
        <f t="shared" si="443"/>
        <v>0.08</v>
      </c>
      <c r="S1205">
        <f t="shared" si="444"/>
        <v>0.06</v>
      </c>
      <c r="T1205">
        <f t="shared" si="445"/>
        <v>0.1</v>
      </c>
      <c r="U1205">
        <f t="shared" si="451"/>
        <v>0.08</v>
      </c>
      <c r="V1205">
        <f t="shared" si="456"/>
        <v>0.18800000048459961</v>
      </c>
      <c r="W1205">
        <f t="shared" si="452"/>
        <v>0.16987437579959835</v>
      </c>
      <c r="X1205">
        <f t="shared" si="453"/>
        <v>0.21008329815968635</v>
      </c>
      <c r="Y1205" t="b">
        <f t="shared" si="455"/>
        <v>0</v>
      </c>
    </row>
    <row xmlns:x14ac="http://schemas.microsoft.com/office/spreadsheetml/2009/9/ac" r="1206" x14ac:dyDescent="0.45">
      <c r="A1206">
        <v>5.9949999999998997</v>
      </c>
      <c r="B1206">
        <f t="shared" si="433"/>
        <v>0.16300000000001316</v>
      </c>
      <c r="C1206" t="b">
        <f t="shared" si="446"/>
        <v>1</v>
      </c>
      <c r="D1206" t="b">
        <f t="shared" si="434"/>
        <v>1</v>
      </c>
      <c r="E1206">
        <f t="shared" si="442"/>
        <v>5.9949999999998997</v>
      </c>
      <c r="F1206">
        <f t="shared" si="447"/>
        <v>0.16300000000001316</v>
      </c>
      <c r="G1206">
        <f t="shared" si="435"/>
        <v>0.21008124152079583</v>
      </c>
      <c r="H1206">
        <f t="shared" si="436"/>
        <v>3.5000000000005069E-2</v>
      </c>
      <c r="I1206" t="b">
        <f t="shared" si="448"/>
        <v>1</v>
      </c>
      <c r="J1206">
        <f t="shared" si="437"/>
        <v>5.9949999999998997</v>
      </c>
      <c r="K1206">
        <f t="shared" si="449"/>
        <v>3.5000000000005069E-2</v>
      </c>
      <c r="L1206">
        <f t="shared" si="438"/>
        <v>0.16987747747215765</v>
      </c>
      <c r="M1206">
        <f t="shared" si="439"/>
        <v>0.19000000000001013</v>
      </c>
      <c r="N1206">
        <f t="shared" si="440"/>
        <v>0.18800000048922108</v>
      </c>
      <c r="O1206">
        <f t="shared" si="441"/>
        <v>0.15777777777777779</v>
      </c>
      <c r="P1206">
        <f t="shared" si="454"/>
        <v>0.08</v>
      </c>
      <c r="Q1206">
        <f t="shared" si="450"/>
        <v>0.08</v>
      </c>
      <c r="R1206">
        <f t="shared" si="443"/>
        <v>0.08</v>
      </c>
      <c r="S1206">
        <f t="shared" si="444"/>
        <v>0.06</v>
      </c>
      <c r="T1206">
        <f t="shared" si="445"/>
        <v>0.1</v>
      </c>
      <c r="U1206">
        <f t="shared" si="451"/>
        <v>0.08</v>
      </c>
      <c r="V1206">
        <f t="shared" si="456"/>
        <v>0.18800000048922108</v>
      </c>
      <c r="W1206">
        <f t="shared" si="452"/>
        <v>0.16987500235291175</v>
      </c>
      <c r="X1206">
        <f t="shared" si="453"/>
        <v>0.21008288270838171</v>
      </c>
      <c r="Y1206" t="b">
        <f t="shared" si="455"/>
        <v>0</v>
      </c>
    </row>
    <row xmlns:x14ac="http://schemas.microsoft.com/office/spreadsheetml/2009/9/ac" r="1207" x14ac:dyDescent="0.45">
      <c r="A1207">
        <v>5.9999999999998996</v>
      </c>
      <c r="B1207">
        <f t="shared" si="433"/>
        <v>0.16300000000001322</v>
      </c>
      <c r="C1207" t="b">
        <f t="shared" si="446"/>
        <v>1</v>
      </c>
      <c r="D1207" t="b">
        <f t="shared" si="434"/>
        <v>1</v>
      </c>
      <c r="E1207">
        <f t="shared" si="442"/>
        <v>5.9999999999998996</v>
      </c>
      <c r="F1207">
        <f t="shared" si="447"/>
        <v>0.16300000000001322</v>
      </c>
      <c r="G1207">
        <f t="shared" si="435"/>
        <v>0.21008083632702046</v>
      </c>
      <c r="H1207">
        <f t="shared" si="436"/>
        <v>3.5000000000005083E-2</v>
      </c>
      <c r="I1207" t="b">
        <f t="shared" si="448"/>
        <v>1</v>
      </c>
      <c r="J1207">
        <f t="shared" si="437"/>
        <v>5.9999999999998996</v>
      </c>
      <c r="K1207">
        <f t="shared" si="449"/>
        <v>3.5000000000005083E-2</v>
      </c>
      <c r="L1207">
        <f t="shared" si="438"/>
        <v>0.1698780885558146</v>
      </c>
      <c r="M1207">
        <f t="shared" si="439"/>
        <v>0.19000000000001016</v>
      </c>
      <c r="N1207">
        <f t="shared" si="440"/>
        <v>0.18800000049151325</v>
      </c>
      <c r="O1207">
        <f t="shared" si="441"/>
        <v>0.15777777777777779</v>
      </c>
      <c r="P1207">
        <f t="shared" si="454"/>
        <v>0.08</v>
      </c>
      <c r="Q1207">
        <f t="shared" si="450"/>
        <v>0.08</v>
      </c>
      <c r="R1207">
        <f t="shared" si="443"/>
        <v>0.08</v>
      </c>
      <c r="S1207">
        <f t="shared" si="444"/>
        <v>0.06</v>
      </c>
      <c r="T1207">
        <f t="shared" si="445"/>
        <v>0.1</v>
      </c>
      <c r="U1207">
        <f t="shared" si="451"/>
        <v>0.08</v>
      </c>
      <c r="V1207">
        <f t="shared" si="456"/>
        <v>0.18800000049151325</v>
      </c>
      <c r="W1207">
        <f t="shared" si="452"/>
        <v>0.16987562578127746</v>
      </c>
      <c r="X1207">
        <f t="shared" si="453"/>
        <v>0.21008246932914909</v>
      </c>
      <c r="Y1207" t="b">
        <f t="shared" si="455"/>
        <v>0</v>
      </c>
    </row>
    <row xmlns:x14ac="http://schemas.microsoft.com/office/spreadsheetml/2009/9/ac" r="1208" x14ac:dyDescent="0.45">
      <c r="A1208">
        <v>6.0049999999999004</v>
      </c>
      <c r="B1208">
        <f t="shared" si="433"/>
        <v>0.16300000000001322</v>
      </c>
      <c r="C1208" t="b">
        <f t="shared" si="446"/>
        <v>1</v>
      </c>
      <c r="D1208" t="b">
        <f t="shared" si="434"/>
        <v>1</v>
      </c>
      <c r="E1208">
        <f t="shared" si="442"/>
        <v>6.0049999999999004</v>
      </c>
      <c r="F1208">
        <f t="shared" si="447"/>
        <v>0.16300000000001322</v>
      </c>
      <c r="G1208">
        <f t="shared" si="435"/>
        <v>0.21008043315415742</v>
      </c>
      <c r="H1208">
        <f t="shared" si="436"/>
        <v>3.5000000000005083E-2</v>
      </c>
      <c r="I1208" t="b">
        <f t="shared" si="448"/>
        <v>1</v>
      </c>
      <c r="J1208">
        <f t="shared" si="437"/>
        <v>6.0049999999999004</v>
      </c>
      <c r="K1208">
        <f t="shared" si="449"/>
        <v>3.5000000000005083E-2</v>
      </c>
      <c r="L1208">
        <f t="shared" si="438"/>
        <v>0.16987869659167915</v>
      </c>
      <c r="M1208">
        <f t="shared" si="439"/>
        <v>0.19000000000001016</v>
      </c>
      <c r="N1208">
        <f t="shared" si="440"/>
        <v>0.18800000049153925</v>
      </c>
      <c r="O1208">
        <f t="shared" si="441"/>
        <v>0.15777777777777779</v>
      </c>
      <c r="P1208">
        <f t="shared" si="454"/>
        <v>0.08</v>
      </c>
      <c r="Q1208">
        <f t="shared" si="450"/>
        <v>0.08</v>
      </c>
      <c r="R1208">
        <f t="shared" si="443"/>
        <v>0.08</v>
      </c>
      <c r="S1208">
        <f t="shared" si="444"/>
        <v>0.06</v>
      </c>
      <c r="T1208">
        <f t="shared" si="445"/>
        <v>0.1</v>
      </c>
      <c r="U1208">
        <f t="shared" si="451"/>
        <v>0.08</v>
      </c>
      <c r="V1208">
        <f t="shared" si="456"/>
        <v>0.18800000049153925</v>
      </c>
      <c r="W1208">
        <f t="shared" si="452"/>
        <v>0.16987624610028124</v>
      </c>
      <c r="X1208">
        <f t="shared" si="453"/>
        <v>0.21008205801165403</v>
      </c>
      <c r="Y1208" t="b">
        <f t="shared" si="455"/>
        <v>0</v>
      </c>
    </row>
    <row xmlns:x14ac="http://schemas.microsoft.com/office/spreadsheetml/2009/9/ac" r="1209" x14ac:dyDescent="0.45">
      <c r="A1209">
        <v>6.0099999999999003</v>
      </c>
      <c r="B1209">
        <f t="shared" si="433"/>
        <v>0.16300000000001316</v>
      </c>
      <c r="C1209" t="b">
        <f t="shared" si="446"/>
        <v>1</v>
      </c>
      <c r="D1209" t="b">
        <f t="shared" si="434"/>
        <v>1</v>
      </c>
      <c r="E1209">
        <f t="shared" si="442"/>
        <v>6.0099999999999003</v>
      </c>
      <c r="F1209">
        <f t="shared" si="447"/>
        <v>0.16300000000001316</v>
      </c>
      <c r="G1209">
        <f t="shared" si="435"/>
        <v>0.21008003199212749</v>
      </c>
      <c r="H1209">
        <f t="shared" si="436"/>
        <v>3.5000000000005069E-2</v>
      </c>
      <c r="I1209" t="b">
        <f t="shared" si="448"/>
        <v>1</v>
      </c>
      <c r="J1209">
        <f t="shared" si="437"/>
        <v>6.0099999999999003</v>
      </c>
      <c r="K1209">
        <f t="shared" si="449"/>
        <v>3.5000000000005069E-2</v>
      </c>
      <c r="L1209">
        <f t="shared" si="438"/>
        <v>0.16987930159495213</v>
      </c>
      <c r="M1209">
        <f t="shared" si="439"/>
        <v>0.19000000000001013</v>
      </c>
      <c r="N1209">
        <f t="shared" si="440"/>
        <v>0.18800000048937032</v>
      </c>
      <c r="O1209">
        <f t="shared" si="441"/>
        <v>0.15777777777777779</v>
      </c>
      <c r="P1209">
        <f t="shared" si="454"/>
        <v>0.08</v>
      </c>
      <c r="Q1209">
        <f t="shared" si="450"/>
        <v>0.08</v>
      </c>
      <c r="R1209">
        <f t="shared" si="443"/>
        <v>0.08</v>
      </c>
      <c r="S1209">
        <f t="shared" si="444"/>
        <v>0.06</v>
      </c>
      <c r="T1209">
        <f t="shared" si="445"/>
        <v>0.1</v>
      </c>
      <c r="U1209">
        <f t="shared" si="451"/>
        <v>0.08</v>
      </c>
      <c r="V1209">
        <f t="shared" si="456"/>
        <v>0.18800000048937032</v>
      </c>
      <c r="W1209">
        <f t="shared" si="452"/>
        <v>0.16987686332543106</v>
      </c>
      <c r="X1209">
        <f t="shared" si="453"/>
        <v>0.21008164874561347</v>
      </c>
      <c r="Y1209" t="b">
        <f t="shared" si="455"/>
        <v>0</v>
      </c>
    </row>
    <row xmlns:x14ac="http://schemas.microsoft.com/office/spreadsheetml/2009/9/ac" r="1210" x14ac:dyDescent="0.45">
      <c r="A1210">
        <v>6.0149999999999002</v>
      </c>
      <c r="B1210">
        <f t="shared" si="433"/>
        <v>0.16300000000001305</v>
      </c>
      <c r="C1210" t="b">
        <f t="shared" si="446"/>
        <v>1</v>
      </c>
      <c r="D1210" t="b">
        <f t="shared" si="434"/>
        <v>1</v>
      </c>
      <c r="E1210">
        <f t="shared" si="442"/>
        <v>6.0149999999999002</v>
      </c>
      <c r="F1210">
        <f t="shared" si="447"/>
        <v>0.16300000000001305</v>
      </c>
      <c r="G1210">
        <f t="shared" si="435"/>
        <v>0.21007963283090147</v>
      </c>
      <c r="H1210">
        <f t="shared" si="436"/>
        <v>3.5000000000005013E-2</v>
      </c>
      <c r="I1210" t="b">
        <f t="shared" si="448"/>
        <v>1</v>
      </c>
      <c r="J1210">
        <f t="shared" si="437"/>
        <v>6.0149999999999002</v>
      </c>
      <c r="K1210">
        <f t="shared" si="449"/>
        <v>3.5000000000005013E-2</v>
      </c>
      <c r="L1210">
        <f t="shared" si="438"/>
        <v>0.16987990358075872</v>
      </c>
      <c r="M1210">
        <f t="shared" si="439"/>
        <v>0.19000000000001005</v>
      </c>
      <c r="N1210">
        <f t="shared" si="440"/>
        <v>0.18800000048508528</v>
      </c>
      <c r="O1210">
        <f t="shared" si="441"/>
        <v>0.15777777777777779</v>
      </c>
      <c r="P1210">
        <f t="shared" si="454"/>
        <v>0.08</v>
      </c>
      <c r="Q1210">
        <f t="shared" si="450"/>
        <v>0.08</v>
      </c>
      <c r="R1210">
        <f t="shared" si="443"/>
        <v>0.08</v>
      </c>
      <c r="S1210">
        <f t="shared" si="444"/>
        <v>0.06</v>
      </c>
      <c r="T1210">
        <f t="shared" si="445"/>
        <v>0.1</v>
      </c>
      <c r="U1210">
        <f t="shared" si="451"/>
        <v>0.08</v>
      </c>
      <c r="V1210">
        <f t="shared" si="456"/>
        <v>0.18800000048508528</v>
      </c>
      <c r="W1210">
        <f t="shared" si="452"/>
        <v>0.16987747747215765</v>
      </c>
      <c r="X1210">
        <f t="shared" si="453"/>
        <v>0.21008124152079583</v>
      </c>
      <c r="Y1210" t="b">
        <f t="shared" si="455"/>
        <v>0</v>
      </c>
    </row>
    <row xmlns:x14ac="http://schemas.microsoft.com/office/spreadsheetml/2009/9/ac" r="1211" x14ac:dyDescent="0.45">
      <c r="A1211">
        <v>6.0199999999999001</v>
      </c>
      <c r="B1211">
        <f t="shared" si="433"/>
        <v>0.16300000000001288</v>
      </c>
      <c r="C1211" t="b">
        <f t="shared" si="446"/>
        <v>1</v>
      </c>
      <c r="D1211" t="b">
        <f t="shared" si="434"/>
        <v>1</v>
      </c>
      <c r="E1211">
        <f t="shared" si="442"/>
        <v>6.0199999999999001</v>
      </c>
      <c r="F1211">
        <f t="shared" si="447"/>
        <v>0.16300000000001288</v>
      </c>
      <c r="G1211">
        <f t="shared" si="435"/>
        <v>0.21007923566050041</v>
      </c>
      <c r="H1211">
        <f t="shared" si="436"/>
        <v>3.5000000000004958E-2</v>
      </c>
      <c r="I1211" t="b">
        <f t="shared" si="448"/>
        <v>1</v>
      </c>
      <c r="J1211">
        <f t="shared" si="437"/>
        <v>6.0199999999999001</v>
      </c>
      <c r="K1211">
        <f t="shared" si="449"/>
        <v>3.5000000000004958E-2</v>
      </c>
      <c r="L1211">
        <f t="shared" si="438"/>
        <v>0.16988050256414855</v>
      </c>
      <c r="M1211">
        <f t="shared" si="439"/>
        <v>0.19000000000000991</v>
      </c>
      <c r="N1211">
        <f t="shared" si="440"/>
        <v>0.18800000047876991</v>
      </c>
      <c r="O1211">
        <f t="shared" si="441"/>
        <v>0.15777777777777779</v>
      </c>
      <c r="P1211">
        <f t="shared" si="454"/>
        <v>0.08</v>
      </c>
      <c r="Q1211">
        <f t="shared" si="450"/>
        <v>0.08</v>
      </c>
      <c r="R1211">
        <f t="shared" si="443"/>
        <v>0.08</v>
      </c>
      <c r="S1211">
        <f t="shared" si="444"/>
        <v>0.06</v>
      </c>
      <c r="T1211">
        <f t="shared" si="445"/>
        <v>0.1</v>
      </c>
      <c r="U1211">
        <f t="shared" si="451"/>
        <v>0.08</v>
      </c>
      <c r="V1211">
        <f t="shared" si="456"/>
        <v>0.18800000047876991</v>
      </c>
      <c r="W1211">
        <f t="shared" si="452"/>
        <v>0.1698780885558146</v>
      </c>
      <c r="X1211">
        <f t="shared" si="453"/>
        <v>0.21008083632702046</v>
      </c>
      <c r="Y1211" t="b">
        <f t="shared" si="455"/>
        <v>0</v>
      </c>
    </row>
    <row xmlns:x14ac="http://schemas.microsoft.com/office/spreadsheetml/2009/9/ac" r="1212" x14ac:dyDescent="0.45">
      <c r="A1212">
        <v>6.0249999999999</v>
      </c>
      <c r="B1212">
        <f t="shared" si="433"/>
        <v>0.16300000000001263</v>
      </c>
      <c r="C1212" t="b">
        <f t="shared" si="446"/>
        <v>1</v>
      </c>
      <c r="D1212" t="b">
        <f t="shared" si="434"/>
        <v>1</v>
      </c>
      <c r="E1212">
        <f t="shared" si="442"/>
        <v>6.0249999999999</v>
      </c>
      <c r="F1212">
        <f t="shared" si="447"/>
        <v>0.16300000000001263</v>
      </c>
      <c r="G1212">
        <f t="shared" si="435"/>
        <v>0.21007884047099501</v>
      </c>
      <c r="H1212">
        <f t="shared" si="436"/>
        <v>3.5000000000004861E-2</v>
      </c>
      <c r="I1212" t="b">
        <f t="shared" si="448"/>
        <v>1</v>
      </c>
      <c r="J1212">
        <f t="shared" si="437"/>
        <v>6.0249999999999</v>
      </c>
      <c r="K1212">
        <f t="shared" si="449"/>
        <v>3.5000000000004861E-2</v>
      </c>
      <c r="L1212">
        <f t="shared" si="438"/>
        <v>0.16988109856009631</v>
      </c>
      <c r="M1212">
        <f t="shared" si="439"/>
        <v>0.19000000000000972</v>
      </c>
      <c r="N1212">
        <f t="shared" si="440"/>
        <v>0.18800000047051629</v>
      </c>
      <c r="O1212">
        <f t="shared" si="441"/>
        <v>0.15777777777777779</v>
      </c>
      <c r="P1212">
        <f t="shared" si="454"/>
        <v>0.08</v>
      </c>
      <c r="Q1212">
        <f t="shared" si="450"/>
        <v>0.08</v>
      </c>
      <c r="R1212">
        <f t="shared" si="443"/>
        <v>0.08</v>
      </c>
      <c r="S1212">
        <f t="shared" si="444"/>
        <v>0.06</v>
      </c>
      <c r="T1212">
        <f t="shared" si="445"/>
        <v>0.1</v>
      </c>
      <c r="U1212">
        <f t="shared" si="451"/>
        <v>0.08</v>
      </c>
      <c r="V1212">
        <f t="shared" si="456"/>
        <v>0.18800000047051629</v>
      </c>
      <c r="W1212">
        <f t="shared" si="452"/>
        <v>0.16987869659167915</v>
      </c>
      <c r="X1212">
        <f t="shared" si="453"/>
        <v>0.21008043315415742</v>
      </c>
      <c r="Y1212" t="b">
        <f t="shared" si="455"/>
        <v>0</v>
      </c>
    </row>
    <row xmlns:x14ac="http://schemas.microsoft.com/office/spreadsheetml/2009/9/ac" r="1213" x14ac:dyDescent="0.45">
      <c r="A1213">
        <v>6.0299999999998999</v>
      </c>
      <c r="B1213">
        <f t="shared" si="433"/>
        <v>0.16300000000001238</v>
      </c>
      <c r="C1213" t="b">
        <f t="shared" si="446"/>
        <v>1</v>
      </c>
      <c r="D1213" t="b">
        <f t="shared" si="434"/>
        <v>1</v>
      </c>
      <c r="E1213">
        <f t="shared" si="442"/>
        <v>6.0299999999998999</v>
      </c>
      <c r="F1213">
        <f t="shared" si="447"/>
        <v>0.16300000000001238</v>
      </c>
      <c r="G1213">
        <f t="shared" si="435"/>
        <v>0.21007844725250546</v>
      </c>
      <c r="H1213">
        <f t="shared" si="436"/>
        <v>3.5000000000004763E-2</v>
      </c>
      <c r="I1213" t="b">
        <f t="shared" si="448"/>
        <v>1</v>
      </c>
      <c r="J1213">
        <f t="shared" si="437"/>
        <v>6.0299999999998999</v>
      </c>
      <c r="K1213">
        <f t="shared" si="449"/>
        <v>3.5000000000004763E-2</v>
      </c>
      <c r="L1213">
        <f t="shared" si="438"/>
        <v>0.16988169158350186</v>
      </c>
      <c r="M1213">
        <f t="shared" si="439"/>
        <v>0.19000000000000952</v>
      </c>
      <c r="N1213">
        <f t="shared" si="440"/>
        <v>0.1880000004604224</v>
      </c>
      <c r="O1213">
        <f t="shared" si="441"/>
        <v>0.15777777777777779</v>
      </c>
      <c r="P1213">
        <f t="shared" si="454"/>
        <v>0.08</v>
      </c>
      <c r="Q1213">
        <f t="shared" si="450"/>
        <v>0.08</v>
      </c>
      <c r="R1213">
        <f t="shared" si="443"/>
        <v>0.08</v>
      </c>
      <c r="S1213">
        <f t="shared" si="444"/>
        <v>0.06</v>
      </c>
      <c r="T1213">
        <f t="shared" si="445"/>
        <v>0.1</v>
      </c>
      <c r="U1213">
        <f t="shared" si="451"/>
        <v>0.08</v>
      </c>
      <c r="V1213">
        <f t="shared" si="456"/>
        <v>0.1880000004604224</v>
      </c>
      <c r="W1213">
        <f t="shared" si="452"/>
        <v>0.16987930159495213</v>
      </c>
      <c r="X1213">
        <f t="shared" si="453"/>
        <v>0.21008003199212749</v>
      </c>
      <c r="Y1213" t="b">
        <f t="shared" si="455"/>
        <v>0</v>
      </c>
    </row>
    <row xmlns:x14ac="http://schemas.microsoft.com/office/spreadsheetml/2009/9/ac" r="1214" x14ac:dyDescent="0.45">
      <c r="A1214">
        <v>6.0349999999998998</v>
      </c>
      <c r="B1214">
        <f t="shared" si="433"/>
        <v>0.16300000000001202</v>
      </c>
      <c r="C1214" t="b">
        <f t="shared" si="446"/>
        <v>1</v>
      </c>
      <c r="D1214" t="b">
        <f t="shared" si="434"/>
        <v>1</v>
      </c>
      <c r="E1214">
        <f t="shared" si="442"/>
        <v>6.0349999999998998</v>
      </c>
      <c r="F1214">
        <f t="shared" si="447"/>
        <v>0.16300000000001202</v>
      </c>
      <c r="G1214">
        <f t="shared" si="435"/>
        <v>0.2100780559952013</v>
      </c>
      <c r="H1214">
        <f t="shared" si="436"/>
        <v>3.5000000000004625E-2</v>
      </c>
      <c r="I1214" t="b">
        <f t="shared" si="448"/>
        <v>1</v>
      </c>
      <c r="J1214">
        <f t="shared" si="437"/>
        <v>6.0349999999998998</v>
      </c>
      <c r="K1214">
        <f t="shared" si="449"/>
        <v>3.5000000000004625E-2</v>
      </c>
      <c r="L1214">
        <f t="shared" si="438"/>
        <v>0.16988228164919081</v>
      </c>
      <c r="M1214">
        <f t="shared" si="439"/>
        <v>0.19000000000000927</v>
      </c>
      <c r="N1214">
        <f t="shared" si="440"/>
        <v>0.18800000044859116</v>
      </c>
      <c r="O1214">
        <f t="shared" si="441"/>
        <v>0.15777777777777779</v>
      </c>
      <c r="P1214">
        <f t="shared" si="454"/>
        <v>0.08</v>
      </c>
      <c r="Q1214">
        <f t="shared" si="450"/>
        <v>0.08</v>
      </c>
      <c r="R1214">
        <f t="shared" si="443"/>
        <v>0.08</v>
      </c>
      <c r="S1214">
        <f t="shared" si="444"/>
        <v>0.06</v>
      </c>
      <c r="T1214">
        <f t="shared" si="445"/>
        <v>0.1</v>
      </c>
      <c r="U1214">
        <f t="shared" si="451"/>
        <v>0.08</v>
      </c>
      <c r="V1214">
        <f t="shared" si="456"/>
        <v>0.18800000044859116</v>
      </c>
      <c r="W1214">
        <f t="shared" si="452"/>
        <v>0.16987990358075872</v>
      </c>
      <c r="X1214">
        <f t="shared" si="453"/>
        <v>0.21007963283090147</v>
      </c>
      <c r="Y1214" t="b">
        <f t="shared" si="455"/>
        <v>0</v>
      </c>
    </row>
    <row xmlns:x14ac="http://schemas.microsoft.com/office/spreadsheetml/2009/9/ac" r="1215" x14ac:dyDescent="0.45">
      <c r="A1215">
        <v>6.0399999999998997</v>
      </c>
      <c r="B1215">
        <f t="shared" si="433"/>
        <v>0.16300000000001169</v>
      </c>
      <c r="C1215" t="b">
        <f t="shared" si="446"/>
        <v>1</v>
      </c>
      <c r="D1215" t="b">
        <f t="shared" si="434"/>
        <v>1</v>
      </c>
      <c r="E1215">
        <f t="shared" si="442"/>
        <v>6.0399999999998997</v>
      </c>
      <c r="F1215">
        <f t="shared" si="447"/>
        <v>0.16300000000001169</v>
      </c>
      <c r="G1215">
        <f t="shared" si="435"/>
        <v>0.21007766668930111</v>
      </c>
      <c r="H1215">
        <f t="shared" si="436"/>
        <v>3.50000000000045E-2</v>
      </c>
      <c r="I1215" t="b">
        <f t="shared" si="448"/>
        <v>1</v>
      </c>
      <c r="J1215">
        <f t="shared" si="437"/>
        <v>6.0399999999998997</v>
      </c>
      <c r="K1215">
        <f t="shared" si="449"/>
        <v>3.50000000000045E-2</v>
      </c>
      <c r="L1215">
        <f t="shared" si="438"/>
        <v>0.16988286877191489</v>
      </c>
      <c r="M1215">
        <f t="shared" si="439"/>
        <v>0.190000000000009</v>
      </c>
      <c r="N1215">
        <f t="shared" si="440"/>
        <v>0.18800000043513015</v>
      </c>
      <c r="O1215">
        <f t="shared" si="441"/>
        <v>0.15777777777777779</v>
      </c>
      <c r="P1215">
        <f t="shared" si="454"/>
        <v>0.08</v>
      </c>
      <c r="Q1215">
        <f t="shared" si="450"/>
        <v>0.08</v>
      </c>
      <c r="R1215">
        <f t="shared" si="443"/>
        <v>0.08</v>
      </c>
      <c r="S1215">
        <f t="shared" si="444"/>
        <v>0.06</v>
      </c>
      <c r="T1215">
        <f t="shared" si="445"/>
        <v>0.1</v>
      </c>
      <c r="U1215">
        <f t="shared" si="451"/>
        <v>0.08</v>
      </c>
      <c r="V1215">
        <f t="shared" si="456"/>
        <v>0.18800000043513015</v>
      </c>
      <c r="W1215">
        <f t="shared" si="452"/>
        <v>0.16988050256414855</v>
      </c>
      <c r="X1215">
        <f t="shared" si="453"/>
        <v>0.21007923566050041</v>
      </c>
      <c r="Y1215" t="b">
        <f t="shared" si="455"/>
        <v>0</v>
      </c>
    </row>
    <row xmlns:x14ac="http://schemas.microsoft.com/office/spreadsheetml/2009/9/ac" r="1216" x14ac:dyDescent="0.45">
      <c r="A1216">
        <v>6.0449999999998996</v>
      </c>
      <c r="B1216">
        <f t="shared" si="433"/>
        <v>0.16300000000001127</v>
      </c>
      <c r="C1216" t="b">
        <f t="shared" si="446"/>
        <v>1</v>
      </c>
      <c r="D1216" t="b">
        <f t="shared" si="434"/>
        <v>1</v>
      </c>
      <c r="E1216">
        <f t="shared" si="442"/>
        <v>6.0449999999998996</v>
      </c>
      <c r="F1216">
        <f t="shared" si="447"/>
        <v>0.16300000000001127</v>
      </c>
      <c r="G1216">
        <f t="shared" si="435"/>
        <v>0.2100772793250722</v>
      </c>
      <c r="H1216">
        <f t="shared" si="436"/>
        <v>3.5000000000004333E-2</v>
      </c>
      <c r="I1216" t="b">
        <f t="shared" si="448"/>
        <v>1</v>
      </c>
      <c r="J1216">
        <f t="shared" si="437"/>
        <v>6.0449999999998996</v>
      </c>
      <c r="K1216">
        <f t="shared" si="449"/>
        <v>3.5000000000004333E-2</v>
      </c>
      <c r="L1216">
        <f t="shared" si="438"/>
        <v>0.16988345296635213</v>
      </c>
      <c r="M1216">
        <f t="shared" si="439"/>
        <v>0.19000000000000866</v>
      </c>
      <c r="N1216">
        <f t="shared" si="440"/>
        <v>0.1880000004201508</v>
      </c>
      <c r="O1216">
        <f t="shared" si="441"/>
        <v>0.15777777777777779</v>
      </c>
      <c r="P1216">
        <f t="shared" si="454"/>
        <v>0.08</v>
      </c>
      <c r="Q1216">
        <f t="shared" si="450"/>
        <v>0.08</v>
      </c>
      <c r="R1216">
        <f t="shared" si="443"/>
        <v>0.08</v>
      </c>
      <c r="S1216">
        <f t="shared" si="444"/>
        <v>0.06</v>
      </c>
      <c r="T1216">
        <f t="shared" si="445"/>
        <v>0.1</v>
      </c>
      <c r="U1216">
        <f t="shared" si="451"/>
        <v>0.08</v>
      </c>
      <c r="V1216">
        <f t="shared" si="456"/>
        <v>0.1880000004201508</v>
      </c>
      <c r="W1216">
        <f t="shared" si="452"/>
        <v>0.16988109856009631</v>
      </c>
      <c r="X1216">
        <f t="shared" si="453"/>
        <v>0.21007884047099501</v>
      </c>
      <c r="Y1216" t="b">
        <f t="shared" si="455"/>
        <v>0</v>
      </c>
    </row>
    <row xmlns:x14ac="http://schemas.microsoft.com/office/spreadsheetml/2009/9/ac" r="1217" x14ac:dyDescent="0.45">
      <c r="A1217">
        <v>6.0499999999999003</v>
      </c>
      <c r="B1217">
        <f t="shared" si="433"/>
        <v>0.16300000000001083</v>
      </c>
      <c r="C1217" t="b">
        <f t="shared" si="446"/>
        <v>1</v>
      </c>
      <c r="D1217" t="b">
        <f t="shared" si="434"/>
        <v>1</v>
      </c>
      <c r="E1217">
        <f t="shared" si="442"/>
        <v>6.0499999999999003</v>
      </c>
      <c r="F1217">
        <f t="shared" si="447"/>
        <v>0.16300000000001083</v>
      </c>
      <c r="G1217">
        <f t="shared" si="435"/>
        <v>0.21007689389283041</v>
      </c>
      <c r="H1217">
        <f t="shared" si="436"/>
        <v>3.5000000000004167E-2</v>
      </c>
      <c r="I1217" t="b">
        <f t="shared" si="448"/>
        <v>1</v>
      </c>
      <c r="J1217">
        <f t="shared" si="437"/>
        <v>6.0499999999999003</v>
      </c>
      <c r="K1217">
        <f t="shared" si="449"/>
        <v>3.5000000000004167E-2</v>
      </c>
      <c r="L1217">
        <f t="shared" si="438"/>
        <v>0.16988403424710746</v>
      </c>
      <c r="M1217">
        <f t="shared" si="439"/>
        <v>0.19000000000000833</v>
      </c>
      <c r="N1217">
        <f t="shared" si="440"/>
        <v>0.18800000040376771</v>
      </c>
      <c r="O1217">
        <f t="shared" si="441"/>
        <v>0.15777777777777779</v>
      </c>
      <c r="P1217">
        <f t="shared" si="454"/>
        <v>0.08</v>
      </c>
      <c r="Q1217">
        <f t="shared" si="450"/>
        <v>0.08</v>
      </c>
      <c r="R1217">
        <f t="shared" si="443"/>
        <v>0.08</v>
      </c>
      <c r="S1217">
        <f t="shared" si="444"/>
        <v>0.06</v>
      </c>
      <c r="T1217">
        <f t="shared" si="445"/>
        <v>0.1</v>
      </c>
      <c r="U1217">
        <f t="shared" si="451"/>
        <v>0.08</v>
      </c>
      <c r="V1217">
        <f t="shared" si="456"/>
        <v>0.18800000040376771</v>
      </c>
      <c r="W1217">
        <f t="shared" si="452"/>
        <v>0.16988169158350186</v>
      </c>
      <c r="X1217">
        <f t="shared" si="453"/>
        <v>0.21007844725250546</v>
      </c>
      <c r="Y1217" t="b">
        <f t="shared" si="455"/>
        <v>0</v>
      </c>
    </row>
    <row xmlns:x14ac="http://schemas.microsoft.com/office/spreadsheetml/2009/9/ac" r="1218" x14ac:dyDescent="0.45">
      <c r="A1218">
        <v>6.0549999999999002</v>
      </c>
      <c r="B1218">
        <f t="shared" si="433"/>
        <v>0.16300000000001036</v>
      </c>
      <c r="C1218" t="b">
        <f t="shared" si="446"/>
        <v>1</v>
      </c>
      <c r="D1218" t="b">
        <f t="shared" si="434"/>
        <v>1</v>
      </c>
      <c r="E1218">
        <f t="shared" si="442"/>
        <v>6.0549999999999002</v>
      </c>
      <c r="F1218">
        <f t="shared" si="447"/>
        <v>0.16300000000001036</v>
      </c>
      <c r="G1218">
        <f t="shared" si="435"/>
        <v>0.21007651038293995</v>
      </c>
      <c r="H1218">
        <f t="shared" si="436"/>
        <v>3.5000000000003986E-2</v>
      </c>
      <c r="I1218" t="b">
        <f t="shared" si="448"/>
        <v>1</v>
      </c>
      <c r="J1218">
        <f t="shared" si="437"/>
        <v>6.0549999999999002</v>
      </c>
      <c r="K1218">
        <f t="shared" si="449"/>
        <v>3.5000000000003986E-2</v>
      </c>
      <c r="L1218">
        <f t="shared" si="438"/>
        <v>0.16988461262871296</v>
      </c>
      <c r="M1218">
        <f t="shared" si="439"/>
        <v>0.19000000000000797</v>
      </c>
      <c r="N1218">
        <f t="shared" si="440"/>
        <v>0.18800000038609829</v>
      </c>
      <c r="O1218">
        <f t="shared" si="441"/>
        <v>0.15777777777777779</v>
      </c>
      <c r="P1218">
        <f t="shared" si="454"/>
        <v>0.08</v>
      </c>
      <c r="Q1218">
        <f t="shared" si="450"/>
        <v>0.08</v>
      </c>
      <c r="R1218">
        <f t="shared" si="443"/>
        <v>0.08</v>
      </c>
      <c r="S1218">
        <f t="shared" si="444"/>
        <v>0.06</v>
      </c>
      <c r="T1218">
        <f t="shared" si="445"/>
        <v>0.1</v>
      </c>
      <c r="U1218">
        <f t="shared" si="451"/>
        <v>0.08</v>
      </c>
      <c r="V1218">
        <f t="shared" si="456"/>
        <v>0.18800000038609829</v>
      </c>
      <c r="W1218">
        <f t="shared" si="452"/>
        <v>0.16988228164919081</v>
      </c>
      <c r="X1218">
        <f t="shared" si="453"/>
        <v>0.2100780559952013</v>
      </c>
      <c r="Y1218" t="b">
        <f t="shared" si="455"/>
        <v>0</v>
      </c>
    </row>
    <row xmlns:x14ac="http://schemas.microsoft.com/office/spreadsheetml/2009/9/ac" r="1219" x14ac:dyDescent="0.45">
      <c r="A1219">
        <v>6.0599999999999001</v>
      </c>
      <c r="B1219">
        <f t="shared" si="433"/>
        <v>0.16300000000000986</v>
      </c>
      <c r="C1219" t="b">
        <f t="shared" si="446"/>
        <v>1</v>
      </c>
      <c r="D1219" t="b">
        <f t="shared" si="434"/>
        <v>1</v>
      </c>
      <c r="E1219">
        <f t="shared" si="442"/>
        <v>6.0599999999999001</v>
      </c>
      <c r="F1219">
        <f t="shared" si="447"/>
        <v>0.16300000000000986</v>
      </c>
      <c r="G1219">
        <f t="shared" si="435"/>
        <v>0.21007612878581305</v>
      </c>
      <c r="H1219">
        <f t="shared" si="436"/>
        <v>3.5000000000003792E-2</v>
      </c>
      <c r="I1219" t="b">
        <f t="shared" si="448"/>
        <v>1</v>
      </c>
      <c r="J1219">
        <f t="shared" si="437"/>
        <v>6.0599999999999001</v>
      </c>
      <c r="K1219">
        <f t="shared" si="449"/>
        <v>3.5000000000003792E-2</v>
      </c>
      <c r="L1219">
        <f t="shared" si="438"/>
        <v>0.16988518812562817</v>
      </c>
      <c r="M1219">
        <f t="shared" si="439"/>
        <v>0.19000000000000758</v>
      </c>
      <c r="N1219">
        <f t="shared" si="440"/>
        <v>0.18800000036726189</v>
      </c>
      <c r="O1219">
        <f t="shared" si="441"/>
        <v>0.15777777777777779</v>
      </c>
      <c r="P1219">
        <f t="shared" si="454"/>
        <v>0.08</v>
      </c>
      <c r="Q1219">
        <f t="shared" si="450"/>
        <v>0.08</v>
      </c>
      <c r="R1219">
        <f t="shared" si="443"/>
        <v>0.08</v>
      </c>
      <c r="S1219">
        <f t="shared" si="444"/>
        <v>0.06</v>
      </c>
      <c r="T1219">
        <f t="shared" si="445"/>
        <v>0.1</v>
      </c>
      <c r="U1219">
        <f t="shared" si="451"/>
        <v>0.08</v>
      </c>
      <c r="V1219">
        <f t="shared" si="456"/>
        <v>0.18800000036726189</v>
      </c>
      <c r="W1219">
        <f t="shared" si="452"/>
        <v>0.16988286877191489</v>
      </c>
      <c r="X1219">
        <f t="shared" si="453"/>
        <v>0.21007766668930111</v>
      </c>
      <c r="Y1219" t="b">
        <f t="shared" si="455"/>
        <v>0</v>
      </c>
    </row>
    <row xmlns:x14ac="http://schemas.microsoft.com/office/spreadsheetml/2009/9/ac" r="1220" x14ac:dyDescent="0.45">
      <c r="A1220">
        <v>6.0649999999999</v>
      </c>
      <c r="B1220">
        <f t="shared" si="433"/>
        <v>0.16300000000000933</v>
      </c>
      <c r="C1220" t="b">
        <f t="shared" si="446"/>
        <v>1</v>
      </c>
      <c r="D1220" t="b">
        <f t="shared" si="434"/>
        <v>1</v>
      </c>
      <c r="E1220">
        <f t="shared" si="442"/>
        <v>6.0649999999999</v>
      </c>
      <c r="F1220">
        <f t="shared" si="447"/>
        <v>0.16300000000000933</v>
      </c>
      <c r="G1220">
        <f t="shared" si="435"/>
        <v>0.21007574909190979</v>
      </c>
      <c r="H1220">
        <f t="shared" si="436"/>
        <v>3.5000000000003598E-2</v>
      </c>
      <c r="I1220" t="b">
        <f t="shared" si="448"/>
        <v>1</v>
      </c>
      <c r="J1220">
        <f t="shared" si="437"/>
        <v>6.0649999999999</v>
      </c>
      <c r="K1220">
        <f t="shared" si="449"/>
        <v>3.5000000000003598E-2</v>
      </c>
      <c r="L1220">
        <f t="shared" si="438"/>
        <v>0.16988576075224052</v>
      </c>
      <c r="M1220">
        <f t="shared" si="439"/>
        <v>0.19000000000000719</v>
      </c>
      <c r="N1220">
        <f t="shared" si="440"/>
        <v>0.18800000034737935</v>
      </c>
      <c r="O1220">
        <f t="shared" si="441"/>
        <v>0.15777777777777779</v>
      </c>
      <c r="P1220">
        <f t="shared" si="454"/>
        <v>0.08</v>
      </c>
      <c r="Q1220">
        <f t="shared" si="450"/>
        <v>0.08</v>
      </c>
      <c r="R1220">
        <f t="shared" si="443"/>
        <v>0.08</v>
      </c>
      <c r="S1220">
        <f t="shared" si="444"/>
        <v>0.06</v>
      </c>
      <c r="T1220">
        <f t="shared" si="445"/>
        <v>0.1</v>
      </c>
      <c r="U1220">
        <f t="shared" si="451"/>
        <v>0.08</v>
      </c>
      <c r="V1220">
        <f t="shared" si="456"/>
        <v>0.18800000034737935</v>
      </c>
      <c r="W1220">
        <f t="shared" si="452"/>
        <v>0.16988345296635213</v>
      </c>
      <c r="X1220">
        <f t="shared" si="453"/>
        <v>0.2100772793250722</v>
      </c>
      <c r="Y1220" t="b">
        <f t="shared" si="455"/>
        <v>0</v>
      </c>
    </row>
    <row xmlns:x14ac="http://schemas.microsoft.com/office/spreadsheetml/2009/9/ac" r="1221" x14ac:dyDescent="0.45">
      <c r="A1221">
        <v>6.0699999999998999</v>
      </c>
      <c r="B1221">
        <f t="shared" si="433"/>
        <v>0.1630000000000088</v>
      </c>
      <c r="C1221" t="b">
        <f t="shared" si="446"/>
        <v>1</v>
      </c>
      <c r="D1221" t="b">
        <f t="shared" si="434"/>
        <v>1</v>
      </c>
      <c r="E1221">
        <f t="shared" si="442"/>
        <v>6.0699999999998999</v>
      </c>
      <c r="F1221">
        <f t="shared" si="447"/>
        <v>0.1630000000000088</v>
      </c>
      <c r="G1221">
        <f t="shared" si="435"/>
        <v>0.21007537129173776</v>
      </c>
      <c r="H1221">
        <f t="shared" si="436"/>
        <v>3.500000000000339E-2</v>
      </c>
      <c r="I1221" t="b">
        <f t="shared" si="448"/>
        <v>1</v>
      </c>
      <c r="J1221">
        <f t="shared" si="437"/>
        <v>6.0699999999998999</v>
      </c>
      <c r="K1221">
        <f t="shared" si="449"/>
        <v>3.500000000000339E-2</v>
      </c>
      <c r="L1221">
        <f t="shared" si="438"/>
        <v>0.16988633052286573</v>
      </c>
      <c r="M1221">
        <f t="shared" si="439"/>
        <v>0.19000000000000677</v>
      </c>
      <c r="N1221">
        <f t="shared" si="440"/>
        <v>0.18800000032657238</v>
      </c>
      <c r="O1221">
        <f t="shared" si="441"/>
        <v>0.15777777777777779</v>
      </c>
      <c r="P1221">
        <f t="shared" si="454"/>
        <v>0.08</v>
      </c>
      <c r="Q1221">
        <f t="shared" si="450"/>
        <v>0.08</v>
      </c>
      <c r="R1221">
        <f t="shared" si="443"/>
        <v>0.08</v>
      </c>
      <c r="S1221">
        <f t="shared" si="444"/>
        <v>0.06</v>
      </c>
      <c r="T1221">
        <f t="shared" si="445"/>
        <v>0.1</v>
      </c>
      <c r="U1221">
        <f t="shared" si="451"/>
        <v>0.08</v>
      </c>
      <c r="V1221">
        <f t="shared" si="456"/>
        <v>0.18800000032657238</v>
      </c>
      <c r="W1221">
        <f t="shared" si="452"/>
        <v>0.16988403424710746</v>
      </c>
      <c r="X1221">
        <f t="shared" si="453"/>
        <v>0.21007689389283041</v>
      </c>
      <c r="Y1221" t="b">
        <f t="shared" si="455"/>
        <v>0</v>
      </c>
    </row>
    <row xmlns:x14ac="http://schemas.microsoft.com/office/spreadsheetml/2009/9/ac" r="1222" x14ac:dyDescent="0.45">
      <c r="A1222">
        <v>6.0749999999998998</v>
      </c>
      <c r="B1222">
        <f t="shared" si="433"/>
        <v>0.16300000000000825</v>
      </c>
      <c r="C1222" t="b">
        <f t="shared" si="446"/>
        <v>1</v>
      </c>
      <c r="D1222" t="b">
        <f t="shared" si="434"/>
        <v>1</v>
      </c>
      <c r="E1222">
        <f t="shared" si="442"/>
        <v>6.0749999999998998</v>
      </c>
      <c r="F1222">
        <f t="shared" si="447"/>
        <v>0.16300000000000825</v>
      </c>
      <c r="G1222">
        <f t="shared" si="435"/>
        <v>0.21007499537585195</v>
      </c>
      <c r="H1222">
        <f t="shared" si="436"/>
        <v>3.5000000000003167E-2</v>
      </c>
      <c r="I1222" t="b">
        <f t="shared" si="448"/>
        <v>1</v>
      </c>
      <c r="J1222">
        <f t="shared" si="437"/>
        <v>6.0749999999998998</v>
      </c>
      <c r="K1222">
        <f t="shared" si="449"/>
        <v>3.5000000000003167E-2</v>
      </c>
      <c r="L1222">
        <f t="shared" si="438"/>
        <v>0.16988689745174809</v>
      </c>
      <c r="M1222">
        <f t="shared" si="439"/>
        <v>0.19000000000000633</v>
      </c>
      <c r="N1222">
        <f t="shared" si="440"/>
        <v>0.18800000030496294</v>
      </c>
      <c r="O1222">
        <f t="shared" si="441"/>
        <v>0.15777777777777779</v>
      </c>
      <c r="P1222">
        <f t="shared" si="454"/>
        <v>0.08</v>
      </c>
      <c r="Q1222">
        <f t="shared" si="450"/>
        <v>0.08</v>
      </c>
      <c r="R1222">
        <f t="shared" si="443"/>
        <v>0.08</v>
      </c>
      <c r="S1222">
        <f t="shared" si="444"/>
        <v>0.06</v>
      </c>
      <c r="T1222">
        <f t="shared" si="445"/>
        <v>0.1</v>
      </c>
      <c r="U1222">
        <f t="shared" si="451"/>
        <v>0.08</v>
      </c>
      <c r="V1222">
        <f t="shared" si="456"/>
        <v>0.18800000030496294</v>
      </c>
      <c r="W1222">
        <f t="shared" si="452"/>
        <v>0.16988461262871296</v>
      </c>
      <c r="X1222">
        <f t="shared" si="453"/>
        <v>0.21007651038293995</v>
      </c>
      <c r="Y1222" t="b">
        <f t="shared" si="455"/>
        <v>0</v>
      </c>
    </row>
    <row xmlns:x14ac="http://schemas.microsoft.com/office/spreadsheetml/2009/9/ac" r="1223" x14ac:dyDescent="0.45">
      <c r="A1223">
        <v>6.0799999999998997</v>
      </c>
      <c r="B1223">
        <f t="shared" ref="B1223:B1286" si="457">-(1+Marge_haute)*(A+B/Tpll*EXP(-$A1223/Tpll)+C_*EXP(-epsilon*Wn*$A1223)*COS(Wd*$A1223)+C_*(D/C_-epsilon*Wn)/Wd*EXP(-epsilon*Wn*$A1223)*SIN(Wd*$A1223))+SIGN(DeltaPexpected)*Tunnel</f>
        <v>0.16300000000000769</v>
      </c>
      <c r="C1223" t="b">
        <f t="shared" si="446"/>
        <v>1</v>
      </c>
      <c r="D1223" t="b">
        <f t="shared" ref="D1223:D1286" si="458">IF(D1222,D1222,IF(C1223,B1223&gt;B1222,C1223))</f>
        <v>1</v>
      </c>
      <c r="E1223">
        <f t="shared" si="442"/>
        <v>6.0799999999998997</v>
      </c>
      <c r="F1223">
        <f t="shared" si="447"/>
        <v>0.16300000000000769</v>
      </c>
      <c r="G1223">
        <f t="shared" ref="G1223:G1286" si="459">P0-SIGN(Rocof)*IF(D1223,DeltaPexpected+SIGN(DeltaPexpected)*Tunnel+(MIN(F$7:F$1495)-DeltaPexpected-+SIGN(DeltaPexpected)*Tunnel)*EXP(-(A1223-MIN(E$7:E$1495))/Texpodecrease),B1223)</f>
        <v>0.21007462133485444</v>
      </c>
      <c r="H1223">
        <f t="shared" ref="H1223:H1286" si="460">-(1-marge_basse)*(A+B/Tpll*EXP(-$A1223/Tpll)+C_*EXP(-epsilon*Wn*$A1223)*COS(Wd*$A1223)+C_*(D/C_-epsilon*Wn)/Wd*EXP(-epsilon*Wn*$A1223)*SIN(Wd*$A1223))-Tunnel</f>
        <v>3.5000000000002959E-2</v>
      </c>
      <c r="I1223" t="b">
        <f t="shared" si="448"/>
        <v>1</v>
      </c>
      <c r="J1223">
        <f t="shared" ref="J1223:J1286" si="461">IF(I1223,A1223,I1223)</f>
        <v>6.0799999999998997</v>
      </c>
      <c r="K1223">
        <f t="shared" si="449"/>
        <v>3.5000000000002959E-2</v>
      </c>
      <c r="L1223">
        <f t="shared" ref="L1223:L1286" si="462">P0-SIGN(Rocof)*IF(I1223,AF$23-AF$13+(MAX(K$7:K$1495)-AF$23+AF$13)*EXP(-(A1223-MIN(J$7:J$1495))/AB$21),H1223)</f>
        <v>0.16988746155306086</v>
      </c>
      <c r="M1223">
        <f t="shared" ref="M1223:M1286" si="463">P0-(1)*(A+B/Tpll*EXP(-$A1223/Tpll)+C_*EXP(-epsilon*Wn*$A1223)*COS(Wd*$A1223)+C_*(D/C_-epsilon*Wn)/Wd*EXP(-epsilon*Wn*$A1223)*SIN(Wd*$A1223))</f>
        <v>0.19000000000000591</v>
      </c>
      <c r="N1223">
        <f t="shared" ref="N1223:N1286" si="464">AB$6-(AG$17+AG$16/AC$18*EXP(-$A1223/AC$18)+AG$18*EXP(-AG$6*AG$12*$A1223)*COS(AG$5*$A1223)+AG$18*(AG$19/AG$18-AG$6*AG$12)/AG$5*EXP(-AG$6*AG$12*$A1223)*SIN(AG$5*$A1223))</f>
        <v>0.18800000028267283</v>
      </c>
      <c r="O1223">
        <f t="shared" ref="O1223:O1286" si="465">AB$6-(AH$17+AH$16/AD$18*EXP(-$A1223/AD$18)+AH$18*EXP(-AH$6*AH$12*$A1223)*COS(AH$5*$A1223)+AH$18*(AH$19/AH$18-AH$6*AH$12)/AH$5*EXP(-AH$6*AH$12*$A1223)*SIN(AH$5*$A1223))</f>
        <v>0.15777777777777779</v>
      </c>
      <c r="P1223">
        <f t="shared" si="454"/>
        <v>0.08</v>
      </c>
      <c r="Q1223">
        <f t="shared" si="450"/>
        <v>0.08</v>
      </c>
      <c r="R1223">
        <f t="shared" si="443"/>
        <v>0.08</v>
      </c>
      <c r="S1223">
        <f t="shared" si="444"/>
        <v>0.06</v>
      </c>
      <c r="T1223">
        <f t="shared" si="445"/>
        <v>0.1</v>
      </c>
      <c r="U1223">
        <f t="shared" si="451"/>
        <v>0.08</v>
      </c>
      <c r="V1223">
        <f t="shared" si="456"/>
        <v>0.18800000028267283</v>
      </c>
      <c r="W1223">
        <f t="shared" si="452"/>
        <v>0.16988518812562817</v>
      </c>
      <c r="X1223">
        <f t="shared" si="453"/>
        <v>0.21007612878581305</v>
      </c>
      <c r="Y1223" t="b">
        <f t="shared" si="455"/>
        <v>0</v>
      </c>
    </row>
    <row xmlns:x14ac="http://schemas.microsoft.com/office/spreadsheetml/2009/9/ac" r="1224" x14ac:dyDescent="0.45">
      <c r="A1224">
        <v>6.0849999999998996</v>
      </c>
      <c r="B1224">
        <f t="shared" si="457"/>
        <v>0.16300000000000711</v>
      </c>
      <c r="C1224" t="b">
        <f t="shared" si="446"/>
        <v>1</v>
      </c>
      <c r="D1224" t="b">
        <f t="shared" si="458"/>
        <v>1</v>
      </c>
      <c r="E1224">
        <f t="shared" ref="E1224:E1287" si="466">IF(D1224,A1224,D1224)</f>
        <v>6.0849999999998996</v>
      </c>
      <c r="F1224">
        <f t="shared" si="447"/>
        <v>0.16300000000000711</v>
      </c>
      <c r="G1224">
        <f t="shared" si="459"/>
        <v>0.21007424915939416</v>
      </c>
      <c r="H1224">
        <f t="shared" si="460"/>
        <v>3.5000000000002737E-2</v>
      </c>
      <c r="I1224" t="b">
        <f t="shared" si="448"/>
        <v>1</v>
      </c>
      <c r="J1224">
        <f t="shared" si="461"/>
        <v>6.0849999999998996</v>
      </c>
      <c r="K1224">
        <f t="shared" si="449"/>
        <v>3.5000000000002737E-2</v>
      </c>
      <c r="L1224">
        <f t="shared" si="462"/>
        <v>0.16988802284090659</v>
      </c>
      <c r="M1224">
        <f t="shared" si="463"/>
        <v>0.19000000000000547</v>
      </c>
      <c r="N1224">
        <f t="shared" si="464"/>
        <v>0.18800000025982291</v>
      </c>
      <c r="O1224">
        <f t="shared" si="465"/>
        <v>0.15777777777777779</v>
      </c>
      <c r="P1224">
        <f t="shared" si="454"/>
        <v>0.08</v>
      </c>
      <c r="Q1224">
        <f t="shared" si="450"/>
        <v>0.08</v>
      </c>
      <c r="R1224">
        <f t="shared" ref="R1224:R1287" si="467">$AB$6-(1+AB$17)*EXP(-AF$6*AF$12*A1224)*(COS(AF$5*A1224)-(AF$6*AF$12-1)/(AF$5)*SIN(AF$5*A1224))*AF$15</f>
        <v>0.08</v>
      </c>
      <c r="S1224">
        <f t="shared" ref="S1224:S1287" si="468">R1224-AF$13</f>
        <v>0.06</v>
      </c>
      <c r="T1224">
        <f t="shared" ref="T1224:T1287" si="469">R1224+AF$13</f>
        <v>0.1</v>
      </c>
      <c r="U1224">
        <f t="shared" si="451"/>
        <v>0.08</v>
      </c>
      <c r="V1224">
        <f t="shared" si="456"/>
        <v>0.18800000025982291</v>
      </c>
      <c r="W1224">
        <f t="shared" si="452"/>
        <v>0.16988576075224052</v>
      </c>
      <c r="X1224">
        <f t="shared" si="453"/>
        <v>0.21007574909190979</v>
      </c>
      <c r="Y1224" t="b">
        <f t="shared" si="455"/>
        <v>0</v>
      </c>
    </row>
    <row xmlns:x14ac="http://schemas.microsoft.com/office/spreadsheetml/2009/9/ac" r="1225" x14ac:dyDescent="0.45">
      <c r="A1225">
        <v>6.0899999999999004</v>
      </c>
      <c r="B1225">
        <f t="shared" si="457"/>
        <v>0.1630000000000065</v>
      </c>
      <c r="C1225" t="b">
        <f t="shared" ref="C1225:C1288" si="470">IF(C1224,C1224,(B1225&lt;B1224))</f>
        <v>1</v>
      </c>
      <c r="D1225" t="b">
        <f t="shared" si="458"/>
        <v>1</v>
      </c>
      <c r="E1225">
        <f t="shared" si="466"/>
        <v>6.0899999999999004</v>
      </c>
      <c r="F1225">
        <f t="shared" ref="F1225:F1288" si="471">IF(D1225,B1225,D1225)</f>
        <v>0.1630000000000065</v>
      </c>
      <c r="G1225">
        <f t="shared" si="459"/>
        <v>0.21007387884016676</v>
      </c>
      <c r="H1225">
        <f t="shared" si="460"/>
        <v>3.5000000000002501E-2</v>
      </c>
      <c r="I1225" t="b">
        <f t="shared" ref="I1225:I1288" si="472">IF(I1224,I1224,H1224&gt;H1225)</f>
        <v>1</v>
      </c>
      <c r="J1225">
        <f t="shared" si="461"/>
        <v>6.0899999999999004</v>
      </c>
      <c r="K1225">
        <f t="shared" ref="K1225:K1288" si="473">IF(I1225,H1225,I1225)</f>
        <v>3.5000000000002501E-2</v>
      </c>
      <c r="L1225">
        <f t="shared" si="462"/>
        <v>0.1698885813293175</v>
      </c>
      <c r="M1225">
        <f t="shared" si="463"/>
        <v>0.190000000000005</v>
      </c>
      <c r="N1225">
        <f t="shared" si="464"/>
        <v>0.18800000023653285</v>
      </c>
      <c r="O1225">
        <f t="shared" si="465"/>
        <v>0.15777777777777779</v>
      </c>
      <c r="P1225">
        <f t="shared" si="454"/>
        <v>0.08</v>
      </c>
      <c r="Q1225">
        <f t="shared" ref="Q1225:Q1288" si="474">$AB$6-(1+AB$17)*EXP(-AF$6*AF$12*A1223)*(COS(AF$5*A1223)-(AF$6*AF$12-1)/(AF$5)*SIN(AF$5*A1223))*AF$15</f>
        <v>0.08</v>
      </c>
      <c r="R1225">
        <f t="shared" si="467"/>
        <v>0.08</v>
      </c>
      <c r="S1225">
        <f t="shared" si="468"/>
        <v>0.06</v>
      </c>
      <c r="T1225">
        <f t="shared" si="469"/>
        <v>0.1</v>
      </c>
      <c r="U1225">
        <f t="shared" ref="U1225:U1288" si="475">$AB$6-AB$18*EXP(-AF$6*AF$12*A1223)*(COS(AF$5*A1223)-(AF$6*AF$12-1)/(AF$5)*SIN(AF$5*A1223))*AF$15</f>
        <v>0.08</v>
      </c>
      <c r="V1225">
        <f t="shared" si="456"/>
        <v>0.18800000023653285</v>
      </c>
      <c r="W1225">
        <f t="shared" si="452"/>
        <v>0.16988633052286573</v>
      </c>
      <c r="X1225">
        <f t="shared" si="453"/>
        <v>0.21007537129173776</v>
      </c>
      <c r="Y1225" t="b">
        <f t="shared" si="455"/>
        <v>0</v>
      </c>
    </row>
    <row xmlns:x14ac="http://schemas.microsoft.com/office/spreadsheetml/2009/9/ac" r="1226" x14ac:dyDescent="0.45">
      <c r="A1226">
        <v>6.0949999999999003</v>
      </c>
      <c r="B1226">
        <f t="shared" si="457"/>
        <v>0.16300000000000595</v>
      </c>
      <c r="C1226" t="b">
        <f t="shared" si="470"/>
        <v>1</v>
      </c>
      <c r="D1226" t="b">
        <f t="shared" si="458"/>
        <v>1</v>
      </c>
      <c r="E1226">
        <f t="shared" si="466"/>
        <v>6.0949999999999003</v>
      </c>
      <c r="F1226">
        <f t="shared" si="471"/>
        <v>0.16300000000000595</v>
      </c>
      <c r="G1226">
        <f t="shared" si="459"/>
        <v>0.21007351036791422</v>
      </c>
      <c r="H1226">
        <f t="shared" si="460"/>
        <v>3.5000000000002293E-2</v>
      </c>
      <c r="I1226" t="b">
        <f t="shared" si="472"/>
        <v>1</v>
      </c>
      <c r="J1226">
        <f t="shared" si="461"/>
        <v>6.0949999999999003</v>
      </c>
      <c r="K1226">
        <f t="shared" si="473"/>
        <v>3.5000000000002293E-2</v>
      </c>
      <c r="L1226">
        <f t="shared" si="462"/>
        <v>0.16988913703225589</v>
      </c>
      <c r="M1226">
        <f t="shared" si="463"/>
        <v>0.19000000000000458</v>
      </c>
      <c r="N1226">
        <f t="shared" si="464"/>
        <v>0.1880000002129204</v>
      </c>
      <c r="O1226">
        <f t="shared" si="465"/>
        <v>0.15777777777777779</v>
      </c>
      <c r="P1226">
        <f t="shared" si="454"/>
        <v>0.08</v>
      </c>
      <c r="Q1226">
        <f t="shared" si="474"/>
        <v>0.08</v>
      </c>
      <c r="R1226">
        <f t="shared" si="467"/>
        <v>0.08</v>
      </c>
      <c r="S1226">
        <f t="shared" si="468"/>
        <v>0.06</v>
      </c>
      <c r="T1226">
        <f t="shared" si="469"/>
        <v>0.1</v>
      </c>
      <c r="U1226">
        <f t="shared" si="475"/>
        <v>0.08</v>
      </c>
      <c r="V1226">
        <f t="shared" si="456"/>
        <v>0.1880000002129204</v>
      </c>
      <c r="W1226">
        <f t="shared" si="452"/>
        <v>0.16988689745174809</v>
      </c>
      <c r="X1226">
        <f t="shared" si="453"/>
        <v>0.21007499537585195</v>
      </c>
      <c r="Y1226" t="b">
        <f t="shared" si="455"/>
        <v>0</v>
      </c>
    </row>
    <row xmlns:x14ac="http://schemas.microsoft.com/office/spreadsheetml/2009/9/ac" r="1227" x14ac:dyDescent="0.45">
      <c r="A1227">
        <v>6.0999999999999002</v>
      </c>
      <c r="B1227">
        <f t="shared" si="457"/>
        <v>0.16300000000000536</v>
      </c>
      <c r="C1227" t="b">
        <f t="shared" si="470"/>
        <v>1</v>
      </c>
      <c r="D1227" t="b">
        <f t="shared" si="458"/>
        <v>1</v>
      </c>
      <c r="E1227">
        <f t="shared" si="466"/>
        <v>6.0999999999999002</v>
      </c>
      <c r="F1227">
        <f t="shared" si="471"/>
        <v>0.16300000000000536</v>
      </c>
      <c r="G1227">
        <f t="shared" si="459"/>
        <v>0.21007314373342467</v>
      </c>
      <c r="H1227">
        <f t="shared" si="460"/>
        <v>3.5000000000002057E-2</v>
      </c>
      <c r="I1227" t="b">
        <f t="shared" si="472"/>
        <v>1</v>
      </c>
      <c r="J1227">
        <f t="shared" si="461"/>
        <v>6.0999999999999002</v>
      </c>
      <c r="K1227">
        <f t="shared" si="473"/>
        <v>3.5000000000002057E-2</v>
      </c>
      <c r="L1227">
        <f t="shared" si="462"/>
        <v>0.16988968996361425</v>
      </c>
      <c r="M1227">
        <f t="shared" si="463"/>
        <v>0.19000000000000411</v>
      </c>
      <c r="N1227">
        <f t="shared" si="464"/>
        <v>0.18800000018910121</v>
      </c>
      <c r="O1227">
        <f t="shared" si="465"/>
        <v>0.15777777777777779</v>
      </c>
      <c r="P1227">
        <f t="shared" si="454"/>
        <v>0.08</v>
      </c>
      <c r="Q1227">
        <f t="shared" si="474"/>
        <v>0.08</v>
      </c>
      <c r="R1227">
        <f t="shared" si="467"/>
        <v>0.08</v>
      </c>
      <c r="S1227">
        <f t="shared" si="468"/>
        <v>0.06</v>
      </c>
      <c r="T1227">
        <f t="shared" si="469"/>
        <v>0.1</v>
      </c>
      <c r="U1227">
        <f t="shared" si="475"/>
        <v>0.08</v>
      </c>
      <c r="V1227">
        <f t="shared" si="456"/>
        <v>0.18800000018910121</v>
      </c>
      <c r="W1227">
        <f t="shared" ref="W1227:W1290" si="476">IF(EMT_Simulation,L1223,L1227)</f>
        <v>0.16988746155306086</v>
      </c>
      <c r="X1227">
        <f t="shared" ref="X1227:X1290" si="477">IF(EMT_Simulation,G1223,G1227)</f>
        <v>0.21007462133485444</v>
      </c>
      <c r="Y1227" t="b">
        <f t="shared" si="455"/>
        <v>0</v>
      </c>
    </row>
    <row xmlns:x14ac="http://schemas.microsoft.com/office/spreadsheetml/2009/9/ac" r="1228" x14ac:dyDescent="0.45">
      <c r="A1228">
        <v>6.1049999999999001</v>
      </c>
      <c r="B1228">
        <f t="shared" si="457"/>
        <v>0.16300000000000478</v>
      </c>
      <c r="C1228" t="b">
        <f t="shared" si="470"/>
        <v>1</v>
      </c>
      <c r="D1228" t="b">
        <f t="shared" si="458"/>
        <v>1</v>
      </c>
      <c r="E1228">
        <f t="shared" si="466"/>
        <v>6.1049999999999001</v>
      </c>
      <c r="F1228">
        <f t="shared" si="471"/>
        <v>0.16300000000000478</v>
      </c>
      <c r="G1228">
        <f t="shared" si="459"/>
        <v>0.21007277892753229</v>
      </c>
      <c r="H1228">
        <f t="shared" si="460"/>
        <v>3.5000000000001835E-2</v>
      </c>
      <c r="I1228" t="b">
        <f t="shared" si="472"/>
        <v>1</v>
      </c>
      <c r="J1228">
        <f t="shared" si="461"/>
        <v>6.1049999999999001</v>
      </c>
      <c r="K1228">
        <f t="shared" si="473"/>
        <v>3.5000000000001835E-2</v>
      </c>
      <c r="L1228">
        <f t="shared" si="462"/>
        <v>0.16989024013721599</v>
      </c>
      <c r="M1228">
        <f t="shared" si="463"/>
        <v>0.19000000000000367</v>
      </c>
      <c r="N1228">
        <f t="shared" si="464"/>
        <v>0.18800000016518806</v>
      </c>
      <c r="O1228">
        <f t="shared" si="465"/>
        <v>0.15777777777777779</v>
      </c>
      <c r="P1228">
        <f t="shared" si="454"/>
        <v>0.08</v>
      </c>
      <c r="Q1228">
        <f t="shared" si="474"/>
        <v>0.08</v>
      </c>
      <c r="R1228">
        <f t="shared" si="467"/>
        <v>0.08</v>
      </c>
      <c r="S1228">
        <f t="shared" si="468"/>
        <v>0.06</v>
      </c>
      <c r="T1228">
        <f t="shared" si="469"/>
        <v>0.1</v>
      </c>
      <c r="U1228">
        <f t="shared" si="475"/>
        <v>0.08</v>
      </c>
      <c r="V1228">
        <f t="shared" si="456"/>
        <v>0.18800000016518806</v>
      </c>
      <c r="W1228">
        <f t="shared" si="476"/>
        <v>0.16988802284090659</v>
      </c>
      <c r="X1228">
        <f t="shared" si="477"/>
        <v>0.21007424915939416</v>
      </c>
      <c r="Y1228" t="b">
        <f t="shared" si="455"/>
        <v>0</v>
      </c>
    </row>
    <row xmlns:x14ac="http://schemas.microsoft.com/office/spreadsheetml/2009/9/ac" r="1229" x14ac:dyDescent="0.45">
      <c r="A1229">
        <v>6.1099999999999</v>
      </c>
      <c r="B1229">
        <f t="shared" si="457"/>
        <v>0.1630000000000042</v>
      </c>
      <c r="C1229" t="b">
        <f t="shared" si="470"/>
        <v>1</v>
      </c>
      <c r="D1229" t="b">
        <f t="shared" si="458"/>
        <v>1</v>
      </c>
      <c r="E1229">
        <f t="shared" si="466"/>
        <v>6.1099999999999</v>
      </c>
      <c r="F1229">
        <f t="shared" si="471"/>
        <v>0.1630000000000042</v>
      </c>
      <c r="G1229">
        <f t="shared" si="459"/>
        <v>0.21007241594111692</v>
      </c>
      <c r="H1229">
        <f t="shared" si="460"/>
        <v>3.5000000000001613E-2</v>
      </c>
      <c r="I1229" t="b">
        <f t="shared" si="472"/>
        <v>1</v>
      </c>
      <c r="J1229">
        <f t="shared" si="461"/>
        <v>6.1099999999999</v>
      </c>
      <c r="K1229">
        <f t="shared" si="473"/>
        <v>3.5000000000001613E-2</v>
      </c>
      <c r="L1229">
        <f t="shared" si="462"/>
        <v>0.16989078756681542</v>
      </c>
      <c r="M1229">
        <f t="shared" si="463"/>
        <v>0.19000000000000322</v>
      </c>
      <c r="N1229">
        <f t="shared" si="464"/>
        <v>0.18800000014129065</v>
      </c>
      <c r="O1229">
        <f t="shared" si="465"/>
        <v>0.15777777777777779</v>
      </c>
      <c r="P1229">
        <f t="shared" si="454"/>
        <v>0.08</v>
      </c>
      <c r="Q1229">
        <f t="shared" si="474"/>
        <v>0.08</v>
      </c>
      <c r="R1229">
        <f t="shared" si="467"/>
        <v>0.08</v>
      </c>
      <c r="S1229">
        <f t="shared" si="468"/>
        <v>0.06</v>
      </c>
      <c r="T1229">
        <f t="shared" si="469"/>
        <v>0.1</v>
      </c>
      <c r="U1229">
        <f t="shared" si="475"/>
        <v>0.08</v>
      </c>
      <c r="V1229">
        <f t="shared" si="456"/>
        <v>0.18800000014129065</v>
      </c>
      <c r="W1229">
        <f t="shared" si="476"/>
        <v>0.1698885813293175</v>
      </c>
      <c r="X1229">
        <f t="shared" si="477"/>
        <v>0.21007387884016676</v>
      </c>
      <c r="Y1229" t="b">
        <f t="shared" si="455"/>
        <v>0</v>
      </c>
    </row>
    <row xmlns:x14ac="http://schemas.microsoft.com/office/spreadsheetml/2009/9/ac" r="1230" x14ac:dyDescent="0.45">
      <c r="A1230">
        <v>6.1149999999998998</v>
      </c>
      <c r="B1230">
        <f t="shared" si="457"/>
        <v>0.16300000000000364</v>
      </c>
      <c r="C1230" t="b">
        <f t="shared" si="470"/>
        <v>1</v>
      </c>
      <c r="D1230" t="b">
        <f t="shared" si="458"/>
        <v>1</v>
      </c>
      <c r="E1230">
        <f t="shared" si="466"/>
        <v>6.1149999999998998</v>
      </c>
      <c r="F1230">
        <f t="shared" si="471"/>
        <v>0.16300000000000364</v>
      </c>
      <c r="G1230">
        <f t="shared" si="459"/>
        <v>0.21007205476510382</v>
      </c>
      <c r="H1230">
        <f t="shared" si="460"/>
        <v>3.5000000000001405E-2</v>
      </c>
      <c r="I1230" t="b">
        <f t="shared" si="472"/>
        <v>1</v>
      </c>
      <c r="J1230">
        <f t="shared" si="461"/>
        <v>6.1149999999998998</v>
      </c>
      <c r="K1230">
        <f t="shared" si="473"/>
        <v>3.5000000000001405E-2</v>
      </c>
      <c r="L1230">
        <f t="shared" si="462"/>
        <v>0.16989133226609837</v>
      </c>
      <c r="M1230">
        <f t="shared" si="463"/>
        <v>0.19000000000000281</v>
      </c>
      <c r="N1230">
        <f t="shared" si="464"/>
        <v>0.18800000011751516</v>
      </c>
      <c r="O1230">
        <f t="shared" si="465"/>
        <v>0.15777777777777779</v>
      </c>
      <c r="P1230">
        <f t="shared" ref="P1230:P1293" si="478">$AB$6-EXP(-AF$6*AF$12*A1230)*(COS(AF$5*A1230)-(AF$6*AF$12-1)/(AF$5)*SIN(AF$5*A1230))*AF$15</f>
        <v>0.08</v>
      </c>
      <c r="Q1230">
        <f t="shared" si="474"/>
        <v>0.08</v>
      </c>
      <c r="R1230">
        <f t="shared" si="467"/>
        <v>0.08</v>
      </c>
      <c r="S1230">
        <f t="shared" si="468"/>
        <v>0.06</v>
      </c>
      <c r="T1230">
        <f t="shared" si="469"/>
        <v>0.1</v>
      </c>
      <c r="U1230">
        <f t="shared" si="475"/>
        <v>0.08</v>
      </c>
      <c r="V1230">
        <f t="shared" si="456"/>
        <v>0.18800000011751516</v>
      </c>
      <c r="W1230">
        <f t="shared" si="476"/>
        <v>0.16988913703225589</v>
      </c>
      <c r="X1230">
        <f t="shared" si="477"/>
        <v>0.21007351036791422</v>
      </c>
      <c r="Y1230" t="b">
        <f t="shared" si="455"/>
        <v>0</v>
      </c>
    </row>
    <row xmlns:x14ac="http://schemas.microsoft.com/office/spreadsheetml/2009/9/ac" r="1231" x14ac:dyDescent="0.45">
      <c r="A1231">
        <v>6.1199999999998997</v>
      </c>
      <c r="B1231">
        <f t="shared" si="457"/>
        <v>0.16300000000000306</v>
      </c>
      <c r="C1231" t="b">
        <f t="shared" si="470"/>
        <v>1</v>
      </c>
      <c r="D1231" t="b">
        <f t="shared" si="458"/>
        <v>1</v>
      </c>
      <c r="E1231">
        <f t="shared" si="466"/>
        <v>6.1199999999998997</v>
      </c>
      <c r="F1231">
        <f t="shared" si="471"/>
        <v>0.16300000000000306</v>
      </c>
      <c r="G1231">
        <f t="shared" si="459"/>
        <v>0.21007169539046361</v>
      </c>
      <c r="H1231">
        <f t="shared" si="460"/>
        <v>3.5000000000001183E-2</v>
      </c>
      <c r="I1231" t="b">
        <f t="shared" si="472"/>
        <v>1</v>
      </c>
      <c r="J1231">
        <f t="shared" si="461"/>
        <v>6.1199999999998997</v>
      </c>
      <c r="K1231">
        <f t="shared" si="473"/>
        <v>3.5000000000001183E-2</v>
      </c>
      <c r="L1231">
        <f t="shared" si="462"/>
        <v>0.16989187424868227</v>
      </c>
      <c r="M1231">
        <f t="shared" si="463"/>
        <v>0.19000000000000236</v>
      </c>
      <c r="N1231">
        <f t="shared" si="464"/>
        <v>0.18800000009396395</v>
      </c>
      <c r="O1231">
        <f t="shared" si="465"/>
        <v>0.15777777777777779</v>
      </c>
      <c r="P1231">
        <f t="shared" si="478"/>
        <v>0.08</v>
      </c>
      <c r="Q1231">
        <f t="shared" si="474"/>
        <v>0.08</v>
      </c>
      <c r="R1231">
        <f t="shared" si="467"/>
        <v>0.08</v>
      </c>
      <c r="S1231">
        <f t="shared" si="468"/>
        <v>0.06</v>
      </c>
      <c r="T1231">
        <f t="shared" si="469"/>
        <v>0.1</v>
      </c>
      <c r="U1231">
        <f t="shared" si="475"/>
        <v>0.08</v>
      </c>
      <c r="V1231">
        <f t="shared" si="456"/>
        <v>0.18800000009396395</v>
      </c>
      <c r="W1231">
        <f t="shared" si="476"/>
        <v>0.16988968996361425</v>
      </c>
      <c r="X1231">
        <f t="shared" si="477"/>
        <v>0.21007314373342467</v>
      </c>
      <c r="Y1231" t="b">
        <f t="shared" ref="Y1231:Y1294" si="479">IF(Y1230,TRUE,IF(P1231&lt;P1230,TRUE))</f>
        <v>0</v>
      </c>
    </row>
    <row xmlns:x14ac="http://schemas.microsoft.com/office/spreadsheetml/2009/9/ac" r="1232" x14ac:dyDescent="0.45">
      <c r="A1232">
        <v>6.1249999999998996</v>
      </c>
      <c r="B1232">
        <f t="shared" si="457"/>
        <v>0.16300000000000253</v>
      </c>
      <c r="C1232" t="b">
        <f t="shared" si="470"/>
        <v>1</v>
      </c>
      <c r="D1232" t="b">
        <f t="shared" si="458"/>
        <v>1</v>
      </c>
      <c r="E1232">
        <f t="shared" si="466"/>
        <v>6.1249999999998996</v>
      </c>
      <c r="F1232">
        <f t="shared" si="471"/>
        <v>0.16300000000000253</v>
      </c>
      <c r="G1232">
        <f t="shared" si="459"/>
        <v>0.21007133780821186</v>
      </c>
      <c r="H1232">
        <f t="shared" si="460"/>
        <v>3.5000000000000975E-2</v>
      </c>
      <c r="I1232" t="b">
        <f t="shared" si="472"/>
        <v>1</v>
      </c>
      <c r="J1232">
        <f t="shared" si="461"/>
        <v>6.1249999999998996</v>
      </c>
      <c r="K1232">
        <f t="shared" si="473"/>
        <v>3.5000000000000975E-2</v>
      </c>
      <c r="L1232">
        <f t="shared" si="462"/>
        <v>0.16989241352811679</v>
      </c>
      <c r="M1232">
        <f t="shared" si="463"/>
        <v>0.19000000000000195</v>
      </c>
      <c r="N1232">
        <f t="shared" si="464"/>
        <v>0.18800000007073495</v>
      </c>
      <c r="O1232">
        <f t="shared" si="465"/>
        <v>0.15777777777777779</v>
      </c>
      <c r="P1232">
        <f t="shared" si="478"/>
        <v>0.08</v>
      </c>
      <c r="Q1232">
        <f t="shared" si="474"/>
        <v>0.08</v>
      </c>
      <c r="R1232">
        <f t="shared" si="467"/>
        <v>0.08</v>
      </c>
      <c r="S1232">
        <f t="shared" si="468"/>
        <v>0.06</v>
      </c>
      <c r="T1232">
        <f t="shared" si="469"/>
        <v>0.1</v>
      </c>
      <c r="U1232">
        <f t="shared" si="475"/>
        <v>0.08</v>
      </c>
      <c r="V1232">
        <f t="shared" si="456"/>
        <v>0.18800000007073495</v>
      </c>
      <c r="W1232">
        <f t="shared" si="476"/>
        <v>0.16989024013721599</v>
      </c>
      <c r="X1232">
        <f t="shared" si="477"/>
        <v>0.21007277892753229</v>
      </c>
      <c r="Y1232" t="b">
        <f t="shared" si="479"/>
        <v>0</v>
      </c>
    </row>
    <row xmlns:x14ac="http://schemas.microsoft.com/office/spreadsheetml/2009/9/ac" r="1233" x14ac:dyDescent="0.45">
      <c r="A1233">
        <v>6.1299999999999004</v>
      </c>
      <c r="B1233">
        <f t="shared" si="457"/>
        <v>0.163000000000002</v>
      </c>
      <c r="C1233" t="b">
        <f t="shared" si="470"/>
        <v>1</v>
      </c>
      <c r="D1233" t="b">
        <f t="shared" si="458"/>
        <v>1</v>
      </c>
      <c r="E1233">
        <f t="shared" si="466"/>
        <v>6.1299999999999004</v>
      </c>
      <c r="F1233">
        <f t="shared" si="471"/>
        <v>0.163000000000002</v>
      </c>
      <c r="G1233">
        <f t="shared" si="459"/>
        <v>0.21007098200940905</v>
      </c>
      <c r="H1233">
        <f t="shared" si="460"/>
        <v>3.5000000000000767E-2</v>
      </c>
      <c r="I1233" t="b">
        <f t="shared" si="472"/>
        <v>1</v>
      </c>
      <c r="J1233">
        <f t="shared" si="461"/>
        <v>6.1299999999999004</v>
      </c>
      <c r="K1233">
        <f t="shared" si="473"/>
        <v>3.5000000000000767E-2</v>
      </c>
      <c r="L1233">
        <f t="shared" si="462"/>
        <v>0.16989295011788388</v>
      </c>
      <c r="M1233">
        <f t="shared" si="463"/>
        <v>0.19000000000000156</v>
      </c>
      <c r="N1233">
        <f t="shared" si="464"/>
        <v>0.18800000004792178</v>
      </c>
      <c r="O1233">
        <f t="shared" si="465"/>
        <v>0.15777777777777779</v>
      </c>
      <c r="P1233">
        <f t="shared" si="478"/>
        <v>0.08</v>
      </c>
      <c r="Q1233">
        <f t="shared" si="474"/>
        <v>0.08</v>
      </c>
      <c r="R1233">
        <f t="shared" si="467"/>
        <v>0.08</v>
      </c>
      <c r="S1233">
        <f t="shared" si="468"/>
        <v>0.06</v>
      </c>
      <c r="T1233">
        <f t="shared" si="469"/>
        <v>0.1</v>
      </c>
      <c r="U1233">
        <f t="shared" si="475"/>
        <v>0.08</v>
      </c>
      <c r="V1233">
        <f t="shared" si="456"/>
        <v>0.18800000004792178</v>
      </c>
      <c r="W1233">
        <f t="shared" si="476"/>
        <v>0.16989078756681542</v>
      </c>
      <c r="X1233">
        <f t="shared" si="477"/>
        <v>0.21007241594111692</v>
      </c>
      <c r="Y1233" t="b">
        <f t="shared" si="479"/>
        <v>0</v>
      </c>
    </row>
    <row xmlns:x14ac="http://schemas.microsoft.com/office/spreadsheetml/2009/9/ac" r="1234" x14ac:dyDescent="0.45">
      <c r="A1234">
        <v>6.1349999999999003</v>
      </c>
      <c r="B1234">
        <f t="shared" si="457"/>
        <v>0.16300000000000148</v>
      </c>
      <c r="C1234" t="b">
        <f t="shared" si="470"/>
        <v>1</v>
      </c>
      <c r="D1234" t="b">
        <f t="shared" si="458"/>
        <v>1</v>
      </c>
      <c r="E1234">
        <f t="shared" si="466"/>
        <v>6.1349999999999003</v>
      </c>
      <c r="F1234">
        <f t="shared" si="471"/>
        <v>0.16300000000000148</v>
      </c>
      <c r="G1234">
        <f t="shared" si="459"/>
        <v>0.21007062798516019</v>
      </c>
      <c r="H1234">
        <f t="shared" si="460"/>
        <v>3.5000000000000572E-2</v>
      </c>
      <c r="I1234" t="b">
        <f t="shared" si="472"/>
        <v>1</v>
      </c>
      <c r="J1234">
        <f t="shared" si="461"/>
        <v>6.1349999999999003</v>
      </c>
      <c r="K1234">
        <f t="shared" si="473"/>
        <v>3.5000000000000572E-2</v>
      </c>
      <c r="L1234">
        <f t="shared" si="462"/>
        <v>0.16989348403139837</v>
      </c>
      <c r="M1234">
        <f t="shared" si="463"/>
        <v>0.19000000000000114</v>
      </c>
      <c r="N1234">
        <f t="shared" si="464"/>
        <v>0.18800000002561318</v>
      </c>
      <c r="O1234">
        <f t="shared" si="465"/>
        <v>0.15777777777777779</v>
      </c>
      <c r="P1234">
        <f t="shared" si="478"/>
        <v>0.08</v>
      </c>
      <c r="Q1234">
        <f t="shared" si="474"/>
        <v>0.08</v>
      </c>
      <c r="R1234">
        <f t="shared" si="467"/>
        <v>0.08</v>
      </c>
      <c r="S1234">
        <f t="shared" si="468"/>
        <v>0.06</v>
      </c>
      <c r="T1234">
        <f t="shared" si="469"/>
        <v>0.1</v>
      </c>
      <c r="U1234">
        <f t="shared" si="475"/>
        <v>0.08</v>
      </c>
      <c r="V1234">
        <f t="shared" si="456"/>
        <v>0.18800000002561318</v>
      </c>
      <c r="W1234">
        <f t="shared" si="476"/>
        <v>0.16989133226609837</v>
      </c>
      <c r="X1234">
        <f t="shared" si="477"/>
        <v>0.21007205476510382</v>
      </c>
      <c r="Y1234" t="b">
        <f t="shared" si="479"/>
        <v>0</v>
      </c>
    </row>
    <row xmlns:x14ac="http://schemas.microsoft.com/office/spreadsheetml/2009/9/ac" r="1235" x14ac:dyDescent="0.45">
      <c r="A1235">
        <v>6.1399999999999002</v>
      </c>
      <c r="B1235">
        <f t="shared" si="457"/>
        <v>0.16300000000000098</v>
      </c>
      <c r="C1235" t="b">
        <f t="shared" si="470"/>
        <v>1</v>
      </c>
      <c r="D1235" t="b">
        <f t="shared" si="458"/>
        <v>1</v>
      </c>
      <c r="E1235">
        <f t="shared" si="466"/>
        <v>6.1399999999999002</v>
      </c>
      <c r="F1235">
        <f t="shared" si="471"/>
        <v>0.16300000000000098</v>
      </c>
      <c r="G1235">
        <f t="shared" si="459"/>
        <v>0.21007027572661463</v>
      </c>
      <c r="H1235">
        <f t="shared" si="460"/>
        <v>3.5000000000000378E-2</v>
      </c>
      <c r="I1235" t="b">
        <f t="shared" si="472"/>
        <v>1</v>
      </c>
      <c r="J1235">
        <f t="shared" si="461"/>
        <v>6.1399999999999002</v>
      </c>
      <c r="K1235">
        <f t="shared" si="473"/>
        <v>3.5000000000000378E-2</v>
      </c>
      <c r="L1235">
        <f t="shared" si="462"/>
        <v>0.16989401528200807</v>
      </c>
      <c r="M1235">
        <f t="shared" si="463"/>
        <v>0.19000000000000078</v>
      </c>
      <c r="N1235">
        <f t="shared" si="464"/>
        <v>0.18800000000389283</v>
      </c>
      <c r="O1235">
        <f t="shared" si="465"/>
        <v>0.15777777777777779</v>
      </c>
      <c r="P1235">
        <f t="shared" si="478"/>
        <v>0.08</v>
      </c>
      <c r="Q1235">
        <f t="shared" si="474"/>
        <v>0.08</v>
      </c>
      <c r="R1235">
        <f t="shared" si="467"/>
        <v>0.08</v>
      </c>
      <c r="S1235">
        <f t="shared" si="468"/>
        <v>0.06</v>
      </c>
      <c r="T1235">
        <f t="shared" si="469"/>
        <v>0.1</v>
      </c>
      <c r="U1235">
        <f t="shared" si="475"/>
        <v>0.08</v>
      </c>
      <c r="V1235">
        <f t="shared" si="456"/>
        <v>0.18800000000389283</v>
      </c>
      <c r="W1235">
        <f t="shared" si="476"/>
        <v>0.16989187424868227</v>
      </c>
      <c r="X1235">
        <f t="shared" si="477"/>
        <v>0.21007169539046361</v>
      </c>
      <c r="Y1235" t="b">
        <f t="shared" si="479"/>
        <v>0</v>
      </c>
    </row>
    <row xmlns:x14ac="http://schemas.microsoft.com/office/spreadsheetml/2009/9/ac" r="1236" x14ac:dyDescent="0.45">
      <c r="A1236">
        <v>6.1449999999999001</v>
      </c>
      <c r="B1236">
        <f t="shared" si="457"/>
        <v>0.16300000000000051</v>
      </c>
      <c r="C1236" t="b">
        <f t="shared" si="470"/>
        <v>1</v>
      </c>
      <c r="D1236" t="b">
        <f t="shared" si="458"/>
        <v>1</v>
      </c>
      <c r="E1236">
        <f t="shared" si="466"/>
        <v>6.1449999999999001</v>
      </c>
      <c r="F1236">
        <f t="shared" si="471"/>
        <v>0.16300000000000051</v>
      </c>
      <c r="G1236">
        <f t="shared" si="459"/>
        <v>0.21006992522496587</v>
      </c>
      <c r="H1236">
        <f t="shared" si="460"/>
        <v>3.5000000000000198E-2</v>
      </c>
      <c r="I1236" t="b">
        <f t="shared" si="472"/>
        <v>1</v>
      </c>
      <c r="J1236">
        <f t="shared" si="461"/>
        <v>6.1449999999999001</v>
      </c>
      <c r="K1236">
        <f t="shared" si="473"/>
        <v>3.5000000000000198E-2</v>
      </c>
      <c r="L1236">
        <f t="shared" si="462"/>
        <v>0.1698945438829943</v>
      </c>
      <c r="M1236">
        <f t="shared" si="463"/>
        <v>0.19000000000000039</v>
      </c>
      <c r="N1236">
        <f t="shared" si="464"/>
        <v>0.18799999998283912</v>
      </c>
      <c r="O1236">
        <f t="shared" si="465"/>
        <v>0.15777777777777779</v>
      </c>
      <c r="P1236">
        <f t="shared" si="478"/>
        <v>0.08</v>
      </c>
      <c r="Q1236">
        <f t="shared" si="474"/>
        <v>0.08</v>
      </c>
      <c r="R1236">
        <f t="shared" si="467"/>
        <v>0.08</v>
      </c>
      <c r="S1236">
        <f t="shared" si="468"/>
        <v>0.06</v>
      </c>
      <c r="T1236">
        <f t="shared" si="469"/>
        <v>0.1</v>
      </c>
      <c r="U1236">
        <f t="shared" si="475"/>
        <v>0.08</v>
      </c>
      <c r="V1236">
        <f t="shared" si="456"/>
        <v>0.18799999998283912</v>
      </c>
      <c r="W1236">
        <f t="shared" si="476"/>
        <v>0.16989241352811679</v>
      </c>
      <c r="X1236">
        <f t="shared" si="477"/>
        <v>0.21007133780821186</v>
      </c>
      <c r="Y1236" t="b">
        <f t="shared" si="479"/>
        <v>0</v>
      </c>
    </row>
    <row xmlns:x14ac="http://schemas.microsoft.com/office/spreadsheetml/2009/9/ac" r="1237" x14ac:dyDescent="0.45">
      <c r="A1237">
        <v>6.1499999999999</v>
      </c>
      <c r="B1237">
        <f t="shared" si="457"/>
        <v>0.16300000000000006</v>
      </c>
      <c r="C1237" t="b">
        <f t="shared" si="470"/>
        <v>1</v>
      </c>
      <c r="D1237" t="b">
        <f t="shared" si="458"/>
        <v>1</v>
      </c>
      <c r="E1237">
        <f t="shared" si="466"/>
        <v>6.1499999999999</v>
      </c>
      <c r="F1237">
        <f t="shared" si="471"/>
        <v>0.16300000000000006</v>
      </c>
      <c r="G1237">
        <f t="shared" si="459"/>
        <v>0.21006957647145141</v>
      </c>
      <c r="H1237">
        <f t="shared" si="460"/>
        <v>3.5000000000000017E-2</v>
      </c>
      <c r="I1237" t="b">
        <f t="shared" si="472"/>
        <v>1</v>
      </c>
      <c r="J1237">
        <f t="shared" si="461"/>
        <v>6.1499999999999</v>
      </c>
      <c r="K1237">
        <f t="shared" si="473"/>
        <v>3.5000000000000017E-2</v>
      </c>
      <c r="L1237">
        <f t="shared" si="462"/>
        <v>0.16989506984757213</v>
      </c>
      <c r="M1237">
        <f t="shared" si="463"/>
        <v>0.19000000000000006</v>
      </c>
      <c r="N1237">
        <f t="shared" si="464"/>
        <v>0.18799999996252509</v>
      </c>
      <c r="O1237">
        <f t="shared" si="465"/>
        <v>0.15777777777777779</v>
      </c>
      <c r="P1237">
        <f t="shared" si="478"/>
        <v>0.08</v>
      </c>
      <c r="Q1237">
        <f t="shared" si="474"/>
        <v>0.08</v>
      </c>
      <c r="R1237">
        <f t="shared" si="467"/>
        <v>0.08</v>
      </c>
      <c r="S1237">
        <f t="shared" si="468"/>
        <v>0.06</v>
      </c>
      <c r="T1237">
        <f t="shared" si="469"/>
        <v>0.1</v>
      </c>
      <c r="U1237">
        <f t="shared" si="475"/>
        <v>0.08</v>
      </c>
      <c r="V1237">
        <f t="shared" ref="V1237:V1300" si="480">MAX(IF(Y1237,MAX(H1237,$AB$6+$AF$13),MAX(T1237,$AB$6+$AF$13)),O1237,N1237)</f>
        <v>0.18799999996252509</v>
      </c>
      <c r="W1237">
        <f t="shared" si="476"/>
        <v>0.16989295011788388</v>
      </c>
      <c r="X1237">
        <f t="shared" si="477"/>
        <v>0.21007098200940905</v>
      </c>
      <c r="Y1237" t="b">
        <f t="shared" si="479"/>
        <v>0</v>
      </c>
    </row>
    <row xmlns:x14ac="http://schemas.microsoft.com/office/spreadsheetml/2009/9/ac" r="1238" x14ac:dyDescent="0.45">
      <c r="A1238">
        <v>6.1549999999998999</v>
      </c>
      <c r="B1238">
        <f t="shared" si="457"/>
        <v>0.16299999999999962</v>
      </c>
      <c r="C1238" t="b">
        <f t="shared" si="470"/>
        <v>1</v>
      </c>
      <c r="D1238" t="b">
        <f t="shared" si="458"/>
        <v>1</v>
      </c>
      <c r="E1238">
        <f t="shared" si="466"/>
        <v>6.1549999999998999</v>
      </c>
      <c r="F1238">
        <f t="shared" si="471"/>
        <v>0.16299999999999962</v>
      </c>
      <c r="G1238">
        <f t="shared" si="459"/>
        <v>0.21006922945735235</v>
      </c>
      <c r="H1238">
        <f t="shared" si="460"/>
        <v>3.4999999999999851E-2</v>
      </c>
      <c r="I1238" t="b">
        <f t="shared" si="472"/>
        <v>1</v>
      </c>
      <c r="J1238">
        <f t="shared" si="461"/>
        <v>6.1549999999998999</v>
      </c>
      <c r="K1238">
        <f t="shared" si="473"/>
        <v>3.4999999999999851E-2</v>
      </c>
      <c r="L1238">
        <f t="shared" si="462"/>
        <v>0.16989559318889069</v>
      </c>
      <c r="M1238">
        <f t="shared" si="463"/>
        <v>0.18999999999999972</v>
      </c>
      <c r="N1238">
        <f t="shared" si="464"/>
        <v>0.18799999994301808</v>
      </c>
      <c r="O1238">
        <f t="shared" si="465"/>
        <v>0.15777777777777779</v>
      </c>
      <c r="P1238">
        <f t="shared" si="478"/>
        <v>0.08</v>
      </c>
      <c r="Q1238">
        <f t="shared" si="474"/>
        <v>0.08</v>
      </c>
      <c r="R1238">
        <f t="shared" si="467"/>
        <v>0.08</v>
      </c>
      <c r="S1238">
        <f t="shared" si="468"/>
        <v>0.06</v>
      </c>
      <c r="T1238">
        <f t="shared" si="469"/>
        <v>0.1</v>
      </c>
      <c r="U1238">
        <f t="shared" si="475"/>
        <v>0.08</v>
      </c>
      <c r="V1238">
        <f t="shared" si="480"/>
        <v>0.18799999994301808</v>
      </c>
      <c r="W1238">
        <f t="shared" si="476"/>
        <v>0.16989348403139837</v>
      </c>
      <c r="X1238">
        <f t="shared" si="477"/>
        <v>0.21007062798516019</v>
      </c>
      <c r="Y1238" t="b">
        <f t="shared" si="479"/>
        <v>0</v>
      </c>
    </row>
    <row xmlns:x14ac="http://schemas.microsoft.com/office/spreadsheetml/2009/9/ac" r="1239" x14ac:dyDescent="0.45">
      <c r="A1239">
        <v>6.1599999999998998</v>
      </c>
      <c r="B1239">
        <f t="shared" si="457"/>
        <v>0.1629999999999992</v>
      </c>
      <c r="C1239" t="b">
        <f t="shared" si="470"/>
        <v>1</v>
      </c>
      <c r="D1239" t="b">
        <f t="shared" si="458"/>
        <v>1</v>
      </c>
      <c r="E1239">
        <f t="shared" si="466"/>
        <v>6.1599999999998998</v>
      </c>
      <c r="F1239">
        <f t="shared" si="471"/>
        <v>0.1629999999999992</v>
      </c>
      <c r="G1239">
        <f t="shared" si="459"/>
        <v>0.21006888417399333</v>
      </c>
      <c r="H1239">
        <f t="shared" si="460"/>
        <v>3.4999999999999698E-2</v>
      </c>
      <c r="I1239" t="b">
        <f t="shared" si="472"/>
        <v>1</v>
      </c>
      <c r="J1239">
        <f t="shared" si="461"/>
        <v>6.1599999999998998</v>
      </c>
      <c r="K1239">
        <f t="shared" si="473"/>
        <v>3.4999999999999698E-2</v>
      </c>
      <c r="L1239">
        <f t="shared" si="462"/>
        <v>0.16989611392003351</v>
      </c>
      <c r="M1239">
        <f t="shared" si="463"/>
        <v>0.18999999999999939</v>
      </c>
      <c r="N1239">
        <f t="shared" si="464"/>
        <v>0.18799999992437977</v>
      </c>
      <c r="O1239">
        <f t="shared" si="465"/>
        <v>0.15777777777777779</v>
      </c>
      <c r="P1239">
        <f t="shared" si="478"/>
        <v>0.08</v>
      </c>
      <c r="Q1239">
        <f t="shared" si="474"/>
        <v>0.08</v>
      </c>
      <c r="R1239">
        <f t="shared" si="467"/>
        <v>0.08</v>
      </c>
      <c r="S1239">
        <f t="shared" si="468"/>
        <v>0.06</v>
      </c>
      <c r="T1239">
        <f t="shared" si="469"/>
        <v>0.1</v>
      </c>
      <c r="U1239">
        <f t="shared" si="475"/>
        <v>0.08</v>
      </c>
      <c r="V1239">
        <f t="shared" si="480"/>
        <v>0.18799999992437977</v>
      </c>
      <c r="W1239">
        <f t="shared" si="476"/>
        <v>0.16989401528200807</v>
      </c>
      <c r="X1239">
        <f t="shared" si="477"/>
        <v>0.21007027572661463</v>
      </c>
      <c r="Y1239" t="b">
        <f t="shared" si="479"/>
        <v>0</v>
      </c>
    </row>
    <row xmlns:x14ac="http://schemas.microsoft.com/office/spreadsheetml/2009/9/ac" r="1240" x14ac:dyDescent="0.45">
      <c r="A1240">
        <v>6.1649999999998997</v>
      </c>
      <c r="B1240">
        <f t="shared" si="457"/>
        <v>0.16299999999999881</v>
      </c>
      <c r="C1240" t="b">
        <f t="shared" si="470"/>
        <v>1</v>
      </c>
      <c r="D1240" t="b">
        <f t="shared" si="458"/>
        <v>1</v>
      </c>
      <c r="E1240">
        <f t="shared" si="466"/>
        <v>6.1649999999998997</v>
      </c>
      <c r="F1240">
        <f t="shared" si="471"/>
        <v>0.16299999999999881</v>
      </c>
      <c r="G1240">
        <f t="shared" si="459"/>
        <v>0.21006854061274222</v>
      </c>
      <c r="H1240">
        <f t="shared" si="460"/>
        <v>3.4999999999999545E-2</v>
      </c>
      <c r="I1240" t="b">
        <f t="shared" si="472"/>
        <v>1</v>
      </c>
      <c r="J1240">
        <f t="shared" si="461"/>
        <v>6.1649999999998997</v>
      </c>
      <c r="K1240">
        <f t="shared" si="473"/>
        <v>3.4999999999999545E-2</v>
      </c>
      <c r="L1240">
        <f t="shared" si="462"/>
        <v>0.16989663205401895</v>
      </c>
      <c r="M1240">
        <f t="shared" si="463"/>
        <v>0.18999999999999911</v>
      </c>
      <c r="N1240">
        <f t="shared" si="464"/>
        <v>0.18799999990666599</v>
      </c>
      <c r="O1240">
        <f t="shared" si="465"/>
        <v>0.15777777777777779</v>
      </c>
      <c r="P1240">
        <f t="shared" si="478"/>
        <v>0.08</v>
      </c>
      <c r="Q1240">
        <f t="shared" si="474"/>
        <v>0.08</v>
      </c>
      <c r="R1240">
        <f t="shared" si="467"/>
        <v>0.08</v>
      </c>
      <c r="S1240">
        <f t="shared" si="468"/>
        <v>0.06</v>
      </c>
      <c r="T1240">
        <f t="shared" si="469"/>
        <v>0.1</v>
      </c>
      <c r="U1240">
        <f t="shared" si="475"/>
        <v>0.08</v>
      </c>
      <c r="V1240">
        <f t="shared" si="480"/>
        <v>0.18799999990666599</v>
      </c>
      <c r="W1240">
        <f t="shared" si="476"/>
        <v>0.1698945438829943</v>
      </c>
      <c r="X1240">
        <f t="shared" si="477"/>
        <v>0.21006992522496587</v>
      </c>
      <c r="Y1240" t="b">
        <f t="shared" si="479"/>
        <v>0</v>
      </c>
    </row>
    <row xmlns:x14ac="http://schemas.microsoft.com/office/spreadsheetml/2009/9/ac" r="1241" x14ac:dyDescent="0.45">
      <c r="A1241">
        <v>6.1699999999998996</v>
      </c>
      <c r="B1241">
        <f t="shared" si="457"/>
        <v>0.16299999999999845</v>
      </c>
      <c r="C1241" t="b">
        <f t="shared" si="470"/>
        <v>1</v>
      </c>
      <c r="D1241" t="b">
        <f t="shared" si="458"/>
        <v>1</v>
      </c>
      <c r="E1241">
        <f t="shared" si="466"/>
        <v>6.1699999999998996</v>
      </c>
      <c r="F1241">
        <f t="shared" si="471"/>
        <v>0.16299999999999845</v>
      </c>
      <c r="G1241">
        <f t="shared" si="459"/>
        <v>0.21006819876501004</v>
      </c>
      <c r="H1241">
        <f t="shared" si="460"/>
        <v>3.4999999999999407E-2</v>
      </c>
      <c r="I1241" t="b">
        <f t="shared" si="472"/>
        <v>1</v>
      </c>
      <c r="J1241">
        <f t="shared" si="461"/>
        <v>6.1699999999998996</v>
      </c>
      <c r="K1241">
        <f t="shared" si="473"/>
        <v>3.4999999999999407E-2</v>
      </c>
      <c r="L1241">
        <f t="shared" si="462"/>
        <v>0.16989714760380031</v>
      </c>
      <c r="M1241">
        <f t="shared" si="463"/>
        <v>0.18999999999999881</v>
      </c>
      <c r="N1241">
        <f t="shared" si="464"/>
        <v>0.18799999988992672</v>
      </c>
      <c r="O1241">
        <f t="shared" si="465"/>
        <v>0.15777777777777779</v>
      </c>
      <c r="P1241">
        <f t="shared" si="478"/>
        <v>0.08</v>
      </c>
      <c r="Q1241">
        <f t="shared" si="474"/>
        <v>0.08</v>
      </c>
      <c r="R1241">
        <f t="shared" si="467"/>
        <v>0.08</v>
      </c>
      <c r="S1241">
        <f t="shared" si="468"/>
        <v>0.06</v>
      </c>
      <c r="T1241">
        <f t="shared" si="469"/>
        <v>0.1</v>
      </c>
      <c r="U1241">
        <f t="shared" si="475"/>
        <v>0.08</v>
      </c>
      <c r="V1241">
        <f t="shared" si="480"/>
        <v>0.18799999988992672</v>
      </c>
      <c r="W1241">
        <f t="shared" si="476"/>
        <v>0.16989506984757213</v>
      </c>
      <c r="X1241">
        <f t="shared" si="477"/>
        <v>0.21006957647145141</v>
      </c>
      <c r="Y1241" t="b">
        <f t="shared" si="479"/>
        <v>0</v>
      </c>
    </row>
    <row xmlns:x14ac="http://schemas.microsoft.com/office/spreadsheetml/2009/9/ac" r="1242" x14ac:dyDescent="0.45">
      <c r="A1242">
        <v>6.1749999999999003</v>
      </c>
      <c r="B1242">
        <f t="shared" si="457"/>
        <v>0.16299999999999812</v>
      </c>
      <c r="C1242" t="b">
        <f t="shared" si="470"/>
        <v>1</v>
      </c>
      <c r="D1242" t="b">
        <f t="shared" si="458"/>
        <v>1</v>
      </c>
      <c r="E1242">
        <f t="shared" si="466"/>
        <v>6.1749999999999003</v>
      </c>
      <c r="F1242">
        <f t="shared" si="471"/>
        <v>0.16299999999999812</v>
      </c>
      <c r="G1242">
        <f t="shared" si="459"/>
        <v>0.21006785862225053</v>
      </c>
      <c r="H1242">
        <f t="shared" si="460"/>
        <v>3.4999999999999282E-2</v>
      </c>
      <c r="I1242" t="b">
        <f t="shared" si="472"/>
        <v>1</v>
      </c>
      <c r="J1242">
        <f t="shared" si="461"/>
        <v>6.1749999999999003</v>
      </c>
      <c r="K1242">
        <f t="shared" si="473"/>
        <v>3.4999999999999282E-2</v>
      </c>
      <c r="L1242">
        <f t="shared" si="462"/>
        <v>0.16989766058226646</v>
      </c>
      <c r="M1242">
        <f t="shared" si="463"/>
        <v>0.18999999999999856</v>
      </c>
      <c r="N1242">
        <f t="shared" si="464"/>
        <v>0.18799999987420596</v>
      </c>
      <c r="O1242">
        <f t="shared" si="465"/>
        <v>0.15777777777777779</v>
      </c>
      <c r="P1242">
        <f t="shared" si="478"/>
        <v>0.08</v>
      </c>
      <c r="Q1242">
        <f t="shared" si="474"/>
        <v>0.08</v>
      </c>
      <c r="R1242">
        <f t="shared" si="467"/>
        <v>0.08</v>
      </c>
      <c r="S1242">
        <f t="shared" si="468"/>
        <v>0.06</v>
      </c>
      <c r="T1242">
        <f t="shared" si="469"/>
        <v>0.1</v>
      </c>
      <c r="U1242">
        <f t="shared" si="475"/>
        <v>0.08</v>
      </c>
      <c r="V1242">
        <f t="shared" si="480"/>
        <v>0.18799999987420596</v>
      </c>
      <c r="W1242">
        <f t="shared" si="476"/>
        <v>0.16989559318889069</v>
      </c>
      <c r="X1242">
        <f t="shared" si="477"/>
        <v>0.21006922945735235</v>
      </c>
      <c r="Y1242" t="b">
        <f t="shared" si="479"/>
        <v>0</v>
      </c>
    </row>
    <row xmlns:x14ac="http://schemas.microsoft.com/office/spreadsheetml/2009/9/ac" r="1243" x14ac:dyDescent="0.45">
      <c r="A1243">
        <v>6.1799999999999002</v>
      </c>
      <c r="B1243">
        <f t="shared" si="457"/>
        <v>0.16299999999999779</v>
      </c>
      <c r="C1243" t="b">
        <f t="shared" si="470"/>
        <v>1</v>
      </c>
      <c r="D1243" t="b">
        <f t="shared" si="458"/>
        <v>1</v>
      </c>
      <c r="E1243">
        <f t="shared" si="466"/>
        <v>6.1799999999999002</v>
      </c>
      <c r="F1243">
        <f t="shared" si="471"/>
        <v>0.16299999999999779</v>
      </c>
      <c r="G1243">
        <f t="shared" si="459"/>
        <v>0.21006752017596009</v>
      </c>
      <c r="H1243">
        <f t="shared" si="460"/>
        <v>3.4999999999999157E-2</v>
      </c>
      <c r="I1243" t="b">
        <f t="shared" si="472"/>
        <v>1</v>
      </c>
      <c r="J1243">
        <f t="shared" si="461"/>
        <v>6.1799999999999002</v>
      </c>
      <c r="K1243">
        <f t="shared" si="473"/>
        <v>3.4999999999999157E-2</v>
      </c>
      <c r="L1243">
        <f t="shared" si="462"/>
        <v>0.1698981710022418</v>
      </c>
      <c r="M1243">
        <f t="shared" si="463"/>
        <v>0.18999999999999831</v>
      </c>
      <c r="N1243">
        <f t="shared" si="464"/>
        <v>0.1879999998595418</v>
      </c>
      <c r="O1243">
        <f t="shared" si="465"/>
        <v>0.15777777777777779</v>
      </c>
      <c r="P1243">
        <f t="shared" si="478"/>
        <v>0.08</v>
      </c>
      <c r="Q1243">
        <f t="shared" si="474"/>
        <v>0.08</v>
      </c>
      <c r="R1243">
        <f t="shared" si="467"/>
        <v>0.08</v>
      </c>
      <c r="S1243">
        <f t="shared" si="468"/>
        <v>0.06</v>
      </c>
      <c r="T1243">
        <f t="shared" si="469"/>
        <v>0.1</v>
      </c>
      <c r="U1243">
        <f t="shared" si="475"/>
        <v>0.08</v>
      </c>
      <c r="V1243">
        <f t="shared" si="480"/>
        <v>0.1879999998595418</v>
      </c>
      <c r="W1243">
        <f t="shared" si="476"/>
        <v>0.16989611392003351</v>
      </c>
      <c r="X1243">
        <f t="shared" si="477"/>
        <v>0.21006888417399333</v>
      </c>
      <c r="Y1243" t="b">
        <f t="shared" si="479"/>
        <v>0</v>
      </c>
    </row>
    <row xmlns:x14ac="http://schemas.microsoft.com/office/spreadsheetml/2009/9/ac" r="1244" x14ac:dyDescent="0.45">
      <c r="A1244">
        <v>6.1849999999999001</v>
      </c>
      <c r="B1244">
        <f t="shared" si="457"/>
        <v>0.16299999999999754</v>
      </c>
      <c r="C1244" t="b">
        <f t="shared" si="470"/>
        <v>1</v>
      </c>
      <c r="D1244" t="b">
        <f t="shared" si="458"/>
        <v>1</v>
      </c>
      <c r="E1244">
        <f t="shared" si="466"/>
        <v>6.1849999999999001</v>
      </c>
      <c r="F1244">
        <f t="shared" si="471"/>
        <v>0.16299999999999754</v>
      </c>
      <c r="G1244">
        <f t="shared" si="459"/>
        <v>0.21006718341767755</v>
      </c>
      <c r="H1244">
        <f t="shared" si="460"/>
        <v>3.4999999999999046E-2</v>
      </c>
      <c r="I1244" t="b">
        <f t="shared" si="472"/>
        <v>1</v>
      </c>
      <c r="J1244">
        <f t="shared" si="461"/>
        <v>6.1849999999999001</v>
      </c>
      <c r="K1244">
        <f t="shared" si="473"/>
        <v>3.4999999999999046E-2</v>
      </c>
      <c r="L1244">
        <f t="shared" si="462"/>
        <v>0.16989867887648691</v>
      </c>
      <c r="M1244">
        <f t="shared" si="463"/>
        <v>0.18999999999999811</v>
      </c>
      <c r="N1244">
        <f t="shared" si="464"/>
        <v>0.18799999984596644</v>
      </c>
      <c r="O1244">
        <f t="shared" si="465"/>
        <v>0.15777777777777779</v>
      </c>
      <c r="P1244">
        <f t="shared" si="478"/>
        <v>0.08</v>
      </c>
      <c r="Q1244">
        <f t="shared" si="474"/>
        <v>0.08</v>
      </c>
      <c r="R1244">
        <f t="shared" si="467"/>
        <v>0.08</v>
      </c>
      <c r="S1244">
        <f t="shared" si="468"/>
        <v>0.06</v>
      </c>
      <c r="T1244">
        <f t="shared" si="469"/>
        <v>0.1</v>
      </c>
      <c r="U1244">
        <f t="shared" si="475"/>
        <v>0.08</v>
      </c>
      <c r="V1244">
        <f t="shared" si="480"/>
        <v>0.18799999984596644</v>
      </c>
      <c r="W1244">
        <f t="shared" si="476"/>
        <v>0.16989663205401895</v>
      </c>
      <c r="X1244">
        <f t="shared" si="477"/>
        <v>0.21006854061274222</v>
      </c>
      <c r="Y1244" t="b">
        <f t="shared" si="479"/>
        <v>0</v>
      </c>
    </row>
    <row xmlns:x14ac="http://schemas.microsoft.com/office/spreadsheetml/2009/9/ac" r="1245" x14ac:dyDescent="0.45">
      <c r="A1245">
        <v>6.1899999999999</v>
      </c>
      <c r="B1245">
        <f t="shared" si="457"/>
        <v>0.16299999999999726</v>
      </c>
      <c r="C1245" t="b">
        <f t="shared" si="470"/>
        <v>1</v>
      </c>
      <c r="D1245" t="b">
        <f t="shared" si="458"/>
        <v>1</v>
      </c>
      <c r="E1245">
        <f t="shared" si="466"/>
        <v>6.1899999999999</v>
      </c>
      <c r="F1245">
        <f t="shared" si="471"/>
        <v>0.16299999999999726</v>
      </c>
      <c r="G1245">
        <f t="shared" si="459"/>
        <v>0.21006684833898398</v>
      </c>
      <c r="H1245">
        <f t="shared" si="460"/>
        <v>3.4999999999998949E-2</v>
      </c>
      <c r="I1245" t="b">
        <f t="shared" si="472"/>
        <v>1</v>
      </c>
      <c r="J1245">
        <f t="shared" si="461"/>
        <v>6.1899999999999</v>
      </c>
      <c r="K1245">
        <f t="shared" si="473"/>
        <v>3.4999999999998949E-2</v>
      </c>
      <c r="L1245">
        <f t="shared" si="462"/>
        <v>0.16989918421769867</v>
      </c>
      <c r="M1245">
        <f t="shared" si="463"/>
        <v>0.18999999999999789</v>
      </c>
      <c r="N1245">
        <f t="shared" si="464"/>
        <v>0.18799999983350615</v>
      </c>
      <c r="O1245">
        <f t="shared" si="465"/>
        <v>0.15777777777777779</v>
      </c>
      <c r="P1245">
        <f t="shared" si="478"/>
        <v>0.08</v>
      </c>
      <c r="Q1245">
        <f t="shared" si="474"/>
        <v>0.08</v>
      </c>
      <c r="R1245">
        <f t="shared" si="467"/>
        <v>0.08</v>
      </c>
      <c r="S1245">
        <f t="shared" si="468"/>
        <v>0.06</v>
      </c>
      <c r="T1245">
        <f t="shared" si="469"/>
        <v>0.1</v>
      </c>
      <c r="U1245">
        <f t="shared" si="475"/>
        <v>0.08</v>
      </c>
      <c r="V1245">
        <f t="shared" si="480"/>
        <v>0.18799999983350615</v>
      </c>
      <c r="W1245">
        <f t="shared" si="476"/>
        <v>0.16989714760380031</v>
      </c>
      <c r="X1245">
        <f t="shared" si="477"/>
        <v>0.21006819876501004</v>
      </c>
      <c r="Y1245" t="b">
        <f t="shared" si="479"/>
        <v>0</v>
      </c>
    </row>
    <row xmlns:x14ac="http://schemas.microsoft.com/office/spreadsheetml/2009/9/ac" r="1246" x14ac:dyDescent="0.45">
      <c r="A1246">
        <v>6.1949999999998999</v>
      </c>
      <c r="B1246">
        <f t="shared" si="457"/>
        <v>0.16299999999999701</v>
      </c>
      <c r="C1246" t="b">
        <f t="shared" si="470"/>
        <v>1</v>
      </c>
      <c r="D1246" t="b">
        <f t="shared" si="458"/>
        <v>1</v>
      </c>
      <c r="E1246">
        <f t="shared" si="466"/>
        <v>6.1949999999998999</v>
      </c>
      <c r="F1246">
        <f t="shared" si="471"/>
        <v>0.16299999999999701</v>
      </c>
      <c r="G1246">
        <f t="shared" si="459"/>
        <v>0.21006651493150236</v>
      </c>
      <c r="H1246">
        <f t="shared" si="460"/>
        <v>3.4999999999998851E-2</v>
      </c>
      <c r="I1246" t="b">
        <f t="shared" si="472"/>
        <v>1</v>
      </c>
      <c r="J1246">
        <f t="shared" si="461"/>
        <v>6.1949999999998999</v>
      </c>
      <c r="K1246">
        <f t="shared" si="473"/>
        <v>3.4999999999998851E-2</v>
      </c>
      <c r="L1246">
        <f t="shared" si="462"/>
        <v>0.16989968703851061</v>
      </c>
      <c r="M1246">
        <f t="shared" si="463"/>
        <v>0.18999999999999773</v>
      </c>
      <c r="N1246">
        <f t="shared" si="464"/>
        <v>0.18799999982218152</v>
      </c>
      <c r="O1246">
        <f t="shared" si="465"/>
        <v>0.15777777777777779</v>
      </c>
      <c r="P1246">
        <f t="shared" si="478"/>
        <v>0.08</v>
      </c>
      <c r="Q1246">
        <f t="shared" si="474"/>
        <v>0.08</v>
      </c>
      <c r="R1246">
        <f t="shared" si="467"/>
        <v>0.08</v>
      </c>
      <c r="S1246">
        <f t="shared" si="468"/>
        <v>0.06</v>
      </c>
      <c r="T1246">
        <f t="shared" si="469"/>
        <v>0.1</v>
      </c>
      <c r="U1246">
        <f t="shared" si="475"/>
        <v>0.08</v>
      </c>
      <c r="V1246">
        <f t="shared" si="480"/>
        <v>0.18799999982218152</v>
      </c>
      <c r="W1246">
        <f t="shared" si="476"/>
        <v>0.16989766058226646</v>
      </c>
      <c r="X1246">
        <f t="shared" si="477"/>
        <v>0.21006785862225053</v>
      </c>
      <c r="Y1246" t="b">
        <f t="shared" si="479"/>
        <v>0</v>
      </c>
    </row>
    <row xmlns:x14ac="http://schemas.microsoft.com/office/spreadsheetml/2009/9/ac" r="1247" x14ac:dyDescent="0.45">
      <c r="A1247">
        <v>6.1999999999998998</v>
      </c>
      <c r="B1247">
        <f t="shared" si="457"/>
        <v>0.16299999999999681</v>
      </c>
      <c r="C1247" t="b">
        <f t="shared" si="470"/>
        <v>1</v>
      </c>
      <c r="D1247" t="b">
        <f t="shared" si="458"/>
        <v>1</v>
      </c>
      <c r="E1247">
        <f t="shared" si="466"/>
        <v>6.1999999999998998</v>
      </c>
      <c r="F1247">
        <f t="shared" si="471"/>
        <v>0.16299999999999681</v>
      </c>
      <c r="G1247">
        <f t="shared" si="459"/>
        <v>0.21006618318689751</v>
      </c>
      <c r="H1247">
        <f t="shared" si="460"/>
        <v>3.4999999999998768E-2</v>
      </c>
      <c r="I1247" t="b">
        <f t="shared" si="472"/>
        <v>1</v>
      </c>
      <c r="J1247">
        <f t="shared" si="461"/>
        <v>6.1999999999998998</v>
      </c>
      <c r="K1247">
        <f t="shared" si="473"/>
        <v>3.4999999999998768E-2</v>
      </c>
      <c r="L1247">
        <f t="shared" si="462"/>
        <v>0.16990018735149326</v>
      </c>
      <c r="M1247">
        <f t="shared" si="463"/>
        <v>0.18999999999999756</v>
      </c>
      <c r="N1247">
        <f t="shared" si="464"/>
        <v>0.18799999981200721</v>
      </c>
      <c r="O1247">
        <f t="shared" si="465"/>
        <v>0.15777777777777779</v>
      </c>
      <c r="P1247">
        <f t="shared" si="478"/>
        <v>0.08</v>
      </c>
      <c r="Q1247">
        <f t="shared" si="474"/>
        <v>0.08</v>
      </c>
      <c r="R1247">
        <f t="shared" si="467"/>
        <v>0.08</v>
      </c>
      <c r="S1247">
        <f t="shared" si="468"/>
        <v>0.06</v>
      </c>
      <c r="T1247">
        <f t="shared" si="469"/>
        <v>0.1</v>
      </c>
      <c r="U1247">
        <f t="shared" si="475"/>
        <v>0.08</v>
      </c>
      <c r="V1247">
        <f t="shared" si="480"/>
        <v>0.18799999981200721</v>
      </c>
      <c r="W1247">
        <f t="shared" si="476"/>
        <v>0.1698981710022418</v>
      </c>
      <c r="X1247">
        <f t="shared" si="477"/>
        <v>0.21006752017596009</v>
      </c>
      <c r="Y1247" t="b">
        <f t="shared" si="479"/>
        <v>0</v>
      </c>
    </row>
    <row xmlns:x14ac="http://schemas.microsoft.com/office/spreadsheetml/2009/9/ac" r="1248" x14ac:dyDescent="0.45">
      <c r="A1248">
        <v>6.2049999999998997</v>
      </c>
      <c r="B1248">
        <f t="shared" si="457"/>
        <v>0.16299999999999665</v>
      </c>
      <c r="C1248" t="b">
        <f t="shared" si="470"/>
        <v>1</v>
      </c>
      <c r="D1248" t="b">
        <f t="shared" si="458"/>
        <v>1</v>
      </c>
      <c r="E1248">
        <f t="shared" si="466"/>
        <v>6.2049999999998997</v>
      </c>
      <c r="F1248">
        <f t="shared" si="471"/>
        <v>0.16299999999999665</v>
      </c>
      <c r="G1248">
        <f t="shared" si="459"/>
        <v>0.21006585309687575</v>
      </c>
      <c r="H1248">
        <f t="shared" si="460"/>
        <v>3.4999999999998713E-2</v>
      </c>
      <c r="I1248" t="b">
        <f t="shared" si="472"/>
        <v>1</v>
      </c>
      <c r="J1248">
        <f t="shared" si="461"/>
        <v>6.2049999999998997</v>
      </c>
      <c r="K1248">
        <f t="shared" si="473"/>
        <v>3.4999999999998713E-2</v>
      </c>
      <c r="L1248">
        <f t="shared" si="462"/>
        <v>0.16990068516915452</v>
      </c>
      <c r="M1248">
        <f t="shared" si="463"/>
        <v>0.18999999999999742</v>
      </c>
      <c r="N1248">
        <f t="shared" si="464"/>
        <v>0.18799999980299251</v>
      </c>
      <c r="O1248">
        <f t="shared" si="465"/>
        <v>0.15777777777777779</v>
      </c>
      <c r="P1248">
        <f t="shared" si="478"/>
        <v>0.08</v>
      </c>
      <c r="Q1248">
        <f t="shared" si="474"/>
        <v>0.08</v>
      </c>
      <c r="R1248">
        <f t="shared" si="467"/>
        <v>0.08</v>
      </c>
      <c r="S1248">
        <f t="shared" si="468"/>
        <v>0.06</v>
      </c>
      <c r="T1248">
        <f t="shared" si="469"/>
        <v>0.1</v>
      </c>
      <c r="U1248">
        <f t="shared" si="475"/>
        <v>0.08</v>
      </c>
      <c r="V1248">
        <f t="shared" si="480"/>
        <v>0.18799999980299251</v>
      </c>
      <c r="W1248">
        <f t="shared" si="476"/>
        <v>0.16989867887648691</v>
      </c>
      <c r="X1248">
        <f t="shared" si="477"/>
        <v>0.21006718341767755</v>
      </c>
      <c r="Y1248" t="b">
        <f t="shared" si="479"/>
        <v>0</v>
      </c>
    </row>
    <row xmlns:x14ac="http://schemas.microsoft.com/office/spreadsheetml/2009/9/ac" r="1249" x14ac:dyDescent="0.45">
      <c r="A1249">
        <v>6.2099999999998996</v>
      </c>
      <c r="B1249">
        <f t="shared" si="457"/>
        <v>0.16299999999999648</v>
      </c>
      <c r="C1249" t="b">
        <f t="shared" si="470"/>
        <v>1</v>
      </c>
      <c r="D1249" t="b">
        <f t="shared" si="458"/>
        <v>1</v>
      </c>
      <c r="E1249">
        <f t="shared" si="466"/>
        <v>6.2099999999998996</v>
      </c>
      <c r="F1249">
        <f t="shared" si="471"/>
        <v>0.16299999999999648</v>
      </c>
      <c r="G1249">
        <f t="shared" si="459"/>
        <v>0.21006552465318484</v>
      </c>
      <c r="H1249">
        <f t="shared" si="460"/>
        <v>3.4999999999998643E-2</v>
      </c>
      <c r="I1249" t="b">
        <f t="shared" si="472"/>
        <v>1</v>
      </c>
      <c r="J1249">
        <f t="shared" si="461"/>
        <v>6.2099999999998996</v>
      </c>
      <c r="K1249">
        <f t="shared" si="473"/>
        <v>3.4999999999998643E-2</v>
      </c>
      <c r="L1249">
        <f t="shared" si="462"/>
        <v>0.16990118050393985</v>
      </c>
      <c r="M1249">
        <f t="shared" si="463"/>
        <v>0.18999999999999728</v>
      </c>
      <c r="N1249">
        <f t="shared" si="464"/>
        <v>0.18799999979514109</v>
      </c>
      <c r="O1249">
        <f t="shared" si="465"/>
        <v>0.15777777777777779</v>
      </c>
      <c r="P1249">
        <f t="shared" si="478"/>
        <v>0.08</v>
      </c>
      <c r="Q1249">
        <f t="shared" si="474"/>
        <v>0.08</v>
      </c>
      <c r="R1249">
        <f t="shared" si="467"/>
        <v>0.08</v>
      </c>
      <c r="S1249">
        <f t="shared" si="468"/>
        <v>0.06</v>
      </c>
      <c r="T1249">
        <f t="shared" si="469"/>
        <v>0.1</v>
      </c>
      <c r="U1249">
        <f t="shared" si="475"/>
        <v>0.08</v>
      </c>
      <c r="V1249">
        <f t="shared" si="480"/>
        <v>0.18799999979514109</v>
      </c>
      <c r="W1249">
        <f t="shared" si="476"/>
        <v>0.16989918421769867</v>
      </c>
      <c r="X1249">
        <f t="shared" si="477"/>
        <v>0.21006684833898398</v>
      </c>
      <c r="Y1249" t="b">
        <f t="shared" si="479"/>
        <v>0</v>
      </c>
    </row>
    <row xmlns:x14ac="http://schemas.microsoft.com/office/spreadsheetml/2009/9/ac" r="1250" x14ac:dyDescent="0.45">
      <c r="A1250">
        <v>6.2149999999999004</v>
      </c>
      <c r="B1250">
        <f t="shared" si="457"/>
        <v>0.16299999999999634</v>
      </c>
      <c r="C1250" t="b">
        <f t="shared" si="470"/>
        <v>1</v>
      </c>
      <c r="D1250" t="b">
        <f t="shared" si="458"/>
        <v>1</v>
      </c>
      <c r="E1250">
        <f t="shared" si="466"/>
        <v>6.2149999999999004</v>
      </c>
      <c r="F1250">
        <f t="shared" si="471"/>
        <v>0.16299999999999634</v>
      </c>
      <c r="G1250">
        <f t="shared" si="459"/>
        <v>0.21006519784761374</v>
      </c>
      <c r="H1250">
        <f t="shared" si="460"/>
        <v>3.4999999999998588E-2</v>
      </c>
      <c r="I1250" t="b">
        <f t="shared" si="472"/>
        <v>1</v>
      </c>
      <c r="J1250">
        <f t="shared" si="461"/>
        <v>6.2149999999999004</v>
      </c>
      <c r="K1250">
        <f t="shared" si="473"/>
        <v>3.4999999999998588E-2</v>
      </c>
      <c r="L1250">
        <f t="shared" si="462"/>
        <v>0.16990167336823261</v>
      </c>
      <c r="M1250">
        <f t="shared" si="463"/>
        <v>0.18999999999999717</v>
      </c>
      <c r="N1250">
        <f t="shared" si="464"/>
        <v>0.18799999978845139</v>
      </c>
      <c r="O1250">
        <f t="shared" si="465"/>
        <v>0.15777777777777779</v>
      </c>
      <c r="P1250">
        <f t="shared" si="478"/>
        <v>0.08</v>
      </c>
      <c r="Q1250">
        <f t="shared" si="474"/>
        <v>0.08</v>
      </c>
      <c r="R1250">
        <f t="shared" si="467"/>
        <v>0.08</v>
      </c>
      <c r="S1250">
        <f t="shared" si="468"/>
        <v>0.06</v>
      </c>
      <c r="T1250">
        <f t="shared" si="469"/>
        <v>0.1</v>
      </c>
      <c r="U1250">
        <f t="shared" si="475"/>
        <v>0.08</v>
      </c>
      <c r="V1250">
        <f t="shared" si="480"/>
        <v>0.18799999978845139</v>
      </c>
      <c r="W1250">
        <f t="shared" si="476"/>
        <v>0.16989968703851061</v>
      </c>
      <c r="X1250">
        <f t="shared" si="477"/>
        <v>0.21006651493150236</v>
      </c>
      <c r="Y1250" t="b">
        <f t="shared" si="479"/>
        <v>0</v>
      </c>
    </row>
    <row xmlns:x14ac="http://schemas.microsoft.com/office/spreadsheetml/2009/9/ac" r="1251" x14ac:dyDescent="0.45">
      <c r="A1251">
        <v>6.2199999999999003</v>
      </c>
      <c r="B1251">
        <f t="shared" si="457"/>
        <v>0.16299999999999623</v>
      </c>
      <c r="C1251" t="b">
        <f t="shared" si="470"/>
        <v>1</v>
      </c>
      <c r="D1251" t="b">
        <f t="shared" si="458"/>
        <v>1</v>
      </c>
      <c r="E1251">
        <f t="shared" si="466"/>
        <v>6.2199999999999003</v>
      </c>
      <c r="F1251">
        <f t="shared" si="471"/>
        <v>0.16299999999999623</v>
      </c>
      <c r="G1251">
        <f t="shared" si="459"/>
        <v>0.21006487267199214</v>
      </c>
      <c r="H1251">
        <f t="shared" si="460"/>
        <v>3.4999999999998546E-2</v>
      </c>
      <c r="I1251" t="b">
        <f t="shared" si="472"/>
        <v>1</v>
      </c>
      <c r="J1251">
        <f t="shared" si="461"/>
        <v>6.2199999999999003</v>
      </c>
      <c r="K1251">
        <f t="shared" si="473"/>
        <v>3.4999999999998546E-2</v>
      </c>
      <c r="L1251">
        <f t="shared" si="462"/>
        <v>0.16990216377435446</v>
      </c>
      <c r="M1251">
        <f t="shared" si="463"/>
        <v>0.18999999999999712</v>
      </c>
      <c r="N1251">
        <f t="shared" si="464"/>
        <v>0.18799999978291665</v>
      </c>
      <c r="O1251">
        <f t="shared" si="465"/>
        <v>0.15777777777777779</v>
      </c>
      <c r="P1251">
        <f t="shared" si="478"/>
        <v>0.08</v>
      </c>
      <c r="Q1251">
        <f t="shared" si="474"/>
        <v>0.08</v>
      </c>
      <c r="R1251">
        <f t="shared" si="467"/>
        <v>0.08</v>
      </c>
      <c r="S1251">
        <f t="shared" si="468"/>
        <v>0.06</v>
      </c>
      <c r="T1251">
        <f t="shared" si="469"/>
        <v>0.1</v>
      </c>
      <c r="U1251">
        <f t="shared" si="475"/>
        <v>0.08</v>
      </c>
      <c r="V1251">
        <f t="shared" si="480"/>
        <v>0.18799999978291665</v>
      </c>
      <c r="W1251">
        <f t="shared" si="476"/>
        <v>0.16990018735149326</v>
      </c>
      <c r="X1251">
        <f t="shared" si="477"/>
        <v>0.21006618318689751</v>
      </c>
      <c r="Y1251" t="b">
        <f t="shared" si="479"/>
        <v>0</v>
      </c>
    </row>
    <row xmlns:x14ac="http://schemas.microsoft.com/office/spreadsheetml/2009/9/ac" r="1252" x14ac:dyDescent="0.45">
      <c r="A1252">
        <v>6.2249999999999002</v>
      </c>
      <c r="B1252">
        <f t="shared" si="457"/>
        <v>0.16299999999999615</v>
      </c>
      <c r="C1252" t="b">
        <f t="shared" si="470"/>
        <v>1</v>
      </c>
      <c r="D1252" t="b">
        <f t="shared" si="458"/>
        <v>1</v>
      </c>
      <c r="E1252">
        <f t="shared" si="466"/>
        <v>6.2249999999999002</v>
      </c>
      <c r="F1252">
        <f t="shared" si="471"/>
        <v>0.16299999999999615</v>
      </c>
      <c r="G1252">
        <f t="shared" si="459"/>
        <v>0.21006454911819078</v>
      </c>
      <c r="H1252">
        <f t="shared" si="460"/>
        <v>3.4999999999998518E-2</v>
      </c>
      <c r="I1252" t="b">
        <f t="shared" si="472"/>
        <v>1</v>
      </c>
      <c r="J1252">
        <f t="shared" si="461"/>
        <v>6.2249999999999002</v>
      </c>
      <c r="K1252">
        <f t="shared" si="473"/>
        <v>3.4999999999998518E-2</v>
      </c>
      <c r="L1252">
        <f t="shared" si="462"/>
        <v>0.16990265173456559</v>
      </c>
      <c r="M1252">
        <f t="shared" si="463"/>
        <v>0.18999999999999703</v>
      </c>
      <c r="N1252">
        <f t="shared" si="464"/>
        <v>0.18799999977852522</v>
      </c>
      <c r="O1252">
        <f t="shared" si="465"/>
        <v>0.15777777777777779</v>
      </c>
      <c r="P1252">
        <f t="shared" si="478"/>
        <v>0.08</v>
      </c>
      <c r="Q1252">
        <f t="shared" si="474"/>
        <v>0.08</v>
      </c>
      <c r="R1252">
        <f t="shared" si="467"/>
        <v>0.08</v>
      </c>
      <c r="S1252">
        <f t="shared" si="468"/>
        <v>0.06</v>
      </c>
      <c r="T1252">
        <f t="shared" si="469"/>
        <v>0.1</v>
      </c>
      <c r="U1252">
        <f t="shared" si="475"/>
        <v>0.08</v>
      </c>
      <c r="V1252">
        <f t="shared" si="480"/>
        <v>0.18799999977852522</v>
      </c>
      <c r="W1252">
        <f t="shared" si="476"/>
        <v>0.16990068516915452</v>
      </c>
      <c r="X1252">
        <f t="shared" si="477"/>
        <v>0.21006585309687575</v>
      </c>
      <c r="Y1252" t="b">
        <f t="shared" si="479"/>
        <v>0</v>
      </c>
    </row>
    <row xmlns:x14ac="http://schemas.microsoft.com/office/spreadsheetml/2009/9/ac" r="1253" x14ac:dyDescent="0.45">
      <c r="A1253">
        <v>6.2299999999999001</v>
      </c>
      <c r="B1253">
        <f t="shared" si="457"/>
        <v>0.16299999999999606</v>
      </c>
      <c r="C1253" t="b">
        <f t="shared" si="470"/>
        <v>1</v>
      </c>
      <c r="D1253" t="b">
        <f t="shared" si="458"/>
        <v>1</v>
      </c>
      <c r="E1253">
        <f t="shared" si="466"/>
        <v>6.2299999999999001</v>
      </c>
      <c r="F1253">
        <f t="shared" si="471"/>
        <v>0.16299999999999606</v>
      </c>
      <c r="G1253">
        <f t="shared" si="459"/>
        <v>0.21006422717812068</v>
      </c>
      <c r="H1253">
        <f t="shared" si="460"/>
        <v>3.4999999999998491E-2</v>
      </c>
      <c r="I1253" t="b">
        <f t="shared" si="472"/>
        <v>1</v>
      </c>
      <c r="J1253">
        <f t="shared" si="461"/>
        <v>6.2299999999999001</v>
      </c>
      <c r="K1253">
        <f t="shared" si="473"/>
        <v>3.4999999999998491E-2</v>
      </c>
      <c r="L1253">
        <f t="shared" si="462"/>
        <v>0.16990313726106498</v>
      </c>
      <c r="M1253">
        <f t="shared" si="463"/>
        <v>0.18999999999999698</v>
      </c>
      <c r="N1253">
        <f t="shared" si="464"/>
        <v>0.18799999977526072</v>
      </c>
      <c r="O1253">
        <f t="shared" si="465"/>
        <v>0.15777777777777779</v>
      </c>
      <c r="P1253">
        <f t="shared" si="478"/>
        <v>0.08</v>
      </c>
      <c r="Q1253">
        <f t="shared" si="474"/>
        <v>0.08</v>
      </c>
      <c r="R1253">
        <f t="shared" si="467"/>
        <v>0.08</v>
      </c>
      <c r="S1253">
        <f t="shared" si="468"/>
        <v>0.06</v>
      </c>
      <c r="T1253">
        <f t="shared" si="469"/>
        <v>0.1</v>
      </c>
      <c r="U1253">
        <f t="shared" si="475"/>
        <v>0.08</v>
      </c>
      <c r="V1253">
        <f t="shared" si="480"/>
        <v>0.18799999977526072</v>
      </c>
      <c r="W1253">
        <f t="shared" si="476"/>
        <v>0.16990118050393985</v>
      </c>
      <c r="X1253">
        <f t="shared" si="477"/>
        <v>0.21006552465318484</v>
      </c>
      <c r="Y1253" t="b">
        <f t="shared" si="479"/>
        <v>0</v>
      </c>
    </row>
    <row xmlns:x14ac="http://schemas.microsoft.com/office/spreadsheetml/2009/9/ac" r="1254" x14ac:dyDescent="0.45">
      <c r="A1254">
        <v>6.2349999999999</v>
      </c>
      <c r="B1254">
        <f t="shared" si="457"/>
        <v>0.16299999999999604</v>
      </c>
      <c r="C1254" t="b">
        <f t="shared" si="470"/>
        <v>1</v>
      </c>
      <c r="D1254" t="b">
        <f t="shared" si="458"/>
        <v>1</v>
      </c>
      <c r="E1254">
        <f t="shared" si="466"/>
        <v>6.2349999999999</v>
      </c>
      <c r="F1254">
        <f t="shared" si="471"/>
        <v>0.16299999999999604</v>
      </c>
      <c r="G1254">
        <f t="shared" si="459"/>
        <v>0.21006390684373344</v>
      </c>
      <c r="H1254">
        <f t="shared" si="460"/>
        <v>3.4999999999998477E-2</v>
      </c>
      <c r="I1254" t="b">
        <f t="shared" si="472"/>
        <v>1</v>
      </c>
      <c r="J1254">
        <f t="shared" si="461"/>
        <v>6.2349999999999</v>
      </c>
      <c r="K1254">
        <f t="shared" si="473"/>
        <v>3.4999999999998477E-2</v>
      </c>
      <c r="L1254">
        <f t="shared" si="462"/>
        <v>0.16990362036599088</v>
      </c>
      <c r="M1254">
        <f t="shared" si="463"/>
        <v>0.18999999999999695</v>
      </c>
      <c r="N1254">
        <f t="shared" si="464"/>
        <v>0.18799999977310217</v>
      </c>
      <c r="O1254">
        <f t="shared" si="465"/>
        <v>0.15777777777777779</v>
      </c>
      <c r="P1254">
        <f t="shared" si="478"/>
        <v>0.08</v>
      </c>
      <c r="Q1254">
        <f t="shared" si="474"/>
        <v>0.08</v>
      </c>
      <c r="R1254">
        <f t="shared" si="467"/>
        <v>0.08</v>
      </c>
      <c r="S1254">
        <f t="shared" si="468"/>
        <v>0.06</v>
      </c>
      <c r="T1254">
        <f t="shared" si="469"/>
        <v>0.1</v>
      </c>
      <c r="U1254">
        <f t="shared" si="475"/>
        <v>0.08</v>
      </c>
      <c r="V1254">
        <f t="shared" si="480"/>
        <v>0.18799999977310217</v>
      </c>
      <c r="W1254">
        <f t="shared" si="476"/>
        <v>0.16990167336823261</v>
      </c>
      <c r="X1254">
        <f t="shared" si="477"/>
        <v>0.21006519784761374</v>
      </c>
      <c r="Y1254" t="b">
        <f t="shared" si="479"/>
        <v>0</v>
      </c>
    </row>
    <row xmlns:x14ac="http://schemas.microsoft.com/office/spreadsheetml/2009/9/ac" r="1255" x14ac:dyDescent="0.45">
      <c r="A1255">
        <v>6.2399999999998901</v>
      </c>
      <c r="B1255">
        <f t="shared" si="457"/>
        <v>0.16299999999999601</v>
      </c>
      <c r="C1255" t="b">
        <f t="shared" si="470"/>
        <v>1</v>
      </c>
      <c r="D1255" t="b">
        <f t="shared" si="458"/>
        <v>1</v>
      </c>
      <c r="E1255">
        <f t="shared" si="466"/>
        <v>6.2399999999998901</v>
      </c>
      <c r="F1255">
        <f t="shared" si="471"/>
        <v>0.16299999999999601</v>
      </c>
      <c r="G1255">
        <f t="shared" si="459"/>
        <v>0.21006358810702058</v>
      </c>
      <c r="H1255">
        <f t="shared" si="460"/>
        <v>3.4999999999998463E-2</v>
      </c>
      <c r="I1255" t="b">
        <f t="shared" si="472"/>
        <v>1</v>
      </c>
      <c r="J1255">
        <f t="shared" si="461"/>
        <v>6.2399999999998901</v>
      </c>
      <c r="K1255">
        <f t="shared" si="473"/>
        <v>3.4999999999998463E-2</v>
      </c>
      <c r="L1255">
        <f t="shared" si="462"/>
        <v>0.1699041010614209</v>
      </c>
      <c r="M1255">
        <f t="shared" si="463"/>
        <v>0.18999999999999695</v>
      </c>
      <c r="N1255">
        <f t="shared" si="464"/>
        <v>0.18799999977202445</v>
      </c>
      <c r="O1255">
        <f t="shared" si="465"/>
        <v>0.15777777777777779</v>
      </c>
      <c r="P1255">
        <f t="shared" si="478"/>
        <v>0.08</v>
      </c>
      <c r="Q1255">
        <f t="shared" si="474"/>
        <v>0.08</v>
      </c>
      <c r="R1255">
        <f t="shared" si="467"/>
        <v>0.08</v>
      </c>
      <c r="S1255">
        <f t="shared" si="468"/>
        <v>0.06</v>
      </c>
      <c r="T1255">
        <f t="shared" si="469"/>
        <v>0.1</v>
      </c>
      <c r="U1255">
        <f t="shared" si="475"/>
        <v>0.08</v>
      </c>
      <c r="V1255">
        <f t="shared" si="480"/>
        <v>0.18799999977202445</v>
      </c>
      <c r="W1255">
        <f t="shared" si="476"/>
        <v>0.16990216377435446</v>
      </c>
      <c r="X1255">
        <f t="shared" si="477"/>
        <v>0.21006487267199214</v>
      </c>
      <c r="Y1255" t="b">
        <f t="shared" si="479"/>
        <v>0</v>
      </c>
    </row>
    <row xmlns:x14ac="http://schemas.microsoft.com/office/spreadsheetml/2009/9/ac" r="1256" x14ac:dyDescent="0.45">
      <c r="A1256">
        <v>6.24499999999989</v>
      </c>
      <c r="B1256">
        <f t="shared" si="457"/>
        <v>0.16299999999999601</v>
      </c>
      <c r="C1256" t="b">
        <f t="shared" si="470"/>
        <v>1</v>
      </c>
      <c r="D1256" t="b">
        <f t="shared" si="458"/>
        <v>1</v>
      </c>
      <c r="E1256">
        <f t="shared" si="466"/>
        <v>6.24499999999989</v>
      </c>
      <c r="F1256">
        <f t="shared" si="471"/>
        <v>0.16299999999999601</v>
      </c>
      <c r="G1256">
        <f t="shared" si="459"/>
        <v>0.2100632709600137</v>
      </c>
      <c r="H1256">
        <f t="shared" si="460"/>
        <v>3.4999999999998463E-2</v>
      </c>
      <c r="I1256" t="b">
        <f t="shared" si="472"/>
        <v>1</v>
      </c>
      <c r="J1256">
        <f t="shared" si="461"/>
        <v>6.24499999999989</v>
      </c>
      <c r="K1256">
        <f t="shared" si="473"/>
        <v>3.4999999999998463E-2</v>
      </c>
      <c r="L1256">
        <f t="shared" si="462"/>
        <v>0.16990457935937248</v>
      </c>
      <c r="M1256">
        <f t="shared" si="463"/>
        <v>0.18999999999999695</v>
      </c>
      <c r="N1256">
        <f t="shared" si="464"/>
        <v>0.18799999977199827</v>
      </c>
      <c r="O1256">
        <f t="shared" si="465"/>
        <v>0.15777777777777779</v>
      </c>
      <c r="P1256">
        <f t="shared" si="478"/>
        <v>0.08</v>
      </c>
      <c r="Q1256">
        <f t="shared" si="474"/>
        <v>0.08</v>
      </c>
      <c r="R1256">
        <f t="shared" si="467"/>
        <v>0.08</v>
      </c>
      <c r="S1256">
        <f t="shared" si="468"/>
        <v>0.06</v>
      </c>
      <c r="T1256">
        <f t="shared" si="469"/>
        <v>0.1</v>
      </c>
      <c r="U1256">
        <f t="shared" si="475"/>
        <v>0.08</v>
      </c>
      <c r="V1256">
        <f t="shared" si="480"/>
        <v>0.18799999977199827</v>
      </c>
      <c r="W1256">
        <f t="shared" si="476"/>
        <v>0.16990265173456559</v>
      </c>
      <c r="X1256">
        <f t="shared" si="477"/>
        <v>0.21006454911819078</v>
      </c>
      <c r="Y1256" t="b">
        <f t="shared" si="479"/>
        <v>0</v>
      </c>
    </row>
    <row xmlns:x14ac="http://schemas.microsoft.com/office/spreadsheetml/2009/9/ac" r="1257" x14ac:dyDescent="0.45">
      <c r="A1257">
        <v>6.2499999999998899</v>
      </c>
      <c r="B1257">
        <f t="shared" si="457"/>
        <v>0.16299999999999604</v>
      </c>
      <c r="C1257" t="b">
        <f t="shared" si="470"/>
        <v>1</v>
      </c>
      <c r="D1257" t="b">
        <f t="shared" si="458"/>
        <v>1</v>
      </c>
      <c r="E1257">
        <f t="shared" si="466"/>
        <v>6.2499999999998899</v>
      </c>
      <c r="F1257">
        <f t="shared" si="471"/>
        <v>0.16299999999999604</v>
      </c>
      <c r="G1257">
        <f t="shared" si="459"/>
        <v>0.21006295539478415</v>
      </c>
      <c r="H1257">
        <f t="shared" si="460"/>
        <v>3.4999999999998477E-2</v>
      </c>
      <c r="I1257" t="b">
        <f t="shared" si="472"/>
        <v>1</v>
      </c>
      <c r="J1257">
        <f t="shared" si="461"/>
        <v>6.2499999999998899</v>
      </c>
      <c r="K1257">
        <f t="shared" si="473"/>
        <v>3.4999999999998477E-2</v>
      </c>
      <c r="L1257">
        <f t="shared" si="462"/>
        <v>0.16990505527180305</v>
      </c>
      <c r="M1257">
        <f t="shared" si="463"/>
        <v>0.18999999999999695</v>
      </c>
      <c r="N1257">
        <f t="shared" si="464"/>
        <v>0.18799999977299067</v>
      </c>
      <c r="O1257">
        <f t="shared" si="465"/>
        <v>0.15777777777777779</v>
      </c>
      <c r="P1257">
        <f t="shared" si="478"/>
        <v>0.08</v>
      </c>
      <c r="Q1257">
        <f t="shared" si="474"/>
        <v>0.08</v>
      </c>
      <c r="R1257">
        <f t="shared" si="467"/>
        <v>0.08</v>
      </c>
      <c r="S1257">
        <f t="shared" si="468"/>
        <v>0.06</v>
      </c>
      <c r="T1257">
        <f t="shared" si="469"/>
        <v>0.1</v>
      </c>
      <c r="U1257">
        <f t="shared" si="475"/>
        <v>0.08</v>
      </c>
      <c r="V1257">
        <f t="shared" si="480"/>
        <v>0.18799999977299067</v>
      </c>
      <c r="W1257">
        <f t="shared" si="476"/>
        <v>0.16990313726106498</v>
      </c>
      <c r="X1257">
        <f t="shared" si="477"/>
        <v>0.21006422717812068</v>
      </c>
      <c r="Y1257" t="b">
        <f t="shared" si="479"/>
        <v>0</v>
      </c>
    </row>
    <row xmlns:x14ac="http://schemas.microsoft.com/office/spreadsheetml/2009/9/ac" r="1258" x14ac:dyDescent="0.45">
      <c r="A1258">
        <v>6.2549999999998898</v>
      </c>
      <c r="B1258">
        <f t="shared" si="457"/>
        <v>0.16299999999999606</v>
      </c>
      <c r="C1258" t="b">
        <f t="shared" si="470"/>
        <v>1</v>
      </c>
      <c r="D1258" t="b">
        <f t="shared" si="458"/>
        <v>1</v>
      </c>
      <c r="E1258">
        <f t="shared" si="466"/>
        <v>6.2549999999998898</v>
      </c>
      <c r="F1258">
        <f t="shared" si="471"/>
        <v>0.16299999999999606</v>
      </c>
      <c r="G1258">
        <f t="shared" si="459"/>
        <v>0.21006264140344272</v>
      </c>
      <c r="H1258">
        <f t="shared" si="460"/>
        <v>3.4999999999998491E-2</v>
      </c>
      <c r="I1258" t="b">
        <f t="shared" si="472"/>
        <v>1</v>
      </c>
      <c r="J1258">
        <f t="shared" si="461"/>
        <v>6.2549999999998898</v>
      </c>
      <c r="K1258">
        <f t="shared" si="473"/>
        <v>3.4999999999998491E-2</v>
      </c>
      <c r="L1258">
        <f t="shared" si="462"/>
        <v>0.1699055288106105</v>
      </c>
      <c r="M1258">
        <f t="shared" si="463"/>
        <v>0.18999999999999698</v>
      </c>
      <c r="N1258">
        <f t="shared" si="464"/>
        <v>0.18799999977496512</v>
      </c>
      <c r="O1258">
        <f t="shared" si="465"/>
        <v>0.15777777777777779</v>
      </c>
      <c r="P1258">
        <f t="shared" si="478"/>
        <v>0.08</v>
      </c>
      <c r="Q1258">
        <f t="shared" si="474"/>
        <v>0.08</v>
      </c>
      <c r="R1258">
        <f t="shared" si="467"/>
        <v>0.08</v>
      </c>
      <c r="S1258">
        <f t="shared" si="468"/>
        <v>0.06</v>
      </c>
      <c r="T1258">
        <f t="shared" si="469"/>
        <v>0.1</v>
      </c>
      <c r="U1258">
        <f t="shared" si="475"/>
        <v>0.08</v>
      </c>
      <c r="V1258">
        <f t="shared" si="480"/>
        <v>0.18799999977496512</v>
      </c>
      <c r="W1258">
        <f t="shared" si="476"/>
        <v>0.16990362036599088</v>
      </c>
      <c r="X1258">
        <f t="shared" si="477"/>
        <v>0.21006390684373344</v>
      </c>
      <c r="Y1258" t="b">
        <f t="shared" si="479"/>
        <v>0</v>
      </c>
    </row>
    <row xmlns:x14ac="http://schemas.microsoft.com/office/spreadsheetml/2009/9/ac" r="1259" x14ac:dyDescent="0.45">
      <c r="A1259">
        <v>6.2599999999998897</v>
      </c>
      <c r="B1259">
        <f t="shared" si="457"/>
        <v>0.16299999999999612</v>
      </c>
      <c r="C1259" t="b">
        <f t="shared" si="470"/>
        <v>1</v>
      </c>
      <c r="D1259" t="b">
        <f t="shared" si="458"/>
        <v>1</v>
      </c>
      <c r="E1259">
        <f t="shared" si="466"/>
        <v>6.2599999999998897</v>
      </c>
      <c r="F1259">
        <f t="shared" si="471"/>
        <v>0.16299999999999612</v>
      </c>
      <c r="G1259">
        <f t="shared" si="459"/>
        <v>0.21006232897813965</v>
      </c>
      <c r="H1259">
        <f t="shared" si="460"/>
        <v>3.4999999999998505E-2</v>
      </c>
      <c r="I1259" t="b">
        <f t="shared" si="472"/>
        <v>1</v>
      </c>
      <c r="J1259">
        <f t="shared" si="461"/>
        <v>6.2599999999998897</v>
      </c>
      <c r="K1259">
        <f t="shared" si="473"/>
        <v>3.4999999999998505E-2</v>
      </c>
      <c r="L1259">
        <f t="shared" si="462"/>
        <v>0.16990599998763325</v>
      </c>
      <c r="M1259">
        <f t="shared" si="463"/>
        <v>0.189999999999997</v>
      </c>
      <c r="N1259">
        <f t="shared" si="464"/>
        <v>0.18799999977788187</v>
      </c>
      <c r="O1259">
        <f t="shared" si="465"/>
        <v>0.15777777777777779</v>
      </c>
      <c r="P1259">
        <f t="shared" si="478"/>
        <v>0.08</v>
      </c>
      <c r="Q1259">
        <f t="shared" si="474"/>
        <v>0.08</v>
      </c>
      <c r="R1259">
        <f t="shared" si="467"/>
        <v>0.08</v>
      </c>
      <c r="S1259">
        <f t="shared" si="468"/>
        <v>0.06</v>
      </c>
      <c r="T1259">
        <f t="shared" si="469"/>
        <v>0.1</v>
      </c>
      <c r="U1259">
        <f t="shared" si="475"/>
        <v>0.08</v>
      </c>
      <c r="V1259">
        <f t="shared" si="480"/>
        <v>0.18799999977788187</v>
      </c>
      <c r="W1259">
        <f t="shared" si="476"/>
        <v>0.1699041010614209</v>
      </c>
      <c r="X1259">
        <f t="shared" si="477"/>
        <v>0.21006358810702058</v>
      </c>
      <c r="Y1259" t="b">
        <f t="shared" si="479"/>
        <v>0</v>
      </c>
    </row>
    <row xmlns:x14ac="http://schemas.microsoft.com/office/spreadsheetml/2009/9/ac" r="1260" x14ac:dyDescent="0.45">
      <c r="A1260">
        <v>6.2649999999998904</v>
      </c>
      <c r="B1260">
        <f t="shared" si="457"/>
        <v>0.16299999999999618</v>
      </c>
      <c r="C1260" t="b">
        <f t="shared" si="470"/>
        <v>1</v>
      </c>
      <c r="D1260" t="b">
        <f t="shared" si="458"/>
        <v>1</v>
      </c>
      <c r="E1260">
        <f t="shared" si="466"/>
        <v>6.2649999999998904</v>
      </c>
      <c r="F1260">
        <f t="shared" si="471"/>
        <v>0.16299999999999618</v>
      </c>
      <c r="G1260">
        <f t="shared" si="459"/>
        <v>0.21006201811106429</v>
      </c>
      <c r="H1260">
        <f t="shared" si="460"/>
        <v>3.4999999999998532E-2</v>
      </c>
      <c r="I1260" t="b">
        <f t="shared" si="472"/>
        <v>1</v>
      </c>
      <c r="J1260">
        <f t="shared" si="461"/>
        <v>6.2649999999998904</v>
      </c>
      <c r="K1260">
        <f t="shared" si="473"/>
        <v>3.4999999999998532E-2</v>
      </c>
      <c r="L1260">
        <f t="shared" si="462"/>
        <v>0.16990646881465082</v>
      </c>
      <c r="M1260">
        <f t="shared" si="463"/>
        <v>0.18999999999999706</v>
      </c>
      <c r="N1260">
        <f t="shared" si="464"/>
        <v>0.18799999978169823</v>
      </c>
      <c r="O1260">
        <f t="shared" si="465"/>
        <v>0.15777777777777779</v>
      </c>
      <c r="P1260">
        <f t="shared" si="478"/>
        <v>0.08</v>
      </c>
      <c r="Q1260">
        <f t="shared" si="474"/>
        <v>0.08</v>
      </c>
      <c r="R1260">
        <f t="shared" si="467"/>
        <v>0.08</v>
      </c>
      <c r="S1260">
        <f t="shared" si="468"/>
        <v>0.06</v>
      </c>
      <c r="T1260">
        <f t="shared" si="469"/>
        <v>0.1</v>
      </c>
      <c r="U1260">
        <f t="shared" si="475"/>
        <v>0.08</v>
      </c>
      <c r="V1260">
        <f t="shared" si="480"/>
        <v>0.18799999978169823</v>
      </c>
      <c r="W1260">
        <f t="shared" si="476"/>
        <v>0.16990457935937248</v>
      </c>
      <c r="X1260">
        <f t="shared" si="477"/>
        <v>0.2100632709600137</v>
      </c>
      <c r="Y1260" t="b">
        <f t="shared" si="479"/>
        <v>0</v>
      </c>
    </row>
    <row xmlns:x14ac="http://schemas.microsoft.com/office/spreadsheetml/2009/9/ac" r="1261" x14ac:dyDescent="0.45">
      <c r="A1261">
        <v>6.2699999999998903</v>
      </c>
      <c r="B1261">
        <f t="shared" si="457"/>
        <v>0.16299999999999626</v>
      </c>
      <c r="C1261" t="b">
        <f t="shared" si="470"/>
        <v>1</v>
      </c>
      <c r="D1261" t="b">
        <f t="shared" si="458"/>
        <v>1</v>
      </c>
      <c r="E1261">
        <f t="shared" si="466"/>
        <v>6.2699999999998903</v>
      </c>
      <c r="F1261">
        <f t="shared" si="471"/>
        <v>0.16299999999999626</v>
      </c>
      <c r="G1261">
        <f t="shared" si="459"/>
        <v>0.21006170879444491</v>
      </c>
      <c r="H1261">
        <f t="shared" si="460"/>
        <v>3.499999999999856E-2</v>
      </c>
      <c r="I1261" t="b">
        <f t="shared" si="472"/>
        <v>1</v>
      </c>
      <c r="J1261">
        <f t="shared" si="461"/>
        <v>6.2699999999998903</v>
      </c>
      <c r="K1261">
        <f t="shared" si="473"/>
        <v>3.499999999999856E-2</v>
      </c>
      <c r="L1261">
        <f t="shared" si="462"/>
        <v>0.16990693530338388</v>
      </c>
      <c r="M1261">
        <f t="shared" si="463"/>
        <v>0.18999999999999712</v>
      </c>
      <c r="N1261">
        <f t="shared" si="464"/>
        <v>0.18799999978636889</v>
      </c>
      <c r="O1261">
        <f t="shared" si="465"/>
        <v>0.15777777777777779</v>
      </c>
      <c r="P1261">
        <f t="shared" si="478"/>
        <v>0.08</v>
      </c>
      <c r="Q1261">
        <f t="shared" si="474"/>
        <v>0.08</v>
      </c>
      <c r="R1261">
        <f t="shared" si="467"/>
        <v>0.08</v>
      </c>
      <c r="S1261">
        <f t="shared" si="468"/>
        <v>0.06</v>
      </c>
      <c r="T1261">
        <f t="shared" si="469"/>
        <v>0.1</v>
      </c>
      <c r="U1261">
        <f t="shared" si="475"/>
        <v>0.08</v>
      </c>
      <c r="V1261">
        <f t="shared" si="480"/>
        <v>0.18799999978636889</v>
      </c>
      <c r="W1261">
        <f t="shared" si="476"/>
        <v>0.16990505527180305</v>
      </c>
      <c r="X1261">
        <f t="shared" si="477"/>
        <v>0.21006295539478415</v>
      </c>
      <c r="Y1261" t="b">
        <f t="shared" si="479"/>
        <v>0</v>
      </c>
    </row>
    <row xmlns:x14ac="http://schemas.microsoft.com/office/spreadsheetml/2009/9/ac" r="1262" x14ac:dyDescent="0.45">
      <c r="A1262">
        <v>6.2749999999998902</v>
      </c>
      <c r="B1262">
        <f t="shared" si="457"/>
        <v>0.16299999999999637</v>
      </c>
      <c r="C1262" t="b">
        <f t="shared" si="470"/>
        <v>1</v>
      </c>
      <c r="D1262" t="b">
        <f t="shared" si="458"/>
        <v>1</v>
      </c>
      <c r="E1262">
        <f t="shared" si="466"/>
        <v>6.2749999999998902</v>
      </c>
      <c r="F1262">
        <f t="shared" si="471"/>
        <v>0.16299999999999637</v>
      </c>
      <c r="G1262">
        <f t="shared" si="459"/>
        <v>0.21006140102054865</v>
      </c>
      <c r="H1262">
        <f t="shared" si="460"/>
        <v>3.4999999999998602E-2</v>
      </c>
      <c r="I1262" t="b">
        <f t="shared" si="472"/>
        <v>1</v>
      </c>
      <c r="J1262">
        <f t="shared" si="461"/>
        <v>6.2749999999998902</v>
      </c>
      <c r="K1262">
        <f t="shared" si="473"/>
        <v>3.4999999999998602E-2</v>
      </c>
      <c r="L1262">
        <f t="shared" si="462"/>
        <v>0.16990739946549469</v>
      </c>
      <c r="M1262">
        <f t="shared" si="463"/>
        <v>0.18999999999999723</v>
      </c>
      <c r="N1262">
        <f t="shared" si="464"/>
        <v>0.18799999979184601</v>
      </c>
      <c r="O1262">
        <f t="shared" si="465"/>
        <v>0.15777777777777779</v>
      </c>
      <c r="P1262">
        <f t="shared" si="478"/>
        <v>0.08</v>
      </c>
      <c r="Q1262">
        <f t="shared" si="474"/>
        <v>0.08</v>
      </c>
      <c r="R1262">
        <f t="shared" si="467"/>
        <v>0.08</v>
      </c>
      <c r="S1262">
        <f t="shared" si="468"/>
        <v>0.06</v>
      </c>
      <c r="T1262">
        <f t="shared" si="469"/>
        <v>0.1</v>
      </c>
      <c r="U1262">
        <f t="shared" si="475"/>
        <v>0.08</v>
      </c>
      <c r="V1262">
        <f t="shared" si="480"/>
        <v>0.18799999979184601</v>
      </c>
      <c r="W1262">
        <f t="shared" si="476"/>
        <v>0.1699055288106105</v>
      </c>
      <c r="X1262">
        <f t="shared" si="477"/>
        <v>0.21006264140344272</v>
      </c>
      <c r="Y1262" t="b">
        <f t="shared" si="479"/>
        <v>0</v>
      </c>
    </row>
    <row xmlns:x14ac="http://schemas.microsoft.com/office/spreadsheetml/2009/9/ac" r="1263" x14ac:dyDescent="0.45">
      <c r="A1263">
        <v>6.2799999999998901</v>
      </c>
      <c r="B1263">
        <f t="shared" si="457"/>
        <v>0.16299999999999648</v>
      </c>
      <c r="C1263" t="b">
        <f t="shared" si="470"/>
        <v>1</v>
      </c>
      <c r="D1263" t="b">
        <f t="shared" si="458"/>
        <v>1</v>
      </c>
      <c r="E1263">
        <f t="shared" si="466"/>
        <v>6.2799999999998901</v>
      </c>
      <c r="F1263">
        <f t="shared" si="471"/>
        <v>0.16299999999999648</v>
      </c>
      <c r="G1263">
        <f t="shared" si="459"/>
        <v>0.21006109478168106</v>
      </c>
      <c r="H1263">
        <f t="shared" si="460"/>
        <v>3.4999999999998643E-2</v>
      </c>
      <c r="I1263" t="b">
        <f t="shared" si="472"/>
        <v>1</v>
      </c>
      <c r="J1263">
        <f t="shared" si="461"/>
        <v>6.2799999999998901</v>
      </c>
      <c r="K1263">
        <f t="shared" si="473"/>
        <v>3.4999999999998643E-2</v>
      </c>
      <c r="L1263">
        <f t="shared" si="462"/>
        <v>0.16990786131258728</v>
      </c>
      <c r="M1263">
        <f t="shared" si="463"/>
        <v>0.18999999999999728</v>
      </c>
      <c r="N1263">
        <f t="shared" si="464"/>
        <v>0.18799999979807977</v>
      </c>
      <c r="O1263">
        <f t="shared" si="465"/>
        <v>0.15777777777777779</v>
      </c>
      <c r="P1263">
        <f t="shared" si="478"/>
        <v>0.08</v>
      </c>
      <c r="Q1263">
        <f t="shared" si="474"/>
        <v>0.08</v>
      </c>
      <c r="R1263">
        <f t="shared" si="467"/>
        <v>0.08</v>
      </c>
      <c r="S1263">
        <f t="shared" si="468"/>
        <v>0.06</v>
      </c>
      <c r="T1263">
        <f t="shared" si="469"/>
        <v>0.1</v>
      </c>
      <c r="U1263">
        <f t="shared" si="475"/>
        <v>0.08</v>
      </c>
      <c r="V1263">
        <f t="shared" si="480"/>
        <v>0.18799999979807977</v>
      </c>
      <c r="W1263">
        <f t="shared" si="476"/>
        <v>0.16990599998763325</v>
      </c>
      <c r="X1263">
        <f t="shared" si="477"/>
        <v>0.21006232897813965</v>
      </c>
      <c r="Y1263" t="b">
        <f t="shared" si="479"/>
        <v>0</v>
      </c>
    </row>
    <row xmlns:x14ac="http://schemas.microsoft.com/office/spreadsheetml/2009/9/ac" r="1264" x14ac:dyDescent="0.45">
      <c r="A1264">
        <v>6.28499999999989</v>
      </c>
      <c r="B1264">
        <f t="shared" si="457"/>
        <v>0.16299999999999659</v>
      </c>
      <c r="C1264" t="b">
        <f t="shared" si="470"/>
        <v>1</v>
      </c>
      <c r="D1264" t="b">
        <f t="shared" si="458"/>
        <v>1</v>
      </c>
      <c r="E1264">
        <f t="shared" si="466"/>
        <v>6.28499999999989</v>
      </c>
      <c r="F1264">
        <f t="shared" si="471"/>
        <v>0.16299999999999659</v>
      </c>
      <c r="G1264">
        <f t="shared" si="459"/>
        <v>0.21006079007018619</v>
      </c>
      <c r="H1264">
        <f t="shared" si="460"/>
        <v>3.4999999999998699E-2</v>
      </c>
      <c r="I1264" t="b">
        <f t="shared" si="472"/>
        <v>1</v>
      </c>
      <c r="J1264">
        <f t="shared" si="461"/>
        <v>6.28499999999989</v>
      </c>
      <c r="K1264">
        <f t="shared" si="473"/>
        <v>3.4999999999998699E-2</v>
      </c>
      <c r="L1264">
        <f t="shared" si="462"/>
        <v>0.16990832085620794</v>
      </c>
      <c r="M1264">
        <f t="shared" si="463"/>
        <v>0.18999999999999739</v>
      </c>
      <c r="N1264">
        <f t="shared" si="464"/>
        <v>0.18799999980501855</v>
      </c>
      <c r="O1264">
        <f t="shared" si="465"/>
        <v>0.15777777777777779</v>
      </c>
      <c r="P1264">
        <f t="shared" si="478"/>
        <v>0.08</v>
      </c>
      <c r="Q1264">
        <f t="shared" si="474"/>
        <v>0.08</v>
      </c>
      <c r="R1264">
        <f t="shared" si="467"/>
        <v>0.08</v>
      </c>
      <c r="S1264">
        <f t="shared" si="468"/>
        <v>0.06</v>
      </c>
      <c r="T1264">
        <f t="shared" si="469"/>
        <v>0.1</v>
      </c>
      <c r="U1264">
        <f t="shared" si="475"/>
        <v>0.08</v>
      </c>
      <c r="V1264">
        <f t="shared" si="480"/>
        <v>0.18799999980501855</v>
      </c>
      <c r="W1264">
        <f t="shared" si="476"/>
        <v>0.16990646881465082</v>
      </c>
      <c r="X1264">
        <f t="shared" si="477"/>
        <v>0.21006201811106429</v>
      </c>
      <c r="Y1264" t="b">
        <f t="shared" si="479"/>
        <v>0</v>
      </c>
    </row>
    <row xmlns:x14ac="http://schemas.microsoft.com/office/spreadsheetml/2009/9/ac" r="1265" x14ac:dyDescent="0.45">
      <c r="A1265">
        <v>6.2899999999998899</v>
      </c>
      <c r="B1265">
        <f t="shared" si="457"/>
        <v>0.16299999999999673</v>
      </c>
      <c r="C1265" t="b">
        <f t="shared" si="470"/>
        <v>1</v>
      </c>
      <c r="D1265" t="b">
        <f t="shared" si="458"/>
        <v>1</v>
      </c>
      <c r="E1265">
        <f t="shared" si="466"/>
        <v>6.2899999999998899</v>
      </c>
      <c r="F1265">
        <f t="shared" si="471"/>
        <v>0.16299999999999673</v>
      </c>
      <c r="G1265">
        <f t="shared" si="459"/>
        <v>0.21006048687844625</v>
      </c>
      <c r="H1265">
        <f t="shared" si="460"/>
        <v>3.499999999999874E-2</v>
      </c>
      <c r="I1265" t="b">
        <f t="shared" si="472"/>
        <v>1</v>
      </c>
      <c r="J1265">
        <f t="shared" si="461"/>
        <v>6.2899999999998899</v>
      </c>
      <c r="K1265">
        <f t="shared" si="473"/>
        <v>3.499999999999874E-2</v>
      </c>
      <c r="L1265">
        <f t="shared" si="462"/>
        <v>0.16990877810784519</v>
      </c>
      <c r="M1265">
        <f t="shared" si="463"/>
        <v>0.1899999999999975</v>
      </c>
      <c r="N1265">
        <f t="shared" si="464"/>
        <v>0.18799999981260912</v>
      </c>
      <c r="O1265">
        <f t="shared" si="465"/>
        <v>0.15777777777777779</v>
      </c>
      <c r="P1265">
        <f t="shared" si="478"/>
        <v>0.08</v>
      </c>
      <c r="Q1265">
        <f t="shared" si="474"/>
        <v>0.08</v>
      </c>
      <c r="R1265">
        <f t="shared" si="467"/>
        <v>0.08</v>
      </c>
      <c r="S1265">
        <f t="shared" si="468"/>
        <v>0.06</v>
      </c>
      <c r="T1265">
        <f t="shared" si="469"/>
        <v>0.1</v>
      </c>
      <c r="U1265">
        <f t="shared" si="475"/>
        <v>0.08</v>
      </c>
      <c r="V1265">
        <f t="shared" si="480"/>
        <v>0.18799999981260912</v>
      </c>
      <c r="W1265">
        <f t="shared" si="476"/>
        <v>0.16990693530338388</v>
      </c>
      <c r="X1265">
        <f t="shared" si="477"/>
        <v>0.21006170879444491</v>
      </c>
      <c r="Y1265" t="b">
        <f t="shared" si="479"/>
        <v>0</v>
      </c>
    </row>
    <row xmlns:x14ac="http://schemas.microsoft.com/office/spreadsheetml/2009/9/ac" r="1266" x14ac:dyDescent="0.45">
      <c r="A1266">
        <v>6.2949999999998898</v>
      </c>
      <c r="B1266">
        <f t="shared" si="457"/>
        <v>0.16299999999999687</v>
      </c>
      <c r="C1266" t="b">
        <f t="shared" si="470"/>
        <v>1</v>
      </c>
      <c r="D1266" t="b">
        <f t="shared" si="458"/>
        <v>1</v>
      </c>
      <c r="E1266">
        <f t="shared" si="466"/>
        <v>6.2949999999998898</v>
      </c>
      <c r="F1266">
        <f t="shared" si="471"/>
        <v>0.16299999999999687</v>
      </c>
      <c r="G1266">
        <f t="shared" si="459"/>
        <v>0.21006018519888142</v>
      </c>
      <c r="H1266">
        <f t="shared" si="460"/>
        <v>3.4999999999998796E-2</v>
      </c>
      <c r="I1266" t="b">
        <f t="shared" si="472"/>
        <v>1</v>
      </c>
      <c r="J1266">
        <f t="shared" si="461"/>
        <v>6.2949999999998898</v>
      </c>
      <c r="K1266">
        <f t="shared" si="473"/>
        <v>3.4999999999998796E-2</v>
      </c>
      <c r="L1266">
        <f t="shared" si="462"/>
        <v>0.16990923307893038</v>
      </c>
      <c r="M1266">
        <f t="shared" si="463"/>
        <v>0.18999999999999762</v>
      </c>
      <c r="N1266">
        <f t="shared" si="464"/>
        <v>0.18799999982079713</v>
      </c>
      <c r="O1266">
        <f t="shared" si="465"/>
        <v>0.15777777777777779</v>
      </c>
      <c r="P1266">
        <f t="shared" si="478"/>
        <v>0.08</v>
      </c>
      <c r="Q1266">
        <f t="shared" si="474"/>
        <v>0.08</v>
      </c>
      <c r="R1266">
        <f t="shared" si="467"/>
        <v>0.08</v>
      </c>
      <c r="S1266">
        <f t="shared" si="468"/>
        <v>0.06</v>
      </c>
      <c r="T1266">
        <f t="shared" si="469"/>
        <v>0.1</v>
      </c>
      <c r="U1266">
        <f t="shared" si="475"/>
        <v>0.08</v>
      </c>
      <c r="V1266">
        <f t="shared" si="480"/>
        <v>0.18799999982079713</v>
      </c>
      <c r="W1266">
        <f t="shared" si="476"/>
        <v>0.16990739946549469</v>
      </c>
      <c r="X1266">
        <f t="shared" si="477"/>
        <v>0.21006140102054865</v>
      </c>
      <c r="Y1266" t="b">
        <f t="shared" si="479"/>
        <v>0</v>
      </c>
    </row>
    <row xmlns:x14ac="http://schemas.microsoft.com/office/spreadsheetml/2009/9/ac" r="1267" x14ac:dyDescent="0.45">
      <c r="A1267">
        <v>6.2999999999998897</v>
      </c>
      <c r="B1267">
        <f t="shared" si="457"/>
        <v>0.16299999999999701</v>
      </c>
      <c r="C1267" t="b">
        <f t="shared" si="470"/>
        <v>1</v>
      </c>
      <c r="D1267" t="b">
        <f t="shared" si="458"/>
        <v>1</v>
      </c>
      <c r="E1267">
        <f t="shared" si="466"/>
        <v>6.2999999999998897</v>
      </c>
      <c r="F1267">
        <f t="shared" si="471"/>
        <v>0.16299999999999701</v>
      </c>
      <c r="G1267">
        <f t="shared" si="459"/>
        <v>0.21005988502394973</v>
      </c>
      <c r="H1267">
        <f t="shared" si="460"/>
        <v>3.4999999999998851E-2</v>
      </c>
      <c r="I1267" t="b">
        <f t="shared" si="472"/>
        <v>1</v>
      </c>
      <c r="J1267">
        <f t="shared" si="461"/>
        <v>6.2999999999998897</v>
      </c>
      <c r="K1267">
        <f t="shared" si="473"/>
        <v>3.4999999999998851E-2</v>
      </c>
      <c r="L1267">
        <f t="shared" si="462"/>
        <v>0.16990968578083784</v>
      </c>
      <c r="M1267">
        <f t="shared" si="463"/>
        <v>0.18999999999999773</v>
      </c>
      <c r="N1267">
        <f t="shared" si="464"/>
        <v>0.1879999998295272</v>
      </c>
      <c r="O1267">
        <f t="shared" si="465"/>
        <v>0.15777777777777779</v>
      </c>
      <c r="P1267">
        <f t="shared" si="478"/>
        <v>0.08</v>
      </c>
      <c r="Q1267">
        <f t="shared" si="474"/>
        <v>0.08</v>
      </c>
      <c r="R1267">
        <f t="shared" si="467"/>
        <v>0.08</v>
      </c>
      <c r="S1267">
        <f t="shared" si="468"/>
        <v>0.06</v>
      </c>
      <c r="T1267">
        <f t="shared" si="469"/>
        <v>0.1</v>
      </c>
      <c r="U1267">
        <f t="shared" si="475"/>
        <v>0.08</v>
      </c>
      <c r="V1267">
        <f t="shared" si="480"/>
        <v>0.1879999998295272</v>
      </c>
      <c r="W1267">
        <f t="shared" si="476"/>
        <v>0.16990786131258728</v>
      </c>
      <c r="X1267">
        <f t="shared" si="477"/>
        <v>0.21006109478168106</v>
      </c>
      <c r="Y1267" t="b">
        <f t="shared" si="479"/>
        <v>0</v>
      </c>
    </row>
    <row xmlns:x14ac="http://schemas.microsoft.com/office/spreadsheetml/2009/9/ac" r="1268" x14ac:dyDescent="0.45">
      <c r="A1268">
        <v>6.3049999999998896</v>
      </c>
      <c r="B1268">
        <f t="shared" si="457"/>
        <v>0.16299999999999717</v>
      </c>
      <c r="C1268" t="b">
        <f t="shared" si="470"/>
        <v>1</v>
      </c>
      <c r="D1268" t="b">
        <f t="shared" si="458"/>
        <v>1</v>
      </c>
      <c r="E1268">
        <f t="shared" si="466"/>
        <v>6.3049999999998896</v>
      </c>
      <c r="F1268">
        <f t="shared" si="471"/>
        <v>0.16299999999999717</v>
      </c>
      <c r="G1268">
        <f t="shared" si="459"/>
        <v>0.21005958634614674</v>
      </c>
      <c r="H1268">
        <f t="shared" si="460"/>
        <v>3.4999999999998921E-2</v>
      </c>
      <c r="I1268" t="b">
        <f t="shared" si="472"/>
        <v>1</v>
      </c>
      <c r="J1268">
        <f t="shared" si="461"/>
        <v>6.3049999999998896</v>
      </c>
      <c r="K1268">
        <f t="shared" si="473"/>
        <v>3.4999999999998921E-2</v>
      </c>
      <c r="L1268">
        <f t="shared" si="462"/>
        <v>0.1699101362248851</v>
      </c>
      <c r="M1268">
        <f t="shared" si="463"/>
        <v>0.18999999999999784</v>
      </c>
      <c r="N1268">
        <f t="shared" si="464"/>
        <v>0.18799999983874324</v>
      </c>
      <c r="O1268">
        <f t="shared" si="465"/>
        <v>0.15777777777777779</v>
      </c>
      <c r="P1268">
        <f t="shared" si="478"/>
        <v>0.08</v>
      </c>
      <c r="Q1268">
        <f t="shared" si="474"/>
        <v>0.08</v>
      </c>
      <c r="R1268">
        <f t="shared" si="467"/>
        <v>0.08</v>
      </c>
      <c r="S1268">
        <f t="shared" si="468"/>
        <v>0.06</v>
      </c>
      <c r="T1268">
        <f t="shared" si="469"/>
        <v>0.1</v>
      </c>
      <c r="U1268">
        <f t="shared" si="475"/>
        <v>0.08</v>
      </c>
      <c r="V1268">
        <f t="shared" si="480"/>
        <v>0.18799999983874324</v>
      </c>
      <c r="W1268">
        <f t="shared" si="476"/>
        <v>0.16990832085620794</v>
      </c>
      <c r="X1268">
        <f t="shared" si="477"/>
        <v>0.21006079007018619</v>
      </c>
      <c r="Y1268" t="b">
        <f t="shared" si="479"/>
        <v>0</v>
      </c>
    </row>
    <row xmlns:x14ac="http://schemas.microsoft.com/office/spreadsheetml/2009/9/ac" r="1269" x14ac:dyDescent="0.45">
      <c r="A1269">
        <v>6.3099999999998904</v>
      </c>
      <c r="B1269">
        <f t="shared" si="457"/>
        <v>0.16299999999999731</v>
      </c>
      <c r="C1269" t="b">
        <f t="shared" si="470"/>
        <v>1</v>
      </c>
      <c r="D1269" t="b">
        <f t="shared" si="458"/>
        <v>1</v>
      </c>
      <c r="E1269">
        <f t="shared" si="466"/>
        <v>6.3099999999998904</v>
      </c>
      <c r="F1269">
        <f t="shared" si="471"/>
        <v>0.16299999999999731</v>
      </c>
      <c r="G1269">
        <f t="shared" si="459"/>
        <v>0.21005928915800548</v>
      </c>
      <c r="H1269">
        <f t="shared" si="460"/>
        <v>3.4999999999998976E-2</v>
      </c>
      <c r="I1269" t="b">
        <f t="shared" si="472"/>
        <v>1</v>
      </c>
      <c r="J1269">
        <f t="shared" si="461"/>
        <v>6.3099999999998904</v>
      </c>
      <c r="K1269">
        <f t="shared" si="473"/>
        <v>3.4999999999998976E-2</v>
      </c>
      <c r="L1269">
        <f t="shared" si="462"/>
        <v>0.16991058442233331</v>
      </c>
      <c r="M1269">
        <f t="shared" si="463"/>
        <v>0.18999999999999795</v>
      </c>
      <c r="N1269">
        <f t="shared" si="464"/>
        <v>0.18799999984838886</v>
      </c>
      <c r="O1269">
        <f t="shared" si="465"/>
        <v>0.15777777777777779</v>
      </c>
      <c r="P1269">
        <f t="shared" si="478"/>
        <v>0.08</v>
      </c>
      <c r="Q1269">
        <f t="shared" si="474"/>
        <v>0.08</v>
      </c>
      <c r="R1269">
        <f t="shared" si="467"/>
        <v>0.08</v>
      </c>
      <c r="S1269">
        <f t="shared" si="468"/>
        <v>0.06</v>
      </c>
      <c r="T1269">
        <f t="shared" si="469"/>
        <v>0.1</v>
      </c>
      <c r="U1269">
        <f t="shared" si="475"/>
        <v>0.08</v>
      </c>
      <c r="V1269">
        <f t="shared" si="480"/>
        <v>0.18799999984838886</v>
      </c>
      <c r="W1269">
        <f t="shared" si="476"/>
        <v>0.16990877810784519</v>
      </c>
      <c r="X1269">
        <f t="shared" si="477"/>
        <v>0.21006048687844625</v>
      </c>
      <c r="Y1269" t="b">
        <f t="shared" si="479"/>
        <v>0</v>
      </c>
    </row>
    <row xmlns:x14ac="http://schemas.microsoft.com/office/spreadsheetml/2009/9/ac" r="1270" x14ac:dyDescent="0.45">
      <c r="A1270">
        <v>6.3149999999998903</v>
      </c>
      <c r="B1270">
        <f t="shared" si="457"/>
        <v>0.16299999999999751</v>
      </c>
      <c r="C1270" t="b">
        <f t="shared" si="470"/>
        <v>1</v>
      </c>
      <c r="D1270" t="b">
        <f t="shared" si="458"/>
        <v>1</v>
      </c>
      <c r="E1270">
        <f t="shared" si="466"/>
        <v>6.3149999999998903</v>
      </c>
      <c r="F1270">
        <f t="shared" si="471"/>
        <v>0.16299999999999751</v>
      </c>
      <c r="G1270">
        <f t="shared" si="459"/>
        <v>0.21005899345209628</v>
      </c>
      <c r="H1270">
        <f t="shared" si="460"/>
        <v>3.4999999999999046E-2</v>
      </c>
      <c r="I1270" t="b">
        <f t="shared" si="472"/>
        <v>1</v>
      </c>
      <c r="J1270">
        <f t="shared" si="461"/>
        <v>6.3149999999998903</v>
      </c>
      <c r="K1270">
        <f t="shared" si="473"/>
        <v>3.4999999999999046E-2</v>
      </c>
      <c r="L1270">
        <f t="shared" si="462"/>
        <v>0.16991103038438743</v>
      </c>
      <c r="M1270">
        <f t="shared" si="463"/>
        <v>0.18999999999999809</v>
      </c>
      <c r="N1270">
        <f t="shared" si="464"/>
        <v>0.18799999985840746</v>
      </c>
      <c r="O1270">
        <f t="shared" si="465"/>
        <v>0.15777777777777779</v>
      </c>
      <c r="P1270">
        <f t="shared" si="478"/>
        <v>0.08</v>
      </c>
      <c r="Q1270">
        <f t="shared" si="474"/>
        <v>0.08</v>
      </c>
      <c r="R1270">
        <f t="shared" si="467"/>
        <v>0.08</v>
      </c>
      <c r="S1270">
        <f t="shared" si="468"/>
        <v>0.06</v>
      </c>
      <c r="T1270">
        <f t="shared" si="469"/>
        <v>0.1</v>
      </c>
      <c r="U1270">
        <f t="shared" si="475"/>
        <v>0.08</v>
      </c>
      <c r="V1270">
        <f t="shared" si="480"/>
        <v>0.18799999985840746</v>
      </c>
      <c r="W1270">
        <f t="shared" si="476"/>
        <v>0.16990923307893038</v>
      </c>
      <c r="X1270">
        <f t="shared" si="477"/>
        <v>0.21006018519888142</v>
      </c>
      <c r="Y1270" t="b">
        <f t="shared" si="479"/>
        <v>0</v>
      </c>
    </row>
    <row xmlns:x14ac="http://schemas.microsoft.com/office/spreadsheetml/2009/9/ac" r="1271" x14ac:dyDescent="0.45">
      <c r="A1271">
        <v>6.3199999999998902</v>
      </c>
      <c r="B1271">
        <f t="shared" si="457"/>
        <v>0.16299999999999767</v>
      </c>
      <c r="C1271" t="b">
        <f t="shared" si="470"/>
        <v>1</v>
      </c>
      <c r="D1271" t="b">
        <f t="shared" si="458"/>
        <v>1</v>
      </c>
      <c r="E1271">
        <f t="shared" si="466"/>
        <v>6.3199999999998902</v>
      </c>
      <c r="F1271">
        <f t="shared" si="471"/>
        <v>0.16299999999999767</v>
      </c>
      <c r="G1271">
        <f t="shared" si="459"/>
        <v>0.21005869922102649</v>
      </c>
      <c r="H1271">
        <f t="shared" si="460"/>
        <v>3.4999999999999101E-2</v>
      </c>
      <c r="I1271" t="b">
        <f t="shared" si="472"/>
        <v>1</v>
      </c>
      <c r="J1271">
        <f t="shared" si="461"/>
        <v>6.3199999999998902</v>
      </c>
      <c r="K1271">
        <f t="shared" si="473"/>
        <v>3.4999999999999101E-2</v>
      </c>
      <c r="L1271">
        <f t="shared" si="462"/>
        <v>0.16991147412219651</v>
      </c>
      <c r="M1271">
        <f t="shared" si="463"/>
        <v>0.18999999999999823</v>
      </c>
      <c r="N1271">
        <f t="shared" si="464"/>
        <v>0.18799999986874255</v>
      </c>
      <c r="O1271">
        <f t="shared" si="465"/>
        <v>0.15777777777777779</v>
      </c>
      <c r="P1271">
        <f t="shared" si="478"/>
        <v>0.08</v>
      </c>
      <c r="Q1271">
        <f t="shared" si="474"/>
        <v>0.08</v>
      </c>
      <c r="R1271">
        <f t="shared" si="467"/>
        <v>0.08</v>
      </c>
      <c r="S1271">
        <f t="shared" si="468"/>
        <v>0.06</v>
      </c>
      <c r="T1271">
        <f t="shared" si="469"/>
        <v>0.1</v>
      </c>
      <c r="U1271">
        <f t="shared" si="475"/>
        <v>0.08</v>
      </c>
      <c r="V1271">
        <f t="shared" si="480"/>
        <v>0.18799999986874255</v>
      </c>
      <c r="W1271">
        <f t="shared" si="476"/>
        <v>0.16990968578083784</v>
      </c>
      <c r="X1271">
        <f t="shared" si="477"/>
        <v>0.21005988502394973</v>
      </c>
      <c r="Y1271" t="b">
        <f t="shared" si="479"/>
        <v>0</v>
      </c>
    </row>
    <row xmlns:x14ac="http://schemas.microsoft.com/office/spreadsheetml/2009/9/ac" r="1272" x14ac:dyDescent="0.45">
      <c r="A1272">
        <v>6.32499999999989</v>
      </c>
      <c r="B1272">
        <f t="shared" si="457"/>
        <v>0.16299999999999784</v>
      </c>
      <c r="C1272" t="b">
        <f t="shared" si="470"/>
        <v>1</v>
      </c>
      <c r="D1272" t="b">
        <f t="shared" si="458"/>
        <v>1</v>
      </c>
      <c r="E1272">
        <f t="shared" si="466"/>
        <v>6.32499999999989</v>
      </c>
      <c r="F1272">
        <f t="shared" si="471"/>
        <v>0.16299999999999784</v>
      </c>
      <c r="G1272">
        <f t="shared" si="459"/>
        <v>0.21005840645744023</v>
      </c>
      <c r="H1272">
        <f t="shared" si="460"/>
        <v>3.4999999999999171E-2</v>
      </c>
      <c r="I1272" t="b">
        <f t="shared" si="472"/>
        <v>1</v>
      </c>
      <c r="J1272">
        <f t="shared" si="461"/>
        <v>6.32499999999989</v>
      </c>
      <c r="K1272">
        <f t="shared" si="473"/>
        <v>3.4999999999999171E-2</v>
      </c>
      <c r="L1272">
        <f t="shared" si="462"/>
        <v>0.16991191564685404</v>
      </c>
      <c r="M1272">
        <f t="shared" si="463"/>
        <v>0.18999999999999834</v>
      </c>
      <c r="N1272">
        <f t="shared" si="464"/>
        <v>0.18799999987933808</v>
      </c>
      <c r="O1272">
        <f t="shared" si="465"/>
        <v>0.15777777777777779</v>
      </c>
      <c r="P1272">
        <f t="shared" si="478"/>
        <v>0.08</v>
      </c>
      <c r="Q1272">
        <f t="shared" si="474"/>
        <v>0.08</v>
      </c>
      <c r="R1272">
        <f t="shared" si="467"/>
        <v>0.08</v>
      </c>
      <c r="S1272">
        <f t="shared" si="468"/>
        <v>0.06</v>
      </c>
      <c r="T1272">
        <f t="shared" si="469"/>
        <v>0.1</v>
      </c>
      <c r="U1272">
        <f t="shared" si="475"/>
        <v>0.08</v>
      </c>
      <c r="V1272">
        <f t="shared" si="480"/>
        <v>0.18799999987933808</v>
      </c>
      <c r="W1272">
        <f t="shared" si="476"/>
        <v>0.1699101362248851</v>
      </c>
      <c r="X1272">
        <f t="shared" si="477"/>
        <v>0.21005958634614674</v>
      </c>
      <c r="Y1272" t="b">
        <f t="shared" si="479"/>
        <v>0</v>
      </c>
    </row>
    <row xmlns:x14ac="http://schemas.microsoft.com/office/spreadsheetml/2009/9/ac" r="1273" x14ac:dyDescent="0.45">
      <c r="A1273">
        <v>6.3299999999998899</v>
      </c>
      <c r="B1273">
        <f t="shared" si="457"/>
        <v>0.16299999999999804</v>
      </c>
      <c r="C1273" t="b">
        <f t="shared" si="470"/>
        <v>1</v>
      </c>
      <c r="D1273" t="b">
        <f t="shared" si="458"/>
        <v>1</v>
      </c>
      <c r="E1273">
        <f t="shared" si="466"/>
        <v>6.3299999999998899</v>
      </c>
      <c r="F1273">
        <f t="shared" si="471"/>
        <v>0.16299999999999804</v>
      </c>
      <c r="G1273">
        <f t="shared" si="459"/>
        <v>0.21005811515401845</v>
      </c>
      <c r="H1273">
        <f t="shared" si="460"/>
        <v>3.499999999999924E-2</v>
      </c>
      <c r="I1273" t="b">
        <f t="shared" si="472"/>
        <v>1</v>
      </c>
      <c r="J1273">
        <f t="shared" si="461"/>
        <v>6.3299999999998899</v>
      </c>
      <c r="K1273">
        <f t="shared" si="473"/>
        <v>3.499999999999924E-2</v>
      </c>
      <c r="L1273">
        <f t="shared" si="462"/>
        <v>0.16991235496939816</v>
      </c>
      <c r="M1273">
        <f t="shared" si="463"/>
        <v>0.1899999999999985</v>
      </c>
      <c r="N1273">
        <f t="shared" si="464"/>
        <v>0.18799999989013849</v>
      </c>
      <c r="O1273">
        <f t="shared" si="465"/>
        <v>0.15777777777777779</v>
      </c>
      <c r="P1273">
        <f t="shared" si="478"/>
        <v>0.08</v>
      </c>
      <c r="Q1273">
        <f t="shared" si="474"/>
        <v>0.08</v>
      </c>
      <c r="R1273">
        <f t="shared" si="467"/>
        <v>0.08</v>
      </c>
      <c r="S1273">
        <f t="shared" si="468"/>
        <v>0.06</v>
      </c>
      <c r="T1273">
        <f t="shared" si="469"/>
        <v>0.1</v>
      </c>
      <c r="U1273">
        <f t="shared" si="475"/>
        <v>0.08</v>
      </c>
      <c r="V1273">
        <f t="shared" si="480"/>
        <v>0.18799999989013849</v>
      </c>
      <c r="W1273">
        <f t="shared" si="476"/>
        <v>0.16991058442233331</v>
      </c>
      <c r="X1273">
        <f t="shared" si="477"/>
        <v>0.21005928915800548</v>
      </c>
      <c r="Y1273" t="b">
        <f t="shared" si="479"/>
        <v>0</v>
      </c>
    </row>
    <row xmlns:x14ac="http://schemas.microsoft.com/office/spreadsheetml/2009/9/ac" r="1274" x14ac:dyDescent="0.45">
      <c r="A1274">
        <v>6.3349999999998898</v>
      </c>
      <c r="B1274">
        <f t="shared" si="457"/>
        <v>0.1629999999999982</v>
      </c>
      <c r="C1274" t="b">
        <f t="shared" si="470"/>
        <v>1</v>
      </c>
      <c r="D1274" t="b">
        <f t="shared" si="458"/>
        <v>1</v>
      </c>
      <c r="E1274">
        <f t="shared" si="466"/>
        <v>6.3349999999998898</v>
      </c>
      <c r="F1274">
        <f t="shared" si="471"/>
        <v>0.1629999999999982</v>
      </c>
      <c r="G1274">
        <f t="shared" si="459"/>
        <v>0.21005782530347855</v>
      </c>
      <c r="H1274">
        <f t="shared" si="460"/>
        <v>3.4999999999999309E-2</v>
      </c>
      <c r="I1274" t="b">
        <f t="shared" si="472"/>
        <v>1</v>
      </c>
      <c r="J1274">
        <f t="shared" si="461"/>
        <v>6.3349999999998898</v>
      </c>
      <c r="K1274">
        <f t="shared" si="473"/>
        <v>3.4999999999999309E-2</v>
      </c>
      <c r="L1274">
        <f t="shared" si="462"/>
        <v>0.16991279210081195</v>
      </c>
      <c r="M1274">
        <f t="shared" si="463"/>
        <v>0.18999999999999861</v>
      </c>
      <c r="N1274">
        <f t="shared" si="464"/>
        <v>0.18799999990108918</v>
      </c>
      <c r="O1274">
        <f t="shared" si="465"/>
        <v>0.15777777777777779</v>
      </c>
      <c r="P1274">
        <f t="shared" si="478"/>
        <v>0.08</v>
      </c>
      <c r="Q1274">
        <f t="shared" si="474"/>
        <v>0.08</v>
      </c>
      <c r="R1274">
        <f t="shared" si="467"/>
        <v>0.08</v>
      </c>
      <c r="S1274">
        <f t="shared" si="468"/>
        <v>0.06</v>
      </c>
      <c r="T1274">
        <f t="shared" si="469"/>
        <v>0.1</v>
      </c>
      <c r="U1274">
        <f t="shared" si="475"/>
        <v>0.08</v>
      </c>
      <c r="V1274">
        <f t="shared" si="480"/>
        <v>0.18799999990108918</v>
      </c>
      <c r="W1274">
        <f t="shared" si="476"/>
        <v>0.16991103038438743</v>
      </c>
      <c r="X1274">
        <f t="shared" si="477"/>
        <v>0.21005899345209628</v>
      </c>
      <c r="Y1274" t="b">
        <f t="shared" si="479"/>
        <v>0</v>
      </c>
    </row>
    <row xmlns:x14ac="http://schemas.microsoft.com/office/spreadsheetml/2009/9/ac" r="1275" x14ac:dyDescent="0.45">
      <c r="A1275">
        <v>6.3399999999998897</v>
      </c>
      <c r="B1275">
        <f t="shared" si="457"/>
        <v>0.16299999999999837</v>
      </c>
      <c r="C1275" t="b">
        <f t="shared" si="470"/>
        <v>1</v>
      </c>
      <c r="D1275" t="b">
        <f t="shared" si="458"/>
        <v>1</v>
      </c>
      <c r="E1275">
        <f t="shared" si="466"/>
        <v>6.3399999999998897</v>
      </c>
      <c r="F1275">
        <f t="shared" si="471"/>
        <v>0.16299999999999837</v>
      </c>
      <c r="G1275">
        <f t="shared" si="459"/>
        <v>0.21005753689857432</v>
      </c>
      <c r="H1275">
        <f t="shared" si="460"/>
        <v>3.4999999999999379E-2</v>
      </c>
      <c r="I1275" t="b">
        <f t="shared" si="472"/>
        <v>1</v>
      </c>
      <c r="J1275">
        <f t="shared" si="461"/>
        <v>6.3399999999998897</v>
      </c>
      <c r="K1275">
        <f t="shared" si="473"/>
        <v>3.4999999999999379E-2</v>
      </c>
      <c r="L1275">
        <f t="shared" si="462"/>
        <v>0.16991322705202372</v>
      </c>
      <c r="M1275">
        <f t="shared" si="463"/>
        <v>0.18999999999999875</v>
      </c>
      <c r="N1275">
        <f t="shared" si="464"/>
        <v>0.18799999991213651</v>
      </c>
      <c r="O1275">
        <f t="shared" si="465"/>
        <v>0.15777777777777779</v>
      </c>
      <c r="P1275">
        <f t="shared" si="478"/>
        <v>0.08</v>
      </c>
      <c r="Q1275">
        <f t="shared" si="474"/>
        <v>0.08</v>
      </c>
      <c r="R1275">
        <f t="shared" si="467"/>
        <v>0.08</v>
      </c>
      <c r="S1275">
        <f t="shared" si="468"/>
        <v>0.06</v>
      </c>
      <c r="T1275">
        <f t="shared" si="469"/>
        <v>0.1</v>
      </c>
      <c r="U1275">
        <f t="shared" si="475"/>
        <v>0.08</v>
      </c>
      <c r="V1275">
        <f t="shared" si="480"/>
        <v>0.18799999991213651</v>
      </c>
      <c r="W1275">
        <f t="shared" si="476"/>
        <v>0.16991147412219651</v>
      </c>
      <c r="X1275">
        <f t="shared" si="477"/>
        <v>0.21005869922102649</v>
      </c>
      <c r="Y1275" t="b">
        <f t="shared" si="479"/>
        <v>0</v>
      </c>
    </row>
    <row xmlns:x14ac="http://schemas.microsoft.com/office/spreadsheetml/2009/9/ac" r="1276" x14ac:dyDescent="0.45">
      <c r="A1276">
        <v>6.3449999999998896</v>
      </c>
      <c r="B1276">
        <f t="shared" si="457"/>
        <v>0.16299999999999856</v>
      </c>
      <c r="C1276" t="b">
        <f t="shared" si="470"/>
        <v>1</v>
      </c>
      <c r="D1276" t="b">
        <f t="shared" si="458"/>
        <v>1</v>
      </c>
      <c r="E1276">
        <f t="shared" si="466"/>
        <v>6.3449999999998896</v>
      </c>
      <c r="F1276">
        <f t="shared" si="471"/>
        <v>0.16299999999999856</v>
      </c>
      <c r="G1276">
        <f t="shared" si="459"/>
        <v>0.21005724993209546</v>
      </c>
      <c r="H1276">
        <f t="shared" si="460"/>
        <v>3.4999999999999448E-2</v>
      </c>
      <c r="I1276" t="b">
        <f t="shared" si="472"/>
        <v>1</v>
      </c>
      <c r="J1276">
        <f t="shared" si="461"/>
        <v>6.3449999999998896</v>
      </c>
      <c r="K1276">
        <f t="shared" si="473"/>
        <v>3.4999999999999448E-2</v>
      </c>
      <c r="L1276">
        <f t="shared" si="462"/>
        <v>0.16991365983390727</v>
      </c>
      <c r="M1276">
        <f t="shared" si="463"/>
        <v>0.18999999999999889</v>
      </c>
      <c r="N1276">
        <f t="shared" si="464"/>
        <v>0.18799999992322808</v>
      </c>
      <c r="O1276">
        <f t="shared" si="465"/>
        <v>0.15777777777777779</v>
      </c>
      <c r="P1276">
        <f t="shared" si="478"/>
        <v>0.08</v>
      </c>
      <c r="Q1276">
        <f t="shared" si="474"/>
        <v>0.08</v>
      </c>
      <c r="R1276">
        <f t="shared" si="467"/>
        <v>0.08</v>
      </c>
      <c r="S1276">
        <f t="shared" si="468"/>
        <v>0.06</v>
      </c>
      <c r="T1276">
        <f t="shared" si="469"/>
        <v>0.1</v>
      </c>
      <c r="U1276">
        <f t="shared" si="475"/>
        <v>0.08</v>
      </c>
      <c r="V1276">
        <f t="shared" si="480"/>
        <v>0.18799999992322808</v>
      </c>
      <c r="W1276">
        <f t="shared" si="476"/>
        <v>0.16991191564685404</v>
      </c>
      <c r="X1276">
        <f t="shared" si="477"/>
        <v>0.21005840645744023</v>
      </c>
      <c r="Y1276" t="b">
        <f t="shared" si="479"/>
        <v>0</v>
      </c>
    </row>
    <row xmlns:x14ac="http://schemas.microsoft.com/office/spreadsheetml/2009/9/ac" r="1277" x14ac:dyDescent="0.45">
      <c r="A1277">
        <v>6.3499999999998904</v>
      </c>
      <c r="B1277">
        <f t="shared" si="457"/>
        <v>0.16299999999999873</v>
      </c>
      <c r="C1277" t="b">
        <f t="shared" si="470"/>
        <v>1</v>
      </c>
      <c r="D1277" t="b">
        <f t="shared" si="458"/>
        <v>1</v>
      </c>
      <c r="E1277">
        <f t="shared" si="466"/>
        <v>6.3499999999998904</v>
      </c>
      <c r="F1277">
        <f t="shared" si="471"/>
        <v>0.16299999999999873</v>
      </c>
      <c r="G1277">
        <f t="shared" si="459"/>
        <v>0.21005696439686794</v>
      </c>
      <c r="H1277">
        <f t="shared" si="460"/>
        <v>3.4999999999999518E-2</v>
      </c>
      <c r="I1277" t="b">
        <f t="shared" si="472"/>
        <v>1</v>
      </c>
      <c r="J1277">
        <f t="shared" si="461"/>
        <v>6.3499999999998904</v>
      </c>
      <c r="K1277">
        <f t="shared" si="473"/>
        <v>3.4999999999999518E-2</v>
      </c>
      <c r="L1277">
        <f t="shared" si="462"/>
        <v>0.16991409045728215</v>
      </c>
      <c r="M1277">
        <f t="shared" si="463"/>
        <v>0.18999999999999903</v>
      </c>
      <c r="N1277">
        <f t="shared" si="464"/>
        <v>0.18799999993431307</v>
      </c>
      <c r="O1277">
        <f t="shared" si="465"/>
        <v>0.15777777777777779</v>
      </c>
      <c r="P1277">
        <f t="shared" si="478"/>
        <v>0.08</v>
      </c>
      <c r="Q1277">
        <f t="shared" si="474"/>
        <v>0.08</v>
      </c>
      <c r="R1277">
        <f t="shared" si="467"/>
        <v>0.08</v>
      </c>
      <c r="S1277">
        <f t="shared" si="468"/>
        <v>0.06</v>
      </c>
      <c r="T1277">
        <f t="shared" si="469"/>
        <v>0.1</v>
      </c>
      <c r="U1277">
        <f t="shared" si="475"/>
        <v>0.08</v>
      </c>
      <c r="V1277">
        <f t="shared" si="480"/>
        <v>0.18799999993431307</v>
      </c>
      <c r="W1277">
        <f t="shared" si="476"/>
        <v>0.16991235496939816</v>
      </c>
      <c r="X1277">
        <f t="shared" si="477"/>
        <v>0.21005811515401845</v>
      </c>
      <c r="Y1277" t="b">
        <f t="shared" si="479"/>
        <v>0</v>
      </c>
    </row>
    <row xmlns:x14ac="http://schemas.microsoft.com/office/spreadsheetml/2009/9/ac" r="1278" x14ac:dyDescent="0.45">
      <c r="A1278">
        <v>6.3549999999998903</v>
      </c>
      <c r="B1278">
        <f t="shared" si="457"/>
        <v>0.1629999999999989</v>
      </c>
      <c r="C1278" t="b">
        <f t="shared" si="470"/>
        <v>1</v>
      </c>
      <c r="D1278" t="b">
        <f t="shared" si="458"/>
        <v>1</v>
      </c>
      <c r="E1278">
        <f t="shared" si="466"/>
        <v>6.3549999999998903</v>
      </c>
      <c r="F1278">
        <f t="shared" si="471"/>
        <v>0.1629999999999989</v>
      </c>
      <c r="G1278">
        <f t="shared" si="459"/>
        <v>0.21005668028575325</v>
      </c>
      <c r="H1278">
        <f t="shared" si="460"/>
        <v>3.4999999999999573E-2</v>
      </c>
      <c r="I1278" t="b">
        <f t="shared" si="472"/>
        <v>1</v>
      </c>
      <c r="J1278">
        <f t="shared" si="461"/>
        <v>6.3549999999998903</v>
      </c>
      <c r="K1278">
        <f t="shared" si="473"/>
        <v>3.4999999999999573E-2</v>
      </c>
      <c r="L1278">
        <f t="shared" si="462"/>
        <v>0.16991451893291398</v>
      </c>
      <c r="M1278">
        <f t="shared" si="463"/>
        <v>0.18999999999999917</v>
      </c>
      <c r="N1278">
        <f t="shared" si="464"/>
        <v>0.18799999994534217</v>
      </c>
      <c r="O1278">
        <f t="shared" si="465"/>
        <v>0.15777777777777779</v>
      </c>
      <c r="P1278">
        <f t="shared" si="478"/>
        <v>0.08</v>
      </c>
      <c r="Q1278">
        <f t="shared" si="474"/>
        <v>0.08</v>
      </c>
      <c r="R1278">
        <f t="shared" si="467"/>
        <v>0.08</v>
      </c>
      <c r="S1278">
        <f t="shared" si="468"/>
        <v>0.06</v>
      </c>
      <c r="T1278">
        <f t="shared" si="469"/>
        <v>0.1</v>
      </c>
      <c r="U1278">
        <f t="shared" si="475"/>
        <v>0.08</v>
      </c>
      <c r="V1278">
        <f t="shared" si="480"/>
        <v>0.18799999994534217</v>
      </c>
      <c r="W1278">
        <f t="shared" si="476"/>
        <v>0.16991279210081195</v>
      </c>
      <c r="X1278">
        <f t="shared" si="477"/>
        <v>0.21005782530347855</v>
      </c>
      <c r="Y1278" t="b">
        <f t="shared" si="479"/>
        <v>0</v>
      </c>
    </row>
    <row xmlns:x14ac="http://schemas.microsoft.com/office/spreadsheetml/2009/9/ac" r="1279" x14ac:dyDescent="0.45">
      <c r="A1279">
        <v>6.3599999999998902</v>
      </c>
      <c r="B1279">
        <f t="shared" si="457"/>
        <v>0.16299999999999906</v>
      </c>
      <c r="C1279" t="b">
        <f t="shared" si="470"/>
        <v>1</v>
      </c>
      <c r="D1279" t="b">
        <f t="shared" si="458"/>
        <v>1</v>
      </c>
      <c r="E1279">
        <f t="shared" si="466"/>
        <v>6.3599999999998902</v>
      </c>
      <c r="F1279">
        <f t="shared" si="471"/>
        <v>0.16299999999999906</v>
      </c>
      <c r="G1279">
        <f t="shared" si="459"/>
        <v>0.21005639759164868</v>
      </c>
      <c r="H1279">
        <f t="shared" si="460"/>
        <v>3.4999999999999643E-2</v>
      </c>
      <c r="I1279" t="b">
        <f t="shared" si="472"/>
        <v>1</v>
      </c>
      <c r="J1279">
        <f t="shared" si="461"/>
        <v>6.3599999999998902</v>
      </c>
      <c r="K1279">
        <f t="shared" si="473"/>
        <v>3.4999999999999643E-2</v>
      </c>
      <c r="L1279">
        <f t="shared" si="462"/>
        <v>0.16991494527151474</v>
      </c>
      <c r="M1279">
        <f t="shared" si="463"/>
        <v>0.18999999999999928</v>
      </c>
      <c r="N1279">
        <f t="shared" si="464"/>
        <v>0.18799999995626787</v>
      </c>
      <c r="O1279">
        <f t="shared" si="465"/>
        <v>0.15777777777777779</v>
      </c>
      <c r="P1279">
        <f t="shared" si="478"/>
        <v>0.08</v>
      </c>
      <c r="Q1279">
        <f t="shared" si="474"/>
        <v>0.08</v>
      </c>
      <c r="R1279">
        <f t="shared" si="467"/>
        <v>0.08</v>
      </c>
      <c r="S1279">
        <f t="shared" si="468"/>
        <v>0.06</v>
      </c>
      <c r="T1279">
        <f t="shared" si="469"/>
        <v>0.1</v>
      </c>
      <c r="U1279">
        <f t="shared" si="475"/>
        <v>0.08</v>
      </c>
      <c r="V1279">
        <f t="shared" si="480"/>
        <v>0.18799999995626787</v>
      </c>
      <c r="W1279">
        <f t="shared" si="476"/>
        <v>0.16991322705202372</v>
      </c>
      <c r="X1279">
        <f t="shared" si="477"/>
        <v>0.21005753689857432</v>
      </c>
      <c r="Y1279" t="b">
        <f t="shared" si="479"/>
        <v>0</v>
      </c>
    </row>
    <row xmlns:x14ac="http://schemas.microsoft.com/office/spreadsheetml/2009/9/ac" r="1280" x14ac:dyDescent="0.45">
      <c r="A1280">
        <v>6.3649999999998901</v>
      </c>
      <c r="B1280">
        <f t="shared" si="457"/>
        <v>0.16299999999999923</v>
      </c>
      <c r="C1280" t="b">
        <f t="shared" si="470"/>
        <v>1</v>
      </c>
      <c r="D1280" t="b">
        <f t="shared" si="458"/>
        <v>1</v>
      </c>
      <c r="E1280">
        <f t="shared" si="466"/>
        <v>6.3649999999998901</v>
      </c>
      <c r="F1280">
        <f t="shared" si="471"/>
        <v>0.16299999999999923</v>
      </c>
      <c r="G1280">
        <f t="shared" si="459"/>
        <v>0.21005611630748688</v>
      </c>
      <c r="H1280">
        <f t="shared" si="460"/>
        <v>3.4999999999999712E-2</v>
      </c>
      <c r="I1280" t="b">
        <f t="shared" si="472"/>
        <v>1</v>
      </c>
      <c r="J1280">
        <f t="shared" si="461"/>
        <v>6.3649999999998901</v>
      </c>
      <c r="K1280">
        <f t="shared" si="473"/>
        <v>3.4999999999999712E-2</v>
      </c>
      <c r="L1280">
        <f t="shared" si="462"/>
        <v>0.16991536948374281</v>
      </c>
      <c r="M1280">
        <f t="shared" si="463"/>
        <v>0.18999999999999942</v>
      </c>
      <c r="N1280">
        <f t="shared" si="464"/>
        <v>0.1879999999670447</v>
      </c>
      <c r="O1280">
        <f t="shared" si="465"/>
        <v>0.15777777777777779</v>
      </c>
      <c r="P1280">
        <f t="shared" si="478"/>
        <v>0.08</v>
      </c>
      <c r="Q1280">
        <f t="shared" si="474"/>
        <v>0.08</v>
      </c>
      <c r="R1280">
        <f t="shared" si="467"/>
        <v>0.08</v>
      </c>
      <c r="S1280">
        <f t="shared" si="468"/>
        <v>0.06</v>
      </c>
      <c r="T1280">
        <f t="shared" si="469"/>
        <v>0.1</v>
      </c>
      <c r="U1280">
        <f t="shared" si="475"/>
        <v>0.08</v>
      </c>
      <c r="V1280">
        <f t="shared" si="480"/>
        <v>0.1879999999670447</v>
      </c>
      <c r="W1280">
        <f t="shared" si="476"/>
        <v>0.16991365983390727</v>
      </c>
      <c r="X1280">
        <f t="shared" si="477"/>
        <v>0.21005724993209546</v>
      </c>
      <c r="Y1280" t="b">
        <f t="shared" si="479"/>
        <v>0</v>
      </c>
    </row>
    <row xmlns:x14ac="http://schemas.microsoft.com/office/spreadsheetml/2009/9/ac" r="1281" x14ac:dyDescent="0.45">
      <c r="A1281">
        <v>6.36999999999989</v>
      </c>
      <c r="B1281">
        <f t="shared" si="457"/>
        <v>0.1629999999999994</v>
      </c>
      <c r="C1281" t="b">
        <f t="shared" si="470"/>
        <v>1</v>
      </c>
      <c r="D1281" t="b">
        <f t="shared" si="458"/>
        <v>1</v>
      </c>
      <c r="E1281">
        <f t="shared" si="466"/>
        <v>6.36999999999989</v>
      </c>
      <c r="F1281">
        <f t="shared" si="471"/>
        <v>0.1629999999999994</v>
      </c>
      <c r="G1281">
        <f t="shared" si="459"/>
        <v>0.21005583642623565</v>
      </c>
      <c r="H1281">
        <f t="shared" si="460"/>
        <v>3.4999999999999767E-2</v>
      </c>
      <c r="I1281" t="b">
        <f t="shared" si="472"/>
        <v>1</v>
      </c>
      <c r="J1281">
        <f t="shared" si="461"/>
        <v>6.36999999999989</v>
      </c>
      <c r="K1281">
        <f t="shared" si="473"/>
        <v>3.4999999999999767E-2</v>
      </c>
      <c r="L1281">
        <f t="shared" si="462"/>
        <v>0.16991579158020356</v>
      </c>
      <c r="M1281">
        <f t="shared" si="463"/>
        <v>0.18999999999999953</v>
      </c>
      <c r="N1281">
        <f t="shared" si="464"/>
        <v>0.18799999997762926</v>
      </c>
      <c r="O1281">
        <f t="shared" si="465"/>
        <v>0.15777777777777779</v>
      </c>
      <c r="P1281">
        <f t="shared" si="478"/>
        <v>0.08</v>
      </c>
      <c r="Q1281">
        <f t="shared" si="474"/>
        <v>0.08</v>
      </c>
      <c r="R1281">
        <f t="shared" si="467"/>
        <v>0.08</v>
      </c>
      <c r="S1281">
        <f t="shared" si="468"/>
        <v>0.06</v>
      </c>
      <c r="T1281">
        <f t="shared" si="469"/>
        <v>0.1</v>
      </c>
      <c r="U1281">
        <f t="shared" si="475"/>
        <v>0.08</v>
      </c>
      <c r="V1281">
        <f t="shared" si="480"/>
        <v>0.18799999997762926</v>
      </c>
      <c r="W1281">
        <f t="shared" si="476"/>
        <v>0.16991409045728215</v>
      </c>
      <c r="X1281">
        <f t="shared" si="477"/>
        <v>0.21005696439686794</v>
      </c>
      <c r="Y1281" t="b">
        <f t="shared" si="479"/>
        <v>0</v>
      </c>
    </row>
    <row xmlns:x14ac="http://schemas.microsoft.com/office/spreadsheetml/2009/9/ac" r="1282" x14ac:dyDescent="0.45">
      <c r="A1282">
        <v>6.3749999999998899</v>
      </c>
      <c r="B1282">
        <f t="shared" si="457"/>
        <v>0.16299999999999956</v>
      </c>
      <c r="C1282" t="b">
        <f t="shared" si="470"/>
        <v>1</v>
      </c>
      <c r="D1282" t="b">
        <f t="shared" si="458"/>
        <v>1</v>
      </c>
      <c r="E1282">
        <f t="shared" si="466"/>
        <v>6.3749999999998899</v>
      </c>
      <c r="F1282">
        <f t="shared" si="471"/>
        <v>0.16299999999999956</v>
      </c>
      <c r="G1282">
        <f t="shared" si="459"/>
        <v>0.21005555794089797</v>
      </c>
      <c r="H1282">
        <f t="shared" si="460"/>
        <v>3.4999999999999837E-2</v>
      </c>
      <c r="I1282" t="b">
        <f t="shared" si="472"/>
        <v>1</v>
      </c>
      <c r="J1282">
        <f t="shared" si="461"/>
        <v>6.3749999999998899</v>
      </c>
      <c r="K1282">
        <f t="shared" si="473"/>
        <v>3.4999999999999837E-2</v>
      </c>
      <c r="L1282">
        <f t="shared" si="462"/>
        <v>0.16991621157144945</v>
      </c>
      <c r="M1282">
        <f t="shared" si="463"/>
        <v>0.18999999999999967</v>
      </c>
      <c r="N1282">
        <f t="shared" si="464"/>
        <v>0.18799999998798028</v>
      </c>
      <c r="O1282">
        <f t="shared" si="465"/>
        <v>0.15777777777777779</v>
      </c>
      <c r="P1282">
        <f t="shared" si="478"/>
        <v>0.08</v>
      </c>
      <c r="Q1282">
        <f t="shared" si="474"/>
        <v>0.08</v>
      </c>
      <c r="R1282">
        <f t="shared" si="467"/>
        <v>0.08</v>
      </c>
      <c r="S1282">
        <f t="shared" si="468"/>
        <v>0.06</v>
      </c>
      <c r="T1282">
        <f t="shared" si="469"/>
        <v>0.1</v>
      </c>
      <c r="U1282">
        <f t="shared" si="475"/>
        <v>0.08</v>
      </c>
      <c r="V1282">
        <f t="shared" si="480"/>
        <v>0.18799999998798028</v>
      </c>
      <c r="W1282">
        <f t="shared" si="476"/>
        <v>0.16991451893291398</v>
      </c>
      <c r="X1282">
        <f t="shared" si="477"/>
        <v>0.21005668028575325</v>
      </c>
      <c r="Y1282" t="b">
        <f t="shared" si="479"/>
        <v>0</v>
      </c>
    </row>
    <row xmlns:x14ac="http://schemas.microsoft.com/office/spreadsheetml/2009/9/ac" r="1283" x14ac:dyDescent="0.45">
      <c r="A1283">
        <v>6.3799999999998898</v>
      </c>
      <c r="B1283">
        <f t="shared" si="457"/>
        <v>0.1629999999999997</v>
      </c>
      <c r="C1283" t="b">
        <f t="shared" si="470"/>
        <v>1</v>
      </c>
      <c r="D1283" t="b">
        <f t="shared" si="458"/>
        <v>1</v>
      </c>
      <c r="E1283">
        <f t="shared" si="466"/>
        <v>6.3799999999998898</v>
      </c>
      <c r="F1283">
        <f t="shared" si="471"/>
        <v>0.1629999999999997</v>
      </c>
      <c r="G1283">
        <f t="shared" si="459"/>
        <v>0.21005528084451175</v>
      </c>
      <c r="H1283">
        <f t="shared" si="460"/>
        <v>3.4999999999999878E-2</v>
      </c>
      <c r="I1283" t="b">
        <f t="shared" si="472"/>
        <v>1</v>
      </c>
      <c r="J1283">
        <f t="shared" si="461"/>
        <v>6.3799999999998898</v>
      </c>
      <c r="K1283">
        <f t="shared" si="473"/>
        <v>3.4999999999999878E-2</v>
      </c>
      <c r="L1283">
        <f t="shared" si="462"/>
        <v>0.16991662946798025</v>
      </c>
      <c r="M1283">
        <f t="shared" si="463"/>
        <v>0.18999999999999978</v>
      </c>
      <c r="N1283">
        <f t="shared" si="464"/>
        <v>0.18799999999805903</v>
      </c>
      <c r="O1283">
        <f t="shared" si="465"/>
        <v>0.15777777777777779</v>
      </c>
      <c r="P1283">
        <f t="shared" si="478"/>
        <v>0.08</v>
      </c>
      <c r="Q1283">
        <f t="shared" si="474"/>
        <v>0.08</v>
      </c>
      <c r="R1283">
        <f t="shared" si="467"/>
        <v>0.08</v>
      </c>
      <c r="S1283">
        <f t="shared" si="468"/>
        <v>0.06</v>
      </c>
      <c r="T1283">
        <f t="shared" si="469"/>
        <v>0.1</v>
      </c>
      <c r="U1283">
        <f t="shared" si="475"/>
        <v>0.08</v>
      </c>
      <c r="V1283">
        <f t="shared" si="480"/>
        <v>0.18799999999805903</v>
      </c>
      <c r="W1283">
        <f t="shared" si="476"/>
        <v>0.16991494527151474</v>
      </c>
      <c r="X1283">
        <f t="shared" si="477"/>
        <v>0.21005639759164868</v>
      </c>
      <c r="Y1283" t="b">
        <f t="shared" si="479"/>
        <v>0</v>
      </c>
    </row>
    <row xmlns:x14ac="http://schemas.microsoft.com/office/spreadsheetml/2009/9/ac" r="1284" x14ac:dyDescent="0.45">
      <c r="A1284">
        <v>6.3849999999998897</v>
      </c>
      <c r="B1284">
        <f t="shared" si="457"/>
        <v>0.16299999999999984</v>
      </c>
      <c r="C1284" t="b">
        <f t="shared" si="470"/>
        <v>1</v>
      </c>
      <c r="D1284" t="b">
        <f t="shared" si="458"/>
        <v>1</v>
      </c>
      <c r="E1284">
        <f t="shared" si="466"/>
        <v>6.3849999999998897</v>
      </c>
      <c r="F1284">
        <f t="shared" si="471"/>
        <v>0.16299999999999984</v>
      </c>
      <c r="G1284">
        <f t="shared" si="459"/>
        <v>0.21005500513014952</v>
      </c>
      <c r="H1284">
        <f t="shared" si="460"/>
        <v>3.4999999999999934E-2</v>
      </c>
      <c r="I1284" t="b">
        <f t="shared" si="472"/>
        <v>1</v>
      </c>
      <c r="J1284">
        <f t="shared" si="461"/>
        <v>6.3849999999998897</v>
      </c>
      <c r="K1284">
        <f t="shared" si="473"/>
        <v>3.4999999999999934E-2</v>
      </c>
      <c r="L1284">
        <f t="shared" si="462"/>
        <v>0.16991704528024343</v>
      </c>
      <c r="M1284">
        <f t="shared" si="463"/>
        <v>0.18999999999999989</v>
      </c>
      <c r="N1284">
        <f t="shared" si="464"/>
        <v>0.18800000000782899</v>
      </c>
      <c r="O1284">
        <f t="shared" si="465"/>
        <v>0.15777777777777779</v>
      </c>
      <c r="P1284">
        <f t="shared" si="478"/>
        <v>0.08</v>
      </c>
      <c r="Q1284">
        <f t="shared" si="474"/>
        <v>0.08</v>
      </c>
      <c r="R1284">
        <f t="shared" si="467"/>
        <v>0.08</v>
      </c>
      <c r="S1284">
        <f t="shared" si="468"/>
        <v>0.06</v>
      </c>
      <c r="T1284">
        <f t="shared" si="469"/>
        <v>0.1</v>
      </c>
      <c r="U1284">
        <f t="shared" si="475"/>
        <v>0.08</v>
      </c>
      <c r="V1284">
        <f t="shared" si="480"/>
        <v>0.18800000000782899</v>
      </c>
      <c r="W1284">
        <f t="shared" si="476"/>
        <v>0.16991536948374281</v>
      </c>
      <c r="X1284">
        <f t="shared" si="477"/>
        <v>0.21005611630748688</v>
      </c>
      <c r="Y1284" t="b">
        <f t="shared" si="479"/>
        <v>0</v>
      </c>
    </row>
    <row xmlns:x14ac="http://schemas.microsoft.com/office/spreadsheetml/2009/9/ac" r="1285" x14ac:dyDescent="0.45">
      <c r="A1285">
        <v>6.3899999999998904</v>
      </c>
      <c r="B1285">
        <f t="shared" si="457"/>
        <v>0.16299999999999998</v>
      </c>
      <c r="C1285" t="b">
        <f t="shared" si="470"/>
        <v>1</v>
      </c>
      <c r="D1285" t="b">
        <f t="shared" si="458"/>
        <v>1</v>
      </c>
      <c r="E1285">
        <f t="shared" si="466"/>
        <v>6.3899999999998904</v>
      </c>
      <c r="F1285">
        <f t="shared" si="471"/>
        <v>0.16299999999999998</v>
      </c>
      <c r="G1285">
        <f t="shared" si="459"/>
        <v>0.21005473079091835</v>
      </c>
      <c r="H1285">
        <f t="shared" si="460"/>
        <v>3.4999999999999989E-2</v>
      </c>
      <c r="I1285" t="b">
        <f t="shared" si="472"/>
        <v>1</v>
      </c>
      <c r="J1285">
        <f t="shared" si="461"/>
        <v>6.3899999999998904</v>
      </c>
      <c r="K1285">
        <f t="shared" si="473"/>
        <v>3.4999999999999989E-2</v>
      </c>
      <c r="L1285">
        <f t="shared" si="462"/>
        <v>0.16991745901863428</v>
      </c>
      <c r="M1285">
        <f t="shared" si="463"/>
        <v>0.19</v>
      </c>
      <c r="N1285">
        <f t="shared" si="464"/>
        <v>0.18800000001725631</v>
      </c>
      <c r="O1285">
        <f t="shared" si="465"/>
        <v>0.15777777777777779</v>
      </c>
      <c r="P1285">
        <f t="shared" si="478"/>
        <v>0.08</v>
      </c>
      <c r="Q1285">
        <f t="shared" si="474"/>
        <v>0.08</v>
      </c>
      <c r="R1285">
        <f t="shared" si="467"/>
        <v>0.08</v>
      </c>
      <c r="S1285">
        <f t="shared" si="468"/>
        <v>0.06</v>
      </c>
      <c r="T1285">
        <f t="shared" si="469"/>
        <v>0.1</v>
      </c>
      <c r="U1285">
        <f t="shared" si="475"/>
        <v>0.08</v>
      </c>
      <c r="V1285">
        <f t="shared" si="480"/>
        <v>0.18800000001725631</v>
      </c>
      <c r="W1285">
        <f t="shared" si="476"/>
        <v>0.16991579158020356</v>
      </c>
      <c r="X1285">
        <f t="shared" si="477"/>
        <v>0.21005583642623565</v>
      </c>
      <c r="Y1285" t="b">
        <f t="shared" si="479"/>
        <v>0</v>
      </c>
    </row>
    <row xmlns:x14ac="http://schemas.microsoft.com/office/spreadsheetml/2009/9/ac" r="1286" x14ac:dyDescent="0.45">
      <c r="A1286">
        <v>6.3949999999998903</v>
      </c>
      <c r="B1286">
        <f t="shared" si="457"/>
        <v>0.16300000000000012</v>
      </c>
      <c r="C1286" t="b">
        <f t="shared" si="470"/>
        <v>1</v>
      </c>
      <c r="D1286" t="b">
        <f t="shared" si="458"/>
        <v>1</v>
      </c>
      <c r="E1286">
        <f t="shared" si="466"/>
        <v>6.3949999999998903</v>
      </c>
      <c r="F1286">
        <f t="shared" si="471"/>
        <v>0.16300000000000012</v>
      </c>
      <c r="G1286">
        <f t="shared" si="459"/>
        <v>0.21005445781995985</v>
      </c>
      <c r="H1286">
        <f t="shared" si="460"/>
        <v>3.5000000000000045E-2</v>
      </c>
      <c r="I1286" t="b">
        <f t="shared" si="472"/>
        <v>1</v>
      </c>
      <c r="J1286">
        <f t="shared" si="461"/>
        <v>6.3949999999998903</v>
      </c>
      <c r="K1286">
        <f t="shared" si="473"/>
        <v>3.5000000000000045E-2</v>
      </c>
      <c r="L1286">
        <f t="shared" si="462"/>
        <v>0.16991787069349629</v>
      </c>
      <c r="M1286">
        <f t="shared" si="463"/>
        <v>0.19000000000000009</v>
      </c>
      <c r="N1286">
        <f t="shared" si="464"/>
        <v>0.18800000002630973</v>
      </c>
      <c r="O1286">
        <f t="shared" si="465"/>
        <v>0.15777777777777779</v>
      </c>
      <c r="P1286">
        <f t="shared" si="478"/>
        <v>0.08</v>
      </c>
      <c r="Q1286">
        <f t="shared" si="474"/>
        <v>0.08</v>
      </c>
      <c r="R1286">
        <f t="shared" si="467"/>
        <v>0.08</v>
      </c>
      <c r="S1286">
        <f t="shared" si="468"/>
        <v>0.06</v>
      </c>
      <c r="T1286">
        <f t="shared" si="469"/>
        <v>0.1</v>
      </c>
      <c r="U1286">
        <f t="shared" si="475"/>
        <v>0.08</v>
      </c>
      <c r="V1286">
        <f t="shared" si="480"/>
        <v>0.18800000002630973</v>
      </c>
      <c r="W1286">
        <f t="shared" si="476"/>
        <v>0.16991621157144945</v>
      </c>
      <c r="X1286">
        <f t="shared" si="477"/>
        <v>0.21005555794089797</v>
      </c>
      <c r="Y1286" t="b">
        <f t="shared" si="479"/>
        <v>0</v>
      </c>
    </row>
    <row xmlns:x14ac="http://schemas.microsoft.com/office/spreadsheetml/2009/9/ac" r="1287" x14ac:dyDescent="0.45">
      <c r="A1287">
        <v>6.3999999999998902</v>
      </c>
      <c r="B1287">
        <f t="shared" ref="B1287:B1350" si="481">-(1+Marge_haute)*(A+B/Tpll*EXP(-$A1287/Tpll)+C_*EXP(-epsilon*Wn*$A1287)*COS(Wd*$A1287)+C_*(D/C_-epsilon*Wn)/Wd*EXP(-epsilon*Wn*$A1287)*SIN(Wd*$A1287))+SIGN(DeltaPexpected)*Tunnel</f>
        <v>0.16300000000000023</v>
      </c>
      <c r="C1287" t="b">
        <f t="shared" si="470"/>
        <v>1</v>
      </c>
      <c r="D1287" t="b">
        <f t="shared" ref="D1287:D1350" si="482">IF(D1286,D1286,IF(C1287,B1287&gt;B1286,C1287))</f>
        <v>1</v>
      </c>
      <c r="E1287">
        <f t="shared" si="466"/>
        <v>6.3999999999998902</v>
      </c>
      <c r="F1287">
        <f t="shared" si="471"/>
        <v>0.16300000000000023</v>
      </c>
      <c r="G1287">
        <f t="shared" ref="G1287:G1350" si="483">P0-SIGN(Rocof)*IF(D1287,DeltaPexpected+SIGN(DeltaPexpected)*Tunnel+(MIN(F$7:F$1495)-DeltaPexpected-+SIGN(DeltaPexpected)*Tunnel)*EXP(-(A1287-MIN(E$7:E$1495))/Texpodecrease),B1287)</f>
        <v>0.21005418621044969</v>
      </c>
      <c r="H1287">
        <f t="shared" ref="H1287:H1350" si="484">-(1-marge_basse)*(A+B/Tpll*EXP(-$A1287/Tpll)+C_*EXP(-epsilon*Wn*$A1287)*COS(Wd*$A1287)+C_*(D/C_-epsilon*Wn)/Wd*EXP(-epsilon*Wn*$A1287)*SIN(Wd*$A1287))-Tunnel</f>
        <v>3.5000000000000087E-2</v>
      </c>
      <c r="I1287" t="b">
        <f t="shared" si="472"/>
        <v>1</v>
      </c>
      <c r="J1287">
        <f t="shared" ref="J1287:J1350" si="485">IF(I1287,A1287,I1287)</f>
        <v>6.3999999999998902</v>
      </c>
      <c r="K1287">
        <f t="shared" si="473"/>
        <v>3.5000000000000087E-2</v>
      </c>
      <c r="L1287">
        <f t="shared" ref="L1287:L1350" si="486">P0-SIGN(Rocof)*IF(I1287,AF$23-AF$13+(MAX(K$7:K$1495)-AF$23+AF$13)*EXP(-(A1287-MIN(J$7:J$1495))/AB$21),H1287)</f>
        <v>0.16991828031512138</v>
      </c>
      <c r="M1287">
        <f t="shared" ref="M1287:M1350" si="487">P0-(1)*(A+B/Tpll*EXP(-$A1287/Tpll)+C_*EXP(-epsilon*Wn*$A1287)*COS(Wd*$A1287)+C_*(D/C_-epsilon*Wn)/Wd*EXP(-epsilon*Wn*$A1287)*SIN(Wd*$A1287))</f>
        <v>0.19000000000000017</v>
      </c>
      <c r="N1287">
        <f t="shared" ref="N1287:N1350" si="488">AB$6-(AG$17+AG$16/AC$18*EXP(-$A1287/AC$18)+AG$18*EXP(-AG$6*AG$12*$A1287)*COS(AG$5*$A1287)+AG$18*(AG$19/AG$18-AG$6*AG$12)/AG$5*EXP(-AG$6*AG$12*$A1287)*SIN(AG$5*$A1287))</f>
        <v>0.18800000003496056</v>
      </c>
      <c r="O1287">
        <f t="shared" ref="O1287:O1350" si="489">AB$6-(AH$17+AH$16/AD$18*EXP(-$A1287/AD$18)+AH$18*EXP(-AH$6*AH$12*$A1287)*COS(AH$5*$A1287)+AH$18*(AH$19/AH$18-AH$6*AH$12)/AH$5*EXP(-AH$6*AH$12*$A1287)*SIN(AH$5*$A1287))</f>
        <v>0.15777777777777779</v>
      </c>
      <c r="P1287">
        <f t="shared" si="478"/>
        <v>0.08</v>
      </c>
      <c r="Q1287">
        <f t="shared" si="474"/>
        <v>0.08</v>
      </c>
      <c r="R1287">
        <f t="shared" si="467"/>
        <v>0.08</v>
      </c>
      <c r="S1287">
        <f t="shared" si="468"/>
        <v>0.06</v>
      </c>
      <c r="T1287">
        <f t="shared" si="469"/>
        <v>0.1</v>
      </c>
      <c r="U1287">
        <f t="shared" si="475"/>
        <v>0.08</v>
      </c>
      <c r="V1287">
        <f t="shared" si="480"/>
        <v>0.18800000003496056</v>
      </c>
      <c r="W1287">
        <f t="shared" si="476"/>
        <v>0.16991662946798025</v>
      </c>
      <c r="X1287">
        <f t="shared" si="477"/>
        <v>0.21005528084451175</v>
      </c>
      <c r="Y1287" t="b">
        <f t="shared" si="479"/>
        <v>0</v>
      </c>
    </row>
    <row xmlns:x14ac="http://schemas.microsoft.com/office/spreadsheetml/2009/9/ac" r="1288" x14ac:dyDescent="0.45">
      <c r="A1288">
        <v>6.4049999999998901</v>
      </c>
      <c r="B1288">
        <f t="shared" si="481"/>
        <v>0.16300000000000034</v>
      </c>
      <c r="C1288" t="b">
        <f t="shared" si="470"/>
        <v>1</v>
      </c>
      <c r="D1288" t="b">
        <f t="shared" si="482"/>
        <v>1</v>
      </c>
      <c r="E1288">
        <f t="shared" ref="E1288:E1351" si="490">IF(D1288,A1288,D1288)</f>
        <v>6.4049999999998901</v>
      </c>
      <c r="F1288">
        <f t="shared" si="471"/>
        <v>0.16300000000000034</v>
      </c>
      <c r="G1288">
        <f t="shared" si="483"/>
        <v>0.21005391595559764</v>
      </c>
      <c r="H1288">
        <f t="shared" si="484"/>
        <v>3.5000000000000128E-2</v>
      </c>
      <c r="I1288" t="b">
        <f t="shared" si="472"/>
        <v>1</v>
      </c>
      <c r="J1288">
        <f t="shared" si="485"/>
        <v>6.4049999999998901</v>
      </c>
      <c r="K1288">
        <f t="shared" si="473"/>
        <v>3.5000000000000128E-2</v>
      </c>
      <c r="L1288">
        <f t="shared" si="486"/>
        <v>0.16991868789375009</v>
      </c>
      <c r="M1288">
        <f t="shared" si="487"/>
        <v>0.19000000000000028</v>
      </c>
      <c r="N1288">
        <f t="shared" si="488"/>
        <v>0.1880000000431829</v>
      </c>
      <c r="O1288">
        <f t="shared" si="489"/>
        <v>0.15777777777777779</v>
      </c>
      <c r="P1288">
        <f t="shared" si="478"/>
        <v>0.08</v>
      </c>
      <c r="Q1288">
        <f t="shared" si="474"/>
        <v>0.08</v>
      </c>
      <c r="R1288">
        <f t="shared" ref="R1288:R1351" si="491">$AB$6-(1+AB$17)*EXP(-AF$6*AF$12*A1288)*(COS(AF$5*A1288)-(AF$6*AF$12-1)/(AF$5)*SIN(AF$5*A1288))*AF$15</f>
        <v>0.08</v>
      </c>
      <c r="S1288">
        <f t="shared" ref="S1288:S1351" si="492">R1288-AF$13</f>
        <v>0.06</v>
      </c>
      <c r="T1288">
        <f t="shared" ref="T1288:T1351" si="493">R1288+AF$13</f>
        <v>0.1</v>
      </c>
      <c r="U1288">
        <f t="shared" si="475"/>
        <v>0.08</v>
      </c>
      <c r="V1288">
        <f t="shared" si="480"/>
        <v>0.1880000000431829</v>
      </c>
      <c r="W1288">
        <f t="shared" si="476"/>
        <v>0.16991704528024343</v>
      </c>
      <c r="X1288">
        <f t="shared" si="477"/>
        <v>0.21005500513014952</v>
      </c>
      <c r="Y1288" t="b">
        <f t="shared" si="479"/>
        <v>0</v>
      </c>
    </row>
    <row xmlns:x14ac="http://schemas.microsoft.com/office/spreadsheetml/2009/9/ac" r="1289" x14ac:dyDescent="0.45">
      <c r="A1289">
        <v>6.40999999999989</v>
      </c>
      <c r="B1289">
        <f t="shared" si="481"/>
        <v>0.16300000000000045</v>
      </c>
      <c r="C1289" t="b">
        <f t="shared" ref="C1289:C1352" si="494">IF(C1288,C1288,(B1289&lt;B1288))</f>
        <v>1</v>
      </c>
      <c r="D1289" t="b">
        <f t="shared" si="482"/>
        <v>1</v>
      </c>
      <c r="E1289">
        <f t="shared" si="490"/>
        <v>6.40999999999989</v>
      </c>
      <c r="F1289">
        <f t="shared" ref="F1289:F1352" si="495">IF(D1289,B1289,D1289)</f>
        <v>0.16300000000000045</v>
      </c>
      <c r="G1289">
        <f t="shared" si="483"/>
        <v>0.21005364704864721</v>
      </c>
      <c r="H1289">
        <f t="shared" si="484"/>
        <v>3.500000000000017E-2</v>
      </c>
      <c r="I1289" t="b">
        <f t="shared" ref="I1289:I1352" si="496">IF(I1288,I1288,H1288&gt;H1289)</f>
        <v>1</v>
      </c>
      <c r="J1289">
        <f t="shared" si="485"/>
        <v>6.40999999999989</v>
      </c>
      <c r="K1289">
        <f t="shared" ref="K1289:K1352" si="497">IF(I1289,H1289,I1289)</f>
        <v>3.500000000000017E-2</v>
      </c>
      <c r="L1289">
        <f t="shared" si="486"/>
        <v>0.1699190934395719</v>
      </c>
      <c r="M1289">
        <f t="shared" si="487"/>
        <v>0.19000000000000034</v>
      </c>
      <c r="N1289">
        <f t="shared" si="488"/>
        <v>0.18800000005095355</v>
      </c>
      <c r="O1289">
        <f t="shared" si="489"/>
        <v>0.15777777777777779</v>
      </c>
      <c r="P1289">
        <f t="shared" si="478"/>
        <v>0.08</v>
      </c>
      <c r="Q1289">
        <f t="shared" ref="Q1289:Q1352" si="498">$AB$6-(1+AB$17)*EXP(-AF$6*AF$12*A1287)*(COS(AF$5*A1287)-(AF$6*AF$12-1)/(AF$5)*SIN(AF$5*A1287))*AF$15</f>
        <v>0.08</v>
      </c>
      <c r="R1289">
        <f t="shared" si="491"/>
        <v>0.08</v>
      </c>
      <c r="S1289">
        <f t="shared" si="492"/>
        <v>0.06</v>
      </c>
      <c r="T1289">
        <f t="shared" si="493"/>
        <v>0.1</v>
      </c>
      <c r="U1289">
        <f t="shared" ref="U1289:U1352" si="499">$AB$6-AB$18*EXP(-AF$6*AF$12*A1287)*(COS(AF$5*A1287)-(AF$6*AF$12-1)/(AF$5)*SIN(AF$5*A1287))*AF$15</f>
        <v>0.08</v>
      </c>
      <c r="V1289">
        <f t="shared" si="480"/>
        <v>0.18800000005095355</v>
      </c>
      <c r="W1289">
        <f t="shared" si="476"/>
        <v>0.16991745901863428</v>
      </c>
      <c r="X1289">
        <f t="shared" si="477"/>
        <v>0.21005473079091835</v>
      </c>
      <c r="Y1289" t="b">
        <f t="shared" si="479"/>
        <v>0</v>
      </c>
    </row>
    <row xmlns:x14ac="http://schemas.microsoft.com/office/spreadsheetml/2009/9/ac" r="1290" x14ac:dyDescent="0.45">
      <c r="A1290">
        <v>6.4149999999998899</v>
      </c>
      <c r="B1290">
        <f t="shared" si="481"/>
        <v>0.16300000000000056</v>
      </c>
      <c r="C1290" t="b">
        <f t="shared" si="494"/>
        <v>1</v>
      </c>
      <c r="D1290" t="b">
        <f t="shared" si="482"/>
        <v>1</v>
      </c>
      <c r="E1290">
        <f t="shared" si="490"/>
        <v>6.4149999999998899</v>
      </c>
      <c r="F1290">
        <f t="shared" si="495"/>
        <v>0.16300000000000056</v>
      </c>
      <c r="G1290">
        <f t="shared" si="483"/>
        <v>0.21005337948287583</v>
      </c>
      <c r="H1290">
        <f t="shared" si="484"/>
        <v>3.5000000000000225E-2</v>
      </c>
      <c r="I1290" t="b">
        <f t="shared" si="496"/>
        <v>1</v>
      </c>
      <c r="J1290">
        <f t="shared" si="485"/>
        <v>6.4149999999998899</v>
      </c>
      <c r="K1290">
        <f t="shared" si="497"/>
        <v>3.5000000000000225E-2</v>
      </c>
      <c r="L1290">
        <f t="shared" si="486"/>
        <v>0.16991949696272546</v>
      </c>
      <c r="M1290">
        <f t="shared" si="487"/>
        <v>0.19000000000000045</v>
      </c>
      <c r="N1290">
        <f t="shared" si="488"/>
        <v>0.18800000005825201</v>
      </c>
      <c r="O1290">
        <f t="shared" si="489"/>
        <v>0.15777777777777779</v>
      </c>
      <c r="P1290">
        <f t="shared" si="478"/>
        <v>0.08</v>
      </c>
      <c r="Q1290">
        <f t="shared" si="498"/>
        <v>0.08</v>
      </c>
      <c r="R1290">
        <f t="shared" si="491"/>
        <v>0.08</v>
      </c>
      <c r="S1290">
        <f t="shared" si="492"/>
        <v>0.06</v>
      </c>
      <c r="T1290">
        <f t="shared" si="493"/>
        <v>0.1</v>
      </c>
      <c r="U1290">
        <f t="shared" si="499"/>
        <v>0.08</v>
      </c>
      <c r="V1290">
        <f t="shared" si="480"/>
        <v>0.18800000005825201</v>
      </c>
      <c r="W1290">
        <f t="shared" si="476"/>
        <v>0.16991787069349629</v>
      </c>
      <c r="X1290">
        <f t="shared" si="477"/>
        <v>0.21005445781995985</v>
      </c>
      <c r="Y1290" t="b">
        <f t="shared" si="479"/>
        <v>0</v>
      </c>
    </row>
    <row xmlns:x14ac="http://schemas.microsoft.com/office/spreadsheetml/2009/9/ac" r="1291" x14ac:dyDescent="0.45">
      <c r="A1291">
        <v>6.4199999999998898</v>
      </c>
      <c r="B1291">
        <f t="shared" si="481"/>
        <v>0.16300000000000067</v>
      </c>
      <c r="C1291" t="b">
        <f t="shared" si="494"/>
        <v>1</v>
      </c>
      <c r="D1291" t="b">
        <f t="shared" si="482"/>
        <v>1</v>
      </c>
      <c r="E1291">
        <f t="shared" si="490"/>
        <v>6.4199999999998898</v>
      </c>
      <c r="F1291">
        <f t="shared" si="495"/>
        <v>0.16300000000000067</v>
      </c>
      <c r="G1291">
        <f t="shared" si="483"/>
        <v>0.21005311325159431</v>
      </c>
      <c r="H1291">
        <f t="shared" si="484"/>
        <v>3.5000000000000253E-2</v>
      </c>
      <c r="I1291" t="b">
        <f t="shared" si="496"/>
        <v>1</v>
      </c>
      <c r="J1291">
        <f t="shared" si="485"/>
        <v>6.4199999999998898</v>
      </c>
      <c r="K1291">
        <f t="shared" si="497"/>
        <v>3.5000000000000253E-2</v>
      </c>
      <c r="L1291">
        <f t="shared" si="486"/>
        <v>0.16991989847329891</v>
      </c>
      <c r="M1291">
        <f t="shared" si="487"/>
        <v>0.1900000000000005</v>
      </c>
      <c r="N1291">
        <f t="shared" si="488"/>
        <v>0.18800000006506062</v>
      </c>
      <c r="O1291">
        <f t="shared" si="489"/>
        <v>0.15777777777777779</v>
      </c>
      <c r="P1291">
        <f t="shared" si="478"/>
        <v>0.08</v>
      </c>
      <c r="Q1291">
        <f t="shared" si="498"/>
        <v>0.08</v>
      </c>
      <c r="R1291">
        <f t="shared" si="491"/>
        <v>0.08</v>
      </c>
      <c r="S1291">
        <f t="shared" si="492"/>
        <v>0.06</v>
      </c>
      <c r="T1291">
        <f t="shared" si="493"/>
        <v>0.1</v>
      </c>
      <c r="U1291">
        <f t="shared" si="499"/>
        <v>0.08</v>
      </c>
      <c r="V1291">
        <f t="shared" si="480"/>
        <v>0.18800000006506062</v>
      </c>
      <c r="W1291">
        <f t="shared" ref="W1291:W1354" si="500">IF(EMT_Simulation,L1287,L1291)</f>
        <v>0.16991828031512138</v>
      </c>
      <c r="X1291">
        <f t="shared" ref="X1291:X1354" si="501">IF(EMT_Simulation,G1287,G1291)</f>
        <v>0.21005418621044969</v>
      </c>
      <c r="Y1291" t="b">
        <f t="shared" si="479"/>
        <v>0</v>
      </c>
    </row>
    <row xmlns:x14ac="http://schemas.microsoft.com/office/spreadsheetml/2009/9/ac" r="1292" x14ac:dyDescent="0.45">
      <c r="A1292">
        <v>6.4249999999998897</v>
      </c>
      <c r="B1292">
        <f t="shared" si="481"/>
        <v>0.16300000000000073</v>
      </c>
      <c r="C1292" t="b">
        <f t="shared" si="494"/>
        <v>1</v>
      </c>
      <c r="D1292" t="b">
        <f t="shared" si="482"/>
        <v>1</v>
      </c>
      <c r="E1292">
        <f t="shared" si="490"/>
        <v>6.4249999999998897</v>
      </c>
      <c r="F1292">
        <f t="shared" si="495"/>
        <v>0.16300000000000073</v>
      </c>
      <c r="G1292">
        <f t="shared" si="483"/>
        <v>0.21005284834814686</v>
      </c>
      <c r="H1292">
        <f t="shared" si="484"/>
        <v>3.5000000000000281E-2</v>
      </c>
      <c r="I1292" t="b">
        <f t="shared" si="496"/>
        <v>1</v>
      </c>
      <c r="J1292">
        <f t="shared" si="485"/>
        <v>6.4249999999998897</v>
      </c>
      <c r="K1292">
        <f t="shared" si="497"/>
        <v>3.5000000000000281E-2</v>
      </c>
      <c r="L1292">
        <f t="shared" si="486"/>
        <v>0.16992029798133004</v>
      </c>
      <c r="M1292">
        <f t="shared" si="487"/>
        <v>0.19000000000000056</v>
      </c>
      <c r="N1292">
        <f t="shared" si="488"/>
        <v>0.18800000007136436</v>
      </c>
      <c r="O1292">
        <f t="shared" si="489"/>
        <v>0.15777777777777779</v>
      </c>
      <c r="P1292">
        <f t="shared" si="478"/>
        <v>0.08</v>
      </c>
      <c r="Q1292">
        <f t="shared" si="498"/>
        <v>0.08</v>
      </c>
      <c r="R1292">
        <f t="shared" si="491"/>
        <v>0.08</v>
      </c>
      <c r="S1292">
        <f t="shared" si="492"/>
        <v>0.06</v>
      </c>
      <c r="T1292">
        <f t="shared" si="493"/>
        <v>0.1</v>
      </c>
      <c r="U1292">
        <f t="shared" si="499"/>
        <v>0.08</v>
      </c>
      <c r="V1292">
        <f t="shared" si="480"/>
        <v>0.18800000007136436</v>
      </c>
      <c r="W1292">
        <f t="shared" si="500"/>
        <v>0.16991868789375009</v>
      </c>
      <c r="X1292">
        <f t="shared" si="501"/>
        <v>0.21005391595559764</v>
      </c>
      <c r="Y1292" t="b">
        <f t="shared" si="479"/>
        <v>0</v>
      </c>
    </row>
    <row xmlns:x14ac="http://schemas.microsoft.com/office/spreadsheetml/2009/9/ac" r="1293" x14ac:dyDescent="0.45">
      <c r="A1293">
        <v>6.4299999999998896</v>
      </c>
      <c r="B1293">
        <f t="shared" si="481"/>
        <v>0.16300000000000084</v>
      </c>
      <c r="C1293" t="b">
        <f t="shared" si="494"/>
        <v>1</v>
      </c>
      <c r="D1293" t="b">
        <f t="shared" si="482"/>
        <v>1</v>
      </c>
      <c r="E1293">
        <f t="shared" si="490"/>
        <v>6.4299999999998896</v>
      </c>
      <c r="F1293">
        <f t="shared" si="495"/>
        <v>0.16300000000000084</v>
      </c>
      <c r="G1293">
        <f t="shared" si="483"/>
        <v>0.21005258476591082</v>
      </c>
      <c r="H1293">
        <f t="shared" si="484"/>
        <v>3.5000000000000323E-2</v>
      </c>
      <c r="I1293" t="b">
        <f t="shared" si="496"/>
        <v>1</v>
      </c>
      <c r="J1293">
        <f t="shared" si="485"/>
        <v>6.4299999999998896</v>
      </c>
      <c r="K1293">
        <f t="shared" si="497"/>
        <v>3.5000000000000323E-2</v>
      </c>
      <c r="L1293">
        <f t="shared" si="486"/>
        <v>0.16992069549680655</v>
      </c>
      <c r="M1293">
        <f t="shared" si="487"/>
        <v>0.19000000000000064</v>
      </c>
      <c r="N1293">
        <f t="shared" si="488"/>
        <v>0.18800000007715106</v>
      </c>
      <c r="O1293">
        <f t="shared" si="489"/>
        <v>0.15777777777777779</v>
      </c>
      <c r="P1293">
        <f t="shared" si="478"/>
        <v>0.08</v>
      </c>
      <c r="Q1293">
        <f t="shared" si="498"/>
        <v>0.08</v>
      </c>
      <c r="R1293">
        <f t="shared" si="491"/>
        <v>0.08</v>
      </c>
      <c r="S1293">
        <f t="shared" si="492"/>
        <v>0.06</v>
      </c>
      <c r="T1293">
        <f t="shared" si="493"/>
        <v>0.1</v>
      </c>
      <c r="U1293">
        <f t="shared" si="499"/>
        <v>0.08</v>
      </c>
      <c r="V1293">
        <f t="shared" si="480"/>
        <v>0.18800000007715106</v>
      </c>
      <c r="W1293">
        <f t="shared" si="500"/>
        <v>0.1699190934395719</v>
      </c>
      <c r="X1293">
        <f t="shared" si="501"/>
        <v>0.21005364704864721</v>
      </c>
      <c r="Y1293" t="b">
        <f t="shared" si="479"/>
        <v>0</v>
      </c>
    </row>
    <row xmlns:x14ac="http://schemas.microsoft.com/office/spreadsheetml/2009/9/ac" r="1294" x14ac:dyDescent="0.45">
      <c r="A1294">
        <v>6.4349999999998904</v>
      </c>
      <c r="B1294">
        <f t="shared" si="481"/>
        <v>0.16300000000000089</v>
      </c>
      <c r="C1294" t="b">
        <f t="shared" si="494"/>
        <v>1</v>
      </c>
      <c r="D1294" t="b">
        <f t="shared" si="482"/>
        <v>1</v>
      </c>
      <c r="E1294">
        <f t="shared" si="490"/>
        <v>6.4349999999998904</v>
      </c>
      <c r="F1294">
        <f t="shared" si="495"/>
        <v>0.16300000000000089</v>
      </c>
      <c r="G1294">
        <f t="shared" si="483"/>
        <v>0.2100523224982967</v>
      </c>
      <c r="H1294">
        <f t="shared" si="484"/>
        <v>3.500000000000035E-2</v>
      </c>
      <c r="I1294" t="b">
        <f t="shared" si="496"/>
        <v>1</v>
      </c>
      <c r="J1294">
        <f t="shared" si="485"/>
        <v>6.4349999999998904</v>
      </c>
      <c r="K1294">
        <f t="shared" si="497"/>
        <v>3.500000000000035E-2</v>
      </c>
      <c r="L1294">
        <f t="shared" si="486"/>
        <v>0.16992109102966635</v>
      </c>
      <c r="M1294">
        <f t="shared" si="487"/>
        <v>0.1900000000000007</v>
      </c>
      <c r="N1294">
        <f t="shared" si="488"/>
        <v>0.18800000008241111</v>
      </c>
      <c r="O1294">
        <f t="shared" si="489"/>
        <v>0.15777777777777779</v>
      </c>
      <c r="P1294">
        <f t="shared" ref="P1294:P1357" si="502">$AB$6-EXP(-AF$6*AF$12*A1294)*(COS(AF$5*A1294)-(AF$6*AF$12-1)/(AF$5)*SIN(AF$5*A1294))*AF$15</f>
        <v>0.08</v>
      </c>
      <c r="Q1294">
        <f t="shared" si="498"/>
        <v>0.08</v>
      </c>
      <c r="R1294">
        <f t="shared" si="491"/>
        <v>0.08</v>
      </c>
      <c r="S1294">
        <f t="shared" si="492"/>
        <v>0.06</v>
      </c>
      <c r="T1294">
        <f t="shared" si="493"/>
        <v>0.1</v>
      </c>
      <c r="U1294">
        <f t="shared" si="499"/>
        <v>0.08</v>
      </c>
      <c r="V1294">
        <f t="shared" si="480"/>
        <v>0.18800000008241111</v>
      </c>
      <c r="W1294">
        <f t="shared" si="500"/>
        <v>0.16991949696272546</v>
      </c>
      <c r="X1294">
        <f t="shared" si="501"/>
        <v>0.21005337948287583</v>
      </c>
      <c r="Y1294" t="b">
        <f t="shared" si="479"/>
        <v>0</v>
      </c>
    </row>
    <row xmlns:x14ac="http://schemas.microsoft.com/office/spreadsheetml/2009/9/ac" r="1295" x14ac:dyDescent="0.45">
      <c r="A1295">
        <v>6.4399999999998903</v>
      </c>
      <c r="B1295">
        <f t="shared" si="481"/>
        <v>0.16300000000000095</v>
      </c>
      <c r="C1295" t="b">
        <f t="shared" si="494"/>
        <v>1</v>
      </c>
      <c r="D1295" t="b">
        <f t="shared" si="482"/>
        <v>1</v>
      </c>
      <c r="E1295">
        <f t="shared" si="490"/>
        <v>6.4399999999998903</v>
      </c>
      <c r="F1295">
        <f t="shared" si="495"/>
        <v>0.16300000000000095</v>
      </c>
      <c r="G1295">
        <f t="shared" si="483"/>
        <v>0.21005206153874778</v>
      </c>
      <c r="H1295">
        <f t="shared" si="484"/>
        <v>3.5000000000000364E-2</v>
      </c>
      <c r="I1295" t="b">
        <f t="shared" si="496"/>
        <v>1</v>
      </c>
      <c r="J1295">
        <f t="shared" si="485"/>
        <v>6.4399999999998903</v>
      </c>
      <c r="K1295">
        <f t="shared" si="497"/>
        <v>3.5000000000000364E-2</v>
      </c>
      <c r="L1295">
        <f t="shared" si="486"/>
        <v>0.16992148458979778</v>
      </c>
      <c r="M1295">
        <f t="shared" si="487"/>
        <v>0.19000000000000072</v>
      </c>
      <c r="N1295">
        <f t="shared" si="488"/>
        <v>0.18800000008713763</v>
      </c>
      <c r="O1295">
        <f t="shared" si="489"/>
        <v>0.15777777777777779</v>
      </c>
      <c r="P1295">
        <f t="shared" si="502"/>
        <v>0.08</v>
      </c>
      <c r="Q1295">
        <f t="shared" si="498"/>
        <v>0.08</v>
      </c>
      <c r="R1295">
        <f t="shared" si="491"/>
        <v>0.08</v>
      </c>
      <c r="S1295">
        <f t="shared" si="492"/>
        <v>0.06</v>
      </c>
      <c r="T1295">
        <f t="shared" si="493"/>
        <v>0.1</v>
      </c>
      <c r="U1295">
        <f t="shared" si="499"/>
        <v>0.08</v>
      </c>
      <c r="V1295">
        <f t="shared" si="480"/>
        <v>0.18800000008713763</v>
      </c>
      <c r="W1295">
        <f t="shared" si="500"/>
        <v>0.16991989847329891</v>
      </c>
      <c r="X1295">
        <f t="shared" si="501"/>
        <v>0.21005311325159431</v>
      </c>
      <c r="Y1295" t="b">
        <f t="shared" ref="Y1295:Y1358" si="503">IF(Y1294,TRUE,IF(P1295&lt;P1294,TRUE))</f>
        <v>0</v>
      </c>
    </row>
    <row xmlns:x14ac="http://schemas.microsoft.com/office/spreadsheetml/2009/9/ac" r="1296" x14ac:dyDescent="0.45">
      <c r="A1296">
        <v>6.4449999999998902</v>
      </c>
      <c r="B1296">
        <f t="shared" si="481"/>
        <v>0.16300000000000101</v>
      </c>
      <c r="C1296" t="b">
        <f t="shared" si="494"/>
        <v>1</v>
      </c>
      <c r="D1296" t="b">
        <f t="shared" si="482"/>
        <v>1</v>
      </c>
      <c r="E1296">
        <f t="shared" si="490"/>
        <v>6.4449999999998902</v>
      </c>
      <c r="F1296">
        <f t="shared" si="495"/>
        <v>0.16300000000000101</v>
      </c>
      <c r="G1296">
        <f t="shared" si="483"/>
        <v>0.21005180188074002</v>
      </c>
      <c r="H1296">
        <f t="shared" si="484"/>
        <v>3.5000000000000392E-2</v>
      </c>
      <c r="I1296" t="b">
        <f t="shared" si="496"/>
        <v>1</v>
      </c>
      <c r="J1296">
        <f t="shared" si="485"/>
        <v>6.4449999999998902</v>
      </c>
      <c r="K1296">
        <f t="shared" si="497"/>
        <v>3.5000000000000392E-2</v>
      </c>
      <c r="L1296">
        <f t="shared" si="486"/>
        <v>0.16992187618703986</v>
      </c>
      <c r="M1296">
        <f t="shared" si="487"/>
        <v>0.19000000000000078</v>
      </c>
      <c r="N1296">
        <f t="shared" si="488"/>
        <v>0.18800000009132636</v>
      </c>
      <c r="O1296">
        <f t="shared" si="489"/>
        <v>0.15777777777777779</v>
      </c>
      <c r="P1296">
        <f t="shared" si="502"/>
        <v>0.08</v>
      </c>
      <c r="Q1296">
        <f t="shared" si="498"/>
        <v>0.08</v>
      </c>
      <c r="R1296">
        <f t="shared" si="491"/>
        <v>0.08</v>
      </c>
      <c r="S1296">
        <f t="shared" si="492"/>
        <v>0.06</v>
      </c>
      <c r="T1296">
        <f t="shared" si="493"/>
        <v>0.1</v>
      </c>
      <c r="U1296">
        <f t="shared" si="499"/>
        <v>0.08</v>
      </c>
      <c r="V1296">
        <f t="shared" si="480"/>
        <v>0.18800000009132636</v>
      </c>
      <c r="W1296">
        <f t="shared" si="500"/>
        <v>0.16992029798133004</v>
      </c>
      <c r="X1296">
        <f t="shared" si="501"/>
        <v>0.21005284834814686</v>
      </c>
      <c r="Y1296" t="b">
        <f t="shared" si="503"/>
        <v>0</v>
      </c>
    </row>
    <row xmlns:x14ac="http://schemas.microsoft.com/office/spreadsheetml/2009/9/ac" r="1297" x14ac:dyDescent="0.45">
      <c r="A1297">
        <v>6.44999999999989</v>
      </c>
      <c r="B1297">
        <f t="shared" si="481"/>
        <v>0.16300000000000103</v>
      </c>
      <c r="C1297" t="b">
        <f t="shared" si="494"/>
        <v>1</v>
      </c>
      <c r="D1297" t="b">
        <f t="shared" si="482"/>
        <v>1</v>
      </c>
      <c r="E1297">
        <f t="shared" si="490"/>
        <v>6.44999999999989</v>
      </c>
      <c r="F1297">
        <f t="shared" si="495"/>
        <v>0.16300000000000103</v>
      </c>
      <c r="G1297">
        <f t="shared" si="483"/>
        <v>0.21005154351778194</v>
      </c>
      <c r="H1297">
        <f t="shared" si="484"/>
        <v>3.5000000000000406E-2</v>
      </c>
      <c r="I1297" t="b">
        <f t="shared" si="496"/>
        <v>1</v>
      </c>
      <c r="J1297">
        <f t="shared" si="485"/>
        <v>6.44999999999989</v>
      </c>
      <c r="K1297">
        <f t="shared" si="497"/>
        <v>3.5000000000000406E-2</v>
      </c>
      <c r="L1297">
        <f t="shared" si="486"/>
        <v>0.16992226583118253</v>
      </c>
      <c r="M1297">
        <f t="shared" si="487"/>
        <v>0.19000000000000081</v>
      </c>
      <c r="N1297">
        <f t="shared" si="488"/>
        <v>0.18800000009497553</v>
      </c>
      <c r="O1297">
        <f t="shared" si="489"/>
        <v>0.15777777777777779</v>
      </c>
      <c r="P1297">
        <f t="shared" si="502"/>
        <v>0.08</v>
      </c>
      <c r="Q1297">
        <f t="shared" si="498"/>
        <v>0.08</v>
      </c>
      <c r="R1297">
        <f t="shared" si="491"/>
        <v>0.08</v>
      </c>
      <c r="S1297">
        <f t="shared" si="492"/>
        <v>0.06</v>
      </c>
      <c r="T1297">
        <f t="shared" si="493"/>
        <v>0.1</v>
      </c>
      <c r="U1297">
        <f t="shared" si="499"/>
        <v>0.08</v>
      </c>
      <c r="V1297">
        <f t="shared" si="480"/>
        <v>0.18800000009497553</v>
      </c>
      <c r="W1297">
        <f t="shared" si="500"/>
        <v>0.16992069549680655</v>
      </c>
      <c r="X1297">
        <f t="shared" si="501"/>
        <v>0.21005258476591082</v>
      </c>
      <c r="Y1297" t="b">
        <f t="shared" si="503"/>
        <v>0</v>
      </c>
    </row>
    <row xmlns:x14ac="http://schemas.microsoft.com/office/spreadsheetml/2009/9/ac" r="1298" x14ac:dyDescent="0.45">
      <c r="A1298">
        <v>6.4549999999998899</v>
      </c>
      <c r="B1298">
        <f t="shared" si="481"/>
        <v>0.16300000000000109</v>
      </c>
      <c r="C1298" t="b">
        <f t="shared" si="494"/>
        <v>1</v>
      </c>
      <c r="D1298" t="b">
        <f t="shared" si="482"/>
        <v>1</v>
      </c>
      <c r="E1298">
        <f t="shared" si="490"/>
        <v>6.4549999999998899</v>
      </c>
      <c r="F1298">
        <f t="shared" si="495"/>
        <v>0.16300000000000109</v>
      </c>
      <c r="G1298">
        <f t="shared" si="483"/>
        <v>0.21005128644341453</v>
      </c>
      <c r="H1298">
        <f t="shared" si="484"/>
        <v>3.500000000000042E-2</v>
      </c>
      <c r="I1298" t="b">
        <f t="shared" si="496"/>
        <v>1</v>
      </c>
      <c r="J1298">
        <f t="shared" si="485"/>
        <v>6.4549999999998899</v>
      </c>
      <c r="K1298">
        <f t="shared" si="497"/>
        <v>3.500000000000042E-2</v>
      </c>
      <c r="L1298">
        <f t="shared" si="486"/>
        <v>0.16992265353196695</v>
      </c>
      <c r="M1298">
        <f t="shared" si="487"/>
        <v>0.19000000000000083</v>
      </c>
      <c r="N1298">
        <f t="shared" si="488"/>
        <v>0.18800000009808576</v>
      </c>
      <c r="O1298">
        <f t="shared" si="489"/>
        <v>0.15777777777777779</v>
      </c>
      <c r="P1298">
        <f t="shared" si="502"/>
        <v>0.08</v>
      </c>
      <c r="Q1298">
        <f t="shared" si="498"/>
        <v>0.08</v>
      </c>
      <c r="R1298">
        <f t="shared" si="491"/>
        <v>0.08</v>
      </c>
      <c r="S1298">
        <f t="shared" si="492"/>
        <v>0.06</v>
      </c>
      <c r="T1298">
        <f t="shared" si="493"/>
        <v>0.1</v>
      </c>
      <c r="U1298">
        <f t="shared" si="499"/>
        <v>0.08</v>
      </c>
      <c r="V1298">
        <f t="shared" si="480"/>
        <v>0.18800000009808576</v>
      </c>
      <c r="W1298">
        <f t="shared" si="500"/>
        <v>0.16992109102966635</v>
      </c>
      <c r="X1298">
        <f t="shared" si="501"/>
        <v>0.2100523224982967</v>
      </c>
      <c r="Y1298" t="b">
        <f t="shared" si="503"/>
        <v>0</v>
      </c>
    </row>
    <row xmlns:x14ac="http://schemas.microsoft.com/office/spreadsheetml/2009/9/ac" r="1299" x14ac:dyDescent="0.45">
      <c r="A1299">
        <v>6.4599999999998898</v>
      </c>
      <c r="B1299">
        <f t="shared" si="481"/>
        <v>0.16300000000000114</v>
      </c>
      <c r="C1299" t="b">
        <f t="shared" si="494"/>
        <v>1</v>
      </c>
      <c r="D1299" t="b">
        <f t="shared" si="482"/>
        <v>1</v>
      </c>
      <c r="E1299">
        <f t="shared" si="490"/>
        <v>6.4599999999998898</v>
      </c>
      <c r="F1299">
        <f t="shared" si="495"/>
        <v>0.16300000000000114</v>
      </c>
      <c r="G1299">
        <f t="shared" si="483"/>
        <v>0.21005103065121083</v>
      </c>
      <c r="H1299">
        <f t="shared" si="484"/>
        <v>3.5000000000000434E-2</v>
      </c>
      <c r="I1299" t="b">
        <f t="shared" si="496"/>
        <v>1</v>
      </c>
      <c r="J1299">
        <f t="shared" si="485"/>
        <v>6.4599999999998898</v>
      </c>
      <c r="K1299">
        <f t="shared" si="497"/>
        <v>3.5000000000000434E-2</v>
      </c>
      <c r="L1299">
        <f t="shared" si="486"/>
        <v>0.16992303929908564</v>
      </c>
      <c r="M1299">
        <f t="shared" si="487"/>
        <v>0.19000000000000089</v>
      </c>
      <c r="N1299">
        <f t="shared" si="488"/>
        <v>0.18800000010066029</v>
      </c>
      <c r="O1299">
        <f t="shared" si="489"/>
        <v>0.15777777777777779</v>
      </c>
      <c r="P1299">
        <f t="shared" si="502"/>
        <v>0.08</v>
      </c>
      <c r="Q1299">
        <f t="shared" si="498"/>
        <v>0.08</v>
      </c>
      <c r="R1299">
        <f t="shared" si="491"/>
        <v>0.08</v>
      </c>
      <c r="S1299">
        <f t="shared" si="492"/>
        <v>0.06</v>
      </c>
      <c r="T1299">
        <f t="shared" si="493"/>
        <v>0.1</v>
      </c>
      <c r="U1299">
        <f t="shared" si="499"/>
        <v>0.08</v>
      </c>
      <c r="V1299">
        <f t="shared" si="480"/>
        <v>0.18800000010066029</v>
      </c>
      <c r="W1299">
        <f t="shared" si="500"/>
        <v>0.16992148458979778</v>
      </c>
      <c r="X1299">
        <f t="shared" si="501"/>
        <v>0.21005206153874778</v>
      </c>
      <c r="Y1299" t="b">
        <f t="shared" si="503"/>
        <v>0</v>
      </c>
    </row>
    <row xmlns:x14ac="http://schemas.microsoft.com/office/spreadsheetml/2009/9/ac" r="1300" x14ac:dyDescent="0.45">
      <c r="A1300">
        <v>6.4649999999998897</v>
      </c>
      <c r="B1300">
        <f t="shared" si="481"/>
        <v>0.16300000000000117</v>
      </c>
      <c r="C1300" t="b">
        <f t="shared" si="494"/>
        <v>1</v>
      </c>
      <c r="D1300" t="b">
        <f t="shared" si="482"/>
        <v>1</v>
      </c>
      <c r="E1300">
        <f t="shared" si="490"/>
        <v>6.4649999999998897</v>
      </c>
      <c r="F1300">
        <f t="shared" si="495"/>
        <v>0.16300000000000117</v>
      </c>
      <c r="G1300">
        <f t="shared" si="483"/>
        <v>0.21005077613477613</v>
      </c>
      <c r="H1300">
        <f t="shared" si="484"/>
        <v>3.5000000000000447E-2</v>
      </c>
      <c r="I1300" t="b">
        <f t="shared" si="496"/>
        <v>1</v>
      </c>
      <c r="J1300">
        <f t="shared" si="485"/>
        <v>6.4649999999998897</v>
      </c>
      <c r="K1300">
        <f t="shared" si="497"/>
        <v>3.5000000000000447E-2</v>
      </c>
      <c r="L1300">
        <f t="shared" si="486"/>
        <v>0.16992342314218278</v>
      </c>
      <c r="M1300">
        <f t="shared" si="487"/>
        <v>0.19000000000000089</v>
      </c>
      <c r="N1300">
        <f t="shared" si="488"/>
        <v>0.18800000010270437</v>
      </c>
      <c r="O1300">
        <f t="shared" si="489"/>
        <v>0.15777777777777779</v>
      </c>
      <c r="P1300">
        <f t="shared" si="502"/>
        <v>0.08</v>
      </c>
      <c r="Q1300">
        <f t="shared" si="498"/>
        <v>0.08</v>
      </c>
      <c r="R1300">
        <f t="shared" si="491"/>
        <v>0.08</v>
      </c>
      <c r="S1300">
        <f t="shared" si="492"/>
        <v>0.06</v>
      </c>
      <c r="T1300">
        <f t="shared" si="493"/>
        <v>0.1</v>
      </c>
      <c r="U1300">
        <f t="shared" si="499"/>
        <v>0.08</v>
      </c>
      <c r="V1300">
        <f t="shared" si="480"/>
        <v>0.18800000010270437</v>
      </c>
      <c r="W1300">
        <f t="shared" si="500"/>
        <v>0.16992187618703986</v>
      </c>
      <c r="X1300">
        <f t="shared" si="501"/>
        <v>0.21005180188074002</v>
      </c>
      <c r="Y1300" t="b">
        <f t="shared" si="503"/>
        <v>0</v>
      </c>
    </row>
    <row xmlns:x14ac="http://schemas.microsoft.com/office/spreadsheetml/2009/9/ac" r="1301" x14ac:dyDescent="0.45">
      <c r="A1301">
        <v>6.4699999999998896</v>
      </c>
      <c r="B1301">
        <f t="shared" si="481"/>
        <v>0.1630000000000012</v>
      </c>
      <c r="C1301" t="b">
        <f t="shared" si="494"/>
        <v>1</v>
      </c>
      <c r="D1301" t="b">
        <f t="shared" si="482"/>
        <v>1</v>
      </c>
      <c r="E1301">
        <f t="shared" si="490"/>
        <v>6.4699999999998896</v>
      </c>
      <c r="F1301">
        <f t="shared" si="495"/>
        <v>0.1630000000000012</v>
      </c>
      <c r="G1301">
        <f t="shared" si="483"/>
        <v>0.21005052288774745</v>
      </c>
      <c r="H1301">
        <f t="shared" si="484"/>
        <v>3.5000000000000461E-2</v>
      </c>
      <c r="I1301" t="b">
        <f t="shared" si="496"/>
        <v>1</v>
      </c>
      <c r="J1301">
        <f t="shared" si="485"/>
        <v>6.4699999999998896</v>
      </c>
      <c r="K1301">
        <f t="shared" si="497"/>
        <v>3.5000000000000461E-2</v>
      </c>
      <c r="L1301">
        <f t="shared" si="486"/>
        <v>0.16992380507085453</v>
      </c>
      <c r="M1301">
        <f t="shared" si="487"/>
        <v>0.19000000000000092</v>
      </c>
      <c r="N1301">
        <f t="shared" si="488"/>
        <v>0.18800000010422566</v>
      </c>
      <c r="O1301">
        <f t="shared" si="489"/>
        <v>0.15777777777777779</v>
      </c>
      <c r="P1301">
        <f t="shared" si="502"/>
        <v>0.08</v>
      </c>
      <c r="Q1301">
        <f t="shared" si="498"/>
        <v>0.08</v>
      </c>
      <c r="R1301">
        <f t="shared" si="491"/>
        <v>0.08</v>
      </c>
      <c r="S1301">
        <f t="shared" si="492"/>
        <v>0.06</v>
      </c>
      <c r="T1301">
        <f t="shared" si="493"/>
        <v>0.1</v>
      </c>
      <c r="U1301">
        <f t="shared" si="499"/>
        <v>0.08</v>
      </c>
      <c r="V1301">
        <f t="shared" ref="V1301:V1364" si="504">MAX(IF(Y1301,MAX(H1301,$AB$6+$AF$13),MAX(T1301,$AB$6+$AF$13)),O1301,N1301)</f>
        <v>0.18800000010422566</v>
      </c>
      <c r="W1301">
        <f t="shared" si="500"/>
        <v>0.16992226583118253</v>
      </c>
      <c r="X1301">
        <f t="shared" si="501"/>
        <v>0.21005154351778194</v>
      </c>
      <c r="Y1301" t="b">
        <f t="shared" si="503"/>
        <v>0</v>
      </c>
    </row>
    <row xmlns:x14ac="http://schemas.microsoft.com/office/spreadsheetml/2009/9/ac" r="1302" x14ac:dyDescent="0.45">
      <c r="A1302">
        <v>6.4749999999998904</v>
      </c>
      <c r="B1302">
        <f t="shared" si="481"/>
        <v>0.1630000000000012</v>
      </c>
      <c r="C1302" t="b">
        <f t="shared" si="494"/>
        <v>1</v>
      </c>
      <c r="D1302" t="b">
        <f t="shared" si="482"/>
        <v>1</v>
      </c>
      <c r="E1302">
        <f t="shared" si="490"/>
        <v>6.4749999999998904</v>
      </c>
      <c r="F1302">
        <f t="shared" si="495"/>
        <v>0.1630000000000012</v>
      </c>
      <c r="G1302">
        <f t="shared" si="483"/>
        <v>0.21005027090379352</v>
      </c>
      <c r="H1302">
        <f t="shared" si="484"/>
        <v>3.5000000000000461E-2</v>
      </c>
      <c r="I1302" t="b">
        <f t="shared" si="496"/>
        <v>1</v>
      </c>
      <c r="J1302">
        <f t="shared" si="485"/>
        <v>6.4749999999998904</v>
      </c>
      <c r="K1302">
        <f t="shared" si="497"/>
        <v>3.5000000000000461E-2</v>
      </c>
      <c r="L1302">
        <f t="shared" si="486"/>
        <v>0.16992418509464902</v>
      </c>
      <c r="M1302">
        <f t="shared" si="487"/>
        <v>0.19000000000000095</v>
      </c>
      <c r="N1302">
        <f t="shared" si="488"/>
        <v>0.18800000010523377</v>
      </c>
      <c r="O1302">
        <f t="shared" si="489"/>
        <v>0.15777777777777779</v>
      </c>
      <c r="P1302">
        <f t="shared" si="502"/>
        <v>0.08</v>
      </c>
      <c r="Q1302">
        <f t="shared" si="498"/>
        <v>0.08</v>
      </c>
      <c r="R1302">
        <f t="shared" si="491"/>
        <v>0.08</v>
      </c>
      <c r="S1302">
        <f t="shared" si="492"/>
        <v>0.06</v>
      </c>
      <c r="T1302">
        <f t="shared" si="493"/>
        <v>0.1</v>
      </c>
      <c r="U1302">
        <f t="shared" si="499"/>
        <v>0.08</v>
      </c>
      <c r="V1302">
        <f t="shared" si="504"/>
        <v>0.18800000010523377</v>
      </c>
      <c r="W1302">
        <f t="shared" si="500"/>
        <v>0.16992265353196695</v>
      </c>
      <c r="X1302">
        <f t="shared" si="501"/>
        <v>0.21005128644341453</v>
      </c>
      <c r="Y1302" t="b">
        <f t="shared" si="503"/>
        <v>0</v>
      </c>
    </row>
    <row xmlns:x14ac="http://schemas.microsoft.com/office/spreadsheetml/2009/9/ac" r="1303" x14ac:dyDescent="0.45">
      <c r="A1303">
        <v>6.4799999999998903</v>
      </c>
      <c r="B1303">
        <f t="shared" si="481"/>
        <v>0.1630000000000012</v>
      </c>
      <c r="C1303" t="b">
        <f t="shared" si="494"/>
        <v>1</v>
      </c>
      <c r="D1303" t="b">
        <f t="shared" si="482"/>
        <v>1</v>
      </c>
      <c r="E1303">
        <f t="shared" si="490"/>
        <v>6.4799999999998903</v>
      </c>
      <c r="F1303">
        <f t="shared" si="495"/>
        <v>0.1630000000000012</v>
      </c>
      <c r="G1303">
        <f t="shared" si="483"/>
        <v>0.21005002017661484</v>
      </c>
      <c r="H1303">
        <f t="shared" si="484"/>
        <v>3.5000000000000461E-2</v>
      </c>
      <c r="I1303" t="b">
        <f t="shared" si="496"/>
        <v>1</v>
      </c>
      <c r="J1303">
        <f t="shared" si="485"/>
        <v>6.4799999999998903</v>
      </c>
      <c r="K1303">
        <f t="shared" si="497"/>
        <v>3.5000000000000461E-2</v>
      </c>
      <c r="L1303">
        <f t="shared" si="486"/>
        <v>0.16992456322306698</v>
      </c>
      <c r="M1303">
        <f t="shared" si="487"/>
        <v>0.19000000000000092</v>
      </c>
      <c r="N1303">
        <f t="shared" si="488"/>
        <v>0.18800000010574042</v>
      </c>
      <c r="O1303">
        <f t="shared" si="489"/>
        <v>0.15777777777777779</v>
      </c>
      <c r="P1303">
        <f t="shared" si="502"/>
        <v>0.08</v>
      </c>
      <c r="Q1303">
        <f t="shared" si="498"/>
        <v>0.08</v>
      </c>
      <c r="R1303">
        <f t="shared" si="491"/>
        <v>0.08</v>
      </c>
      <c r="S1303">
        <f t="shared" si="492"/>
        <v>0.06</v>
      </c>
      <c r="T1303">
        <f t="shared" si="493"/>
        <v>0.1</v>
      </c>
      <c r="U1303">
        <f t="shared" si="499"/>
        <v>0.08</v>
      </c>
      <c r="V1303">
        <f t="shared" si="504"/>
        <v>0.18800000010574042</v>
      </c>
      <c r="W1303">
        <f t="shared" si="500"/>
        <v>0.16992303929908564</v>
      </c>
      <c r="X1303">
        <f t="shared" si="501"/>
        <v>0.21005103065121083</v>
      </c>
      <c r="Y1303" t="b">
        <f t="shared" si="503"/>
        <v>0</v>
      </c>
    </row>
    <row xmlns:x14ac="http://schemas.microsoft.com/office/spreadsheetml/2009/9/ac" r="1304" x14ac:dyDescent="0.45">
      <c r="A1304">
        <v>6.4849999999998902</v>
      </c>
      <c r="B1304">
        <f t="shared" si="481"/>
        <v>0.1630000000000012</v>
      </c>
      <c r="C1304" t="b">
        <f t="shared" si="494"/>
        <v>1</v>
      </c>
      <c r="D1304" t="b">
        <f t="shared" si="482"/>
        <v>1</v>
      </c>
      <c r="E1304">
        <f t="shared" si="490"/>
        <v>6.4849999999998902</v>
      </c>
      <c r="F1304">
        <f t="shared" si="495"/>
        <v>0.1630000000000012</v>
      </c>
      <c r="G1304">
        <f t="shared" si="483"/>
        <v>0.21004977069994324</v>
      </c>
      <c r="H1304">
        <f t="shared" si="484"/>
        <v>3.5000000000000461E-2</v>
      </c>
      <c r="I1304" t="b">
        <f t="shared" si="496"/>
        <v>1</v>
      </c>
      <c r="J1304">
        <f t="shared" si="485"/>
        <v>6.4849999999998902</v>
      </c>
      <c r="K1304">
        <f t="shared" si="497"/>
        <v>3.5000000000000461E-2</v>
      </c>
      <c r="L1304">
        <f t="shared" si="486"/>
        <v>0.16992493946556159</v>
      </c>
      <c r="M1304">
        <f t="shared" si="487"/>
        <v>0.19000000000000092</v>
      </c>
      <c r="N1304">
        <f t="shared" si="488"/>
        <v>0.18800000010575912</v>
      </c>
      <c r="O1304">
        <f t="shared" si="489"/>
        <v>0.15777777777777779</v>
      </c>
      <c r="P1304">
        <f t="shared" si="502"/>
        <v>0.08</v>
      </c>
      <c r="Q1304">
        <f t="shared" si="498"/>
        <v>0.08</v>
      </c>
      <c r="R1304">
        <f t="shared" si="491"/>
        <v>0.08</v>
      </c>
      <c r="S1304">
        <f t="shared" si="492"/>
        <v>0.06</v>
      </c>
      <c r="T1304">
        <f t="shared" si="493"/>
        <v>0.1</v>
      </c>
      <c r="U1304">
        <f t="shared" si="499"/>
        <v>0.08</v>
      </c>
      <c r="V1304">
        <f t="shared" si="504"/>
        <v>0.18800000010575912</v>
      </c>
      <c r="W1304">
        <f t="shared" si="500"/>
        <v>0.16992342314218278</v>
      </c>
      <c r="X1304">
        <f t="shared" si="501"/>
        <v>0.21005077613477613</v>
      </c>
      <c r="Y1304" t="b">
        <f t="shared" si="503"/>
        <v>0</v>
      </c>
    </row>
    <row xmlns:x14ac="http://schemas.microsoft.com/office/spreadsheetml/2009/9/ac" r="1305" x14ac:dyDescent="0.45">
      <c r="A1305">
        <v>6.4899999999998901</v>
      </c>
      <c r="B1305">
        <f t="shared" si="481"/>
        <v>0.1630000000000012</v>
      </c>
      <c r="C1305" t="b">
        <f t="shared" si="494"/>
        <v>1</v>
      </c>
      <c r="D1305" t="b">
        <f t="shared" si="482"/>
        <v>1</v>
      </c>
      <c r="E1305">
        <f t="shared" si="490"/>
        <v>6.4899999999998901</v>
      </c>
      <c r="F1305">
        <f t="shared" si="495"/>
        <v>0.1630000000000012</v>
      </c>
      <c r="G1305">
        <f t="shared" si="483"/>
        <v>0.21004952246754166</v>
      </c>
      <c r="H1305">
        <f t="shared" si="484"/>
        <v>3.5000000000000461E-2</v>
      </c>
      <c r="I1305" t="b">
        <f t="shared" si="496"/>
        <v>1</v>
      </c>
      <c r="J1305">
        <f t="shared" si="485"/>
        <v>6.4899999999998901</v>
      </c>
      <c r="K1305">
        <f t="shared" si="497"/>
        <v>3.5000000000000461E-2</v>
      </c>
      <c r="L1305">
        <f t="shared" si="486"/>
        <v>0.16992531383153889</v>
      </c>
      <c r="M1305">
        <f t="shared" si="487"/>
        <v>0.19000000000000095</v>
      </c>
      <c r="N1305">
        <f t="shared" si="488"/>
        <v>0.18800000010530515</v>
      </c>
      <c r="O1305">
        <f t="shared" si="489"/>
        <v>0.15777777777777779</v>
      </c>
      <c r="P1305">
        <f t="shared" si="502"/>
        <v>0.08</v>
      </c>
      <c r="Q1305">
        <f t="shared" si="498"/>
        <v>0.08</v>
      </c>
      <c r="R1305">
        <f t="shared" si="491"/>
        <v>0.08</v>
      </c>
      <c r="S1305">
        <f t="shared" si="492"/>
        <v>0.06</v>
      </c>
      <c r="T1305">
        <f t="shared" si="493"/>
        <v>0.1</v>
      </c>
      <c r="U1305">
        <f t="shared" si="499"/>
        <v>0.08</v>
      </c>
      <c r="V1305">
        <f t="shared" si="504"/>
        <v>0.18800000010530515</v>
      </c>
      <c r="W1305">
        <f t="shared" si="500"/>
        <v>0.16992380507085453</v>
      </c>
      <c r="X1305">
        <f t="shared" si="501"/>
        <v>0.21005052288774745</v>
      </c>
      <c r="Y1305" t="b">
        <f t="shared" si="503"/>
        <v>0</v>
      </c>
    </row>
    <row xmlns:x14ac="http://schemas.microsoft.com/office/spreadsheetml/2009/9/ac" r="1306" x14ac:dyDescent="0.45">
      <c r="A1306">
        <v>6.49499999999989</v>
      </c>
      <c r="B1306">
        <f t="shared" si="481"/>
        <v>0.16300000000000117</v>
      </c>
      <c r="C1306" t="b">
        <f t="shared" si="494"/>
        <v>1</v>
      </c>
      <c r="D1306" t="b">
        <f t="shared" si="482"/>
        <v>1</v>
      </c>
      <c r="E1306">
        <f t="shared" si="490"/>
        <v>6.49499999999989</v>
      </c>
      <c r="F1306">
        <f t="shared" si="495"/>
        <v>0.16300000000000117</v>
      </c>
      <c r="G1306">
        <f t="shared" si="483"/>
        <v>0.21004927547320434</v>
      </c>
      <c r="H1306">
        <f t="shared" si="484"/>
        <v>3.5000000000000447E-2</v>
      </c>
      <c r="I1306" t="b">
        <f t="shared" si="496"/>
        <v>1</v>
      </c>
      <c r="J1306">
        <f t="shared" si="485"/>
        <v>6.49499999999989</v>
      </c>
      <c r="K1306">
        <f t="shared" si="497"/>
        <v>3.5000000000000447E-2</v>
      </c>
      <c r="L1306">
        <f t="shared" si="486"/>
        <v>0.16992568633035809</v>
      </c>
      <c r="M1306">
        <f t="shared" si="487"/>
        <v>0.19000000000000089</v>
      </c>
      <c r="N1306">
        <f t="shared" si="488"/>
        <v>0.18800000010439541</v>
      </c>
      <c r="O1306">
        <f t="shared" si="489"/>
        <v>0.15777777777777779</v>
      </c>
      <c r="P1306">
        <f t="shared" si="502"/>
        <v>0.08</v>
      </c>
      <c r="Q1306">
        <f t="shared" si="498"/>
        <v>0.08</v>
      </c>
      <c r="R1306">
        <f t="shared" si="491"/>
        <v>0.08</v>
      </c>
      <c r="S1306">
        <f t="shared" si="492"/>
        <v>0.06</v>
      </c>
      <c r="T1306">
        <f t="shared" si="493"/>
        <v>0.1</v>
      </c>
      <c r="U1306">
        <f t="shared" si="499"/>
        <v>0.08</v>
      </c>
      <c r="V1306">
        <f t="shared" si="504"/>
        <v>0.18800000010439541</v>
      </c>
      <c r="W1306">
        <f t="shared" si="500"/>
        <v>0.16992418509464902</v>
      </c>
      <c r="X1306">
        <f t="shared" si="501"/>
        <v>0.21005027090379352</v>
      </c>
      <c r="Y1306" t="b">
        <f t="shared" si="503"/>
        <v>0</v>
      </c>
    </row>
    <row xmlns:x14ac="http://schemas.microsoft.com/office/spreadsheetml/2009/9/ac" r="1307" x14ac:dyDescent="0.45">
      <c r="A1307">
        <v>6.4999999999998899</v>
      </c>
      <c r="B1307">
        <f t="shared" si="481"/>
        <v>0.16300000000000117</v>
      </c>
      <c r="C1307" t="b">
        <f t="shared" si="494"/>
        <v>1</v>
      </c>
      <c r="D1307" t="b">
        <f t="shared" si="482"/>
        <v>1</v>
      </c>
      <c r="E1307">
        <f t="shared" si="490"/>
        <v>6.4999999999998899</v>
      </c>
      <c r="F1307">
        <f t="shared" si="495"/>
        <v>0.16300000000000117</v>
      </c>
      <c r="G1307">
        <f t="shared" si="483"/>
        <v>0.21004902971075645</v>
      </c>
      <c r="H1307">
        <f t="shared" si="484"/>
        <v>3.5000000000000447E-2</v>
      </c>
      <c r="I1307" t="b">
        <f t="shared" si="496"/>
        <v>1</v>
      </c>
      <c r="J1307">
        <f t="shared" si="485"/>
        <v>6.4999999999998899</v>
      </c>
      <c r="K1307">
        <f t="shared" si="497"/>
        <v>3.5000000000000447E-2</v>
      </c>
      <c r="L1307">
        <f t="shared" si="486"/>
        <v>0.16992605697133173</v>
      </c>
      <c r="M1307">
        <f t="shared" si="487"/>
        <v>0.19000000000000089</v>
      </c>
      <c r="N1307">
        <f t="shared" si="488"/>
        <v>0.18800000010304835</v>
      </c>
      <c r="O1307">
        <f t="shared" si="489"/>
        <v>0.15777777777777779</v>
      </c>
      <c r="P1307">
        <f t="shared" si="502"/>
        <v>0.08</v>
      </c>
      <c r="Q1307">
        <f t="shared" si="498"/>
        <v>0.08</v>
      </c>
      <c r="R1307">
        <f t="shared" si="491"/>
        <v>0.08</v>
      </c>
      <c r="S1307">
        <f t="shared" si="492"/>
        <v>0.06</v>
      </c>
      <c r="T1307">
        <f t="shared" si="493"/>
        <v>0.1</v>
      </c>
      <c r="U1307">
        <f t="shared" si="499"/>
        <v>0.08</v>
      </c>
      <c r="V1307">
        <f t="shared" si="504"/>
        <v>0.18800000010304835</v>
      </c>
      <c r="W1307">
        <f t="shared" si="500"/>
        <v>0.16992456322306698</v>
      </c>
      <c r="X1307">
        <f t="shared" si="501"/>
        <v>0.21005002017661484</v>
      </c>
      <c r="Y1307" t="b">
        <f t="shared" si="503"/>
        <v>0</v>
      </c>
    </row>
    <row xmlns:x14ac="http://schemas.microsoft.com/office/spreadsheetml/2009/9/ac" r="1308" x14ac:dyDescent="0.45">
      <c r="A1308">
        <v>6.5049999999998898</v>
      </c>
      <c r="B1308">
        <f t="shared" si="481"/>
        <v>0.16300000000000114</v>
      </c>
      <c r="C1308" t="b">
        <f t="shared" si="494"/>
        <v>1</v>
      </c>
      <c r="D1308" t="b">
        <f t="shared" si="482"/>
        <v>1</v>
      </c>
      <c r="E1308">
        <f t="shared" si="490"/>
        <v>6.5049999999998898</v>
      </c>
      <c r="F1308">
        <f t="shared" si="495"/>
        <v>0.16300000000000114</v>
      </c>
      <c r="G1308">
        <f t="shared" si="483"/>
        <v>0.2100487851740539</v>
      </c>
      <c r="H1308">
        <f t="shared" si="484"/>
        <v>3.5000000000000447E-2</v>
      </c>
      <c r="I1308" t="b">
        <f t="shared" si="496"/>
        <v>1</v>
      </c>
      <c r="J1308">
        <f t="shared" si="485"/>
        <v>6.5049999999998898</v>
      </c>
      <c r="K1308">
        <f t="shared" si="497"/>
        <v>3.5000000000000447E-2</v>
      </c>
      <c r="L1308">
        <f t="shared" si="486"/>
        <v>0.16992642576372574</v>
      </c>
      <c r="M1308">
        <f t="shared" si="487"/>
        <v>0.19000000000000089</v>
      </c>
      <c r="N1308">
        <f t="shared" si="488"/>
        <v>0.1880000001012837</v>
      </c>
      <c r="O1308">
        <f t="shared" si="489"/>
        <v>0.15777777777777779</v>
      </c>
      <c r="P1308">
        <f t="shared" si="502"/>
        <v>0.08</v>
      </c>
      <c r="Q1308">
        <f t="shared" si="498"/>
        <v>0.08</v>
      </c>
      <c r="R1308">
        <f t="shared" si="491"/>
        <v>0.08</v>
      </c>
      <c r="S1308">
        <f t="shared" si="492"/>
        <v>0.06</v>
      </c>
      <c r="T1308">
        <f t="shared" si="493"/>
        <v>0.1</v>
      </c>
      <c r="U1308">
        <f t="shared" si="499"/>
        <v>0.08</v>
      </c>
      <c r="V1308">
        <f t="shared" si="504"/>
        <v>0.1880000001012837</v>
      </c>
      <c r="W1308">
        <f t="shared" si="500"/>
        <v>0.16992493946556159</v>
      </c>
      <c r="X1308">
        <f t="shared" si="501"/>
        <v>0.21004977069994324</v>
      </c>
      <c r="Y1308" t="b">
        <f t="shared" si="503"/>
        <v>0</v>
      </c>
    </row>
    <row xmlns:x14ac="http://schemas.microsoft.com/office/spreadsheetml/2009/9/ac" r="1309" x14ac:dyDescent="0.45">
      <c r="A1309">
        <v>6.5099999999998897</v>
      </c>
      <c r="B1309">
        <f t="shared" si="481"/>
        <v>0.16300000000000112</v>
      </c>
      <c r="C1309" t="b">
        <f t="shared" si="494"/>
        <v>1</v>
      </c>
      <c r="D1309" t="b">
        <f t="shared" si="482"/>
        <v>1</v>
      </c>
      <c r="E1309">
        <f t="shared" si="490"/>
        <v>6.5099999999998897</v>
      </c>
      <c r="F1309">
        <f t="shared" si="495"/>
        <v>0.16300000000000112</v>
      </c>
      <c r="G1309">
        <f t="shared" si="483"/>
        <v>0.21004854185698318</v>
      </c>
      <c r="H1309">
        <f t="shared" si="484"/>
        <v>3.5000000000000434E-2</v>
      </c>
      <c r="I1309" t="b">
        <f t="shared" si="496"/>
        <v>1</v>
      </c>
      <c r="J1309">
        <f t="shared" si="485"/>
        <v>6.5099999999998897</v>
      </c>
      <c r="K1309">
        <f t="shared" si="497"/>
        <v>3.5000000000000434E-2</v>
      </c>
      <c r="L1309">
        <f t="shared" si="486"/>
        <v>0.16992679271676003</v>
      </c>
      <c r="M1309">
        <f t="shared" si="487"/>
        <v>0.19000000000000086</v>
      </c>
      <c r="N1309">
        <f t="shared" si="488"/>
        <v>0.18800000009912254</v>
      </c>
      <c r="O1309">
        <f t="shared" si="489"/>
        <v>0.15777777777777779</v>
      </c>
      <c r="P1309">
        <f t="shared" si="502"/>
        <v>0.08</v>
      </c>
      <c r="Q1309">
        <f t="shared" si="498"/>
        <v>0.08</v>
      </c>
      <c r="R1309">
        <f t="shared" si="491"/>
        <v>0.08</v>
      </c>
      <c r="S1309">
        <f t="shared" si="492"/>
        <v>0.06</v>
      </c>
      <c r="T1309">
        <f t="shared" si="493"/>
        <v>0.1</v>
      </c>
      <c r="U1309">
        <f t="shared" si="499"/>
        <v>0.08</v>
      </c>
      <c r="V1309">
        <f t="shared" si="504"/>
        <v>0.18800000009912254</v>
      </c>
      <c r="W1309">
        <f t="shared" si="500"/>
        <v>0.16992531383153889</v>
      </c>
      <c r="X1309">
        <f t="shared" si="501"/>
        <v>0.21004952246754166</v>
      </c>
      <c r="Y1309" t="b">
        <f t="shared" si="503"/>
        <v>0</v>
      </c>
    </row>
    <row xmlns:x14ac="http://schemas.microsoft.com/office/spreadsheetml/2009/9/ac" r="1310" x14ac:dyDescent="0.45">
      <c r="A1310">
        <v>6.5149999999998904</v>
      </c>
      <c r="B1310">
        <f t="shared" si="481"/>
        <v>0.16300000000000109</v>
      </c>
      <c r="C1310" t="b">
        <f t="shared" si="494"/>
        <v>1</v>
      </c>
      <c r="D1310" t="b">
        <f t="shared" si="482"/>
        <v>1</v>
      </c>
      <c r="E1310">
        <f t="shared" si="490"/>
        <v>6.5149999999998904</v>
      </c>
      <c r="F1310">
        <f t="shared" si="495"/>
        <v>0.16300000000000109</v>
      </c>
      <c r="G1310">
        <f t="shared" si="483"/>
        <v>0.21004829975346145</v>
      </c>
      <c r="H1310">
        <f t="shared" si="484"/>
        <v>3.500000000000042E-2</v>
      </c>
      <c r="I1310" t="b">
        <f t="shared" si="496"/>
        <v>1</v>
      </c>
      <c r="J1310">
        <f t="shared" si="485"/>
        <v>6.5149999999998904</v>
      </c>
      <c r="K1310">
        <f t="shared" si="497"/>
        <v>3.500000000000042E-2</v>
      </c>
      <c r="L1310">
        <f t="shared" si="486"/>
        <v>0.16992715783960846</v>
      </c>
      <c r="M1310">
        <f t="shared" si="487"/>
        <v>0.19000000000000083</v>
      </c>
      <c r="N1310">
        <f t="shared" si="488"/>
        <v>0.18800000009658699</v>
      </c>
      <c r="O1310">
        <f t="shared" si="489"/>
        <v>0.15777777777777779</v>
      </c>
      <c r="P1310">
        <f t="shared" si="502"/>
        <v>0.08</v>
      </c>
      <c r="Q1310">
        <f t="shared" si="498"/>
        <v>0.08</v>
      </c>
      <c r="R1310">
        <f t="shared" si="491"/>
        <v>0.08</v>
      </c>
      <c r="S1310">
        <f t="shared" si="492"/>
        <v>0.06</v>
      </c>
      <c r="T1310">
        <f t="shared" si="493"/>
        <v>0.1</v>
      </c>
      <c r="U1310">
        <f t="shared" si="499"/>
        <v>0.08</v>
      </c>
      <c r="V1310">
        <f t="shared" si="504"/>
        <v>0.18800000009658699</v>
      </c>
      <c r="W1310">
        <f t="shared" si="500"/>
        <v>0.16992568633035809</v>
      </c>
      <c r="X1310">
        <f t="shared" si="501"/>
        <v>0.21004927547320434</v>
      </c>
      <c r="Y1310" t="b">
        <f t="shared" si="503"/>
        <v>0</v>
      </c>
    </row>
    <row xmlns:x14ac="http://schemas.microsoft.com/office/spreadsheetml/2009/9/ac" r="1311" x14ac:dyDescent="0.45">
      <c r="A1311">
        <v>6.5199999999998903</v>
      </c>
      <c r="B1311">
        <f t="shared" si="481"/>
        <v>0.16300000000000103</v>
      </c>
      <c r="C1311" t="b">
        <f t="shared" si="494"/>
        <v>1</v>
      </c>
      <c r="D1311" t="b">
        <f t="shared" si="482"/>
        <v>1</v>
      </c>
      <c r="E1311">
        <f t="shared" si="490"/>
        <v>6.5199999999998903</v>
      </c>
      <c r="F1311">
        <f t="shared" si="495"/>
        <v>0.16300000000000103</v>
      </c>
      <c r="G1311">
        <f t="shared" si="483"/>
        <v>0.2100480588574361</v>
      </c>
      <c r="H1311">
        <f t="shared" si="484"/>
        <v>3.5000000000000406E-2</v>
      </c>
      <c r="I1311" t="b">
        <f t="shared" si="496"/>
        <v>1</v>
      </c>
      <c r="J1311">
        <f t="shared" si="485"/>
        <v>6.5199999999998903</v>
      </c>
      <c r="K1311">
        <f t="shared" si="497"/>
        <v>3.5000000000000406E-2</v>
      </c>
      <c r="L1311">
        <f t="shared" si="486"/>
        <v>0.16992752114139906</v>
      </c>
      <c r="M1311">
        <f t="shared" si="487"/>
        <v>0.19000000000000081</v>
      </c>
      <c r="N1311">
        <f t="shared" si="488"/>
        <v>0.18800000009370016</v>
      </c>
      <c r="O1311">
        <f t="shared" si="489"/>
        <v>0.15777777777777779</v>
      </c>
      <c r="P1311">
        <f t="shared" si="502"/>
        <v>0.08</v>
      </c>
      <c r="Q1311">
        <f t="shared" si="498"/>
        <v>0.08</v>
      </c>
      <c r="R1311">
        <f t="shared" si="491"/>
        <v>0.08</v>
      </c>
      <c r="S1311">
        <f t="shared" si="492"/>
        <v>0.06</v>
      </c>
      <c r="T1311">
        <f t="shared" si="493"/>
        <v>0.1</v>
      </c>
      <c r="U1311">
        <f t="shared" si="499"/>
        <v>0.08</v>
      </c>
      <c r="V1311">
        <f t="shared" si="504"/>
        <v>0.18800000009370016</v>
      </c>
      <c r="W1311">
        <f t="shared" si="500"/>
        <v>0.16992605697133173</v>
      </c>
      <c r="X1311">
        <f t="shared" si="501"/>
        <v>0.21004902971075645</v>
      </c>
      <c r="Y1311" t="b">
        <f t="shared" si="503"/>
        <v>0</v>
      </c>
    </row>
    <row xmlns:x14ac="http://schemas.microsoft.com/office/spreadsheetml/2009/9/ac" r="1312" x14ac:dyDescent="0.45">
      <c r="A1312">
        <v>6.5249999999998902</v>
      </c>
      <c r="B1312">
        <f t="shared" si="481"/>
        <v>0.16300000000000101</v>
      </c>
      <c r="C1312" t="b">
        <f t="shared" si="494"/>
        <v>1</v>
      </c>
      <c r="D1312" t="b">
        <f t="shared" si="482"/>
        <v>1</v>
      </c>
      <c r="E1312">
        <f t="shared" si="490"/>
        <v>6.5249999999998902</v>
      </c>
      <c r="F1312">
        <f t="shared" si="495"/>
        <v>0.16300000000000101</v>
      </c>
      <c r="G1312">
        <f t="shared" si="483"/>
        <v>0.21004781916288467</v>
      </c>
      <c r="H1312">
        <f t="shared" si="484"/>
        <v>3.5000000000000392E-2</v>
      </c>
      <c r="I1312" t="b">
        <f t="shared" si="496"/>
        <v>1</v>
      </c>
      <c r="J1312">
        <f t="shared" si="485"/>
        <v>6.5249999999998902</v>
      </c>
      <c r="K1312">
        <f t="shared" si="497"/>
        <v>3.5000000000000392E-2</v>
      </c>
      <c r="L1312">
        <f t="shared" si="486"/>
        <v>0.16992788263121444</v>
      </c>
      <c r="M1312">
        <f t="shared" si="487"/>
        <v>0.19000000000000078</v>
      </c>
      <c r="N1312">
        <f t="shared" si="488"/>
        <v>0.18800000009048595</v>
      </c>
      <c r="O1312">
        <f t="shared" si="489"/>
        <v>0.15777777777777779</v>
      </c>
      <c r="P1312">
        <f t="shared" si="502"/>
        <v>0.08</v>
      </c>
      <c r="Q1312">
        <f t="shared" si="498"/>
        <v>0.08</v>
      </c>
      <c r="R1312">
        <f t="shared" si="491"/>
        <v>0.08</v>
      </c>
      <c r="S1312">
        <f t="shared" si="492"/>
        <v>0.06</v>
      </c>
      <c r="T1312">
        <f t="shared" si="493"/>
        <v>0.1</v>
      </c>
      <c r="U1312">
        <f t="shared" si="499"/>
        <v>0.08</v>
      </c>
      <c r="V1312">
        <f t="shared" si="504"/>
        <v>0.18800000009048595</v>
      </c>
      <c r="W1312">
        <f t="shared" si="500"/>
        <v>0.16992642576372574</v>
      </c>
      <c r="X1312">
        <f t="shared" si="501"/>
        <v>0.2100487851740539</v>
      </c>
      <c r="Y1312" t="b">
        <f t="shared" si="503"/>
        <v>0</v>
      </c>
    </row>
    <row xmlns:x14ac="http://schemas.microsoft.com/office/spreadsheetml/2009/9/ac" r="1313" x14ac:dyDescent="0.45">
      <c r="A1313">
        <v>6.5299999999998901</v>
      </c>
      <c r="B1313">
        <f t="shared" si="481"/>
        <v>0.16300000000000098</v>
      </c>
      <c r="C1313" t="b">
        <f t="shared" si="494"/>
        <v>1</v>
      </c>
      <c r="D1313" t="b">
        <f t="shared" si="482"/>
        <v>1</v>
      </c>
      <c r="E1313">
        <f t="shared" si="490"/>
        <v>6.5299999999998901</v>
      </c>
      <c r="F1313">
        <f t="shared" si="495"/>
        <v>0.16300000000000098</v>
      </c>
      <c r="G1313">
        <f t="shared" si="483"/>
        <v>0.21004758066381479</v>
      </c>
      <c r="H1313">
        <f t="shared" si="484"/>
        <v>3.5000000000000378E-2</v>
      </c>
      <c r="I1313" t="b">
        <f t="shared" si="496"/>
        <v>1</v>
      </c>
      <c r="J1313">
        <f t="shared" si="485"/>
        <v>6.5299999999998901</v>
      </c>
      <c r="K1313">
        <f t="shared" si="497"/>
        <v>3.5000000000000378E-2</v>
      </c>
      <c r="L1313">
        <f t="shared" si="486"/>
        <v>0.16992824231809181</v>
      </c>
      <c r="M1313">
        <f t="shared" si="487"/>
        <v>0.19000000000000075</v>
      </c>
      <c r="N1313">
        <f t="shared" si="488"/>
        <v>0.1880000000869691</v>
      </c>
      <c r="O1313">
        <f t="shared" si="489"/>
        <v>0.15777777777777779</v>
      </c>
      <c r="P1313">
        <f t="shared" si="502"/>
        <v>0.08</v>
      </c>
      <c r="Q1313">
        <f t="shared" si="498"/>
        <v>0.08</v>
      </c>
      <c r="R1313">
        <f t="shared" si="491"/>
        <v>0.08</v>
      </c>
      <c r="S1313">
        <f t="shared" si="492"/>
        <v>0.06</v>
      </c>
      <c r="T1313">
        <f t="shared" si="493"/>
        <v>0.1</v>
      </c>
      <c r="U1313">
        <f t="shared" si="499"/>
        <v>0.08</v>
      </c>
      <c r="V1313">
        <f t="shared" si="504"/>
        <v>0.1880000000869691</v>
      </c>
      <c r="W1313">
        <f t="shared" si="500"/>
        <v>0.16992679271676003</v>
      </c>
      <c r="X1313">
        <f t="shared" si="501"/>
        <v>0.21004854185698318</v>
      </c>
      <c r="Y1313" t="b">
        <f t="shared" si="503"/>
        <v>0</v>
      </c>
    </row>
    <row xmlns:x14ac="http://schemas.microsoft.com/office/spreadsheetml/2009/9/ac" r="1314" x14ac:dyDescent="0.45">
      <c r="A1314">
        <v>6.53499999999989</v>
      </c>
      <c r="B1314">
        <f t="shared" si="481"/>
        <v>0.16300000000000092</v>
      </c>
      <c r="C1314" t="b">
        <f t="shared" si="494"/>
        <v>1</v>
      </c>
      <c r="D1314" t="b">
        <f t="shared" si="482"/>
        <v>1</v>
      </c>
      <c r="E1314">
        <f t="shared" si="490"/>
        <v>6.53499999999989</v>
      </c>
      <c r="F1314">
        <f t="shared" si="495"/>
        <v>0.16300000000000092</v>
      </c>
      <c r="G1314">
        <f t="shared" si="483"/>
        <v>0.210047343354264</v>
      </c>
      <c r="H1314">
        <f t="shared" si="484"/>
        <v>3.5000000000000364E-2</v>
      </c>
      <c r="I1314" t="b">
        <f t="shared" si="496"/>
        <v>1</v>
      </c>
      <c r="J1314">
        <f t="shared" si="485"/>
        <v>6.53499999999989</v>
      </c>
      <c r="K1314">
        <f t="shared" si="497"/>
        <v>3.5000000000000364E-2</v>
      </c>
      <c r="L1314">
        <f t="shared" si="486"/>
        <v>0.16992860021102341</v>
      </c>
      <c r="M1314">
        <f t="shared" si="487"/>
        <v>0.19000000000000072</v>
      </c>
      <c r="N1314">
        <f t="shared" si="488"/>
        <v>0.1880000000831748</v>
      </c>
      <c r="O1314">
        <f t="shared" si="489"/>
        <v>0.15777777777777779</v>
      </c>
      <c r="P1314">
        <f t="shared" si="502"/>
        <v>0.08</v>
      </c>
      <c r="Q1314">
        <f t="shared" si="498"/>
        <v>0.08</v>
      </c>
      <c r="R1314">
        <f t="shared" si="491"/>
        <v>0.08</v>
      </c>
      <c r="S1314">
        <f t="shared" si="492"/>
        <v>0.06</v>
      </c>
      <c r="T1314">
        <f t="shared" si="493"/>
        <v>0.1</v>
      </c>
      <c r="U1314">
        <f t="shared" si="499"/>
        <v>0.08</v>
      </c>
      <c r="V1314">
        <f t="shared" si="504"/>
        <v>0.1880000000831748</v>
      </c>
      <c r="W1314">
        <f t="shared" si="500"/>
        <v>0.16992715783960846</v>
      </c>
      <c r="X1314">
        <f t="shared" si="501"/>
        <v>0.21004829975346145</v>
      </c>
      <c r="Y1314" t="b">
        <f t="shared" si="503"/>
        <v>0</v>
      </c>
    </row>
    <row xmlns:x14ac="http://schemas.microsoft.com/office/spreadsheetml/2009/9/ac" r="1315" x14ac:dyDescent="0.45">
      <c r="A1315">
        <v>6.5399999999998899</v>
      </c>
      <c r="B1315">
        <f t="shared" si="481"/>
        <v>0.16300000000000089</v>
      </c>
      <c r="C1315" t="b">
        <f t="shared" si="494"/>
        <v>1</v>
      </c>
      <c r="D1315" t="b">
        <f t="shared" si="482"/>
        <v>1</v>
      </c>
      <c r="E1315">
        <f t="shared" si="490"/>
        <v>6.5399999999998899</v>
      </c>
      <c r="F1315">
        <f t="shared" si="495"/>
        <v>0.16300000000000089</v>
      </c>
      <c r="G1315">
        <f t="shared" si="483"/>
        <v>0.2100471072282995</v>
      </c>
      <c r="H1315">
        <f t="shared" si="484"/>
        <v>3.500000000000035E-2</v>
      </c>
      <c r="I1315" t="b">
        <f t="shared" si="496"/>
        <v>1</v>
      </c>
      <c r="J1315">
        <f t="shared" si="485"/>
        <v>6.5399999999998899</v>
      </c>
      <c r="K1315">
        <f t="shared" si="497"/>
        <v>3.500000000000035E-2</v>
      </c>
      <c r="L1315">
        <f t="shared" si="486"/>
        <v>0.16992895631895658</v>
      </c>
      <c r="M1315">
        <f t="shared" si="487"/>
        <v>0.1900000000000007</v>
      </c>
      <c r="N1315">
        <f t="shared" si="488"/>
        <v>0.1880000000791287</v>
      </c>
      <c r="O1315">
        <f t="shared" si="489"/>
        <v>0.15777777777777779</v>
      </c>
      <c r="P1315">
        <f t="shared" si="502"/>
        <v>0.08</v>
      </c>
      <c r="Q1315">
        <f t="shared" si="498"/>
        <v>0.08</v>
      </c>
      <c r="R1315">
        <f t="shared" si="491"/>
        <v>0.08</v>
      </c>
      <c r="S1315">
        <f t="shared" si="492"/>
        <v>0.06</v>
      </c>
      <c r="T1315">
        <f t="shared" si="493"/>
        <v>0.1</v>
      </c>
      <c r="U1315">
        <f t="shared" si="499"/>
        <v>0.08</v>
      </c>
      <c r="V1315">
        <f t="shared" si="504"/>
        <v>0.1880000000791287</v>
      </c>
      <c r="W1315">
        <f t="shared" si="500"/>
        <v>0.16992752114139906</v>
      </c>
      <c r="X1315">
        <f t="shared" si="501"/>
        <v>0.2100480588574361</v>
      </c>
      <c r="Y1315" t="b">
        <f t="shared" si="503"/>
        <v>0</v>
      </c>
    </row>
    <row xmlns:x14ac="http://schemas.microsoft.com/office/spreadsheetml/2009/9/ac" r="1316" x14ac:dyDescent="0.45">
      <c r="A1316">
        <v>6.5449999999998898</v>
      </c>
      <c r="B1316">
        <f t="shared" si="481"/>
        <v>0.16300000000000084</v>
      </c>
      <c r="C1316" t="b">
        <f t="shared" si="494"/>
        <v>1</v>
      </c>
      <c r="D1316" t="b">
        <f t="shared" si="482"/>
        <v>1</v>
      </c>
      <c r="E1316">
        <f t="shared" si="490"/>
        <v>6.5449999999998898</v>
      </c>
      <c r="F1316">
        <f t="shared" si="495"/>
        <v>0.16300000000000084</v>
      </c>
      <c r="G1316">
        <f t="shared" si="483"/>
        <v>0.21004687228001817</v>
      </c>
      <c r="H1316">
        <f t="shared" si="484"/>
        <v>3.5000000000000323E-2</v>
      </c>
      <c r="I1316" t="b">
        <f t="shared" si="496"/>
        <v>1</v>
      </c>
      <c r="J1316">
        <f t="shared" si="485"/>
        <v>6.5449999999998898</v>
      </c>
      <c r="K1316">
        <f t="shared" si="497"/>
        <v>3.5000000000000323E-2</v>
      </c>
      <c r="L1316">
        <f t="shared" si="486"/>
        <v>0.169929310650794</v>
      </c>
      <c r="M1316">
        <f t="shared" si="487"/>
        <v>0.19000000000000067</v>
      </c>
      <c r="N1316">
        <f t="shared" si="488"/>
        <v>0.18800000007485684</v>
      </c>
      <c r="O1316">
        <f t="shared" si="489"/>
        <v>0.15777777777777779</v>
      </c>
      <c r="P1316">
        <f t="shared" si="502"/>
        <v>0.08</v>
      </c>
      <c r="Q1316">
        <f t="shared" si="498"/>
        <v>0.08</v>
      </c>
      <c r="R1316">
        <f t="shared" si="491"/>
        <v>0.08</v>
      </c>
      <c r="S1316">
        <f t="shared" si="492"/>
        <v>0.06</v>
      </c>
      <c r="T1316">
        <f t="shared" si="493"/>
        <v>0.1</v>
      </c>
      <c r="U1316">
        <f t="shared" si="499"/>
        <v>0.08</v>
      </c>
      <c r="V1316">
        <f t="shared" si="504"/>
        <v>0.18800000007485684</v>
      </c>
      <c r="W1316">
        <f t="shared" si="500"/>
        <v>0.16992788263121444</v>
      </c>
      <c r="X1316">
        <f t="shared" si="501"/>
        <v>0.21004781916288467</v>
      </c>
      <c r="Y1316" t="b">
        <f t="shared" si="503"/>
        <v>0</v>
      </c>
    </row>
    <row xmlns:x14ac="http://schemas.microsoft.com/office/spreadsheetml/2009/9/ac" r="1317" x14ac:dyDescent="0.45">
      <c r="A1317">
        <v>6.5499999999998897</v>
      </c>
      <c r="B1317">
        <f t="shared" si="481"/>
        <v>0.16300000000000081</v>
      </c>
      <c r="C1317" t="b">
        <f t="shared" si="494"/>
        <v>1</v>
      </c>
      <c r="D1317" t="b">
        <f t="shared" si="482"/>
        <v>1</v>
      </c>
      <c r="E1317">
        <f t="shared" si="490"/>
        <v>6.5499999999998897</v>
      </c>
      <c r="F1317">
        <f t="shared" si="495"/>
        <v>0.16300000000000081</v>
      </c>
      <c r="G1317">
        <f t="shared" si="483"/>
        <v>0.21004663850354632</v>
      </c>
      <c r="H1317">
        <f t="shared" si="484"/>
        <v>3.5000000000000309E-2</v>
      </c>
      <c r="I1317" t="b">
        <f t="shared" si="496"/>
        <v>1</v>
      </c>
      <c r="J1317">
        <f t="shared" si="485"/>
        <v>6.5499999999998897</v>
      </c>
      <c r="K1317">
        <f t="shared" si="497"/>
        <v>3.5000000000000309E-2</v>
      </c>
      <c r="L1317">
        <f t="shared" si="486"/>
        <v>0.16992966321539404</v>
      </c>
      <c r="M1317">
        <f t="shared" si="487"/>
        <v>0.19000000000000061</v>
      </c>
      <c r="N1317">
        <f t="shared" si="488"/>
        <v>0.18800000007038536</v>
      </c>
      <c r="O1317">
        <f t="shared" si="489"/>
        <v>0.15777777777777779</v>
      </c>
      <c r="P1317">
        <f t="shared" si="502"/>
        <v>0.08</v>
      </c>
      <c r="Q1317">
        <f t="shared" si="498"/>
        <v>0.08</v>
      </c>
      <c r="R1317">
        <f t="shared" si="491"/>
        <v>0.08</v>
      </c>
      <c r="S1317">
        <f t="shared" si="492"/>
        <v>0.06</v>
      </c>
      <c r="T1317">
        <f t="shared" si="493"/>
        <v>0.1</v>
      </c>
      <c r="U1317">
        <f t="shared" si="499"/>
        <v>0.08</v>
      </c>
      <c r="V1317">
        <f t="shared" si="504"/>
        <v>0.18800000007038536</v>
      </c>
      <c r="W1317">
        <f t="shared" si="500"/>
        <v>0.16992824231809181</v>
      </c>
      <c r="X1317">
        <f t="shared" si="501"/>
        <v>0.21004758066381479</v>
      </c>
      <c r="Y1317" t="b">
        <f t="shared" si="503"/>
        <v>0</v>
      </c>
    </row>
    <row xmlns:x14ac="http://schemas.microsoft.com/office/spreadsheetml/2009/9/ac" r="1318" x14ac:dyDescent="0.45">
      <c r="A1318">
        <v>6.5549999999998896</v>
      </c>
      <c r="B1318">
        <f t="shared" si="481"/>
        <v>0.16300000000000076</v>
      </c>
      <c r="C1318" t="b">
        <f t="shared" si="494"/>
        <v>1</v>
      </c>
      <c r="D1318" t="b">
        <f t="shared" si="482"/>
        <v>1</v>
      </c>
      <c r="E1318">
        <f t="shared" si="490"/>
        <v>6.5549999999998896</v>
      </c>
      <c r="F1318">
        <f t="shared" si="495"/>
        <v>0.16300000000000076</v>
      </c>
      <c r="G1318">
        <f t="shared" si="483"/>
        <v>0.21004640589303947</v>
      </c>
      <c r="H1318">
        <f t="shared" si="484"/>
        <v>3.5000000000000295E-2</v>
      </c>
      <c r="I1318" t="b">
        <f t="shared" si="496"/>
        <v>1</v>
      </c>
      <c r="J1318">
        <f t="shared" si="485"/>
        <v>6.5549999999998896</v>
      </c>
      <c r="K1318">
        <f t="shared" si="497"/>
        <v>3.5000000000000295E-2</v>
      </c>
      <c r="L1318">
        <f t="shared" si="486"/>
        <v>0.16993001402157076</v>
      </c>
      <c r="M1318">
        <f t="shared" si="487"/>
        <v>0.19000000000000059</v>
      </c>
      <c r="N1318">
        <f t="shared" si="488"/>
        <v>0.18800000006574055</v>
      </c>
      <c r="O1318">
        <f t="shared" si="489"/>
        <v>0.15777777777777779</v>
      </c>
      <c r="P1318">
        <f t="shared" si="502"/>
        <v>0.08</v>
      </c>
      <c r="Q1318">
        <f t="shared" si="498"/>
        <v>0.08</v>
      </c>
      <c r="R1318">
        <f t="shared" si="491"/>
        <v>0.08</v>
      </c>
      <c r="S1318">
        <f t="shared" si="492"/>
        <v>0.06</v>
      </c>
      <c r="T1318">
        <f t="shared" si="493"/>
        <v>0.1</v>
      </c>
      <c r="U1318">
        <f t="shared" si="499"/>
        <v>0.08</v>
      </c>
      <c r="V1318">
        <f t="shared" si="504"/>
        <v>0.18800000006574055</v>
      </c>
      <c r="W1318">
        <f t="shared" si="500"/>
        <v>0.16992860021102341</v>
      </c>
      <c r="X1318">
        <f t="shared" si="501"/>
        <v>0.210047343354264</v>
      </c>
      <c r="Y1318" t="b">
        <f t="shared" si="503"/>
        <v>0</v>
      </c>
    </row>
    <row xmlns:x14ac="http://schemas.microsoft.com/office/spreadsheetml/2009/9/ac" r="1319" x14ac:dyDescent="0.45">
      <c r="A1319">
        <v>6.5599999999998904</v>
      </c>
      <c r="B1319">
        <f t="shared" si="481"/>
        <v>0.16300000000000067</v>
      </c>
      <c r="C1319" t="b">
        <f t="shared" si="494"/>
        <v>1</v>
      </c>
      <c r="D1319" t="b">
        <f t="shared" si="482"/>
        <v>1</v>
      </c>
      <c r="E1319">
        <f t="shared" si="490"/>
        <v>6.5599999999998904</v>
      </c>
      <c r="F1319">
        <f t="shared" si="495"/>
        <v>0.16300000000000067</v>
      </c>
      <c r="G1319">
        <f t="shared" si="483"/>
        <v>0.21004617444268231</v>
      </c>
      <c r="H1319">
        <f t="shared" si="484"/>
        <v>3.5000000000000267E-2</v>
      </c>
      <c r="I1319" t="b">
        <f t="shared" si="496"/>
        <v>1</v>
      </c>
      <c r="J1319">
        <f t="shared" si="485"/>
        <v>6.5599999999998904</v>
      </c>
      <c r="K1319">
        <f t="shared" si="497"/>
        <v>3.5000000000000267E-2</v>
      </c>
      <c r="L1319">
        <f t="shared" si="486"/>
        <v>0.16993036307809439</v>
      </c>
      <c r="M1319">
        <f t="shared" si="487"/>
        <v>0.19000000000000053</v>
      </c>
      <c r="N1319">
        <f t="shared" si="488"/>
        <v>0.18800000006094855</v>
      </c>
      <c r="O1319">
        <f t="shared" si="489"/>
        <v>0.15777777777777779</v>
      </c>
      <c r="P1319">
        <f t="shared" si="502"/>
        <v>0.08</v>
      </c>
      <c r="Q1319">
        <f t="shared" si="498"/>
        <v>0.08</v>
      </c>
      <c r="R1319">
        <f t="shared" si="491"/>
        <v>0.08</v>
      </c>
      <c r="S1319">
        <f t="shared" si="492"/>
        <v>0.06</v>
      </c>
      <c r="T1319">
        <f t="shared" si="493"/>
        <v>0.1</v>
      </c>
      <c r="U1319">
        <f t="shared" si="499"/>
        <v>0.08</v>
      </c>
      <c r="V1319">
        <f t="shared" si="504"/>
        <v>0.18800000006094855</v>
      </c>
      <c r="W1319">
        <f t="shared" si="500"/>
        <v>0.16992895631895658</v>
      </c>
      <c r="X1319">
        <f t="shared" si="501"/>
        <v>0.2100471072282995</v>
      </c>
      <c r="Y1319" t="b">
        <f t="shared" si="503"/>
        <v>0</v>
      </c>
    </row>
    <row xmlns:x14ac="http://schemas.microsoft.com/office/spreadsheetml/2009/9/ac" r="1320" x14ac:dyDescent="0.45">
      <c r="A1320">
        <v>6.5649999999998903</v>
      </c>
      <c r="B1320">
        <f t="shared" si="481"/>
        <v>0.16300000000000062</v>
      </c>
      <c r="C1320" t="b">
        <f t="shared" si="494"/>
        <v>1</v>
      </c>
      <c r="D1320" t="b">
        <f t="shared" si="482"/>
        <v>1</v>
      </c>
      <c r="E1320">
        <f t="shared" si="490"/>
        <v>6.5649999999998903</v>
      </c>
      <c r="F1320">
        <f t="shared" si="495"/>
        <v>0.16300000000000062</v>
      </c>
      <c r="G1320">
        <f t="shared" si="483"/>
        <v>0.2100459441466887</v>
      </c>
      <c r="H1320">
        <f t="shared" si="484"/>
        <v>3.5000000000000239E-2</v>
      </c>
      <c r="I1320" t="b">
        <f t="shared" si="496"/>
        <v>1</v>
      </c>
      <c r="J1320">
        <f t="shared" si="485"/>
        <v>6.5649999999998903</v>
      </c>
      <c r="K1320">
        <f t="shared" si="497"/>
        <v>3.5000000000000239E-2</v>
      </c>
      <c r="L1320">
        <f t="shared" si="486"/>
        <v>0.16993071039369137</v>
      </c>
      <c r="M1320">
        <f t="shared" si="487"/>
        <v>0.1900000000000005</v>
      </c>
      <c r="N1320">
        <f t="shared" si="488"/>
        <v>0.1880000000560354</v>
      </c>
      <c r="O1320">
        <f t="shared" si="489"/>
        <v>0.15777777777777779</v>
      </c>
      <c r="P1320">
        <f t="shared" si="502"/>
        <v>0.08</v>
      </c>
      <c r="Q1320">
        <f t="shared" si="498"/>
        <v>0.08</v>
      </c>
      <c r="R1320">
        <f t="shared" si="491"/>
        <v>0.08</v>
      </c>
      <c r="S1320">
        <f t="shared" si="492"/>
        <v>0.06</v>
      </c>
      <c r="T1320">
        <f t="shared" si="493"/>
        <v>0.1</v>
      </c>
      <c r="U1320">
        <f t="shared" si="499"/>
        <v>0.08</v>
      </c>
      <c r="V1320">
        <f t="shared" si="504"/>
        <v>0.1880000000560354</v>
      </c>
      <c r="W1320">
        <f t="shared" si="500"/>
        <v>0.169929310650794</v>
      </c>
      <c r="X1320">
        <f t="shared" si="501"/>
        <v>0.21004687228001817</v>
      </c>
      <c r="Y1320" t="b">
        <f t="shared" si="503"/>
        <v>0</v>
      </c>
    </row>
    <row xmlns:x14ac="http://schemas.microsoft.com/office/spreadsheetml/2009/9/ac" r="1321" x14ac:dyDescent="0.45">
      <c r="A1321">
        <v>6.5699999999998902</v>
      </c>
      <c r="B1321">
        <f t="shared" si="481"/>
        <v>0.16300000000000059</v>
      </c>
      <c r="C1321" t="b">
        <f t="shared" si="494"/>
        <v>1</v>
      </c>
      <c r="D1321" t="b">
        <f t="shared" si="482"/>
        <v>1</v>
      </c>
      <c r="E1321">
        <f t="shared" si="490"/>
        <v>6.5699999999998902</v>
      </c>
      <c r="F1321">
        <f t="shared" si="495"/>
        <v>0.16300000000000059</v>
      </c>
      <c r="G1321">
        <f t="shared" si="483"/>
        <v>0.21004571499930108</v>
      </c>
      <c r="H1321">
        <f t="shared" si="484"/>
        <v>3.5000000000000225E-2</v>
      </c>
      <c r="I1321" t="b">
        <f t="shared" si="496"/>
        <v>1</v>
      </c>
      <c r="J1321">
        <f t="shared" si="485"/>
        <v>6.5699999999998902</v>
      </c>
      <c r="K1321">
        <f t="shared" si="497"/>
        <v>3.5000000000000225E-2</v>
      </c>
      <c r="L1321">
        <f t="shared" si="486"/>
        <v>0.16993105597704455</v>
      </c>
      <c r="M1321">
        <f t="shared" si="487"/>
        <v>0.19000000000000045</v>
      </c>
      <c r="N1321">
        <f t="shared" si="488"/>
        <v>0.18800000005102688</v>
      </c>
      <c r="O1321">
        <f t="shared" si="489"/>
        <v>0.15777777777777779</v>
      </c>
      <c r="P1321">
        <f t="shared" si="502"/>
        <v>0.08</v>
      </c>
      <c r="Q1321">
        <f t="shared" si="498"/>
        <v>0.08</v>
      </c>
      <c r="R1321">
        <f t="shared" si="491"/>
        <v>0.08</v>
      </c>
      <c r="S1321">
        <f t="shared" si="492"/>
        <v>0.06</v>
      </c>
      <c r="T1321">
        <f t="shared" si="493"/>
        <v>0.1</v>
      </c>
      <c r="U1321">
        <f t="shared" si="499"/>
        <v>0.08</v>
      </c>
      <c r="V1321">
        <f t="shared" si="504"/>
        <v>0.18800000005102688</v>
      </c>
      <c r="W1321">
        <f t="shared" si="500"/>
        <v>0.16992966321539404</v>
      </c>
      <c r="X1321">
        <f t="shared" si="501"/>
        <v>0.21004663850354632</v>
      </c>
      <c r="Y1321" t="b">
        <f t="shared" si="503"/>
        <v>0</v>
      </c>
    </row>
    <row xmlns:x14ac="http://schemas.microsoft.com/office/spreadsheetml/2009/9/ac" r="1322" x14ac:dyDescent="0.45">
      <c r="A1322">
        <v>6.57499999999989</v>
      </c>
      <c r="B1322">
        <f t="shared" si="481"/>
        <v>0.16300000000000053</v>
      </c>
      <c r="C1322" t="b">
        <f t="shared" si="494"/>
        <v>1</v>
      </c>
      <c r="D1322" t="b">
        <f t="shared" si="482"/>
        <v>1</v>
      </c>
      <c r="E1322">
        <f t="shared" si="490"/>
        <v>6.57499999999989</v>
      </c>
      <c r="F1322">
        <f t="shared" si="495"/>
        <v>0.16300000000000053</v>
      </c>
      <c r="G1322">
        <f t="shared" si="483"/>
        <v>0.21004548699479086</v>
      </c>
      <c r="H1322">
        <f t="shared" si="484"/>
        <v>3.5000000000000211E-2</v>
      </c>
      <c r="I1322" t="b">
        <f t="shared" si="496"/>
        <v>1</v>
      </c>
      <c r="J1322">
        <f t="shared" si="485"/>
        <v>6.57499999999989</v>
      </c>
      <c r="K1322">
        <f t="shared" si="497"/>
        <v>3.5000000000000211E-2</v>
      </c>
      <c r="L1322">
        <f t="shared" si="486"/>
        <v>0.16993139983679359</v>
      </c>
      <c r="M1322">
        <f t="shared" si="487"/>
        <v>0.19000000000000042</v>
      </c>
      <c r="N1322">
        <f t="shared" si="488"/>
        <v>0.1880000000459483</v>
      </c>
      <c r="O1322">
        <f t="shared" si="489"/>
        <v>0.15777777777777779</v>
      </c>
      <c r="P1322">
        <f t="shared" si="502"/>
        <v>0.08</v>
      </c>
      <c r="Q1322">
        <f t="shared" si="498"/>
        <v>0.08</v>
      </c>
      <c r="R1322">
        <f t="shared" si="491"/>
        <v>0.08</v>
      </c>
      <c r="S1322">
        <f t="shared" si="492"/>
        <v>0.06</v>
      </c>
      <c r="T1322">
        <f t="shared" si="493"/>
        <v>0.1</v>
      </c>
      <c r="U1322">
        <f t="shared" si="499"/>
        <v>0.08</v>
      </c>
      <c r="V1322">
        <f t="shared" si="504"/>
        <v>0.1880000000459483</v>
      </c>
      <c r="W1322">
        <f t="shared" si="500"/>
        <v>0.16993001402157076</v>
      </c>
      <c r="X1322">
        <f t="shared" si="501"/>
        <v>0.21004640589303947</v>
      </c>
      <c r="Y1322" t="b">
        <f t="shared" si="503"/>
        <v>0</v>
      </c>
    </row>
    <row xmlns:x14ac="http://schemas.microsoft.com/office/spreadsheetml/2009/9/ac" r="1323" x14ac:dyDescent="0.45">
      <c r="A1323">
        <v>6.5799999999998899</v>
      </c>
      <c r="B1323">
        <f t="shared" si="481"/>
        <v>0.16300000000000051</v>
      </c>
      <c r="C1323" t="b">
        <f t="shared" si="494"/>
        <v>1</v>
      </c>
      <c r="D1323" t="b">
        <f t="shared" si="482"/>
        <v>1</v>
      </c>
      <c r="E1323">
        <f t="shared" si="490"/>
        <v>6.5799999999998899</v>
      </c>
      <c r="F1323">
        <f t="shared" si="495"/>
        <v>0.16300000000000051</v>
      </c>
      <c r="G1323">
        <f t="shared" si="483"/>
        <v>0.21004526012745789</v>
      </c>
      <c r="H1323">
        <f t="shared" si="484"/>
        <v>3.5000000000000198E-2</v>
      </c>
      <c r="I1323" t="b">
        <f t="shared" si="496"/>
        <v>1</v>
      </c>
      <c r="J1323">
        <f t="shared" si="485"/>
        <v>6.5799999999998899</v>
      </c>
      <c r="K1323">
        <f t="shared" si="497"/>
        <v>3.5000000000000198E-2</v>
      </c>
      <c r="L1323">
        <f t="shared" si="486"/>
        <v>0.16993174198153499</v>
      </c>
      <c r="M1323">
        <f t="shared" si="487"/>
        <v>0.19000000000000039</v>
      </c>
      <c r="N1323">
        <f t="shared" si="488"/>
        <v>0.18800000004082457</v>
      </c>
      <c r="O1323">
        <f t="shared" si="489"/>
        <v>0.15777777777777779</v>
      </c>
      <c r="P1323">
        <f t="shared" si="502"/>
        <v>0.08</v>
      </c>
      <c r="Q1323">
        <f t="shared" si="498"/>
        <v>0.08</v>
      </c>
      <c r="R1323">
        <f t="shared" si="491"/>
        <v>0.08</v>
      </c>
      <c r="S1323">
        <f t="shared" si="492"/>
        <v>0.06</v>
      </c>
      <c r="T1323">
        <f t="shared" si="493"/>
        <v>0.1</v>
      </c>
      <c r="U1323">
        <f t="shared" si="499"/>
        <v>0.08</v>
      </c>
      <c r="V1323">
        <f t="shared" si="504"/>
        <v>0.18800000004082457</v>
      </c>
      <c r="W1323">
        <f t="shared" si="500"/>
        <v>0.16993036307809439</v>
      </c>
      <c r="X1323">
        <f t="shared" si="501"/>
        <v>0.21004617444268231</v>
      </c>
      <c r="Y1323" t="b">
        <f t="shared" si="503"/>
        <v>0</v>
      </c>
    </row>
    <row xmlns:x14ac="http://schemas.microsoft.com/office/spreadsheetml/2009/9/ac" r="1324" x14ac:dyDescent="0.45">
      <c r="A1324">
        <v>6.5849999999998898</v>
      </c>
      <c r="B1324">
        <f t="shared" si="481"/>
        <v>0.16300000000000042</v>
      </c>
      <c r="C1324" t="b">
        <f t="shared" si="494"/>
        <v>1</v>
      </c>
      <c r="D1324" t="b">
        <f t="shared" si="482"/>
        <v>1</v>
      </c>
      <c r="E1324">
        <f t="shared" si="490"/>
        <v>6.5849999999998898</v>
      </c>
      <c r="F1324">
        <f t="shared" si="495"/>
        <v>0.16300000000000042</v>
      </c>
      <c r="G1324">
        <f t="shared" si="483"/>
        <v>0.21004503439163047</v>
      </c>
      <c r="H1324">
        <f t="shared" si="484"/>
        <v>3.500000000000017E-2</v>
      </c>
      <c r="I1324" t="b">
        <f t="shared" si="496"/>
        <v>1</v>
      </c>
      <c r="J1324">
        <f t="shared" si="485"/>
        <v>6.5849999999998898</v>
      </c>
      <c r="K1324">
        <f t="shared" si="497"/>
        <v>3.500000000000017E-2</v>
      </c>
      <c r="L1324">
        <f t="shared" si="486"/>
        <v>0.16993208241982233</v>
      </c>
      <c r="M1324">
        <f t="shared" si="487"/>
        <v>0.19000000000000034</v>
      </c>
      <c r="N1324">
        <f t="shared" si="488"/>
        <v>0.18800000003567996</v>
      </c>
      <c r="O1324">
        <f t="shared" si="489"/>
        <v>0.15777777777777779</v>
      </c>
      <c r="P1324">
        <f t="shared" si="502"/>
        <v>0.08</v>
      </c>
      <c r="Q1324">
        <f t="shared" si="498"/>
        <v>0.08</v>
      </c>
      <c r="R1324">
        <f t="shared" si="491"/>
        <v>0.08</v>
      </c>
      <c r="S1324">
        <f t="shared" si="492"/>
        <v>0.06</v>
      </c>
      <c r="T1324">
        <f t="shared" si="493"/>
        <v>0.1</v>
      </c>
      <c r="U1324">
        <f t="shared" si="499"/>
        <v>0.08</v>
      </c>
      <c r="V1324">
        <f t="shared" si="504"/>
        <v>0.18800000003567996</v>
      </c>
      <c r="W1324">
        <f t="shared" si="500"/>
        <v>0.16993071039369137</v>
      </c>
      <c r="X1324">
        <f t="shared" si="501"/>
        <v>0.2100459441466887</v>
      </c>
      <c r="Y1324" t="b">
        <f t="shared" si="503"/>
        <v>0</v>
      </c>
    </row>
    <row xmlns:x14ac="http://schemas.microsoft.com/office/spreadsheetml/2009/9/ac" r="1325" x14ac:dyDescent="0.45">
      <c r="A1325">
        <v>6.5899999999998897</v>
      </c>
      <c r="B1325">
        <f t="shared" si="481"/>
        <v>0.16300000000000037</v>
      </c>
      <c r="C1325" t="b">
        <f t="shared" si="494"/>
        <v>1</v>
      </c>
      <c r="D1325" t="b">
        <f t="shared" si="482"/>
        <v>1</v>
      </c>
      <c r="E1325">
        <f t="shared" si="490"/>
        <v>6.5899999999998897</v>
      </c>
      <c r="F1325">
        <f t="shared" si="495"/>
        <v>0.16300000000000037</v>
      </c>
      <c r="G1325">
        <f t="shared" si="483"/>
        <v>0.21004480978166518</v>
      </c>
      <c r="H1325">
        <f t="shared" si="484"/>
        <v>3.5000000000000142E-2</v>
      </c>
      <c r="I1325" t="b">
        <f t="shared" si="496"/>
        <v>1</v>
      </c>
      <c r="J1325">
        <f t="shared" si="485"/>
        <v>6.5899999999998897</v>
      </c>
      <c r="K1325">
        <f t="shared" si="497"/>
        <v>3.5000000000000142E-2</v>
      </c>
      <c r="L1325">
        <f t="shared" si="486"/>
        <v>0.16993242116016666</v>
      </c>
      <c r="M1325">
        <f t="shared" si="487"/>
        <v>0.19000000000000028</v>
      </c>
      <c r="N1325">
        <f t="shared" si="488"/>
        <v>0.18800000003053813</v>
      </c>
      <c r="O1325">
        <f t="shared" si="489"/>
        <v>0.15777777777777779</v>
      </c>
      <c r="P1325">
        <f t="shared" si="502"/>
        <v>0.08</v>
      </c>
      <c r="Q1325">
        <f t="shared" si="498"/>
        <v>0.08</v>
      </c>
      <c r="R1325">
        <f t="shared" si="491"/>
        <v>0.08</v>
      </c>
      <c r="S1325">
        <f t="shared" si="492"/>
        <v>0.06</v>
      </c>
      <c r="T1325">
        <f t="shared" si="493"/>
        <v>0.1</v>
      </c>
      <c r="U1325">
        <f t="shared" si="499"/>
        <v>0.08</v>
      </c>
      <c r="V1325">
        <f t="shared" si="504"/>
        <v>0.18800000003053813</v>
      </c>
      <c r="W1325">
        <f t="shared" si="500"/>
        <v>0.16993105597704455</v>
      </c>
      <c r="X1325">
        <f t="shared" si="501"/>
        <v>0.21004571499930108</v>
      </c>
      <c r="Y1325" t="b">
        <f t="shared" si="503"/>
        <v>0</v>
      </c>
    </row>
    <row xmlns:x14ac="http://schemas.microsoft.com/office/spreadsheetml/2009/9/ac" r="1326" x14ac:dyDescent="0.45">
      <c r="A1326">
        <v>6.5949999999998896</v>
      </c>
      <c r="B1326">
        <f t="shared" si="481"/>
        <v>0.16300000000000031</v>
      </c>
      <c r="C1326" t="b">
        <f t="shared" si="494"/>
        <v>1</v>
      </c>
      <c r="D1326" t="b">
        <f t="shared" si="482"/>
        <v>1</v>
      </c>
      <c r="E1326">
        <f t="shared" si="490"/>
        <v>6.5949999999998896</v>
      </c>
      <c r="F1326">
        <f t="shared" si="495"/>
        <v>0.16300000000000031</v>
      </c>
      <c r="G1326">
        <f t="shared" si="483"/>
        <v>0.21004458629194672</v>
      </c>
      <c r="H1326">
        <f t="shared" si="484"/>
        <v>3.5000000000000128E-2</v>
      </c>
      <c r="I1326" t="b">
        <f t="shared" si="496"/>
        <v>1</v>
      </c>
      <c r="J1326">
        <f t="shared" si="485"/>
        <v>6.5949999999998896</v>
      </c>
      <c r="K1326">
        <f t="shared" si="497"/>
        <v>3.5000000000000128E-2</v>
      </c>
      <c r="L1326">
        <f t="shared" si="486"/>
        <v>0.16993275821103646</v>
      </c>
      <c r="M1326">
        <f t="shared" si="487"/>
        <v>0.19000000000000025</v>
      </c>
      <c r="N1326">
        <f t="shared" si="488"/>
        <v>0.18800000002542192</v>
      </c>
      <c r="O1326">
        <f t="shared" si="489"/>
        <v>0.15777777777777779</v>
      </c>
      <c r="P1326">
        <f t="shared" si="502"/>
        <v>0.08</v>
      </c>
      <c r="Q1326">
        <f t="shared" si="498"/>
        <v>0.08</v>
      </c>
      <c r="R1326">
        <f t="shared" si="491"/>
        <v>0.08</v>
      </c>
      <c r="S1326">
        <f t="shared" si="492"/>
        <v>0.06</v>
      </c>
      <c r="T1326">
        <f t="shared" si="493"/>
        <v>0.1</v>
      </c>
      <c r="U1326">
        <f t="shared" si="499"/>
        <v>0.08</v>
      </c>
      <c r="V1326">
        <f t="shared" si="504"/>
        <v>0.18800000002542192</v>
      </c>
      <c r="W1326">
        <f t="shared" si="500"/>
        <v>0.16993139983679359</v>
      </c>
      <c r="X1326">
        <f t="shared" si="501"/>
        <v>0.21004548699479086</v>
      </c>
      <c r="Y1326" t="b">
        <f t="shared" si="503"/>
        <v>0</v>
      </c>
    </row>
    <row xmlns:x14ac="http://schemas.microsoft.com/office/spreadsheetml/2009/9/ac" r="1327" x14ac:dyDescent="0.45">
      <c r="A1327">
        <v>6.5999999999998904</v>
      </c>
      <c r="B1327">
        <f t="shared" si="481"/>
        <v>0.16300000000000028</v>
      </c>
      <c r="C1327" t="b">
        <f t="shared" si="494"/>
        <v>1</v>
      </c>
      <c r="D1327" t="b">
        <f t="shared" si="482"/>
        <v>1</v>
      </c>
      <c r="E1327">
        <f t="shared" si="490"/>
        <v>6.5999999999998904</v>
      </c>
      <c r="F1327">
        <f t="shared" si="495"/>
        <v>0.16300000000000028</v>
      </c>
      <c r="G1327">
        <f t="shared" si="483"/>
        <v>0.21004436391688791</v>
      </c>
      <c r="H1327">
        <f t="shared" si="484"/>
        <v>3.5000000000000114E-2</v>
      </c>
      <c r="I1327" t="b">
        <f t="shared" si="496"/>
        <v>1</v>
      </c>
      <c r="J1327">
        <f t="shared" si="485"/>
        <v>6.5999999999998904</v>
      </c>
      <c r="K1327">
        <f t="shared" si="497"/>
        <v>3.5000000000000114E-2</v>
      </c>
      <c r="L1327">
        <f t="shared" si="486"/>
        <v>0.16993309358085801</v>
      </c>
      <c r="M1327">
        <f t="shared" si="487"/>
        <v>0.19000000000000022</v>
      </c>
      <c r="N1327">
        <f t="shared" si="488"/>
        <v>0.18800000002035336</v>
      </c>
      <c r="O1327">
        <f t="shared" si="489"/>
        <v>0.15777777777777779</v>
      </c>
      <c r="P1327">
        <f t="shared" si="502"/>
        <v>0.08</v>
      </c>
      <c r="Q1327">
        <f t="shared" si="498"/>
        <v>0.08</v>
      </c>
      <c r="R1327">
        <f t="shared" si="491"/>
        <v>0.08</v>
      </c>
      <c r="S1327">
        <f t="shared" si="492"/>
        <v>0.06</v>
      </c>
      <c r="T1327">
        <f t="shared" si="493"/>
        <v>0.1</v>
      </c>
      <c r="U1327">
        <f t="shared" si="499"/>
        <v>0.08</v>
      </c>
      <c r="V1327">
        <f t="shared" si="504"/>
        <v>0.18800000002035336</v>
      </c>
      <c r="W1327">
        <f t="shared" si="500"/>
        <v>0.16993174198153499</v>
      </c>
      <c r="X1327">
        <f t="shared" si="501"/>
        <v>0.21004526012745789</v>
      </c>
      <c r="Y1327" t="b">
        <f t="shared" si="503"/>
        <v>0</v>
      </c>
    </row>
    <row xmlns:x14ac="http://schemas.microsoft.com/office/spreadsheetml/2009/9/ac" r="1328" x14ac:dyDescent="0.45">
      <c r="A1328">
        <v>6.6049999999998903</v>
      </c>
      <c r="B1328">
        <f t="shared" si="481"/>
        <v>0.16300000000000023</v>
      </c>
      <c r="C1328" t="b">
        <f t="shared" si="494"/>
        <v>1</v>
      </c>
      <c r="D1328" t="b">
        <f t="shared" si="482"/>
        <v>1</v>
      </c>
      <c r="E1328">
        <f t="shared" si="490"/>
        <v>6.6049999999998903</v>
      </c>
      <c r="F1328">
        <f t="shared" si="495"/>
        <v>0.16300000000000023</v>
      </c>
      <c r="G1328">
        <f t="shared" si="483"/>
        <v>0.21004414265092936</v>
      </c>
      <c r="H1328">
        <f t="shared" si="484"/>
        <v>3.5000000000000087E-2</v>
      </c>
      <c r="I1328" t="b">
        <f t="shared" si="496"/>
        <v>1</v>
      </c>
      <c r="J1328">
        <f t="shared" si="485"/>
        <v>6.6049999999998903</v>
      </c>
      <c r="K1328">
        <f t="shared" si="497"/>
        <v>3.5000000000000087E-2</v>
      </c>
      <c r="L1328">
        <f t="shared" si="486"/>
        <v>0.16993342727801564</v>
      </c>
      <c r="M1328">
        <f t="shared" si="487"/>
        <v>0.19000000000000017</v>
      </c>
      <c r="N1328">
        <f t="shared" si="488"/>
        <v>0.18800000001535355</v>
      </c>
      <c r="O1328">
        <f t="shared" si="489"/>
        <v>0.15777777777777779</v>
      </c>
      <c r="P1328">
        <f t="shared" si="502"/>
        <v>0.08</v>
      </c>
      <c r="Q1328">
        <f t="shared" si="498"/>
        <v>0.08</v>
      </c>
      <c r="R1328">
        <f t="shared" si="491"/>
        <v>0.08</v>
      </c>
      <c r="S1328">
        <f t="shared" si="492"/>
        <v>0.06</v>
      </c>
      <c r="T1328">
        <f t="shared" si="493"/>
        <v>0.1</v>
      </c>
      <c r="U1328">
        <f t="shared" si="499"/>
        <v>0.08</v>
      </c>
      <c r="V1328">
        <f t="shared" si="504"/>
        <v>0.18800000001535355</v>
      </c>
      <c r="W1328">
        <f t="shared" si="500"/>
        <v>0.16993208241982233</v>
      </c>
      <c r="X1328">
        <f t="shared" si="501"/>
        <v>0.21004503439163047</v>
      </c>
      <c r="Y1328" t="b">
        <f t="shared" si="503"/>
        <v>0</v>
      </c>
    </row>
    <row xmlns:x14ac="http://schemas.microsoft.com/office/spreadsheetml/2009/9/ac" r="1329" x14ac:dyDescent="0.45">
      <c r="A1329">
        <v>6.6099999999998902</v>
      </c>
      <c r="B1329">
        <f t="shared" si="481"/>
        <v>0.16300000000000017</v>
      </c>
      <c r="C1329" t="b">
        <f t="shared" si="494"/>
        <v>1</v>
      </c>
      <c r="D1329" t="b">
        <f t="shared" si="482"/>
        <v>1</v>
      </c>
      <c r="E1329">
        <f t="shared" si="490"/>
        <v>6.6099999999998902</v>
      </c>
      <c r="F1329">
        <f t="shared" si="495"/>
        <v>0.16300000000000017</v>
      </c>
      <c r="G1329">
        <f t="shared" si="483"/>
        <v>0.21004392248853937</v>
      </c>
      <c r="H1329">
        <f t="shared" si="484"/>
        <v>3.5000000000000073E-2</v>
      </c>
      <c r="I1329" t="b">
        <f t="shared" si="496"/>
        <v>1</v>
      </c>
      <c r="J1329">
        <f t="shared" si="485"/>
        <v>6.6099999999998902</v>
      </c>
      <c r="K1329">
        <f t="shared" si="497"/>
        <v>3.5000000000000073E-2</v>
      </c>
      <c r="L1329">
        <f t="shared" si="486"/>
        <v>0.16993375931085175</v>
      </c>
      <c r="M1329">
        <f t="shared" si="487"/>
        <v>0.19000000000000014</v>
      </c>
      <c r="N1329">
        <f t="shared" si="488"/>
        <v>0.1880000000104427</v>
      </c>
      <c r="O1329">
        <f t="shared" si="489"/>
        <v>0.15777777777777779</v>
      </c>
      <c r="P1329">
        <f t="shared" si="502"/>
        <v>0.08</v>
      </c>
      <c r="Q1329">
        <f t="shared" si="498"/>
        <v>0.08</v>
      </c>
      <c r="R1329">
        <f t="shared" si="491"/>
        <v>0.08</v>
      </c>
      <c r="S1329">
        <f t="shared" si="492"/>
        <v>0.06</v>
      </c>
      <c r="T1329">
        <f t="shared" si="493"/>
        <v>0.1</v>
      </c>
      <c r="U1329">
        <f t="shared" si="499"/>
        <v>0.08</v>
      </c>
      <c r="V1329">
        <f t="shared" si="504"/>
        <v>0.1880000000104427</v>
      </c>
      <c r="W1329">
        <f t="shared" si="500"/>
        <v>0.16993242116016666</v>
      </c>
      <c r="X1329">
        <f t="shared" si="501"/>
        <v>0.21004480978166518</v>
      </c>
      <c r="Y1329" t="b">
        <f t="shared" si="503"/>
        <v>0</v>
      </c>
    </row>
    <row xmlns:x14ac="http://schemas.microsoft.com/office/spreadsheetml/2009/9/ac" r="1330" x14ac:dyDescent="0.45">
      <c r="A1330">
        <v>6.6149999999998901</v>
      </c>
      <c r="B1330">
        <f t="shared" si="481"/>
        <v>0.16300000000000012</v>
      </c>
      <c r="C1330" t="b">
        <f t="shared" si="494"/>
        <v>1</v>
      </c>
      <c r="D1330" t="b">
        <f t="shared" si="482"/>
        <v>1</v>
      </c>
      <c r="E1330">
        <f t="shared" si="490"/>
        <v>6.6149999999998901</v>
      </c>
      <c r="F1330">
        <f t="shared" si="495"/>
        <v>0.16300000000000012</v>
      </c>
      <c r="G1330">
        <f t="shared" si="483"/>
        <v>0.21004370342421386</v>
      </c>
      <c r="H1330">
        <f t="shared" si="484"/>
        <v>3.5000000000000045E-2</v>
      </c>
      <c r="I1330" t="b">
        <f t="shared" si="496"/>
        <v>1</v>
      </c>
      <c r="J1330">
        <f t="shared" si="485"/>
        <v>6.6149999999998901</v>
      </c>
      <c r="K1330">
        <f t="shared" si="497"/>
        <v>3.5000000000000045E-2</v>
      </c>
      <c r="L1330">
        <f t="shared" si="486"/>
        <v>0.16993408968766716</v>
      </c>
      <c r="M1330">
        <f t="shared" si="487"/>
        <v>0.19000000000000011</v>
      </c>
      <c r="N1330">
        <f t="shared" si="488"/>
        <v>0.18800000000563988</v>
      </c>
      <c r="O1330">
        <f t="shared" si="489"/>
        <v>0.15777777777777779</v>
      </c>
      <c r="P1330">
        <f t="shared" si="502"/>
        <v>0.08</v>
      </c>
      <c r="Q1330">
        <f t="shared" si="498"/>
        <v>0.08</v>
      </c>
      <c r="R1330">
        <f t="shared" si="491"/>
        <v>0.08</v>
      </c>
      <c r="S1330">
        <f t="shared" si="492"/>
        <v>0.06</v>
      </c>
      <c r="T1330">
        <f t="shared" si="493"/>
        <v>0.1</v>
      </c>
      <c r="U1330">
        <f t="shared" si="499"/>
        <v>0.08</v>
      </c>
      <c r="V1330">
        <f t="shared" si="504"/>
        <v>0.18800000000563988</v>
      </c>
      <c r="W1330">
        <f t="shared" si="500"/>
        <v>0.16993275821103646</v>
      </c>
      <c r="X1330">
        <f t="shared" si="501"/>
        <v>0.21004458629194672</v>
      </c>
      <c r="Y1330" t="b">
        <f t="shared" si="503"/>
        <v>0</v>
      </c>
    </row>
    <row xmlns:x14ac="http://schemas.microsoft.com/office/spreadsheetml/2009/9/ac" r="1331" x14ac:dyDescent="0.45">
      <c r="A1331">
        <v>6.61999999999989</v>
      </c>
      <c r="B1331">
        <f t="shared" si="481"/>
        <v>0.16300000000000009</v>
      </c>
      <c r="C1331" t="b">
        <f t="shared" si="494"/>
        <v>1</v>
      </c>
      <c r="D1331" t="b">
        <f t="shared" si="482"/>
        <v>1</v>
      </c>
      <c r="E1331">
        <f t="shared" si="490"/>
        <v>6.61999999999989</v>
      </c>
      <c r="F1331">
        <f t="shared" si="495"/>
        <v>0.16300000000000009</v>
      </c>
      <c r="G1331">
        <f t="shared" si="483"/>
        <v>0.21004348545247625</v>
      </c>
      <c r="H1331">
        <f t="shared" si="484"/>
        <v>3.5000000000000031E-2</v>
      </c>
      <c r="I1331" t="b">
        <f t="shared" si="496"/>
        <v>1</v>
      </c>
      <c r="J1331">
        <f t="shared" si="485"/>
        <v>6.61999999999989</v>
      </c>
      <c r="K1331">
        <f t="shared" si="497"/>
        <v>3.5000000000000031E-2</v>
      </c>
      <c r="L1331">
        <f t="shared" si="486"/>
        <v>0.16993441841672133</v>
      </c>
      <c r="M1331">
        <f t="shared" si="487"/>
        <v>0.19000000000000006</v>
      </c>
      <c r="N1331">
        <f t="shared" si="488"/>
        <v>0.18800000000096312</v>
      </c>
      <c r="O1331">
        <f t="shared" si="489"/>
        <v>0.15777777777777779</v>
      </c>
      <c r="P1331">
        <f t="shared" si="502"/>
        <v>0.08</v>
      </c>
      <c r="Q1331">
        <f t="shared" si="498"/>
        <v>0.08</v>
      </c>
      <c r="R1331">
        <f t="shared" si="491"/>
        <v>0.08</v>
      </c>
      <c r="S1331">
        <f t="shared" si="492"/>
        <v>0.06</v>
      </c>
      <c r="T1331">
        <f t="shared" si="493"/>
        <v>0.1</v>
      </c>
      <c r="U1331">
        <f t="shared" si="499"/>
        <v>0.08</v>
      </c>
      <c r="V1331">
        <f t="shared" si="504"/>
        <v>0.18800000000096312</v>
      </c>
      <c r="W1331">
        <f t="shared" si="500"/>
        <v>0.16993309358085801</v>
      </c>
      <c r="X1331">
        <f t="shared" si="501"/>
        <v>0.21004436391688791</v>
      </c>
      <c r="Y1331" t="b">
        <f t="shared" si="503"/>
        <v>0</v>
      </c>
    </row>
    <row xmlns:x14ac="http://schemas.microsoft.com/office/spreadsheetml/2009/9/ac" r="1332" x14ac:dyDescent="0.45">
      <c r="A1332">
        <v>6.6249999999998899</v>
      </c>
      <c r="B1332">
        <f t="shared" si="481"/>
        <v>0.16300000000000003</v>
      </c>
      <c r="C1332" t="b">
        <f t="shared" si="494"/>
        <v>1</v>
      </c>
      <c r="D1332" t="b">
        <f t="shared" si="482"/>
        <v>1</v>
      </c>
      <c r="E1332">
        <f t="shared" si="490"/>
        <v>6.6249999999998899</v>
      </c>
      <c r="F1332">
        <f t="shared" si="495"/>
        <v>0.16300000000000003</v>
      </c>
      <c r="G1332">
        <f t="shared" si="483"/>
        <v>0.21004326856787719</v>
      </c>
      <c r="H1332">
        <f t="shared" si="484"/>
        <v>3.5000000000000017E-2</v>
      </c>
      <c r="I1332" t="b">
        <f t="shared" si="496"/>
        <v>1</v>
      </c>
      <c r="J1332">
        <f t="shared" si="485"/>
        <v>6.6249999999998899</v>
      </c>
      <c r="K1332">
        <f t="shared" si="497"/>
        <v>3.5000000000000017E-2</v>
      </c>
      <c r="L1332">
        <f t="shared" si="486"/>
        <v>0.1699347455062325</v>
      </c>
      <c r="M1332">
        <f t="shared" si="487"/>
        <v>0.19000000000000003</v>
      </c>
      <c r="N1332">
        <f t="shared" si="488"/>
        <v>0.18799999999642938</v>
      </c>
      <c r="O1332">
        <f t="shared" si="489"/>
        <v>0.15777777777777779</v>
      </c>
      <c r="P1332">
        <f t="shared" si="502"/>
        <v>0.08</v>
      </c>
      <c r="Q1332">
        <f t="shared" si="498"/>
        <v>0.08</v>
      </c>
      <c r="R1332">
        <f t="shared" si="491"/>
        <v>0.08</v>
      </c>
      <c r="S1332">
        <f t="shared" si="492"/>
        <v>0.06</v>
      </c>
      <c r="T1332">
        <f t="shared" si="493"/>
        <v>0.1</v>
      </c>
      <c r="U1332">
        <f t="shared" si="499"/>
        <v>0.08</v>
      </c>
      <c r="V1332">
        <f t="shared" si="504"/>
        <v>0.18799999999642938</v>
      </c>
      <c r="W1332">
        <f t="shared" si="500"/>
        <v>0.16993342727801564</v>
      </c>
      <c r="X1332">
        <f t="shared" si="501"/>
        <v>0.21004414265092936</v>
      </c>
      <c r="Y1332" t="b">
        <f t="shared" si="503"/>
        <v>0</v>
      </c>
    </row>
    <row xmlns:x14ac="http://schemas.microsoft.com/office/spreadsheetml/2009/9/ac" r="1333" x14ac:dyDescent="0.45">
      <c r="A1333">
        <v>6.6299999999998898</v>
      </c>
      <c r="B1333">
        <f t="shared" si="481"/>
        <v>0.16300000000000001</v>
      </c>
      <c r="C1333" t="b">
        <f t="shared" si="494"/>
        <v>1</v>
      </c>
      <c r="D1333" t="b">
        <f t="shared" si="482"/>
        <v>1</v>
      </c>
      <c r="E1333">
        <f t="shared" si="490"/>
        <v>6.6299999999998898</v>
      </c>
      <c r="F1333">
        <f t="shared" si="495"/>
        <v>0.16300000000000001</v>
      </c>
      <c r="G1333">
        <f t="shared" si="483"/>
        <v>0.21004305276499463</v>
      </c>
      <c r="H1333">
        <f t="shared" si="484"/>
        <v>3.5000000000000003E-2</v>
      </c>
      <c r="I1333" t="b">
        <f t="shared" si="496"/>
        <v>1</v>
      </c>
      <c r="J1333">
        <f t="shared" si="485"/>
        <v>6.6299999999998898</v>
      </c>
      <c r="K1333">
        <f t="shared" si="497"/>
        <v>3.5000000000000003E-2</v>
      </c>
      <c r="L1333">
        <f t="shared" si="486"/>
        <v>0.16993507096437793</v>
      </c>
      <c r="M1333">
        <f t="shared" si="487"/>
        <v>0.19</v>
      </c>
      <c r="N1333">
        <f t="shared" si="488"/>
        <v>0.18799999999205436</v>
      </c>
      <c r="O1333">
        <f t="shared" si="489"/>
        <v>0.15777777777777779</v>
      </c>
      <c r="P1333">
        <f t="shared" si="502"/>
        <v>0.08</v>
      </c>
      <c r="Q1333">
        <f t="shared" si="498"/>
        <v>0.08</v>
      </c>
      <c r="R1333">
        <f t="shared" si="491"/>
        <v>0.08</v>
      </c>
      <c r="S1333">
        <f t="shared" si="492"/>
        <v>0.06</v>
      </c>
      <c r="T1333">
        <f t="shared" si="493"/>
        <v>0.1</v>
      </c>
      <c r="U1333">
        <f t="shared" si="499"/>
        <v>0.08</v>
      </c>
      <c r="V1333">
        <f t="shared" si="504"/>
        <v>0.18799999999205436</v>
      </c>
      <c r="W1333">
        <f t="shared" si="500"/>
        <v>0.16993375931085175</v>
      </c>
      <c r="X1333">
        <f t="shared" si="501"/>
        <v>0.21004392248853937</v>
      </c>
      <c r="Y1333" t="b">
        <f t="shared" si="503"/>
        <v>0</v>
      </c>
    </row>
    <row xmlns:x14ac="http://schemas.microsoft.com/office/spreadsheetml/2009/9/ac" r="1334" x14ac:dyDescent="0.45">
      <c r="A1334">
        <v>6.6349999999998897</v>
      </c>
      <c r="B1334">
        <f t="shared" si="481"/>
        <v>0.16299999999999995</v>
      </c>
      <c r="C1334" t="b">
        <f t="shared" si="494"/>
        <v>1</v>
      </c>
      <c r="D1334" t="b">
        <f t="shared" si="482"/>
        <v>1</v>
      </c>
      <c r="E1334">
        <f t="shared" si="490"/>
        <v>6.6349999999998897</v>
      </c>
      <c r="F1334">
        <f t="shared" si="495"/>
        <v>0.16299999999999995</v>
      </c>
      <c r="G1334">
        <f t="shared" si="483"/>
        <v>0.21004283803843338</v>
      </c>
      <c r="H1334">
        <f t="shared" si="484"/>
        <v>3.4999999999999989E-2</v>
      </c>
      <c r="I1334" t="b">
        <f t="shared" si="496"/>
        <v>1</v>
      </c>
      <c r="J1334">
        <f t="shared" si="485"/>
        <v>6.6349999999998897</v>
      </c>
      <c r="K1334">
        <f t="shared" si="497"/>
        <v>3.4999999999999989E-2</v>
      </c>
      <c r="L1334">
        <f t="shared" si="486"/>
        <v>0.16993539479929409</v>
      </c>
      <c r="M1334">
        <f t="shared" si="487"/>
        <v>0.18999999999999997</v>
      </c>
      <c r="N1334">
        <f t="shared" si="488"/>
        <v>0.18799999998785258</v>
      </c>
      <c r="O1334">
        <f t="shared" si="489"/>
        <v>0.15777777777777779</v>
      </c>
      <c r="P1334">
        <f t="shared" si="502"/>
        <v>0.08</v>
      </c>
      <c r="Q1334">
        <f t="shared" si="498"/>
        <v>0.08</v>
      </c>
      <c r="R1334">
        <f t="shared" si="491"/>
        <v>0.08</v>
      </c>
      <c r="S1334">
        <f t="shared" si="492"/>
        <v>0.06</v>
      </c>
      <c r="T1334">
        <f t="shared" si="493"/>
        <v>0.1</v>
      </c>
      <c r="U1334">
        <f t="shared" si="499"/>
        <v>0.08</v>
      </c>
      <c r="V1334">
        <f t="shared" si="504"/>
        <v>0.18799999998785258</v>
      </c>
      <c r="W1334">
        <f t="shared" si="500"/>
        <v>0.16993408968766716</v>
      </c>
      <c r="X1334">
        <f t="shared" si="501"/>
        <v>0.21004370342421386</v>
      </c>
      <c r="Y1334" t="b">
        <f t="shared" si="503"/>
        <v>0</v>
      </c>
    </row>
    <row xmlns:x14ac="http://schemas.microsoft.com/office/spreadsheetml/2009/9/ac" r="1335" x14ac:dyDescent="0.45">
      <c r="A1335">
        <v>6.6399999999998904</v>
      </c>
      <c r="B1335">
        <f t="shared" si="481"/>
        <v>0.16299999999999995</v>
      </c>
      <c r="C1335" t="b">
        <f t="shared" si="494"/>
        <v>1</v>
      </c>
      <c r="D1335" t="b">
        <f t="shared" si="482"/>
        <v>1</v>
      </c>
      <c r="E1335">
        <f t="shared" si="490"/>
        <v>6.6399999999998904</v>
      </c>
      <c r="F1335">
        <f t="shared" si="495"/>
        <v>0.16299999999999995</v>
      </c>
      <c r="G1335">
        <f t="shared" si="483"/>
        <v>0.21004262438282534</v>
      </c>
      <c r="H1335">
        <f t="shared" si="484"/>
        <v>3.4999999999999976E-2</v>
      </c>
      <c r="I1335" t="b">
        <f t="shared" si="496"/>
        <v>1</v>
      </c>
      <c r="J1335">
        <f t="shared" si="485"/>
        <v>6.6399999999998904</v>
      </c>
      <c r="K1335">
        <f t="shared" si="497"/>
        <v>3.4999999999999976E-2</v>
      </c>
      <c r="L1335">
        <f t="shared" si="486"/>
        <v>0.16993571701907689</v>
      </c>
      <c r="M1335">
        <f t="shared" si="487"/>
        <v>0.18999999999999995</v>
      </c>
      <c r="N1335">
        <f t="shared" si="488"/>
        <v>0.18799999998383737</v>
      </c>
      <c r="O1335">
        <f t="shared" si="489"/>
        <v>0.15777777777777779</v>
      </c>
      <c r="P1335">
        <f t="shared" si="502"/>
        <v>0.08</v>
      </c>
      <c r="Q1335">
        <f t="shared" si="498"/>
        <v>0.08</v>
      </c>
      <c r="R1335">
        <f t="shared" si="491"/>
        <v>0.08</v>
      </c>
      <c r="S1335">
        <f t="shared" si="492"/>
        <v>0.06</v>
      </c>
      <c r="T1335">
        <f t="shared" si="493"/>
        <v>0.1</v>
      </c>
      <c r="U1335">
        <f t="shared" si="499"/>
        <v>0.08</v>
      </c>
      <c r="V1335">
        <f t="shared" si="504"/>
        <v>0.18799999998383737</v>
      </c>
      <c r="W1335">
        <f t="shared" si="500"/>
        <v>0.16993441841672133</v>
      </c>
      <c r="X1335">
        <f t="shared" si="501"/>
        <v>0.21004348545247625</v>
      </c>
      <c r="Y1335" t="b">
        <f t="shared" si="503"/>
        <v>0</v>
      </c>
    </row>
    <row xmlns:x14ac="http://schemas.microsoft.com/office/spreadsheetml/2009/9/ac" r="1336" x14ac:dyDescent="0.45">
      <c r="A1336">
        <v>6.6449999999998903</v>
      </c>
      <c r="B1336">
        <f t="shared" si="481"/>
        <v>0.16299999999999989</v>
      </c>
      <c r="C1336" t="b">
        <f t="shared" si="494"/>
        <v>1</v>
      </c>
      <c r="D1336" t="b">
        <f t="shared" si="482"/>
        <v>1</v>
      </c>
      <c r="E1336">
        <f t="shared" si="490"/>
        <v>6.6449999999998903</v>
      </c>
      <c r="F1336">
        <f t="shared" si="495"/>
        <v>0.16299999999999989</v>
      </c>
      <c r="G1336">
        <f t="shared" si="483"/>
        <v>0.21004241179282912</v>
      </c>
      <c r="H1336">
        <f t="shared" si="484"/>
        <v>3.4999999999999962E-2</v>
      </c>
      <c r="I1336" t="b">
        <f t="shared" si="496"/>
        <v>1</v>
      </c>
      <c r="J1336">
        <f t="shared" si="485"/>
        <v>6.6449999999998903</v>
      </c>
      <c r="K1336">
        <f t="shared" si="497"/>
        <v>3.4999999999999962E-2</v>
      </c>
      <c r="L1336">
        <f t="shared" si="486"/>
        <v>0.16993603763178181</v>
      </c>
      <c r="M1336">
        <f t="shared" si="487"/>
        <v>0.18999999999999992</v>
      </c>
      <c r="N1336">
        <f t="shared" si="488"/>
        <v>0.1879999999800207</v>
      </c>
      <c r="O1336">
        <f t="shared" si="489"/>
        <v>0.15777777777777779</v>
      </c>
      <c r="P1336">
        <f t="shared" si="502"/>
        <v>0.08</v>
      </c>
      <c r="Q1336">
        <f t="shared" si="498"/>
        <v>0.08</v>
      </c>
      <c r="R1336">
        <f t="shared" si="491"/>
        <v>0.08</v>
      </c>
      <c r="S1336">
        <f t="shared" si="492"/>
        <v>0.06</v>
      </c>
      <c r="T1336">
        <f t="shared" si="493"/>
        <v>0.1</v>
      </c>
      <c r="U1336">
        <f t="shared" si="499"/>
        <v>0.08</v>
      </c>
      <c r="V1336">
        <f t="shared" si="504"/>
        <v>0.1879999999800207</v>
      </c>
      <c r="W1336">
        <f t="shared" si="500"/>
        <v>0.1699347455062325</v>
      </c>
      <c r="X1336">
        <f t="shared" si="501"/>
        <v>0.21004326856787719</v>
      </c>
      <c r="Y1336" t="b">
        <f t="shared" si="503"/>
        <v>0</v>
      </c>
    </row>
    <row xmlns:x14ac="http://schemas.microsoft.com/office/spreadsheetml/2009/9/ac" r="1337" x14ac:dyDescent="0.45">
      <c r="A1337">
        <v>6.6499999999998902</v>
      </c>
      <c r="B1337">
        <f t="shared" si="481"/>
        <v>0.16299999999999984</v>
      </c>
      <c r="C1337" t="b">
        <f t="shared" si="494"/>
        <v>1</v>
      </c>
      <c r="D1337" t="b">
        <f t="shared" si="482"/>
        <v>1</v>
      </c>
      <c r="E1337">
        <f t="shared" si="490"/>
        <v>6.6499999999998902</v>
      </c>
      <c r="F1337">
        <f t="shared" si="495"/>
        <v>0.16299999999999984</v>
      </c>
      <c r="G1337">
        <f t="shared" si="483"/>
        <v>0.21004220026312992</v>
      </c>
      <c r="H1337">
        <f t="shared" si="484"/>
        <v>3.4999999999999948E-2</v>
      </c>
      <c r="I1337" t="b">
        <f t="shared" si="496"/>
        <v>1</v>
      </c>
      <c r="J1337">
        <f t="shared" si="485"/>
        <v>6.6499999999998902</v>
      </c>
      <c r="K1337">
        <f t="shared" si="497"/>
        <v>3.4999999999999948E-2</v>
      </c>
      <c r="L1337">
        <f t="shared" si="486"/>
        <v>0.16993635664542417</v>
      </c>
      <c r="M1337">
        <f t="shared" si="487"/>
        <v>0.18999999999999989</v>
      </c>
      <c r="N1337">
        <f t="shared" si="488"/>
        <v>0.18799999997641348</v>
      </c>
      <c r="O1337">
        <f t="shared" si="489"/>
        <v>0.15777777777777779</v>
      </c>
      <c r="P1337">
        <f t="shared" si="502"/>
        <v>0.08</v>
      </c>
      <c r="Q1337">
        <f t="shared" si="498"/>
        <v>0.08</v>
      </c>
      <c r="R1337">
        <f t="shared" si="491"/>
        <v>0.08</v>
      </c>
      <c r="S1337">
        <f t="shared" si="492"/>
        <v>0.06</v>
      </c>
      <c r="T1337">
        <f t="shared" si="493"/>
        <v>0.1</v>
      </c>
      <c r="U1337">
        <f t="shared" si="499"/>
        <v>0.08</v>
      </c>
      <c r="V1337">
        <f t="shared" si="504"/>
        <v>0.18799999997641348</v>
      </c>
      <c r="W1337">
        <f t="shared" si="500"/>
        <v>0.16993507096437793</v>
      </c>
      <c r="X1337">
        <f t="shared" si="501"/>
        <v>0.21004305276499463</v>
      </c>
      <c r="Y1337" t="b">
        <f t="shared" si="503"/>
        <v>0</v>
      </c>
    </row>
    <row xmlns:x14ac="http://schemas.microsoft.com/office/spreadsheetml/2009/9/ac" r="1338" x14ac:dyDescent="0.45">
      <c r="A1338">
        <v>6.6549999999998901</v>
      </c>
      <c r="B1338">
        <f t="shared" si="481"/>
        <v>0.16299999999999984</v>
      </c>
      <c r="C1338" t="b">
        <f t="shared" si="494"/>
        <v>1</v>
      </c>
      <c r="D1338" t="b">
        <f t="shared" si="482"/>
        <v>1</v>
      </c>
      <c r="E1338">
        <f t="shared" si="490"/>
        <v>6.6549999999998901</v>
      </c>
      <c r="F1338">
        <f t="shared" si="495"/>
        <v>0.16299999999999984</v>
      </c>
      <c r="G1338">
        <f t="shared" si="483"/>
        <v>0.21004198978843946</v>
      </c>
      <c r="H1338">
        <f t="shared" si="484"/>
        <v>3.4999999999999934E-2</v>
      </c>
      <c r="I1338" t="b">
        <f t="shared" si="496"/>
        <v>1</v>
      </c>
      <c r="J1338">
        <f t="shared" si="485"/>
        <v>6.6549999999998901</v>
      </c>
      <c r="K1338">
        <f t="shared" si="497"/>
        <v>3.4999999999999934E-2</v>
      </c>
      <c r="L1338">
        <f t="shared" si="486"/>
        <v>0.16993667406797935</v>
      </c>
      <c r="M1338">
        <f t="shared" si="487"/>
        <v>0.18999999999999989</v>
      </c>
      <c r="N1338">
        <f t="shared" si="488"/>
        <v>0.18799999997302513</v>
      </c>
      <c r="O1338">
        <f t="shared" si="489"/>
        <v>0.15777777777777779</v>
      </c>
      <c r="P1338">
        <f t="shared" si="502"/>
        <v>0.08</v>
      </c>
      <c r="Q1338">
        <f t="shared" si="498"/>
        <v>0.08</v>
      </c>
      <c r="R1338">
        <f t="shared" si="491"/>
        <v>0.08</v>
      </c>
      <c r="S1338">
        <f t="shared" si="492"/>
        <v>0.06</v>
      </c>
      <c r="T1338">
        <f t="shared" si="493"/>
        <v>0.1</v>
      </c>
      <c r="U1338">
        <f t="shared" si="499"/>
        <v>0.08</v>
      </c>
      <c r="V1338">
        <f t="shared" si="504"/>
        <v>0.18799999997302513</v>
      </c>
      <c r="W1338">
        <f t="shared" si="500"/>
        <v>0.16993539479929409</v>
      </c>
      <c r="X1338">
        <f t="shared" si="501"/>
        <v>0.21004283803843338</v>
      </c>
      <c r="Y1338" t="b">
        <f t="shared" si="503"/>
        <v>0</v>
      </c>
    </row>
    <row xmlns:x14ac="http://schemas.microsoft.com/office/spreadsheetml/2009/9/ac" r="1339" x14ac:dyDescent="0.45">
      <c r="A1339">
        <v>6.65999999999989</v>
      </c>
      <c r="B1339">
        <f t="shared" si="481"/>
        <v>0.16299999999999978</v>
      </c>
      <c r="C1339" t="b">
        <f t="shared" si="494"/>
        <v>1</v>
      </c>
      <c r="D1339" t="b">
        <f t="shared" si="482"/>
        <v>1</v>
      </c>
      <c r="E1339">
        <f t="shared" si="490"/>
        <v>6.65999999999989</v>
      </c>
      <c r="F1339">
        <f t="shared" si="495"/>
        <v>0.16299999999999978</v>
      </c>
      <c r="G1339">
        <f t="shared" si="483"/>
        <v>0.21004178036349591</v>
      </c>
      <c r="H1339">
        <f t="shared" si="484"/>
        <v>3.499999999999992E-2</v>
      </c>
      <c r="I1339" t="b">
        <f t="shared" si="496"/>
        <v>1</v>
      </c>
      <c r="J1339">
        <f t="shared" si="485"/>
        <v>6.65999999999989</v>
      </c>
      <c r="K1339">
        <f t="shared" si="497"/>
        <v>3.499999999999992E-2</v>
      </c>
      <c r="L1339">
        <f t="shared" si="486"/>
        <v>0.16993698990738298</v>
      </c>
      <c r="M1339">
        <f t="shared" si="487"/>
        <v>0.18999999999999984</v>
      </c>
      <c r="N1339">
        <f t="shared" si="488"/>
        <v>0.18799999996986388</v>
      </c>
      <c r="O1339">
        <f t="shared" si="489"/>
        <v>0.15777777777777779</v>
      </c>
      <c r="P1339">
        <f t="shared" si="502"/>
        <v>0.08</v>
      </c>
      <c r="Q1339">
        <f t="shared" si="498"/>
        <v>0.08</v>
      </c>
      <c r="R1339">
        <f t="shared" si="491"/>
        <v>0.08</v>
      </c>
      <c r="S1339">
        <f t="shared" si="492"/>
        <v>0.06</v>
      </c>
      <c r="T1339">
        <f t="shared" si="493"/>
        <v>0.1</v>
      </c>
      <c r="U1339">
        <f t="shared" si="499"/>
        <v>0.08</v>
      </c>
      <c r="V1339">
        <f t="shared" si="504"/>
        <v>0.18799999996986388</v>
      </c>
      <c r="W1339">
        <f t="shared" si="500"/>
        <v>0.16993571701907689</v>
      </c>
      <c r="X1339">
        <f t="shared" si="501"/>
        <v>0.21004262438282534</v>
      </c>
      <c r="Y1339" t="b">
        <f t="shared" si="503"/>
        <v>0</v>
      </c>
    </row>
    <row xmlns:x14ac="http://schemas.microsoft.com/office/spreadsheetml/2009/9/ac" r="1340" x14ac:dyDescent="0.45">
      <c r="A1340">
        <v>6.6649999999998899</v>
      </c>
      <c r="B1340">
        <f t="shared" si="481"/>
        <v>0.16299999999999976</v>
      </c>
      <c r="C1340" t="b">
        <f t="shared" si="494"/>
        <v>1</v>
      </c>
      <c r="D1340" t="b">
        <f t="shared" si="482"/>
        <v>1</v>
      </c>
      <c r="E1340">
        <f t="shared" si="490"/>
        <v>6.6649999999998899</v>
      </c>
      <c r="F1340">
        <f t="shared" si="495"/>
        <v>0.16299999999999976</v>
      </c>
      <c r="G1340">
        <f t="shared" si="483"/>
        <v>0.21004157198306367</v>
      </c>
      <c r="H1340">
        <f t="shared" si="484"/>
        <v>3.4999999999999906E-2</v>
      </c>
      <c r="I1340" t="b">
        <f t="shared" si="496"/>
        <v>1</v>
      </c>
      <c r="J1340">
        <f t="shared" si="485"/>
        <v>6.6649999999998899</v>
      </c>
      <c r="K1340">
        <f t="shared" si="497"/>
        <v>3.4999999999999906E-2</v>
      </c>
      <c r="L1340">
        <f t="shared" si="486"/>
        <v>0.16993730417153097</v>
      </c>
      <c r="M1340">
        <f t="shared" si="487"/>
        <v>0.18999999999999984</v>
      </c>
      <c r="N1340">
        <f t="shared" si="488"/>
        <v>0.18799999996693673</v>
      </c>
      <c r="O1340">
        <f t="shared" si="489"/>
        <v>0.15777777777777779</v>
      </c>
      <c r="P1340">
        <f t="shared" si="502"/>
        <v>0.08</v>
      </c>
      <c r="Q1340">
        <f t="shared" si="498"/>
        <v>0.08</v>
      </c>
      <c r="R1340">
        <f t="shared" si="491"/>
        <v>0.08</v>
      </c>
      <c r="S1340">
        <f t="shared" si="492"/>
        <v>0.06</v>
      </c>
      <c r="T1340">
        <f t="shared" si="493"/>
        <v>0.1</v>
      </c>
      <c r="U1340">
        <f t="shared" si="499"/>
        <v>0.08</v>
      </c>
      <c r="V1340">
        <f t="shared" si="504"/>
        <v>0.18799999996693673</v>
      </c>
      <c r="W1340">
        <f t="shared" si="500"/>
        <v>0.16993603763178181</v>
      </c>
      <c r="X1340">
        <f t="shared" si="501"/>
        <v>0.21004241179282912</v>
      </c>
      <c r="Y1340" t="b">
        <f t="shared" si="503"/>
        <v>0</v>
      </c>
    </row>
    <row xmlns:x14ac="http://schemas.microsoft.com/office/spreadsheetml/2009/9/ac" r="1341" x14ac:dyDescent="0.45">
      <c r="A1341">
        <v>6.6699999999998898</v>
      </c>
      <c r="B1341">
        <f t="shared" si="481"/>
        <v>0.16299999999999976</v>
      </c>
      <c r="C1341" t="b">
        <f t="shared" si="494"/>
        <v>1</v>
      </c>
      <c r="D1341" t="b">
        <f t="shared" si="482"/>
        <v>1</v>
      </c>
      <c r="E1341">
        <f t="shared" si="490"/>
        <v>6.6699999999998898</v>
      </c>
      <c r="F1341">
        <f t="shared" si="495"/>
        <v>0.16299999999999976</v>
      </c>
      <c r="G1341">
        <f t="shared" si="483"/>
        <v>0.21004136464193313</v>
      </c>
      <c r="H1341">
        <f t="shared" si="484"/>
        <v>3.4999999999999906E-2</v>
      </c>
      <c r="I1341" t="b">
        <f t="shared" si="496"/>
        <v>1</v>
      </c>
      <c r="J1341">
        <f t="shared" si="485"/>
        <v>6.6699999999998898</v>
      </c>
      <c r="K1341">
        <f t="shared" si="497"/>
        <v>3.4999999999999906E-2</v>
      </c>
      <c r="L1341">
        <f t="shared" si="486"/>
        <v>0.16993761686827999</v>
      </c>
      <c r="M1341">
        <f t="shared" si="487"/>
        <v>0.18999999999999981</v>
      </c>
      <c r="N1341">
        <f t="shared" si="488"/>
        <v>0.18799999996424932</v>
      </c>
      <c r="O1341">
        <f t="shared" si="489"/>
        <v>0.15777777777777779</v>
      </c>
      <c r="P1341">
        <f t="shared" si="502"/>
        <v>0.08</v>
      </c>
      <c r="Q1341">
        <f t="shared" si="498"/>
        <v>0.08</v>
      </c>
      <c r="R1341">
        <f t="shared" si="491"/>
        <v>0.08</v>
      </c>
      <c r="S1341">
        <f t="shared" si="492"/>
        <v>0.06</v>
      </c>
      <c r="T1341">
        <f t="shared" si="493"/>
        <v>0.1</v>
      </c>
      <c r="U1341">
        <f t="shared" si="499"/>
        <v>0.08</v>
      </c>
      <c r="V1341">
        <f t="shared" si="504"/>
        <v>0.18799999996424932</v>
      </c>
      <c r="W1341">
        <f t="shared" si="500"/>
        <v>0.16993635664542417</v>
      </c>
      <c r="X1341">
        <f t="shared" si="501"/>
        <v>0.21004220026312992</v>
      </c>
      <c r="Y1341" t="b">
        <f t="shared" si="503"/>
        <v>0</v>
      </c>
    </row>
    <row xmlns:x14ac="http://schemas.microsoft.com/office/spreadsheetml/2009/9/ac" r="1342" x14ac:dyDescent="0.45">
      <c r="A1342">
        <v>6.6749999999998897</v>
      </c>
      <c r="B1342">
        <f t="shared" si="481"/>
        <v>0.16299999999999973</v>
      </c>
      <c r="C1342" t="b">
        <f t="shared" si="494"/>
        <v>1</v>
      </c>
      <c r="D1342" t="b">
        <f t="shared" si="482"/>
        <v>1</v>
      </c>
      <c r="E1342">
        <f t="shared" si="490"/>
        <v>6.6749999999998897</v>
      </c>
      <c r="F1342">
        <f t="shared" si="495"/>
        <v>0.16299999999999973</v>
      </c>
      <c r="G1342">
        <f t="shared" si="483"/>
        <v>0.21004115833492082</v>
      </c>
      <c r="H1342">
        <f t="shared" si="484"/>
        <v>3.4999999999999892E-2</v>
      </c>
      <c r="I1342" t="b">
        <f t="shared" si="496"/>
        <v>1</v>
      </c>
      <c r="J1342">
        <f t="shared" si="485"/>
        <v>6.6749999999998897</v>
      </c>
      <c r="K1342">
        <f t="shared" si="497"/>
        <v>3.4999999999999892E-2</v>
      </c>
      <c r="L1342">
        <f t="shared" si="486"/>
        <v>0.16993792800544746</v>
      </c>
      <c r="M1342">
        <f t="shared" si="487"/>
        <v>0.18999999999999978</v>
      </c>
      <c r="N1342">
        <f t="shared" si="488"/>
        <v>0.18799999996180616</v>
      </c>
      <c r="O1342">
        <f t="shared" si="489"/>
        <v>0.15777777777777779</v>
      </c>
      <c r="P1342">
        <f t="shared" si="502"/>
        <v>0.08</v>
      </c>
      <c r="Q1342">
        <f t="shared" si="498"/>
        <v>0.08</v>
      </c>
      <c r="R1342">
        <f t="shared" si="491"/>
        <v>0.08</v>
      </c>
      <c r="S1342">
        <f t="shared" si="492"/>
        <v>0.06</v>
      </c>
      <c r="T1342">
        <f t="shared" si="493"/>
        <v>0.1</v>
      </c>
      <c r="U1342">
        <f t="shared" si="499"/>
        <v>0.08</v>
      </c>
      <c r="V1342">
        <f t="shared" si="504"/>
        <v>0.18799999996180616</v>
      </c>
      <c r="W1342">
        <f t="shared" si="500"/>
        <v>0.16993667406797935</v>
      </c>
      <c r="X1342">
        <f t="shared" si="501"/>
        <v>0.21004198978843946</v>
      </c>
      <c r="Y1342" t="b">
        <f t="shared" si="503"/>
        <v>0</v>
      </c>
    </row>
    <row xmlns:x14ac="http://schemas.microsoft.com/office/spreadsheetml/2009/9/ac" r="1343" x14ac:dyDescent="0.45">
      <c r="A1343">
        <v>6.6799999999998896</v>
      </c>
      <c r="B1343">
        <f t="shared" si="481"/>
        <v>0.1629999999999997</v>
      </c>
      <c r="C1343" t="b">
        <f t="shared" si="494"/>
        <v>1</v>
      </c>
      <c r="D1343" t="b">
        <f t="shared" si="482"/>
        <v>1</v>
      </c>
      <c r="E1343">
        <f t="shared" si="490"/>
        <v>6.6799999999998896</v>
      </c>
      <c r="F1343">
        <f t="shared" si="495"/>
        <v>0.1629999999999997</v>
      </c>
      <c r="G1343">
        <f t="shared" si="483"/>
        <v>0.21004095305686898</v>
      </c>
      <c r="H1343">
        <f t="shared" si="484"/>
        <v>3.4999999999999892E-2</v>
      </c>
      <c r="I1343" t="b">
        <f t="shared" si="496"/>
        <v>1</v>
      </c>
      <c r="J1343">
        <f t="shared" si="485"/>
        <v>6.6799999999998896</v>
      </c>
      <c r="K1343">
        <f t="shared" si="497"/>
        <v>3.4999999999999892E-2</v>
      </c>
      <c r="L1343">
        <f t="shared" si="486"/>
        <v>0.16993823759081184</v>
      </c>
      <c r="M1343">
        <f t="shared" si="487"/>
        <v>0.18999999999999978</v>
      </c>
      <c r="N1343">
        <f t="shared" si="488"/>
        <v>0.18799999995961042</v>
      </c>
      <c r="O1343">
        <f t="shared" si="489"/>
        <v>0.15777777777777779</v>
      </c>
      <c r="P1343">
        <f t="shared" si="502"/>
        <v>0.08</v>
      </c>
      <c r="Q1343">
        <f t="shared" si="498"/>
        <v>0.08</v>
      </c>
      <c r="R1343">
        <f t="shared" si="491"/>
        <v>0.08</v>
      </c>
      <c r="S1343">
        <f t="shared" si="492"/>
        <v>0.06</v>
      </c>
      <c r="T1343">
        <f t="shared" si="493"/>
        <v>0.1</v>
      </c>
      <c r="U1343">
        <f t="shared" si="499"/>
        <v>0.08</v>
      </c>
      <c r="V1343">
        <f t="shared" si="504"/>
        <v>0.18799999995961042</v>
      </c>
      <c r="W1343">
        <f t="shared" si="500"/>
        <v>0.16993698990738298</v>
      </c>
      <c r="X1343">
        <f t="shared" si="501"/>
        <v>0.21004178036349591</v>
      </c>
      <c r="Y1343" t="b">
        <f t="shared" si="503"/>
        <v>0</v>
      </c>
    </row>
    <row xmlns:x14ac="http://schemas.microsoft.com/office/spreadsheetml/2009/9/ac" r="1344" x14ac:dyDescent="0.45">
      <c r="A1344">
        <v>6.6849999999998904</v>
      </c>
      <c r="B1344">
        <f t="shared" si="481"/>
        <v>0.1629999999999997</v>
      </c>
      <c r="C1344" t="b">
        <f t="shared" si="494"/>
        <v>1</v>
      </c>
      <c r="D1344" t="b">
        <f t="shared" si="482"/>
        <v>1</v>
      </c>
      <c r="E1344">
        <f t="shared" si="490"/>
        <v>6.6849999999998904</v>
      </c>
      <c r="F1344">
        <f t="shared" si="495"/>
        <v>0.1629999999999997</v>
      </c>
      <c r="G1344">
        <f t="shared" si="483"/>
        <v>0.21004074880264573</v>
      </c>
      <c r="H1344">
        <f t="shared" si="484"/>
        <v>3.4999999999999878E-2</v>
      </c>
      <c r="I1344" t="b">
        <f t="shared" si="496"/>
        <v>1</v>
      </c>
      <c r="J1344">
        <f t="shared" si="485"/>
        <v>6.6849999999998904</v>
      </c>
      <c r="K1344">
        <f t="shared" si="497"/>
        <v>3.4999999999999878E-2</v>
      </c>
      <c r="L1344">
        <f t="shared" si="486"/>
        <v>0.1699385456321128</v>
      </c>
      <c r="M1344">
        <f t="shared" si="487"/>
        <v>0.18999999999999978</v>
      </c>
      <c r="N1344">
        <f t="shared" si="488"/>
        <v>0.18799999995766412</v>
      </c>
      <c r="O1344">
        <f t="shared" si="489"/>
        <v>0.15777777777777779</v>
      </c>
      <c r="P1344">
        <f t="shared" si="502"/>
        <v>0.08</v>
      </c>
      <c r="Q1344">
        <f t="shared" si="498"/>
        <v>0.08</v>
      </c>
      <c r="R1344">
        <f t="shared" si="491"/>
        <v>0.08</v>
      </c>
      <c r="S1344">
        <f t="shared" si="492"/>
        <v>0.06</v>
      </c>
      <c r="T1344">
        <f t="shared" si="493"/>
        <v>0.1</v>
      </c>
      <c r="U1344">
        <f t="shared" si="499"/>
        <v>0.08</v>
      </c>
      <c r="V1344">
        <f t="shared" si="504"/>
        <v>0.18799999995766412</v>
      </c>
      <c r="W1344">
        <f t="shared" si="500"/>
        <v>0.16993730417153097</v>
      </c>
      <c r="X1344">
        <f t="shared" si="501"/>
        <v>0.21004157198306367</v>
      </c>
      <c r="Y1344" t="b">
        <f t="shared" si="503"/>
        <v>0</v>
      </c>
    </row>
    <row xmlns:x14ac="http://schemas.microsoft.com/office/spreadsheetml/2009/9/ac" r="1345" x14ac:dyDescent="0.45">
      <c r="A1345">
        <v>6.6899999999998903</v>
      </c>
      <c r="B1345">
        <f t="shared" si="481"/>
        <v>0.1629999999999997</v>
      </c>
      <c r="C1345" t="b">
        <f t="shared" si="494"/>
        <v>1</v>
      </c>
      <c r="D1345" t="b">
        <f t="shared" si="482"/>
        <v>1</v>
      </c>
      <c r="E1345">
        <f t="shared" si="490"/>
        <v>6.6899999999998903</v>
      </c>
      <c r="F1345">
        <f t="shared" si="495"/>
        <v>0.1629999999999997</v>
      </c>
      <c r="G1345">
        <f t="shared" si="483"/>
        <v>0.21004054556714463</v>
      </c>
      <c r="H1345">
        <f t="shared" si="484"/>
        <v>3.4999999999999878E-2</v>
      </c>
      <c r="I1345" t="b">
        <f t="shared" si="496"/>
        <v>1</v>
      </c>
      <c r="J1345">
        <f t="shared" si="485"/>
        <v>6.6899999999998903</v>
      </c>
      <c r="K1345">
        <f t="shared" si="497"/>
        <v>3.4999999999999878E-2</v>
      </c>
      <c r="L1345">
        <f t="shared" si="486"/>
        <v>0.16993885213705134</v>
      </c>
      <c r="M1345">
        <f t="shared" si="487"/>
        <v>0.18999999999999978</v>
      </c>
      <c r="N1345">
        <f t="shared" si="488"/>
        <v>0.18799999995596808</v>
      </c>
      <c r="O1345">
        <f t="shared" si="489"/>
        <v>0.15777777777777779</v>
      </c>
      <c r="P1345">
        <f t="shared" si="502"/>
        <v>0.08</v>
      </c>
      <c r="Q1345">
        <f t="shared" si="498"/>
        <v>0.08</v>
      </c>
      <c r="R1345">
        <f t="shared" si="491"/>
        <v>0.08</v>
      </c>
      <c r="S1345">
        <f t="shared" si="492"/>
        <v>0.06</v>
      </c>
      <c r="T1345">
        <f t="shared" si="493"/>
        <v>0.1</v>
      </c>
      <c r="U1345">
        <f t="shared" si="499"/>
        <v>0.08</v>
      </c>
      <c r="V1345">
        <f t="shared" si="504"/>
        <v>0.18799999995596808</v>
      </c>
      <c r="W1345">
        <f t="shared" si="500"/>
        <v>0.16993761686827999</v>
      </c>
      <c r="X1345">
        <f t="shared" si="501"/>
        <v>0.21004136464193313</v>
      </c>
      <c r="Y1345" t="b">
        <f t="shared" si="503"/>
        <v>0</v>
      </c>
    </row>
    <row xmlns:x14ac="http://schemas.microsoft.com/office/spreadsheetml/2009/9/ac" r="1346" x14ac:dyDescent="0.45">
      <c r="A1346">
        <v>6.6949999999998902</v>
      </c>
      <c r="B1346">
        <f t="shared" si="481"/>
        <v>0.16299999999999965</v>
      </c>
      <c r="C1346" t="b">
        <f t="shared" si="494"/>
        <v>1</v>
      </c>
      <c r="D1346" t="b">
        <f t="shared" si="482"/>
        <v>1</v>
      </c>
      <c r="E1346">
        <f t="shared" si="490"/>
        <v>6.6949999999998902</v>
      </c>
      <c r="F1346">
        <f t="shared" si="495"/>
        <v>0.16299999999999965</v>
      </c>
      <c r="G1346">
        <f t="shared" si="483"/>
        <v>0.21004034334528487</v>
      </c>
      <c r="H1346">
        <f t="shared" si="484"/>
        <v>3.4999999999999865E-2</v>
      </c>
      <c r="I1346" t="b">
        <f t="shared" si="496"/>
        <v>1</v>
      </c>
      <c r="J1346">
        <f t="shared" si="485"/>
        <v>6.6949999999998902</v>
      </c>
      <c r="K1346">
        <f t="shared" si="497"/>
        <v>3.4999999999999865E-2</v>
      </c>
      <c r="L1346">
        <f t="shared" si="486"/>
        <v>0.16993915711329011</v>
      </c>
      <c r="M1346">
        <f t="shared" si="487"/>
        <v>0.18999999999999972</v>
      </c>
      <c r="N1346">
        <f t="shared" si="488"/>
        <v>0.18799999995452202</v>
      </c>
      <c r="O1346">
        <f t="shared" si="489"/>
        <v>0.15777777777777779</v>
      </c>
      <c r="P1346">
        <f t="shared" si="502"/>
        <v>0.08</v>
      </c>
      <c r="Q1346">
        <f t="shared" si="498"/>
        <v>0.08</v>
      </c>
      <c r="R1346">
        <f t="shared" si="491"/>
        <v>0.08</v>
      </c>
      <c r="S1346">
        <f t="shared" si="492"/>
        <v>0.06</v>
      </c>
      <c r="T1346">
        <f t="shared" si="493"/>
        <v>0.1</v>
      </c>
      <c r="U1346">
        <f t="shared" si="499"/>
        <v>0.08</v>
      </c>
      <c r="V1346">
        <f t="shared" si="504"/>
        <v>0.18799999995452202</v>
      </c>
      <c r="W1346">
        <f t="shared" si="500"/>
        <v>0.16993792800544746</v>
      </c>
      <c r="X1346">
        <f t="shared" si="501"/>
        <v>0.21004115833492082</v>
      </c>
      <c r="Y1346" t="b">
        <f t="shared" si="503"/>
        <v>0</v>
      </c>
    </row>
    <row xmlns:x14ac="http://schemas.microsoft.com/office/spreadsheetml/2009/9/ac" r="1347" x14ac:dyDescent="0.45">
      <c r="A1347">
        <v>6.69999999999989</v>
      </c>
      <c r="B1347">
        <f t="shared" si="481"/>
        <v>0.16299999999999967</v>
      </c>
      <c r="C1347" t="b">
        <f t="shared" si="494"/>
        <v>1</v>
      </c>
      <c r="D1347" t="b">
        <f t="shared" si="482"/>
        <v>1</v>
      </c>
      <c r="E1347">
        <f t="shared" si="490"/>
        <v>6.69999999999989</v>
      </c>
      <c r="F1347">
        <f t="shared" si="495"/>
        <v>0.16299999999999967</v>
      </c>
      <c r="G1347">
        <f t="shared" si="483"/>
        <v>0.21004014213201083</v>
      </c>
      <c r="H1347">
        <f t="shared" si="484"/>
        <v>3.4999999999999878E-2</v>
      </c>
      <c r="I1347" t="b">
        <f t="shared" si="496"/>
        <v>1</v>
      </c>
      <c r="J1347">
        <f t="shared" si="485"/>
        <v>6.69999999999989</v>
      </c>
      <c r="K1347">
        <f t="shared" si="497"/>
        <v>3.4999999999999878E-2</v>
      </c>
      <c r="L1347">
        <f t="shared" si="486"/>
        <v>0.16993946056845355</v>
      </c>
      <c r="M1347">
        <f t="shared" si="487"/>
        <v>0.18999999999999975</v>
      </c>
      <c r="N1347">
        <f t="shared" si="488"/>
        <v>0.1879999999533245</v>
      </c>
      <c r="O1347">
        <f t="shared" si="489"/>
        <v>0.15777777777777779</v>
      </c>
      <c r="P1347">
        <f t="shared" si="502"/>
        <v>0.08</v>
      </c>
      <c r="Q1347">
        <f t="shared" si="498"/>
        <v>0.08</v>
      </c>
      <c r="R1347">
        <f t="shared" si="491"/>
        <v>0.08</v>
      </c>
      <c r="S1347">
        <f t="shared" si="492"/>
        <v>0.06</v>
      </c>
      <c r="T1347">
        <f t="shared" si="493"/>
        <v>0.1</v>
      </c>
      <c r="U1347">
        <f t="shared" si="499"/>
        <v>0.08</v>
      </c>
      <c r="V1347">
        <f t="shared" si="504"/>
        <v>0.1879999999533245</v>
      </c>
      <c r="W1347">
        <f t="shared" si="500"/>
        <v>0.16993823759081184</v>
      </c>
      <c r="X1347">
        <f t="shared" si="501"/>
        <v>0.21004095305686898</v>
      </c>
      <c r="Y1347" t="b">
        <f t="shared" si="503"/>
        <v>0</v>
      </c>
    </row>
    <row xmlns:x14ac="http://schemas.microsoft.com/office/spreadsheetml/2009/9/ac" r="1348" x14ac:dyDescent="0.45">
      <c r="A1348">
        <v>6.7049999999998802</v>
      </c>
      <c r="B1348">
        <f t="shared" si="481"/>
        <v>0.16299999999999965</v>
      </c>
      <c r="C1348" t="b">
        <f t="shared" si="494"/>
        <v>1</v>
      </c>
      <c r="D1348" t="b">
        <f t="shared" si="482"/>
        <v>1</v>
      </c>
      <c r="E1348">
        <f t="shared" si="490"/>
        <v>6.7049999999998802</v>
      </c>
      <c r="F1348">
        <f t="shared" si="495"/>
        <v>0.16299999999999965</v>
      </c>
      <c r="G1348">
        <f t="shared" si="483"/>
        <v>0.21003994192229219</v>
      </c>
      <c r="H1348">
        <f t="shared" si="484"/>
        <v>3.4999999999999865E-2</v>
      </c>
      <c r="I1348" t="b">
        <f t="shared" si="496"/>
        <v>1</v>
      </c>
      <c r="J1348">
        <f t="shared" si="485"/>
        <v>6.7049999999998802</v>
      </c>
      <c r="K1348">
        <f t="shared" si="497"/>
        <v>3.4999999999999865E-2</v>
      </c>
      <c r="L1348">
        <f t="shared" si="486"/>
        <v>0.16993976251012805</v>
      </c>
      <c r="M1348">
        <f t="shared" si="487"/>
        <v>0.18999999999999972</v>
      </c>
      <c r="N1348">
        <f t="shared" si="488"/>
        <v>0.18799999995237304</v>
      </c>
      <c r="O1348">
        <f t="shared" si="489"/>
        <v>0.15777777777777779</v>
      </c>
      <c r="P1348">
        <f t="shared" si="502"/>
        <v>0.08</v>
      </c>
      <c r="Q1348">
        <f t="shared" si="498"/>
        <v>0.08</v>
      </c>
      <c r="R1348">
        <f t="shared" si="491"/>
        <v>0.08</v>
      </c>
      <c r="S1348">
        <f t="shared" si="492"/>
        <v>0.06</v>
      </c>
      <c r="T1348">
        <f t="shared" si="493"/>
        <v>0.1</v>
      </c>
      <c r="U1348">
        <f t="shared" si="499"/>
        <v>0.08</v>
      </c>
      <c r="V1348">
        <f t="shared" si="504"/>
        <v>0.18799999995237304</v>
      </c>
      <c r="W1348">
        <f t="shared" si="500"/>
        <v>0.1699385456321128</v>
      </c>
      <c r="X1348">
        <f t="shared" si="501"/>
        <v>0.21004074880264573</v>
      </c>
      <c r="Y1348" t="b">
        <f t="shared" si="503"/>
        <v>0</v>
      </c>
    </row>
    <row xmlns:x14ac="http://schemas.microsoft.com/office/spreadsheetml/2009/9/ac" r="1349" x14ac:dyDescent="0.45">
      <c r="A1349">
        <v>6.7099999999998801</v>
      </c>
      <c r="B1349">
        <f t="shared" si="481"/>
        <v>0.16299999999999965</v>
      </c>
      <c r="C1349" t="b">
        <f t="shared" si="494"/>
        <v>1</v>
      </c>
      <c r="D1349" t="b">
        <f t="shared" si="482"/>
        <v>1</v>
      </c>
      <c r="E1349">
        <f t="shared" si="490"/>
        <v>6.7099999999998801</v>
      </c>
      <c r="F1349">
        <f t="shared" si="495"/>
        <v>0.16299999999999965</v>
      </c>
      <c r="G1349">
        <f t="shared" si="483"/>
        <v>0.21003974271112369</v>
      </c>
      <c r="H1349">
        <f t="shared" si="484"/>
        <v>3.4999999999999865E-2</v>
      </c>
      <c r="I1349" t="b">
        <f t="shared" si="496"/>
        <v>1</v>
      </c>
      <c r="J1349">
        <f t="shared" si="485"/>
        <v>6.7099999999998801</v>
      </c>
      <c r="K1349">
        <f t="shared" si="497"/>
        <v>3.4999999999999865E-2</v>
      </c>
      <c r="L1349">
        <f t="shared" si="486"/>
        <v>0.16994006294586217</v>
      </c>
      <c r="M1349">
        <f t="shared" si="487"/>
        <v>0.18999999999999972</v>
      </c>
      <c r="N1349">
        <f t="shared" si="488"/>
        <v>0.18799999995166411</v>
      </c>
      <c r="O1349">
        <f t="shared" si="489"/>
        <v>0.15777777777777779</v>
      </c>
      <c r="P1349">
        <f t="shared" si="502"/>
        <v>0.08</v>
      </c>
      <c r="Q1349">
        <f t="shared" si="498"/>
        <v>0.08</v>
      </c>
      <c r="R1349">
        <f t="shared" si="491"/>
        <v>0.08</v>
      </c>
      <c r="S1349">
        <f t="shared" si="492"/>
        <v>0.06</v>
      </c>
      <c r="T1349">
        <f t="shared" si="493"/>
        <v>0.1</v>
      </c>
      <c r="U1349">
        <f t="shared" si="499"/>
        <v>0.08</v>
      </c>
      <c r="V1349">
        <f t="shared" si="504"/>
        <v>0.18799999995166411</v>
      </c>
      <c r="W1349">
        <f t="shared" si="500"/>
        <v>0.16993885213705134</v>
      </c>
      <c r="X1349">
        <f t="shared" si="501"/>
        <v>0.21004054556714463</v>
      </c>
      <c r="Y1349" t="b">
        <f t="shared" si="503"/>
        <v>0</v>
      </c>
    </row>
    <row xmlns:x14ac="http://schemas.microsoft.com/office/spreadsheetml/2009/9/ac" r="1350" x14ac:dyDescent="0.45">
      <c r="A1350">
        <v>6.71499999999988</v>
      </c>
      <c r="B1350">
        <f t="shared" si="481"/>
        <v>0.16299999999999965</v>
      </c>
      <c r="C1350" t="b">
        <f t="shared" si="494"/>
        <v>1</v>
      </c>
      <c r="D1350" t="b">
        <f t="shared" si="482"/>
        <v>1</v>
      </c>
      <c r="E1350">
        <f t="shared" si="490"/>
        <v>6.71499999999988</v>
      </c>
      <c r="F1350">
        <f t="shared" si="495"/>
        <v>0.16299999999999965</v>
      </c>
      <c r="G1350">
        <f t="shared" si="483"/>
        <v>0.21003954449352502</v>
      </c>
      <c r="H1350">
        <f t="shared" si="484"/>
        <v>3.4999999999999865E-2</v>
      </c>
      <c r="I1350" t="b">
        <f t="shared" si="496"/>
        <v>1</v>
      </c>
      <c r="J1350">
        <f t="shared" si="485"/>
        <v>6.71499999999988</v>
      </c>
      <c r="K1350">
        <f t="shared" si="497"/>
        <v>3.4999999999999865E-2</v>
      </c>
      <c r="L1350">
        <f t="shared" si="486"/>
        <v>0.1699403618831668</v>
      </c>
      <c r="M1350">
        <f t="shared" si="487"/>
        <v>0.18999999999999972</v>
      </c>
      <c r="N1350">
        <f t="shared" si="488"/>
        <v>0.18799999995119332</v>
      </c>
      <c r="O1350">
        <f t="shared" si="489"/>
        <v>0.15777777777777779</v>
      </c>
      <c r="P1350">
        <f t="shared" si="502"/>
        <v>0.08</v>
      </c>
      <c r="Q1350">
        <f t="shared" si="498"/>
        <v>0.08</v>
      </c>
      <c r="R1350">
        <f t="shared" si="491"/>
        <v>0.08</v>
      </c>
      <c r="S1350">
        <f t="shared" si="492"/>
        <v>0.06</v>
      </c>
      <c r="T1350">
        <f t="shared" si="493"/>
        <v>0.1</v>
      </c>
      <c r="U1350">
        <f t="shared" si="499"/>
        <v>0.08</v>
      </c>
      <c r="V1350">
        <f t="shared" si="504"/>
        <v>0.18799999995119332</v>
      </c>
      <c r="W1350">
        <f t="shared" si="500"/>
        <v>0.16993915711329011</v>
      </c>
      <c r="X1350">
        <f t="shared" si="501"/>
        <v>0.21004034334528487</v>
      </c>
      <c r="Y1350" t="b">
        <f t="shared" si="503"/>
        <v>0</v>
      </c>
    </row>
    <row xmlns:x14ac="http://schemas.microsoft.com/office/spreadsheetml/2009/9/ac" r="1351" x14ac:dyDescent="0.45">
      <c r="A1351">
        <v>6.7199999999998798</v>
      </c>
      <c r="B1351">
        <f t="shared" ref="B1351:B1414" si="505">-(1+Marge_haute)*(A+B/Tpll*EXP(-$A1351/Tpll)+C_*EXP(-epsilon*Wn*$A1351)*COS(Wd*$A1351)+C_*(D/C_-epsilon*Wn)/Wd*EXP(-epsilon*Wn*$A1351)*SIN(Wd*$A1351))+SIGN(DeltaPexpected)*Tunnel</f>
        <v>0.16299999999999965</v>
      </c>
      <c r="C1351" t="b">
        <f t="shared" si="494"/>
        <v>1</v>
      </c>
      <c r="D1351" t="b">
        <f t="shared" ref="D1351:D1414" si="506">IF(D1350,D1350,IF(C1351,B1351&gt;B1350,C1351))</f>
        <v>1</v>
      </c>
      <c r="E1351">
        <f t="shared" si="490"/>
        <v>6.7199999999998798</v>
      </c>
      <c r="F1351">
        <f t="shared" si="495"/>
        <v>0.16299999999999965</v>
      </c>
      <c r="G1351">
        <f t="shared" ref="G1351:G1414" si="507">P0-SIGN(Rocof)*IF(D1351,DeltaPexpected+SIGN(DeltaPexpected)*Tunnel+(MIN(F$7:F$1495)-DeltaPexpected-+SIGN(DeltaPexpected)*Tunnel)*EXP(-(A1351-MIN(E$7:E$1495))/Texpodecrease),B1351)</f>
        <v>0.21003934726454071</v>
      </c>
      <c r="H1351">
        <f t="shared" ref="H1351:H1414" si="508">-(1-marge_basse)*(A+B/Tpll*EXP(-$A1351/Tpll)+C_*EXP(-epsilon*Wn*$A1351)*COS(Wd*$A1351)+C_*(D/C_-epsilon*Wn)/Wd*EXP(-epsilon*Wn*$A1351)*SIN(Wd*$A1351))-Tunnel</f>
        <v>3.4999999999999865E-2</v>
      </c>
      <c r="I1351" t="b">
        <f t="shared" si="496"/>
        <v>1</v>
      </c>
      <c r="J1351">
        <f t="shared" ref="J1351:J1414" si="509">IF(I1351,A1351,I1351)</f>
        <v>6.7199999999998798</v>
      </c>
      <c r="K1351">
        <f t="shared" si="497"/>
        <v>3.4999999999999865E-2</v>
      </c>
      <c r="L1351">
        <f t="shared" ref="L1351:L1414" si="510">P0-SIGN(Rocof)*IF(I1351,AF$23-AF$13+(MAX(K$7:K$1495)-AF$23+AF$13)*EXP(-(A1351-MIN(J$7:J$1495))/AB$21),H1351)</f>
        <v>0.16994065932951541</v>
      </c>
      <c r="M1351">
        <f t="shared" ref="M1351:M1414" si="511">P0-(1)*(A+B/Tpll*EXP(-$A1351/Tpll)+C_*EXP(-epsilon*Wn*$A1351)*COS(Wd*$A1351)+C_*(D/C_-epsilon*Wn)/Wd*EXP(-epsilon*Wn*$A1351)*SIN(Wd*$A1351))</f>
        <v>0.18999999999999972</v>
      </c>
      <c r="N1351">
        <f t="shared" ref="N1351:N1414" si="512">AB$6-(AG$17+AG$16/AC$18*EXP(-$A1351/AC$18)+AG$18*EXP(-AG$6*AG$12*$A1351)*COS(AG$5*$A1351)+AG$18*(AG$19/AG$18-AG$6*AG$12)/AG$5*EXP(-AG$6*AG$12*$A1351)*SIN(AG$5*$A1351))</f>
        <v>0.18799999995095518</v>
      </c>
      <c r="O1351">
        <f t="shared" ref="O1351:O1414" si="513">AB$6-(AH$17+AH$16/AD$18*EXP(-$A1351/AD$18)+AH$18*EXP(-AH$6*AH$12*$A1351)*COS(AH$5*$A1351)+AH$18*(AH$19/AH$18-AH$6*AH$12)/AH$5*EXP(-AH$6*AH$12*$A1351)*SIN(AH$5*$A1351))</f>
        <v>0.15777777777777779</v>
      </c>
      <c r="P1351">
        <f t="shared" si="502"/>
        <v>0.08</v>
      </c>
      <c r="Q1351">
        <f t="shared" si="498"/>
        <v>0.08</v>
      </c>
      <c r="R1351">
        <f t="shared" si="491"/>
        <v>0.08</v>
      </c>
      <c r="S1351">
        <f t="shared" si="492"/>
        <v>0.06</v>
      </c>
      <c r="T1351">
        <f t="shared" si="493"/>
        <v>0.1</v>
      </c>
      <c r="U1351">
        <f t="shared" si="499"/>
        <v>0.08</v>
      </c>
      <c r="V1351">
        <f t="shared" si="504"/>
        <v>0.18799999995095518</v>
      </c>
      <c r="W1351">
        <f t="shared" si="500"/>
        <v>0.16993946056845355</v>
      </c>
      <c r="X1351">
        <f t="shared" si="501"/>
        <v>0.21004014213201083</v>
      </c>
      <c r="Y1351" t="b">
        <f t="shared" si="503"/>
        <v>0</v>
      </c>
    </row>
    <row xmlns:x14ac="http://schemas.microsoft.com/office/spreadsheetml/2009/9/ac" r="1352" x14ac:dyDescent="0.45">
      <c r="A1352">
        <v>6.7249999999998797</v>
      </c>
      <c r="B1352">
        <f t="shared" si="505"/>
        <v>0.16299999999999965</v>
      </c>
      <c r="C1352" t="b">
        <f t="shared" si="494"/>
        <v>1</v>
      </c>
      <c r="D1352" t="b">
        <f t="shared" si="506"/>
        <v>1</v>
      </c>
      <c r="E1352">
        <f t="shared" ref="E1352:E1415" si="514">IF(D1352,A1352,D1352)</f>
        <v>6.7249999999998797</v>
      </c>
      <c r="F1352">
        <f t="shared" si="495"/>
        <v>0.16299999999999965</v>
      </c>
      <c r="G1352">
        <f t="shared" si="507"/>
        <v>0.21003915101924009</v>
      </c>
      <c r="H1352">
        <f t="shared" si="508"/>
        <v>3.4999999999999865E-2</v>
      </c>
      <c r="I1352" t="b">
        <f t="shared" si="496"/>
        <v>1</v>
      </c>
      <c r="J1352">
        <f t="shared" si="509"/>
        <v>6.7249999999998797</v>
      </c>
      <c r="K1352">
        <f t="shared" si="497"/>
        <v>3.4999999999999865E-2</v>
      </c>
      <c r="L1352">
        <f t="shared" si="510"/>
        <v>0.16994095529234418</v>
      </c>
      <c r="M1352">
        <f t="shared" si="511"/>
        <v>0.18999999999999972</v>
      </c>
      <c r="N1352">
        <f t="shared" si="512"/>
        <v>0.18799999995094346</v>
      </c>
      <c r="O1352">
        <f t="shared" si="513"/>
        <v>0.15777777777777779</v>
      </c>
      <c r="P1352">
        <f t="shared" si="502"/>
        <v>0.08</v>
      </c>
      <c r="Q1352">
        <f t="shared" si="498"/>
        <v>0.08</v>
      </c>
      <c r="R1352">
        <f t="shared" ref="R1352:R1415" si="515">$AB$6-(1+AB$17)*EXP(-AF$6*AF$12*A1352)*(COS(AF$5*A1352)-(AF$6*AF$12-1)/(AF$5)*SIN(AF$5*A1352))*AF$15</f>
        <v>0.08</v>
      </c>
      <c r="S1352">
        <f t="shared" ref="S1352:S1415" si="516">R1352-AF$13</f>
        <v>0.06</v>
      </c>
      <c r="T1352">
        <f t="shared" ref="T1352:T1415" si="517">R1352+AF$13</f>
        <v>0.1</v>
      </c>
      <c r="U1352">
        <f t="shared" si="499"/>
        <v>0.08</v>
      </c>
      <c r="V1352">
        <f t="shared" si="504"/>
        <v>0.18799999995094346</v>
      </c>
      <c r="W1352">
        <f t="shared" si="500"/>
        <v>0.16993976251012805</v>
      </c>
      <c r="X1352">
        <f t="shared" si="501"/>
        <v>0.21003994192229219</v>
      </c>
      <c r="Y1352" t="b">
        <f t="shared" si="503"/>
        <v>0</v>
      </c>
    </row>
    <row xmlns:x14ac="http://schemas.microsoft.com/office/spreadsheetml/2009/9/ac" r="1353" x14ac:dyDescent="0.45">
      <c r="A1353">
        <v>6.7299999999998796</v>
      </c>
      <c r="B1353">
        <f t="shared" si="505"/>
        <v>0.16299999999999965</v>
      </c>
      <c r="C1353" t="b">
        <f t="shared" ref="C1353:C1416" si="518">IF(C1352,C1352,(B1353&lt;B1352))</f>
        <v>1</v>
      </c>
      <c r="D1353" t="b">
        <f t="shared" si="506"/>
        <v>1</v>
      </c>
      <c r="E1353">
        <f t="shared" si="514"/>
        <v>6.7299999999998796</v>
      </c>
      <c r="F1353">
        <f t="shared" ref="F1353:F1416" si="519">IF(D1353,B1353,D1353)</f>
        <v>0.16299999999999965</v>
      </c>
      <c r="G1353">
        <f t="shared" si="507"/>
        <v>0.21003895575271703</v>
      </c>
      <c r="H1353">
        <f t="shared" si="508"/>
        <v>3.4999999999999865E-2</v>
      </c>
      <c r="I1353" t="b">
        <f t="shared" ref="I1353:I1416" si="520">IF(I1352,I1352,H1352&gt;H1353)</f>
        <v>1</v>
      </c>
      <c r="J1353">
        <f t="shared" si="509"/>
        <v>6.7299999999998796</v>
      </c>
      <c r="K1353">
        <f t="shared" ref="K1353:K1416" si="521">IF(I1353,H1353,I1353)</f>
        <v>3.4999999999999865E-2</v>
      </c>
      <c r="L1353">
        <f t="shared" si="510"/>
        <v>0.16994124977905217</v>
      </c>
      <c r="M1353">
        <f t="shared" si="511"/>
        <v>0.18999999999999972</v>
      </c>
      <c r="N1353">
        <f t="shared" si="512"/>
        <v>0.18799999995115108</v>
      </c>
      <c r="O1353">
        <f t="shared" si="513"/>
        <v>0.15777777777777779</v>
      </c>
      <c r="P1353">
        <f t="shared" si="502"/>
        <v>0.08</v>
      </c>
      <c r="Q1353">
        <f t="shared" ref="Q1353:Q1416" si="522">$AB$6-(1+AB$17)*EXP(-AF$6*AF$12*A1351)*(COS(AF$5*A1351)-(AF$6*AF$12-1)/(AF$5)*SIN(AF$5*A1351))*AF$15</f>
        <v>0.08</v>
      </c>
      <c r="R1353">
        <f t="shared" si="515"/>
        <v>0.08</v>
      </c>
      <c r="S1353">
        <f t="shared" si="516"/>
        <v>0.06</v>
      </c>
      <c r="T1353">
        <f t="shared" si="517"/>
        <v>0.1</v>
      </c>
      <c r="U1353">
        <f t="shared" ref="U1353:U1416" si="523">$AB$6-AB$18*EXP(-AF$6*AF$12*A1351)*(COS(AF$5*A1351)-(AF$6*AF$12-1)/(AF$5)*SIN(AF$5*A1351))*AF$15</f>
        <v>0.08</v>
      </c>
      <c r="V1353">
        <f t="shared" si="504"/>
        <v>0.18799999995115108</v>
      </c>
      <c r="W1353">
        <f t="shared" si="500"/>
        <v>0.16994006294586217</v>
      </c>
      <c r="X1353">
        <f t="shared" si="501"/>
        <v>0.21003974271112369</v>
      </c>
      <c r="Y1353" t="b">
        <f t="shared" si="503"/>
        <v>0</v>
      </c>
    </row>
    <row xmlns:x14ac="http://schemas.microsoft.com/office/spreadsheetml/2009/9/ac" r="1354" x14ac:dyDescent="0.45">
      <c r="A1354">
        <v>6.7349999999998804</v>
      </c>
      <c r="B1354">
        <f t="shared" si="505"/>
        <v>0.16299999999999965</v>
      </c>
      <c r="C1354" t="b">
        <f t="shared" si="518"/>
        <v>1</v>
      </c>
      <c r="D1354" t="b">
        <f t="shared" si="506"/>
        <v>1</v>
      </c>
      <c r="E1354">
        <f t="shared" si="514"/>
        <v>6.7349999999998804</v>
      </c>
      <c r="F1354">
        <f t="shared" si="519"/>
        <v>0.16299999999999965</v>
      </c>
      <c r="G1354">
        <f t="shared" si="507"/>
        <v>0.21003876146008976</v>
      </c>
      <c r="H1354">
        <f t="shared" si="508"/>
        <v>3.4999999999999865E-2</v>
      </c>
      <c r="I1354" t="b">
        <f t="shared" si="520"/>
        <v>1</v>
      </c>
      <c r="J1354">
        <f t="shared" si="509"/>
        <v>6.7349999999998804</v>
      </c>
      <c r="K1354">
        <f t="shared" si="521"/>
        <v>3.4999999999999865E-2</v>
      </c>
      <c r="L1354">
        <f t="shared" si="510"/>
        <v>0.16994154279700158</v>
      </c>
      <c r="M1354">
        <f t="shared" si="511"/>
        <v>0.18999999999999972</v>
      </c>
      <c r="N1354">
        <f t="shared" si="512"/>
        <v>0.18799999995157024</v>
      </c>
      <c r="O1354">
        <f t="shared" si="513"/>
        <v>0.15777777777777779</v>
      </c>
      <c r="P1354">
        <f t="shared" si="502"/>
        <v>0.08</v>
      </c>
      <c r="Q1354">
        <f t="shared" si="522"/>
        <v>0.08</v>
      </c>
      <c r="R1354">
        <f t="shared" si="515"/>
        <v>0.08</v>
      </c>
      <c r="S1354">
        <f t="shared" si="516"/>
        <v>0.06</v>
      </c>
      <c r="T1354">
        <f t="shared" si="517"/>
        <v>0.1</v>
      </c>
      <c r="U1354">
        <f t="shared" si="523"/>
        <v>0.08</v>
      </c>
      <c r="V1354">
        <f t="shared" si="504"/>
        <v>0.18799999995157024</v>
      </c>
      <c r="W1354">
        <f t="shared" si="500"/>
        <v>0.1699403618831668</v>
      </c>
      <c r="X1354">
        <f t="shared" si="501"/>
        <v>0.21003954449352502</v>
      </c>
      <c r="Y1354" t="b">
        <f t="shared" si="503"/>
        <v>0</v>
      </c>
    </row>
    <row xmlns:x14ac="http://schemas.microsoft.com/office/spreadsheetml/2009/9/ac" r="1355" x14ac:dyDescent="0.45">
      <c r="A1355">
        <v>6.7399999999998803</v>
      </c>
      <c r="B1355">
        <f t="shared" si="505"/>
        <v>0.16299999999999965</v>
      </c>
      <c r="C1355" t="b">
        <f t="shared" si="518"/>
        <v>1</v>
      </c>
      <c r="D1355" t="b">
        <f t="shared" si="506"/>
        <v>1</v>
      </c>
      <c r="E1355">
        <f t="shared" si="514"/>
        <v>6.7399999999998803</v>
      </c>
      <c r="F1355">
        <f t="shared" si="519"/>
        <v>0.16299999999999965</v>
      </c>
      <c r="G1355">
        <f t="shared" si="507"/>
        <v>0.21003856813650107</v>
      </c>
      <c r="H1355">
        <f t="shared" si="508"/>
        <v>3.4999999999999865E-2</v>
      </c>
      <c r="I1355" t="b">
        <f t="shared" si="520"/>
        <v>1</v>
      </c>
      <c r="J1355">
        <f t="shared" si="509"/>
        <v>6.7399999999998803</v>
      </c>
      <c r="K1355">
        <f t="shared" si="521"/>
        <v>3.4999999999999865E-2</v>
      </c>
      <c r="L1355">
        <f t="shared" si="510"/>
        <v>0.1699418343535179</v>
      </c>
      <c r="M1355">
        <f t="shared" si="511"/>
        <v>0.18999999999999972</v>
      </c>
      <c r="N1355">
        <f t="shared" si="512"/>
        <v>0.18799999995219235</v>
      </c>
      <c r="O1355">
        <f t="shared" si="513"/>
        <v>0.15777777777777779</v>
      </c>
      <c r="P1355">
        <f t="shared" si="502"/>
        <v>0.08</v>
      </c>
      <c r="Q1355">
        <f t="shared" si="522"/>
        <v>0.08</v>
      </c>
      <c r="R1355">
        <f t="shared" si="515"/>
        <v>0.08</v>
      </c>
      <c r="S1355">
        <f t="shared" si="516"/>
        <v>0.06</v>
      </c>
      <c r="T1355">
        <f t="shared" si="517"/>
        <v>0.1</v>
      </c>
      <c r="U1355">
        <f t="shared" si="523"/>
        <v>0.08</v>
      </c>
      <c r="V1355">
        <f t="shared" si="504"/>
        <v>0.18799999995219235</v>
      </c>
      <c r="W1355">
        <f t="shared" ref="W1355:W1418" si="524">IF(EMT_Simulation,L1351,L1355)</f>
        <v>0.16994065932951541</v>
      </c>
      <c r="X1355">
        <f t="shared" ref="X1355:X1418" si="525">IF(EMT_Simulation,G1351,G1355)</f>
        <v>0.21003934726454071</v>
      </c>
      <c r="Y1355" t="b">
        <f t="shared" si="503"/>
        <v>0</v>
      </c>
    </row>
    <row xmlns:x14ac="http://schemas.microsoft.com/office/spreadsheetml/2009/9/ac" r="1356" x14ac:dyDescent="0.45">
      <c r="A1356">
        <v>6.7449999999998802</v>
      </c>
      <c r="B1356">
        <f t="shared" si="505"/>
        <v>0.16299999999999965</v>
      </c>
      <c r="C1356" t="b">
        <f t="shared" si="518"/>
        <v>1</v>
      </c>
      <c r="D1356" t="b">
        <f t="shared" si="506"/>
        <v>1</v>
      </c>
      <c r="E1356">
        <f t="shared" si="514"/>
        <v>6.7449999999998802</v>
      </c>
      <c r="F1356">
        <f t="shared" si="519"/>
        <v>0.16299999999999965</v>
      </c>
      <c r="G1356">
        <f t="shared" si="507"/>
        <v>0.21003837577711776</v>
      </c>
      <c r="H1356">
        <f t="shared" si="508"/>
        <v>3.4999999999999865E-2</v>
      </c>
      <c r="I1356" t="b">
        <f t="shared" si="520"/>
        <v>1</v>
      </c>
      <c r="J1356">
        <f t="shared" si="509"/>
        <v>6.7449999999998802</v>
      </c>
      <c r="K1356">
        <f t="shared" si="521"/>
        <v>3.4999999999999865E-2</v>
      </c>
      <c r="L1356">
        <f t="shared" si="510"/>
        <v>0.16994212445588996</v>
      </c>
      <c r="M1356">
        <f t="shared" si="511"/>
        <v>0.18999999999999972</v>
      </c>
      <c r="N1356">
        <f t="shared" si="512"/>
        <v>0.18799999995300831</v>
      </c>
      <c r="O1356">
        <f t="shared" si="513"/>
        <v>0.15777777777777779</v>
      </c>
      <c r="P1356">
        <f t="shared" si="502"/>
        <v>0.08</v>
      </c>
      <c r="Q1356">
        <f t="shared" si="522"/>
        <v>0.08</v>
      </c>
      <c r="R1356">
        <f t="shared" si="515"/>
        <v>0.08</v>
      </c>
      <c r="S1356">
        <f t="shared" si="516"/>
        <v>0.06</v>
      </c>
      <c r="T1356">
        <f t="shared" si="517"/>
        <v>0.1</v>
      </c>
      <c r="U1356">
        <f t="shared" si="523"/>
        <v>0.08</v>
      </c>
      <c r="V1356">
        <f t="shared" si="504"/>
        <v>0.18799999995300831</v>
      </c>
      <c r="W1356">
        <f t="shared" si="524"/>
        <v>0.16994095529234418</v>
      </c>
      <c r="X1356">
        <f t="shared" si="525"/>
        <v>0.21003915101924009</v>
      </c>
      <c r="Y1356" t="b">
        <f t="shared" si="503"/>
        <v>0</v>
      </c>
    </row>
    <row xmlns:x14ac="http://schemas.microsoft.com/office/spreadsheetml/2009/9/ac" r="1357" x14ac:dyDescent="0.45">
      <c r="A1357">
        <v>6.7499999999998801</v>
      </c>
      <c r="B1357">
        <f t="shared" si="505"/>
        <v>0.16299999999999967</v>
      </c>
      <c r="C1357" t="b">
        <f t="shared" si="518"/>
        <v>1</v>
      </c>
      <c r="D1357" t="b">
        <f t="shared" si="506"/>
        <v>1</v>
      </c>
      <c r="E1357">
        <f t="shared" si="514"/>
        <v>6.7499999999998801</v>
      </c>
      <c r="F1357">
        <f t="shared" si="519"/>
        <v>0.16299999999999967</v>
      </c>
      <c r="G1357">
        <f t="shared" si="507"/>
        <v>0.2100381843771309</v>
      </c>
      <c r="H1357">
        <f t="shared" si="508"/>
        <v>3.4999999999999878E-2</v>
      </c>
      <c r="I1357" t="b">
        <f t="shared" si="520"/>
        <v>1</v>
      </c>
      <c r="J1357">
        <f t="shared" si="509"/>
        <v>6.7499999999998801</v>
      </c>
      <c r="K1357">
        <f t="shared" si="521"/>
        <v>3.4999999999999878E-2</v>
      </c>
      <c r="L1357">
        <f t="shared" si="510"/>
        <v>0.16994241311137048</v>
      </c>
      <c r="M1357">
        <f t="shared" si="511"/>
        <v>0.18999999999999975</v>
      </c>
      <c r="N1357">
        <f t="shared" si="512"/>
        <v>0.18799999995400829</v>
      </c>
      <c r="O1357">
        <f t="shared" si="513"/>
        <v>0.15777777777777779</v>
      </c>
      <c r="P1357">
        <f t="shared" si="502"/>
        <v>0.08</v>
      </c>
      <c r="Q1357">
        <f t="shared" si="522"/>
        <v>0.08</v>
      </c>
      <c r="R1357">
        <f t="shared" si="515"/>
        <v>0.08</v>
      </c>
      <c r="S1357">
        <f t="shared" si="516"/>
        <v>0.06</v>
      </c>
      <c r="T1357">
        <f t="shared" si="517"/>
        <v>0.1</v>
      </c>
      <c r="U1357">
        <f t="shared" si="523"/>
        <v>0.08</v>
      </c>
      <c r="V1357">
        <f t="shared" si="504"/>
        <v>0.18799999995400829</v>
      </c>
      <c r="W1357">
        <f t="shared" si="524"/>
        <v>0.16994124977905217</v>
      </c>
      <c r="X1357">
        <f t="shared" si="525"/>
        <v>0.21003895575271703</v>
      </c>
      <c r="Y1357" t="b">
        <f t="shared" si="503"/>
        <v>0</v>
      </c>
    </row>
    <row xmlns:x14ac="http://schemas.microsoft.com/office/spreadsheetml/2009/9/ac" r="1358" x14ac:dyDescent="0.45">
      <c r="A1358">
        <v>6.75499999999988</v>
      </c>
      <c r="B1358">
        <f t="shared" si="505"/>
        <v>0.16299999999999967</v>
      </c>
      <c r="C1358" t="b">
        <f t="shared" si="518"/>
        <v>1</v>
      </c>
      <c r="D1358" t="b">
        <f t="shared" si="506"/>
        <v>1</v>
      </c>
      <c r="E1358">
        <f t="shared" si="514"/>
        <v>6.75499999999988</v>
      </c>
      <c r="F1358">
        <f t="shared" si="519"/>
        <v>0.16299999999999967</v>
      </c>
      <c r="G1358">
        <f t="shared" si="507"/>
        <v>0.21003799393175543</v>
      </c>
      <c r="H1358">
        <f t="shared" si="508"/>
        <v>3.4999999999999878E-2</v>
      </c>
      <c r="I1358" t="b">
        <f t="shared" si="520"/>
        <v>1</v>
      </c>
      <c r="J1358">
        <f t="shared" si="509"/>
        <v>6.75499999999988</v>
      </c>
      <c r="K1358">
        <f t="shared" si="521"/>
        <v>3.4999999999999878E-2</v>
      </c>
      <c r="L1358">
        <f t="shared" si="510"/>
        <v>0.16994270032717573</v>
      </c>
      <c r="M1358">
        <f t="shared" si="511"/>
        <v>0.18999999999999975</v>
      </c>
      <c r="N1358">
        <f t="shared" si="512"/>
        <v>0.18799999995518207</v>
      </c>
      <c r="O1358">
        <f t="shared" si="513"/>
        <v>0.15777777777777779</v>
      </c>
      <c r="P1358">
        <f t="shared" ref="P1358:P1421" si="526">$AB$6-EXP(-AF$6*AF$12*A1358)*(COS(AF$5*A1358)-(AF$6*AF$12-1)/(AF$5)*SIN(AF$5*A1358))*AF$15</f>
        <v>0.08</v>
      </c>
      <c r="Q1358">
        <f t="shared" si="522"/>
        <v>0.08</v>
      </c>
      <c r="R1358">
        <f t="shared" si="515"/>
        <v>0.08</v>
      </c>
      <c r="S1358">
        <f t="shared" si="516"/>
        <v>0.06</v>
      </c>
      <c r="T1358">
        <f t="shared" si="517"/>
        <v>0.1</v>
      </c>
      <c r="U1358">
        <f t="shared" si="523"/>
        <v>0.08</v>
      </c>
      <c r="V1358">
        <f t="shared" si="504"/>
        <v>0.18799999995518207</v>
      </c>
      <c r="W1358">
        <f t="shared" si="524"/>
        <v>0.16994154279700158</v>
      </c>
      <c r="X1358">
        <f t="shared" si="525"/>
        <v>0.21003876146008976</v>
      </c>
      <c r="Y1358" t="b">
        <f t="shared" si="503"/>
        <v>0</v>
      </c>
    </row>
    <row xmlns:x14ac="http://schemas.microsoft.com/office/spreadsheetml/2009/9/ac" r="1359" x14ac:dyDescent="0.45">
      <c r="A1359">
        <v>6.7599999999998799</v>
      </c>
      <c r="B1359">
        <f t="shared" si="505"/>
        <v>0.16299999999999967</v>
      </c>
      <c r="C1359" t="b">
        <f t="shared" si="518"/>
        <v>1</v>
      </c>
      <c r="D1359" t="b">
        <f t="shared" si="506"/>
        <v>1</v>
      </c>
      <c r="E1359">
        <f t="shared" si="514"/>
        <v>6.7599999999998799</v>
      </c>
      <c r="F1359">
        <f t="shared" si="519"/>
        <v>0.16299999999999967</v>
      </c>
      <c r="G1359">
        <f t="shared" si="507"/>
        <v>0.21003780443623027</v>
      </c>
      <c r="H1359">
        <f t="shared" si="508"/>
        <v>3.4999999999999878E-2</v>
      </c>
      <c r="I1359" t="b">
        <f t="shared" si="520"/>
        <v>1</v>
      </c>
      <c r="J1359">
        <f t="shared" si="509"/>
        <v>6.7599999999998799</v>
      </c>
      <c r="K1359">
        <f t="shared" si="521"/>
        <v>3.4999999999999878E-2</v>
      </c>
      <c r="L1359">
        <f t="shared" si="510"/>
        <v>0.16994298611048619</v>
      </c>
      <c r="M1359">
        <f t="shared" si="511"/>
        <v>0.18999999999999975</v>
      </c>
      <c r="N1359">
        <f t="shared" si="512"/>
        <v>0.18799999995651895</v>
      </c>
      <c r="O1359">
        <f t="shared" si="513"/>
        <v>0.15777777777777779</v>
      </c>
      <c r="P1359">
        <f t="shared" si="526"/>
        <v>0.08</v>
      </c>
      <c r="Q1359">
        <f t="shared" si="522"/>
        <v>0.08</v>
      </c>
      <c r="R1359">
        <f t="shared" si="515"/>
        <v>0.08</v>
      </c>
      <c r="S1359">
        <f t="shared" si="516"/>
        <v>0.06</v>
      </c>
      <c r="T1359">
        <f t="shared" si="517"/>
        <v>0.1</v>
      </c>
      <c r="U1359">
        <f t="shared" si="523"/>
        <v>0.08</v>
      </c>
      <c r="V1359">
        <f t="shared" si="504"/>
        <v>0.18799999995651895</v>
      </c>
      <c r="W1359">
        <f t="shared" si="524"/>
        <v>0.1699418343535179</v>
      </c>
      <c r="X1359">
        <f t="shared" si="525"/>
        <v>0.21003856813650107</v>
      </c>
      <c r="Y1359" t="b">
        <f t="shared" ref="Y1359:Y1422" si="527">IF(Y1358,TRUE,IF(P1359&lt;P1358,TRUE))</f>
        <v>0</v>
      </c>
    </row>
    <row xmlns:x14ac="http://schemas.microsoft.com/office/spreadsheetml/2009/9/ac" r="1360" x14ac:dyDescent="0.45">
      <c r="A1360">
        <v>6.7649999999998798</v>
      </c>
      <c r="B1360">
        <f t="shared" si="505"/>
        <v>0.1629999999999997</v>
      </c>
      <c r="C1360" t="b">
        <f t="shared" si="518"/>
        <v>1</v>
      </c>
      <c r="D1360" t="b">
        <f t="shared" si="506"/>
        <v>1</v>
      </c>
      <c r="E1360">
        <f t="shared" si="514"/>
        <v>6.7649999999998798</v>
      </c>
      <c r="F1360">
        <f t="shared" si="519"/>
        <v>0.1629999999999997</v>
      </c>
      <c r="G1360">
        <f t="shared" si="507"/>
        <v>0.21003761588581793</v>
      </c>
      <c r="H1360">
        <f t="shared" si="508"/>
        <v>3.4999999999999878E-2</v>
      </c>
      <c r="I1360" t="b">
        <f t="shared" si="520"/>
        <v>1</v>
      </c>
      <c r="J1360">
        <f t="shared" si="509"/>
        <v>6.7649999999998798</v>
      </c>
      <c r="K1360">
        <f t="shared" si="521"/>
        <v>3.4999999999999878E-2</v>
      </c>
      <c r="L1360">
        <f t="shared" si="510"/>
        <v>0.16994327046844646</v>
      </c>
      <c r="M1360">
        <f t="shared" si="511"/>
        <v>0.18999999999999978</v>
      </c>
      <c r="N1360">
        <f t="shared" si="512"/>
        <v>0.18799999995800781</v>
      </c>
      <c r="O1360">
        <f t="shared" si="513"/>
        <v>0.15777777777777779</v>
      </c>
      <c r="P1360">
        <f t="shared" si="526"/>
        <v>0.08</v>
      </c>
      <c r="Q1360">
        <f t="shared" si="522"/>
        <v>0.08</v>
      </c>
      <c r="R1360">
        <f t="shared" si="515"/>
        <v>0.08</v>
      </c>
      <c r="S1360">
        <f t="shared" si="516"/>
        <v>0.06</v>
      </c>
      <c r="T1360">
        <f t="shared" si="517"/>
        <v>0.1</v>
      </c>
      <c r="U1360">
        <f t="shared" si="523"/>
        <v>0.08</v>
      </c>
      <c r="V1360">
        <f t="shared" si="504"/>
        <v>0.18799999995800781</v>
      </c>
      <c r="W1360">
        <f t="shared" si="524"/>
        <v>0.16994212445588996</v>
      </c>
      <c r="X1360">
        <f t="shared" si="525"/>
        <v>0.21003837577711776</v>
      </c>
      <c r="Y1360" t="b">
        <f t="shared" si="527"/>
        <v>0</v>
      </c>
    </row>
    <row xmlns:x14ac="http://schemas.microsoft.com/office/spreadsheetml/2009/9/ac" r="1361" x14ac:dyDescent="0.45">
      <c r="A1361">
        <v>6.7699999999998797</v>
      </c>
      <c r="B1361">
        <f t="shared" si="505"/>
        <v>0.1629999999999997</v>
      </c>
      <c r="C1361" t="b">
        <f t="shared" si="518"/>
        <v>1</v>
      </c>
      <c r="D1361" t="b">
        <f t="shared" si="506"/>
        <v>1</v>
      </c>
      <c r="E1361">
        <f t="shared" si="514"/>
        <v>6.7699999999998797</v>
      </c>
      <c r="F1361">
        <f t="shared" si="519"/>
        <v>0.1629999999999997</v>
      </c>
      <c r="G1361">
        <f t="shared" si="507"/>
        <v>0.21003742827580474</v>
      </c>
      <c r="H1361">
        <f t="shared" si="508"/>
        <v>3.4999999999999878E-2</v>
      </c>
      <c r="I1361" t="b">
        <f t="shared" si="520"/>
        <v>1</v>
      </c>
      <c r="J1361">
        <f t="shared" si="509"/>
        <v>6.7699999999998797</v>
      </c>
      <c r="K1361">
        <f t="shared" si="521"/>
        <v>3.4999999999999878E-2</v>
      </c>
      <c r="L1361">
        <f t="shared" si="510"/>
        <v>0.16994355340816547</v>
      </c>
      <c r="M1361">
        <f t="shared" si="511"/>
        <v>0.18999999999999978</v>
      </c>
      <c r="N1361">
        <f t="shared" si="512"/>
        <v>0.18799999995963723</v>
      </c>
      <c r="O1361">
        <f t="shared" si="513"/>
        <v>0.15777777777777779</v>
      </c>
      <c r="P1361">
        <f t="shared" si="526"/>
        <v>0.08</v>
      </c>
      <c r="Q1361">
        <f t="shared" si="522"/>
        <v>0.08</v>
      </c>
      <c r="R1361">
        <f t="shared" si="515"/>
        <v>0.08</v>
      </c>
      <c r="S1361">
        <f t="shared" si="516"/>
        <v>0.06</v>
      </c>
      <c r="T1361">
        <f t="shared" si="517"/>
        <v>0.1</v>
      </c>
      <c r="U1361">
        <f t="shared" si="523"/>
        <v>0.08</v>
      </c>
      <c r="V1361">
        <f t="shared" si="504"/>
        <v>0.18799999995963723</v>
      </c>
      <c r="W1361">
        <f t="shared" si="524"/>
        <v>0.16994241311137048</v>
      </c>
      <c r="X1361">
        <f t="shared" si="525"/>
        <v>0.2100381843771309</v>
      </c>
      <c r="Y1361" t="b">
        <f t="shared" si="527"/>
        <v>0</v>
      </c>
    </row>
    <row xmlns:x14ac="http://schemas.microsoft.com/office/spreadsheetml/2009/9/ac" r="1362" x14ac:dyDescent="0.45">
      <c r="A1362">
        <v>6.7749999999998796</v>
      </c>
      <c r="B1362">
        <f t="shared" si="505"/>
        <v>0.1629999999999997</v>
      </c>
      <c r="C1362" t="b">
        <f t="shared" si="518"/>
        <v>1</v>
      </c>
      <c r="D1362" t="b">
        <f t="shared" si="506"/>
        <v>1</v>
      </c>
      <c r="E1362">
        <f t="shared" si="514"/>
        <v>6.7749999999998796</v>
      </c>
      <c r="F1362">
        <f t="shared" si="519"/>
        <v>0.1629999999999997</v>
      </c>
      <c r="G1362">
        <f t="shared" si="507"/>
        <v>0.21003724160150039</v>
      </c>
      <c r="H1362">
        <f t="shared" si="508"/>
        <v>3.4999999999999892E-2</v>
      </c>
      <c r="I1362" t="b">
        <f t="shared" si="520"/>
        <v>1</v>
      </c>
      <c r="J1362">
        <f t="shared" si="509"/>
        <v>6.7749999999998796</v>
      </c>
      <c r="K1362">
        <f t="shared" si="521"/>
        <v>3.4999999999999892E-2</v>
      </c>
      <c r="L1362">
        <f t="shared" si="510"/>
        <v>0.16994383493671675</v>
      </c>
      <c r="M1362">
        <f t="shared" si="511"/>
        <v>0.18999999999999978</v>
      </c>
      <c r="N1362">
        <f t="shared" si="512"/>
        <v>0.18799999996139549</v>
      </c>
      <c r="O1362">
        <f t="shared" si="513"/>
        <v>0.15777777777777779</v>
      </c>
      <c r="P1362">
        <f t="shared" si="526"/>
        <v>0.08</v>
      </c>
      <c r="Q1362">
        <f t="shared" si="522"/>
        <v>0.08</v>
      </c>
      <c r="R1362">
        <f t="shared" si="515"/>
        <v>0.08</v>
      </c>
      <c r="S1362">
        <f t="shared" si="516"/>
        <v>0.06</v>
      </c>
      <c r="T1362">
        <f t="shared" si="517"/>
        <v>0.1</v>
      </c>
      <c r="U1362">
        <f t="shared" si="523"/>
        <v>0.08</v>
      </c>
      <c r="V1362">
        <f t="shared" si="504"/>
        <v>0.18799999996139549</v>
      </c>
      <c r="W1362">
        <f t="shared" si="524"/>
        <v>0.16994270032717573</v>
      </c>
      <c r="X1362">
        <f t="shared" si="525"/>
        <v>0.21003799393175543</v>
      </c>
      <c r="Y1362" t="b">
        <f t="shared" si="527"/>
        <v>0</v>
      </c>
    </row>
    <row xmlns:x14ac="http://schemas.microsoft.com/office/spreadsheetml/2009/9/ac" r="1363" x14ac:dyDescent="0.45">
      <c r="A1363">
        <v>6.7799999999998803</v>
      </c>
      <c r="B1363">
        <f t="shared" si="505"/>
        <v>0.16299999999999973</v>
      </c>
      <c r="C1363" t="b">
        <f t="shared" si="518"/>
        <v>1</v>
      </c>
      <c r="D1363" t="b">
        <f t="shared" si="506"/>
        <v>1</v>
      </c>
      <c r="E1363">
        <f t="shared" si="514"/>
        <v>6.7799999999998803</v>
      </c>
      <c r="F1363">
        <f t="shared" si="519"/>
        <v>0.16299999999999973</v>
      </c>
      <c r="G1363">
        <f t="shared" si="507"/>
        <v>0.21003705585823801</v>
      </c>
      <c r="H1363">
        <f t="shared" si="508"/>
        <v>3.4999999999999892E-2</v>
      </c>
      <c r="I1363" t="b">
        <f t="shared" si="520"/>
        <v>1</v>
      </c>
      <c r="J1363">
        <f t="shared" si="509"/>
        <v>6.7799999999998803</v>
      </c>
      <c r="K1363">
        <f t="shared" si="521"/>
        <v>3.4999999999999892E-2</v>
      </c>
      <c r="L1363">
        <f t="shared" si="510"/>
        <v>0.16994411506113852</v>
      </c>
      <c r="M1363">
        <f t="shared" si="511"/>
        <v>0.18999999999999978</v>
      </c>
      <c r="N1363">
        <f t="shared" si="512"/>
        <v>0.18799999996327071</v>
      </c>
      <c r="O1363">
        <f t="shared" si="513"/>
        <v>0.15777777777777779</v>
      </c>
      <c r="P1363">
        <f t="shared" si="526"/>
        <v>0.08</v>
      </c>
      <c r="Q1363">
        <f t="shared" si="522"/>
        <v>0.08</v>
      </c>
      <c r="R1363">
        <f t="shared" si="515"/>
        <v>0.08</v>
      </c>
      <c r="S1363">
        <f t="shared" si="516"/>
        <v>0.06</v>
      </c>
      <c r="T1363">
        <f t="shared" si="517"/>
        <v>0.1</v>
      </c>
      <c r="U1363">
        <f t="shared" si="523"/>
        <v>0.08</v>
      </c>
      <c r="V1363">
        <f t="shared" si="504"/>
        <v>0.18799999996327071</v>
      </c>
      <c r="W1363">
        <f t="shared" si="524"/>
        <v>0.16994298611048619</v>
      </c>
      <c r="X1363">
        <f t="shared" si="525"/>
        <v>0.21003780443623027</v>
      </c>
      <c r="Y1363" t="b">
        <f t="shared" si="527"/>
        <v>0</v>
      </c>
    </row>
    <row xmlns:x14ac="http://schemas.microsoft.com/office/spreadsheetml/2009/9/ac" r="1364" x14ac:dyDescent="0.45">
      <c r="A1364">
        <v>6.7849999999998802</v>
      </c>
      <c r="B1364">
        <f t="shared" si="505"/>
        <v>0.16299999999999976</v>
      </c>
      <c r="C1364" t="b">
        <f t="shared" si="518"/>
        <v>1</v>
      </c>
      <c r="D1364" t="b">
        <f t="shared" si="506"/>
        <v>1</v>
      </c>
      <c r="E1364">
        <f t="shared" si="514"/>
        <v>6.7849999999998802</v>
      </c>
      <c r="F1364">
        <f t="shared" si="519"/>
        <v>0.16299999999999976</v>
      </c>
      <c r="G1364">
        <f t="shared" si="507"/>
        <v>0.21003687104137403</v>
      </c>
      <c r="H1364">
        <f t="shared" si="508"/>
        <v>3.4999999999999906E-2</v>
      </c>
      <c r="I1364" t="b">
        <f t="shared" si="520"/>
        <v>1</v>
      </c>
      <c r="J1364">
        <f t="shared" si="509"/>
        <v>6.7849999999998802</v>
      </c>
      <c r="K1364">
        <f t="shared" si="521"/>
        <v>3.4999999999999906E-2</v>
      </c>
      <c r="L1364">
        <f t="shared" si="510"/>
        <v>0.1699443937884339</v>
      </c>
      <c r="M1364">
        <f t="shared" si="511"/>
        <v>0.18999999999999981</v>
      </c>
      <c r="N1364">
        <f t="shared" si="512"/>
        <v>0.18799999996525085</v>
      </c>
      <c r="O1364">
        <f t="shared" si="513"/>
        <v>0.15777777777777779</v>
      </c>
      <c r="P1364">
        <f t="shared" si="526"/>
        <v>0.08</v>
      </c>
      <c r="Q1364">
        <f t="shared" si="522"/>
        <v>0.08</v>
      </c>
      <c r="R1364">
        <f t="shared" si="515"/>
        <v>0.08</v>
      </c>
      <c r="S1364">
        <f t="shared" si="516"/>
        <v>0.06</v>
      </c>
      <c r="T1364">
        <f t="shared" si="517"/>
        <v>0.1</v>
      </c>
      <c r="U1364">
        <f t="shared" si="523"/>
        <v>0.08</v>
      </c>
      <c r="V1364">
        <f t="shared" si="504"/>
        <v>0.18799999996525085</v>
      </c>
      <c r="W1364">
        <f t="shared" si="524"/>
        <v>0.16994327046844646</v>
      </c>
      <c r="X1364">
        <f t="shared" si="525"/>
        <v>0.21003761588581793</v>
      </c>
      <c r="Y1364" t="b">
        <f t="shared" si="527"/>
        <v>0</v>
      </c>
    </row>
    <row xmlns:x14ac="http://schemas.microsoft.com/office/spreadsheetml/2009/9/ac" r="1365" x14ac:dyDescent="0.45">
      <c r="A1365">
        <v>6.7899999999998801</v>
      </c>
      <c r="B1365">
        <f t="shared" si="505"/>
        <v>0.16299999999999976</v>
      </c>
      <c r="C1365" t="b">
        <f t="shared" si="518"/>
        <v>1</v>
      </c>
      <c r="D1365" t="b">
        <f t="shared" si="506"/>
        <v>1</v>
      </c>
      <c r="E1365">
        <f t="shared" si="514"/>
        <v>6.7899999999998801</v>
      </c>
      <c r="F1365">
        <f t="shared" si="519"/>
        <v>0.16299999999999976</v>
      </c>
      <c r="G1365">
        <f t="shared" si="507"/>
        <v>0.21003668714628798</v>
      </c>
      <c r="H1365">
        <f t="shared" si="508"/>
        <v>3.4999999999999906E-2</v>
      </c>
      <c r="I1365" t="b">
        <f t="shared" si="520"/>
        <v>1</v>
      </c>
      <c r="J1365">
        <f t="shared" si="509"/>
        <v>6.7899999999998801</v>
      </c>
      <c r="K1365">
        <f t="shared" si="521"/>
        <v>3.4999999999999906E-2</v>
      </c>
      <c r="L1365">
        <f t="shared" si="510"/>
        <v>0.1699446711255711</v>
      </c>
      <c r="M1365">
        <f t="shared" si="511"/>
        <v>0.18999999999999984</v>
      </c>
      <c r="N1365">
        <f t="shared" si="512"/>
        <v>0.18799999996732369</v>
      </c>
      <c r="O1365">
        <f t="shared" si="513"/>
        <v>0.15777777777777779</v>
      </c>
      <c r="P1365">
        <f t="shared" si="526"/>
        <v>0.08</v>
      </c>
      <c r="Q1365">
        <f t="shared" si="522"/>
        <v>0.08</v>
      </c>
      <c r="R1365">
        <f t="shared" si="515"/>
        <v>0.08</v>
      </c>
      <c r="S1365">
        <f t="shared" si="516"/>
        <v>0.06</v>
      </c>
      <c r="T1365">
        <f t="shared" si="517"/>
        <v>0.1</v>
      </c>
      <c r="U1365">
        <f t="shared" si="523"/>
        <v>0.08</v>
      </c>
      <c r="V1365">
        <f t="shared" ref="V1365:V1428" si="528">MAX(IF(Y1365,MAX(H1365,$AB$6+$AF$13),MAX(T1365,$AB$6+$AF$13)),O1365,N1365)</f>
        <v>0.18799999996732369</v>
      </c>
      <c r="W1365">
        <f t="shared" si="524"/>
        <v>0.16994355340816547</v>
      </c>
      <c r="X1365">
        <f t="shared" si="525"/>
        <v>0.21003742827580474</v>
      </c>
      <c r="Y1365" t="b">
        <f t="shared" si="527"/>
        <v>0</v>
      </c>
    </row>
    <row xmlns:x14ac="http://schemas.microsoft.com/office/spreadsheetml/2009/9/ac" r="1366" x14ac:dyDescent="0.45">
      <c r="A1366">
        <v>6.79499999999988</v>
      </c>
      <c r="B1366">
        <f t="shared" si="505"/>
        <v>0.16299999999999976</v>
      </c>
      <c r="C1366" t="b">
        <f t="shared" si="518"/>
        <v>1</v>
      </c>
      <c r="D1366" t="b">
        <f t="shared" si="506"/>
        <v>1</v>
      </c>
      <c r="E1366">
        <f t="shared" si="514"/>
        <v>6.79499999999988</v>
      </c>
      <c r="F1366">
        <f t="shared" si="519"/>
        <v>0.16299999999999976</v>
      </c>
      <c r="G1366">
        <f t="shared" si="507"/>
        <v>0.21003650416838249</v>
      </c>
      <c r="H1366">
        <f t="shared" si="508"/>
        <v>3.4999999999999906E-2</v>
      </c>
      <c r="I1366" t="b">
        <f t="shared" si="520"/>
        <v>1</v>
      </c>
      <c r="J1366">
        <f t="shared" si="509"/>
        <v>6.79499999999988</v>
      </c>
      <c r="K1366">
        <f t="shared" si="521"/>
        <v>3.4999999999999906E-2</v>
      </c>
      <c r="L1366">
        <f t="shared" si="510"/>
        <v>0.16994494707948354</v>
      </c>
      <c r="M1366">
        <f t="shared" si="511"/>
        <v>0.18999999999999984</v>
      </c>
      <c r="N1366">
        <f t="shared" si="512"/>
        <v>0.18799999996947714</v>
      </c>
      <c r="O1366">
        <f t="shared" si="513"/>
        <v>0.15777777777777779</v>
      </c>
      <c r="P1366">
        <f t="shared" si="526"/>
        <v>0.08</v>
      </c>
      <c r="Q1366">
        <f t="shared" si="522"/>
        <v>0.08</v>
      </c>
      <c r="R1366">
        <f t="shared" si="515"/>
        <v>0.08</v>
      </c>
      <c r="S1366">
        <f t="shared" si="516"/>
        <v>0.06</v>
      </c>
      <c r="T1366">
        <f t="shared" si="517"/>
        <v>0.1</v>
      </c>
      <c r="U1366">
        <f t="shared" si="523"/>
        <v>0.08</v>
      </c>
      <c r="V1366">
        <f t="shared" si="528"/>
        <v>0.18799999996947714</v>
      </c>
      <c r="W1366">
        <f t="shared" si="524"/>
        <v>0.16994383493671675</v>
      </c>
      <c r="X1366">
        <f t="shared" si="525"/>
        <v>0.21003724160150039</v>
      </c>
      <c r="Y1366" t="b">
        <f t="shared" si="527"/>
        <v>0</v>
      </c>
    </row>
    <row xmlns:x14ac="http://schemas.microsoft.com/office/spreadsheetml/2009/9/ac" r="1367" x14ac:dyDescent="0.45">
      <c r="A1367">
        <v>6.7999999999998799</v>
      </c>
      <c r="B1367">
        <f t="shared" si="505"/>
        <v>0.16299999999999978</v>
      </c>
      <c r="C1367" t="b">
        <f t="shared" si="518"/>
        <v>1</v>
      </c>
      <c r="D1367" t="b">
        <f t="shared" si="506"/>
        <v>1</v>
      </c>
      <c r="E1367">
        <f t="shared" si="514"/>
        <v>6.7999999999998799</v>
      </c>
      <c r="F1367">
        <f t="shared" si="519"/>
        <v>0.16299999999999978</v>
      </c>
      <c r="G1367">
        <f t="shared" si="507"/>
        <v>0.21003632210308315</v>
      </c>
      <c r="H1367">
        <f t="shared" si="508"/>
        <v>3.499999999999992E-2</v>
      </c>
      <c r="I1367" t="b">
        <f t="shared" si="520"/>
        <v>1</v>
      </c>
      <c r="J1367">
        <f t="shared" si="509"/>
        <v>6.7999999999998799</v>
      </c>
      <c r="K1367">
        <f t="shared" si="521"/>
        <v>3.499999999999992E-2</v>
      </c>
      <c r="L1367">
        <f t="shared" si="510"/>
        <v>0.16994522165707016</v>
      </c>
      <c r="M1367">
        <f t="shared" si="511"/>
        <v>0.18999999999999984</v>
      </c>
      <c r="N1367">
        <f t="shared" si="512"/>
        <v>0.187999999971699</v>
      </c>
      <c r="O1367">
        <f t="shared" si="513"/>
        <v>0.15777777777777779</v>
      </c>
      <c r="P1367">
        <f t="shared" si="526"/>
        <v>0.08</v>
      </c>
      <c r="Q1367">
        <f t="shared" si="522"/>
        <v>0.08</v>
      </c>
      <c r="R1367">
        <f t="shared" si="515"/>
        <v>0.08</v>
      </c>
      <c r="S1367">
        <f t="shared" si="516"/>
        <v>0.06</v>
      </c>
      <c r="T1367">
        <f t="shared" si="517"/>
        <v>0.1</v>
      </c>
      <c r="U1367">
        <f t="shared" si="523"/>
        <v>0.08</v>
      </c>
      <c r="V1367">
        <f t="shared" si="528"/>
        <v>0.187999999971699</v>
      </c>
      <c r="W1367">
        <f t="shared" si="524"/>
        <v>0.16994411506113852</v>
      </c>
      <c r="X1367">
        <f t="shared" si="525"/>
        <v>0.21003705585823801</v>
      </c>
      <c r="Y1367" t="b">
        <f t="shared" si="527"/>
        <v>0</v>
      </c>
    </row>
    <row xmlns:x14ac="http://schemas.microsoft.com/office/spreadsheetml/2009/9/ac" r="1368" x14ac:dyDescent="0.45">
      <c r="A1368">
        <v>6.8049999999998798</v>
      </c>
      <c r="B1368">
        <f t="shared" si="505"/>
        <v>0.16299999999999978</v>
      </c>
      <c r="C1368" t="b">
        <f t="shared" si="518"/>
        <v>1</v>
      </c>
      <c r="D1368" t="b">
        <f t="shared" si="506"/>
        <v>1</v>
      </c>
      <c r="E1368">
        <f t="shared" si="514"/>
        <v>6.8049999999998798</v>
      </c>
      <c r="F1368">
        <f t="shared" si="519"/>
        <v>0.16299999999999978</v>
      </c>
      <c r="G1368">
        <f t="shared" si="507"/>
        <v>0.21003614094583822</v>
      </c>
      <c r="H1368">
        <f t="shared" si="508"/>
        <v>3.499999999999992E-2</v>
      </c>
      <c r="I1368" t="b">
        <f t="shared" si="520"/>
        <v>1</v>
      </c>
      <c r="J1368">
        <f t="shared" si="509"/>
        <v>6.8049999999998798</v>
      </c>
      <c r="K1368">
        <f t="shared" si="521"/>
        <v>3.499999999999992E-2</v>
      </c>
      <c r="L1368">
        <f t="shared" si="510"/>
        <v>0.16994549486519528</v>
      </c>
      <c r="M1368">
        <f t="shared" si="511"/>
        <v>0.18999999999999984</v>
      </c>
      <c r="N1368">
        <f t="shared" si="512"/>
        <v>0.18799999997397723</v>
      </c>
      <c r="O1368">
        <f t="shared" si="513"/>
        <v>0.15777777777777779</v>
      </c>
      <c r="P1368">
        <f t="shared" si="526"/>
        <v>0.08</v>
      </c>
      <c r="Q1368">
        <f t="shared" si="522"/>
        <v>0.08</v>
      </c>
      <c r="R1368">
        <f t="shared" si="515"/>
        <v>0.08</v>
      </c>
      <c r="S1368">
        <f t="shared" si="516"/>
        <v>0.06</v>
      </c>
      <c r="T1368">
        <f t="shared" si="517"/>
        <v>0.1</v>
      </c>
      <c r="U1368">
        <f t="shared" si="523"/>
        <v>0.08</v>
      </c>
      <c r="V1368">
        <f t="shared" si="528"/>
        <v>0.18799999997397723</v>
      </c>
      <c r="W1368">
        <f t="shared" si="524"/>
        <v>0.1699443937884339</v>
      </c>
      <c r="X1368">
        <f t="shared" si="525"/>
        <v>0.21003687104137403</v>
      </c>
      <c r="Y1368" t="b">
        <f t="shared" si="527"/>
        <v>0</v>
      </c>
    </row>
    <row xmlns:x14ac="http://schemas.microsoft.com/office/spreadsheetml/2009/9/ac" r="1369" x14ac:dyDescent="0.45">
      <c r="A1369">
        <v>6.8099999999998797</v>
      </c>
      <c r="B1369">
        <f t="shared" si="505"/>
        <v>0.16299999999999981</v>
      </c>
      <c r="C1369" t="b">
        <f t="shared" si="518"/>
        <v>1</v>
      </c>
      <c r="D1369" t="b">
        <f t="shared" si="506"/>
        <v>1</v>
      </c>
      <c r="E1369">
        <f t="shared" si="514"/>
        <v>6.8099999999998797</v>
      </c>
      <c r="F1369">
        <f t="shared" si="519"/>
        <v>0.16299999999999981</v>
      </c>
      <c r="G1369">
        <f t="shared" si="507"/>
        <v>0.21003596069211888</v>
      </c>
      <c r="H1369">
        <f t="shared" si="508"/>
        <v>3.4999999999999934E-2</v>
      </c>
      <c r="I1369" t="b">
        <f t="shared" si="520"/>
        <v>1</v>
      </c>
      <c r="J1369">
        <f t="shared" si="509"/>
        <v>6.8099999999998797</v>
      </c>
      <c r="K1369">
        <f t="shared" si="521"/>
        <v>3.4999999999999934E-2</v>
      </c>
      <c r="L1369">
        <f t="shared" si="510"/>
        <v>0.16994576671068923</v>
      </c>
      <c r="M1369">
        <f t="shared" si="511"/>
        <v>0.18999999999999986</v>
      </c>
      <c r="N1369">
        <f t="shared" si="512"/>
        <v>0.18799999997629985</v>
      </c>
      <c r="O1369">
        <f t="shared" si="513"/>
        <v>0.15777777777777779</v>
      </c>
      <c r="P1369">
        <f t="shared" si="526"/>
        <v>0.08</v>
      </c>
      <c r="Q1369">
        <f t="shared" si="522"/>
        <v>0.08</v>
      </c>
      <c r="R1369">
        <f t="shared" si="515"/>
        <v>0.08</v>
      </c>
      <c r="S1369">
        <f t="shared" si="516"/>
        <v>0.06</v>
      </c>
      <c r="T1369">
        <f t="shared" si="517"/>
        <v>0.1</v>
      </c>
      <c r="U1369">
        <f t="shared" si="523"/>
        <v>0.08</v>
      </c>
      <c r="V1369">
        <f t="shared" si="528"/>
        <v>0.18799999997629985</v>
      </c>
      <c r="W1369">
        <f t="shared" si="524"/>
        <v>0.1699446711255711</v>
      </c>
      <c r="X1369">
        <f t="shared" si="525"/>
        <v>0.21003668714628798</v>
      </c>
      <c r="Y1369" t="b">
        <f t="shared" si="527"/>
        <v>0</v>
      </c>
    </row>
    <row xmlns:x14ac="http://schemas.microsoft.com/office/spreadsheetml/2009/9/ac" r="1370" x14ac:dyDescent="0.45">
      <c r="A1370">
        <v>6.8149999999998796</v>
      </c>
      <c r="B1370">
        <f t="shared" si="505"/>
        <v>0.16299999999999984</v>
      </c>
      <c r="C1370" t="b">
        <f t="shared" si="518"/>
        <v>1</v>
      </c>
      <c r="D1370" t="b">
        <f t="shared" si="506"/>
        <v>1</v>
      </c>
      <c r="E1370">
        <f t="shared" si="514"/>
        <v>6.8149999999998796</v>
      </c>
      <c r="F1370">
        <f t="shared" si="519"/>
        <v>0.16299999999999984</v>
      </c>
      <c r="G1370">
        <f t="shared" si="507"/>
        <v>0.21003578133741868</v>
      </c>
      <c r="H1370">
        <f t="shared" si="508"/>
        <v>3.4999999999999934E-2</v>
      </c>
      <c r="I1370" t="b">
        <f t="shared" si="520"/>
        <v>1</v>
      </c>
      <c r="J1370">
        <f t="shared" si="509"/>
        <v>6.8149999999998796</v>
      </c>
      <c r="K1370">
        <f t="shared" si="521"/>
        <v>3.4999999999999934E-2</v>
      </c>
      <c r="L1370">
        <f t="shared" si="510"/>
        <v>0.16994603720034812</v>
      </c>
      <c r="M1370">
        <f t="shared" si="511"/>
        <v>0.18999999999999989</v>
      </c>
      <c r="N1370">
        <f t="shared" si="512"/>
        <v>0.18799999997865513</v>
      </c>
      <c r="O1370">
        <f t="shared" si="513"/>
        <v>0.15777777777777779</v>
      </c>
      <c r="P1370">
        <f t="shared" si="526"/>
        <v>0.08</v>
      </c>
      <c r="Q1370">
        <f t="shared" si="522"/>
        <v>0.08</v>
      </c>
      <c r="R1370">
        <f t="shared" si="515"/>
        <v>0.08</v>
      </c>
      <c r="S1370">
        <f t="shared" si="516"/>
        <v>0.06</v>
      </c>
      <c r="T1370">
        <f t="shared" si="517"/>
        <v>0.1</v>
      </c>
      <c r="U1370">
        <f t="shared" si="523"/>
        <v>0.08</v>
      </c>
      <c r="V1370">
        <f t="shared" si="528"/>
        <v>0.18799999997865513</v>
      </c>
      <c r="W1370">
        <f t="shared" si="524"/>
        <v>0.16994494707948354</v>
      </c>
      <c r="X1370">
        <f t="shared" si="525"/>
        <v>0.21003650416838249</v>
      </c>
      <c r="Y1370" t="b">
        <f t="shared" si="527"/>
        <v>0</v>
      </c>
    </row>
    <row xmlns:x14ac="http://schemas.microsoft.com/office/spreadsheetml/2009/9/ac" r="1371" x14ac:dyDescent="0.45">
      <c r="A1371">
        <v>6.8199999999998804</v>
      </c>
      <c r="B1371">
        <f t="shared" si="505"/>
        <v>0.16299999999999984</v>
      </c>
      <c r="C1371" t="b">
        <f t="shared" si="518"/>
        <v>1</v>
      </c>
      <c r="D1371" t="b">
        <f t="shared" si="506"/>
        <v>1</v>
      </c>
      <c r="E1371">
        <f t="shared" si="514"/>
        <v>6.8199999999998804</v>
      </c>
      <c r="F1371">
        <f t="shared" si="519"/>
        <v>0.16299999999999984</v>
      </c>
      <c r="G1371">
        <f t="shared" si="507"/>
        <v>0.21003560287725381</v>
      </c>
      <c r="H1371">
        <f t="shared" si="508"/>
        <v>3.4999999999999948E-2</v>
      </c>
      <c r="I1371" t="b">
        <f t="shared" si="520"/>
        <v>1</v>
      </c>
      <c r="J1371">
        <f t="shared" si="509"/>
        <v>6.8199999999998804</v>
      </c>
      <c r="K1371">
        <f t="shared" si="521"/>
        <v>3.4999999999999948E-2</v>
      </c>
      <c r="L1371">
        <f t="shared" si="510"/>
        <v>0.16994630634093422</v>
      </c>
      <c r="M1371">
        <f t="shared" si="511"/>
        <v>0.18999999999999989</v>
      </c>
      <c r="N1371">
        <f t="shared" si="512"/>
        <v>0.18799999998103151</v>
      </c>
      <c r="O1371">
        <f t="shared" si="513"/>
        <v>0.15777777777777779</v>
      </c>
      <c r="P1371">
        <f t="shared" si="526"/>
        <v>0.08</v>
      </c>
      <c r="Q1371">
        <f t="shared" si="522"/>
        <v>0.08</v>
      </c>
      <c r="R1371">
        <f t="shared" si="515"/>
        <v>0.08</v>
      </c>
      <c r="S1371">
        <f t="shared" si="516"/>
        <v>0.06</v>
      </c>
      <c r="T1371">
        <f t="shared" si="517"/>
        <v>0.1</v>
      </c>
      <c r="U1371">
        <f t="shared" si="523"/>
        <v>0.08</v>
      </c>
      <c r="V1371">
        <f t="shared" si="528"/>
        <v>0.18799999998103151</v>
      </c>
      <c r="W1371">
        <f t="shared" si="524"/>
        <v>0.16994522165707016</v>
      </c>
      <c r="X1371">
        <f t="shared" si="525"/>
        <v>0.21003632210308315</v>
      </c>
      <c r="Y1371" t="b">
        <f t="shared" si="527"/>
        <v>0</v>
      </c>
    </row>
    <row xmlns:x14ac="http://schemas.microsoft.com/office/spreadsheetml/2009/9/ac" r="1372" x14ac:dyDescent="0.45">
      <c r="A1372">
        <v>6.8249999999998803</v>
      </c>
      <c r="B1372">
        <f t="shared" si="505"/>
        <v>0.16299999999999984</v>
      </c>
      <c r="C1372" t="b">
        <f t="shared" si="518"/>
        <v>1</v>
      </c>
      <c r="D1372" t="b">
        <f t="shared" si="506"/>
        <v>1</v>
      </c>
      <c r="E1372">
        <f t="shared" si="514"/>
        <v>6.8249999999998803</v>
      </c>
      <c r="F1372">
        <f t="shared" si="519"/>
        <v>0.16299999999999984</v>
      </c>
      <c r="G1372">
        <f t="shared" si="507"/>
        <v>0.21003542530716268</v>
      </c>
      <c r="H1372">
        <f t="shared" si="508"/>
        <v>3.4999999999999948E-2</v>
      </c>
      <c r="I1372" t="b">
        <f t="shared" si="520"/>
        <v>1</v>
      </c>
      <c r="J1372">
        <f t="shared" si="509"/>
        <v>6.8249999999998803</v>
      </c>
      <c r="K1372">
        <f t="shared" si="521"/>
        <v>3.4999999999999948E-2</v>
      </c>
      <c r="L1372">
        <f t="shared" si="510"/>
        <v>0.16994657413917602</v>
      </c>
      <c r="M1372">
        <f t="shared" si="511"/>
        <v>0.18999999999999989</v>
      </c>
      <c r="N1372">
        <f t="shared" si="512"/>
        <v>0.18799999998341771</v>
      </c>
      <c r="O1372">
        <f t="shared" si="513"/>
        <v>0.15777777777777779</v>
      </c>
      <c r="P1372">
        <f t="shared" si="526"/>
        <v>0.08</v>
      </c>
      <c r="Q1372">
        <f t="shared" si="522"/>
        <v>0.08</v>
      </c>
      <c r="R1372">
        <f t="shared" si="515"/>
        <v>0.08</v>
      </c>
      <c r="S1372">
        <f t="shared" si="516"/>
        <v>0.06</v>
      </c>
      <c r="T1372">
        <f t="shared" si="517"/>
        <v>0.1</v>
      </c>
      <c r="U1372">
        <f t="shared" si="523"/>
        <v>0.08</v>
      </c>
      <c r="V1372">
        <f t="shared" si="528"/>
        <v>0.18799999998341771</v>
      </c>
      <c r="W1372">
        <f t="shared" si="524"/>
        <v>0.16994549486519528</v>
      </c>
      <c r="X1372">
        <f t="shared" si="525"/>
        <v>0.21003614094583822</v>
      </c>
      <c r="Y1372" t="b">
        <f t="shared" si="527"/>
        <v>0</v>
      </c>
    </row>
    <row xmlns:x14ac="http://schemas.microsoft.com/office/spreadsheetml/2009/9/ac" r="1373" x14ac:dyDescent="0.45">
      <c r="A1373">
        <v>6.8299999999998802</v>
      </c>
      <c r="B1373">
        <f t="shared" si="505"/>
        <v>0.16299999999999987</v>
      </c>
      <c r="C1373" t="b">
        <f t="shared" si="518"/>
        <v>1</v>
      </c>
      <c r="D1373" t="b">
        <f t="shared" si="506"/>
        <v>1</v>
      </c>
      <c r="E1373">
        <f t="shared" si="514"/>
        <v>6.8299999999998802</v>
      </c>
      <c r="F1373">
        <f t="shared" si="519"/>
        <v>0.16299999999999987</v>
      </c>
      <c r="G1373">
        <f t="shared" si="507"/>
        <v>0.21003524862270612</v>
      </c>
      <c r="H1373">
        <f t="shared" si="508"/>
        <v>3.4999999999999948E-2</v>
      </c>
      <c r="I1373" t="b">
        <f t="shared" si="520"/>
        <v>1</v>
      </c>
      <c r="J1373">
        <f t="shared" si="509"/>
        <v>6.8299999999998802</v>
      </c>
      <c r="K1373">
        <f t="shared" si="521"/>
        <v>3.4999999999999948E-2</v>
      </c>
      <c r="L1373">
        <f t="shared" si="510"/>
        <v>0.16994684060176851</v>
      </c>
      <c r="M1373">
        <f t="shared" si="511"/>
        <v>0.18999999999999989</v>
      </c>
      <c r="N1373">
        <f t="shared" si="512"/>
        <v>0.1879999999858028</v>
      </c>
      <c r="O1373">
        <f t="shared" si="513"/>
        <v>0.15777777777777779</v>
      </c>
      <c r="P1373">
        <f t="shared" si="526"/>
        <v>0.08</v>
      </c>
      <c r="Q1373">
        <f t="shared" si="522"/>
        <v>0.08</v>
      </c>
      <c r="R1373">
        <f t="shared" si="515"/>
        <v>0.08</v>
      </c>
      <c r="S1373">
        <f t="shared" si="516"/>
        <v>0.06</v>
      </c>
      <c r="T1373">
        <f t="shared" si="517"/>
        <v>0.1</v>
      </c>
      <c r="U1373">
        <f t="shared" si="523"/>
        <v>0.08</v>
      </c>
      <c r="V1373">
        <f t="shared" si="528"/>
        <v>0.1879999999858028</v>
      </c>
      <c r="W1373">
        <f t="shared" si="524"/>
        <v>0.16994576671068923</v>
      </c>
      <c r="X1373">
        <f t="shared" si="525"/>
        <v>0.21003596069211888</v>
      </c>
      <c r="Y1373" t="b">
        <f t="shared" si="527"/>
        <v>0</v>
      </c>
    </row>
    <row xmlns:x14ac="http://schemas.microsoft.com/office/spreadsheetml/2009/9/ac" r="1374" x14ac:dyDescent="0.45">
      <c r="A1374">
        <v>6.8349999999998801</v>
      </c>
      <c r="B1374">
        <f t="shared" si="505"/>
        <v>0.16299999999999989</v>
      </c>
      <c r="C1374" t="b">
        <f t="shared" si="518"/>
        <v>1</v>
      </c>
      <c r="D1374" t="b">
        <f t="shared" si="506"/>
        <v>1</v>
      </c>
      <c r="E1374">
        <f t="shared" si="514"/>
        <v>6.8349999999998801</v>
      </c>
      <c r="F1374">
        <f t="shared" si="519"/>
        <v>0.16299999999999989</v>
      </c>
      <c r="G1374">
        <f t="shared" si="507"/>
        <v>0.21003507281946693</v>
      </c>
      <c r="H1374">
        <f t="shared" si="508"/>
        <v>3.4999999999999962E-2</v>
      </c>
      <c r="I1374" t="b">
        <f t="shared" si="520"/>
        <v>1</v>
      </c>
      <c r="J1374">
        <f t="shared" si="509"/>
        <v>6.8349999999998801</v>
      </c>
      <c r="K1374">
        <f t="shared" si="521"/>
        <v>3.4999999999999962E-2</v>
      </c>
      <c r="L1374">
        <f t="shared" si="510"/>
        <v>0.16994710573537331</v>
      </c>
      <c r="M1374">
        <f t="shared" si="511"/>
        <v>0.18999999999999995</v>
      </c>
      <c r="N1374">
        <f t="shared" si="512"/>
        <v>0.18799999998817613</v>
      </c>
      <c r="O1374">
        <f t="shared" si="513"/>
        <v>0.15777777777777779</v>
      </c>
      <c r="P1374">
        <f t="shared" si="526"/>
        <v>0.08</v>
      </c>
      <c r="Q1374">
        <f t="shared" si="522"/>
        <v>0.08</v>
      </c>
      <c r="R1374">
        <f t="shared" si="515"/>
        <v>0.08</v>
      </c>
      <c r="S1374">
        <f t="shared" si="516"/>
        <v>0.06</v>
      </c>
      <c r="T1374">
        <f t="shared" si="517"/>
        <v>0.1</v>
      </c>
      <c r="U1374">
        <f t="shared" si="523"/>
        <v>0.08</v>
      </c>
      <c r="V1374">
        <f t="shared" si="528"/>
        <v>0.18799999998817613</v>
      </c>
      <c r="W1374">
        <f t="shared" si="524"/>
        <v>0.16994603720034812</v>
      </c>
      <c r="X1374">
        <f t="shared" si="525"/>
        <v>0.21003578133741868</v>
      </c>
      <c r="Y1374" t="b">
        <f t="shared" si="527"/>
        <v>0</v>
      </c>
    </row>
    <row xmlns:x14ac="http://schemas.microsoft.com/office/spreadsheetml/2009/9/ac" r="1375" x14ac:dyDescent="0.45">
      <c r="A1375">
        <v>6.83999999999988</v>
      </c>
      <c r="B1375">
        <f t="shared" si="505"/>
        <v>0.16299999999999992</v>
      </c>
      <c r="C1375" t="b">
        <f t="shared" si="518"/>
        <v>1</v>
      </c>
      <c r="D1375" t="b">
        <f t="shared" si="506"/>
        <v>1</v>
      </c>
      <c r="E1375">
        <f t="shared" si="514"/>
        <v>6.83999999999988</v>
      </c>
      <c r="F1375">
        <f t="shared" si="519"/>
        <v>0.16299999999999992</v>
      </c>
      <c r="G1375">
        <f t="shared" si="507"/>
        <v>0.21003489789305008</v>
      </c>
      <c r="H1375">
        <f t="shared" si="508"/>
        <v>3.4999999999999976E-2</v>
      </c>
      <c r="I1375" t="b">
        <f t="shared" si="520"/>
        <v>1</v>
      </c>
      <c r="J1375">
        <f t="shared" si="509"/>
        <v>6.83999999999988</v>
      </c>
      <c r="K1375">
        <f t="shared" si="521"/>
        <v>3.4999999999999976E-2</v>
      </c>
      <c r="L1375">
        <f t="shared" si="510"/>
        <v>0.16994736954661871</v>
      </c>
      <c r="M1375">
        <f t="shared" si="511"/>
        <v>0.18999999999999995</v>
      </c>
      <c r="N1375">
        <f t="shared" si="512"/>
        <v>0.18799999999052747</v>
      </c>
      <c r="O1375">
        <f t="shared" si="513"/>
        <v>0.15777777777777779</v>
      </c>
      <c r="P1375">
        <f t="shared" si="526"/>
        <v>0.08</v>
      </c>
      <c r="Q1375">
        <f t="shared" si="522"/>
        <v>0.08</v>
      </c>
      <c r="R1375">
        <f t="shared" si="515"/>
        <v>0.08</v>
      </c>
      <c r="S1375">
        <f t="shared" si="516"/>
        <v>0.06</v>
      </c>
      <c r="T1375">
        <f t="shared" si="517"/>
        <v>0.1</v>
      </c>
      <c r="U1375">
        <f t="shared" si="523"/>
        <v>0.08</v>
      </c>
      <c r="V1375">
        <f t="shared" si="528"/>
        <v>0.18799999999052747</v>
      </c>
      <c r="W1375">
        <f t="shared" si="524"/>
        <v>0.16994630634093422</v>
      </c>
      <c r="X1375">
        <f t="shared" si="525"/>
        <v>0.21003560287725381</v>
      </c>
      <c r="Y1375" t="b">
        <f t="shared" si="527"/>
        <v>0</v>
      </c>
    </row>
    <row xmlns:x14ac="http://schemas.microsoft.com/office/spreadsheetml/2009/9/ac" r="1376" x14ac:dyDescent="0.45">
      <c r="A1376">
        <v>6.8449999999998798</v>
      </c>
      <c r="B1376">
        <f t="shared" si="505"/>
        <v>0.16299999999999992</v>
      </c>
      <c r="C1376" t="b">
        <f t="shared" si="518"/>
        <v>1</v>
      </c>
      <c r="D1376" t="b">
        <f t="shared" si="506"/>
        <v>1</v>
      </c>
      <c r="E1376">
        <f t="shared" si="514"/>
        <v>6.8449999999998798</v>
      </c>
      <c r="F1376">
        <f t="shared" si="519"/>
        <v>0.16299999999999992</v>
      </c>
      <c r="G1376">
        <f t="shared" si="507"/>
        <v>0.21003472383908239</v>
      </c>
      <c r="H1376">
        <f t="shared" si="508"/>
        <v>3.4999999999999976E-2</v>
      </c>
      <c r="I1376" t="b">
        <f t="shared" si="520"/>
        <v>1</v>
      </c>
      <c r="J1376">
        <f t="shared" si="509"/>
        <v>6.8449999999998798</v>
      </c>
      <c r="K1376">
        <f t="shared" si="521"/>
        <v>3.4999999999999976E-2</v>
      </c>
      <c r="L1376">
        <f t="shared" si="510"/>
        <v>0.16994763204210006</v>
      </c>
      <c r="M1376">
        <f t="shared" si="511"/>
        <v>0.18999999999999995</v>
      </c>
      <c r="N1376">
        <f t="shared" si="512"/>
        <v>0.18799999999284708</v>
      </c>
      <c r="O1376">
        <f t="shared" si="513"/>
        <v>0.15777777777777779</v>
      </c>
      <c r="P1376">
        <f t="shared" si="526"/>
        <v>0.08</v>
      </c>
      <c r="Q1376">
        <f t="shared" si="522"/>
        <v>0.08</v>
      </c>
      <c r="R1376">
        <f t="shared" si="515"/>
        <v>0.08</v>
      </c>
      <c r="S1376">
        <f t="shared" si="516"/>
        <v>0.06</v>
      </c>
      <c r="T1376">
        <f t="shared" si="517"/>
        <v>0.1</v>
      </c>
      <c r="U1376">
        <f t="shared" si="523"/>
        <v>0.08</v>
      </c>
      <c r="V1376">
        <f t="shared" si="528"/>
        <v>0.18799999999284708</v>
      </c>
      <c r="W1376">
        <f t="shared" si="524"/>
        <v>0.16994657413917602</v>
      </c>
      <c r="X1376">
        <f t="shared" si="525"/>
        <v>0.21003542530716268</v>
      </c>
      <c r="Y1376" t="b">
        <f t="shared" si="527"/>
        <v>0</v>
      </c>
    </row>
    <row xmlns:x14ac="http://schemas.microsoft.com/office/spreadsheetml/2009/9/ac" r="1377" x14ac:dyDescent="0.45">
      <c r="A1377">
        <v>6.8499999999998797</v>
      </c>
      <c r="B1377">
        <f t="shared" si="505"/>
        <v>0.16299999999999995</v>
      </c>
      <c r="C1377" t="b">
        <f t="shared" si="518"/>
        <v>1</v>
      </c>
      <c r="D1377" t="b">
        <f t="shared" si="506"/>
        <v>1</v>
      </c>
      <c r="E1377">
        <f t="shared" si="514"/>
        <v>6.8499999999998797</v>
      </c>
      <c r="F1377">
        <f t="shared" si="519"/>
        <v>0.16299999999999995</v>
      </c>
      <c r="G1377">
        <f t="shared" si="507"/>
        <v>0.21003455065321242</v>
      </c>
      <c r="H1377">
        <f t="shared" si="508"/>
        <v>3.4999999999999976E-2</v>
      </c>
      <c r="I1377" t="b">
        <f t="shared" si="520"/>
        <v>1</v>
      </c>
      <c r="J1377">
        <f t="shared" si="509"/>
        <v>6.8499999999998797</v>
      </c>
      <c r="K1377">
        <f t="shared" si="521"/>
        <v>3.4999999999999976E-2</v>
      </c>
      <c r="L1377">
        <f t="shared" si="510"/>
        <v>0.16994789322837972</v>
      </c>
      <c r="M1377">
        <f t="shared" si="511"/>
        <v>0.18999999999999995</v>
      </c>
      <c r="N1377">
        <f t="shared" si="512"/>
        <v>0.18799999999512557</v>
      </c>
      <c r="O1377">
        <f t="shared" si="513"/>
        <v>0.15777777777777779</v>
      </c>
      <c r="P1377">
        <f t="shared" si="526"/>
        <v>0.08</v>
      </c>
      <c r="Q1377">
        <f t="shared" si="522"/>
        <v>0.08</v>
      </c>
      <c r="R1377">
        <f t="shared" si="515"/>
        <v>0.08</v>
      </c>
      <c r="S1377">
        <f t="shared" si="516"/>
        <v>0.06</v>
      </c>
      <c r="T1377">
        <f t="shared" si="517"/>
        <v>0.1</v>
      </c>
      <c r="U1377">
        <f t="shared" si="523"/>
        <v>0.08</v>
      </c>
      <c r="V1377">
        <f t="shared" si="528"/>
        <v>0.18799999999512557</v>
      </c>
      <c r="W1377">
        <f t="shared" si="524"/>
        <v>0.16994684060176851</v>
      </c>
      <c r="X1377">
        <f t="shared" si="525"/>
        <v>0.21003524862270612</v>
      </c>
      <c r="Y1377" t="b">
        <f t="shared" si="527"/>
        <v>0</v>
      </c>
    </row>
    <row xmlns:x14ac="http://schemas.microsoft.com/office/spreadsheetml/2009/9/ac" r="1378" x14ac:dyDescent="0.45">
      <c r="A1378">
        <v>6.8549999999998796</v>
      </c>
      <c r="B1378">
        <f t="shared" si="505"/>
        <v>0.16299999999999995</v>
      </c>
      <c r="C1378" t="b">
        <f t="shared" si="518"/>
        <v>1</v>
      </c>
      <c r="D1378" t="b">
        <f t="shared" si="506"/>
        <v>1</v>
      </c>
      <c r="E1378">
        <f t="shared" si="514"/>
        <v>6.8549999999998796</v>
      </c>
      <c r="F1378">
        <f t="shared" si="519"/>
        <v>0.16299999999999995</v>
      </c>
      <c r="G1378">
        <f t="shared" si="507"/>
        <v>0.2100343783311106</v>
      </c>
      <c r="H1378">
        <f t="shared" si="508"/>
        <v>3.4999999999999989E-2</v>
      </c>
      <c r="I1378" t="b">
        <f t="shared" si="520"/>
        <v>1</v>
      </c>
      <c r="J1378">
        <f t="shared" si="509"/>
        <v>6.8549999999998796</v>
      </c>
      <c r="K1378">
        <f t="shared" si="521"/>
        <v>3.4999999999999989E-2</v>
      </c>
      <c r="L1378">
        <f t="shared" si="510"/>
        <v>0.16994815311198738</v>
      </c>
      <c r="M1378">
        <f t="shared" si="511"/>
        <v>0.18999999999999997</v>
      </c>
      <c r="N1378">
        <f t="shared" si="512"/>
        <v>0.18799999999735403</v>
      </c>
      <c r="O1378">
        <f t="shared" si="513"/>
        <v>0.15777777777777779</v>
      </c>
      <c r="P1378">
        <f t="shared" si="526"/>
        <v>0.08</v>
      </c>
      <c r="Q1378">
        <f t="shared" si="522"/>
        <v>0.08</v>
      </c>
      <c r="R1378">
        <f t="shared" si="515"/>
        <v>0.08</v>
      </c>
      <c r="S1378">
        <f t="shared" si="516"/>
        <v>0.06</v>
      </c>
      <c r="T1378">
        <f t="shared" si="517"/>
        <v>0.1</v>
      </c>
      <c r="U1378">
        <f t="shared" si="523"/>
        <v>0.08</v>
      </c>
      <c r="V1378">
        <f t="shared" si="528"/>
        <v>0.18799999999735403</v>
      </c>
      <c r="W1378">
        <f t="shared" si="524"/>
        <v>0.16994710573537331</v>
      </c>
      <c r="X1378">
        <f t="shared" si="525"/>
        <v>0.21003507281946693</v>
      </c>
      <c r="Y1378" t="b">
        <f t="shared" si="527"/>
        <v>0</v>
      </c>
    </row>
    <row xmlns:x14ac="http://schemas.microsoft.com/office/spreadsheetml/2009/9/ac" r="1379" x14ac:dyDescent="0.45">
      <c r="A1379">
        <v>6.8599999999998804</v>
      </c>
      <c r="B1379">
        <f t="shared" si="505"/>
        <v>0.16299999999999995</v>
      </c>
      <c r="C1379" t="b">
        <f t="shared" si="518"/>
        <v>1</v>
      </c>
      <c r="D1379" t="b">
        <f t="shared" si="506"/>
        <v>1</v>
      </c>
      <c r="E1379">
        <f t="shared" si="514"/>
        <v>6.8599999999998804</v>
      </c>
      <c r="F1379">
        <f t="shared" si="519"/>
        <v>0.16299999999999995</v>
      </c>
      <c r="G1379">
        <f t="shared" si="507"/>
        <v>0.21003420686846891</v>
      </c>
      <c r="H1379">
        <f t="shared" si="508"/>
        <v>3.4999999999999989E-2</v>
      </c>
      <c r="I1379" t="b">
        <f t="shared" si="520"/>
        <v>1</v>
      </c>
      <c r="J1379">
        <f t="shared" si="509"/>
        <v>6.8599999999998804</v>
      </c>
      <c r="K1379">
        <f t="shared" si="521"/>
        <v>3.4999999999999989E-2</v>
      </c>
      <c r="L1379">
        <f t="shared" si="510"/>
        <v>0.16994841169942015</v>
      </c>
      <c r="M1379">
        <f t="shared" si="511"/>
        <v>0.18999999999999997</v>
      </c>
      <c r="N1379">
        <f t="shared" si="512"/>
        <v>0.18799999999952413</v>
      </c>
      <c r="O1379">
        <f t="shared" si="513"/>
        <v>0.15777777777777779</v>
      </c>
      <c r="P1379">
        <f t="shared" si="526"/>
        <v>0.08</v>
      </c>
      <c r="Q1379">
        <f t="shared" si="522"/>
        <v>0.08</v>
      </c>
      <c r="R1379">
        <f t="shared" si="515"/>
        <v>0.08</v>
      </c>
      <c r="S1379">
        <f t="shared" si="516"/>
        <v>0.06</v>
      </c>
      <c r="T1379">
        <f t="shared" si="517"/>
        <v>0.1</v>
      </c>
      <c r="U1379">
        <f t="shared" si="523"/>
        <v>0.08</v>
      </c>
      <c r="V1379">
        <f t="shared" si="528"/>
        <v>0.18799999999952413</v>
      </c>
      <c r="W1379">
        <f t="shared" si="524"/>
        <v>0.16994736954661871</v>
      </c>
      <c r="X1379">
        <f t="shared" si="525"/>
        <v>0.21003489789305008</v>
      </c>
      <c r="Y1379" t="b">
        <f t="shared" si="527"/>
        <v>0</v>
      </c>
    </row>
    <row xmlns:x14ac="http://schemas.microsoft.com/office/spreadsheetml/2009/9/ac" r="1380" x14ac:dyDescent="0.45">
      <c r="A1380">
        <v>6.8649999999998803</v>
      </c>
      <c r="B1380">
        <f t="shared" si="505"/>
        <v>0.16299999999999998</v>
      </c>
      <c r="C1380" t="b">
        <f t="shared" si="518"/>
        <v>1</v>
      </c>
      <c r="D1380" t="b">
        <f t="shared" si="506"/>
        <v>1</v>
      </c>
      <c r="E1380">
        <f t="shared" si="514"/>
        <v>6.8649999999998803</v>
      </c>
      <c r="F1380">
        <f t="shared" si="519"/>
        <v>0.16299999999999998</v>
      </c>
      <c r="G1380">
        <f t="shared" si="507"/>
        <v>0.21003403626100065</v>
      </c>
      <c r="H1380">
        <f t="shared" si="508"/>
        <v>3.4999999999999989E-2</v>
      </c>
      <c r="I1380" t="b">
        <f t="shared" si="520"/>
        <v>1</v>
      </c>
      <c r="J1380">
        <f t="shared" si="509"/>
        <v>6.8649999999998803</v>
      </c>
      <c r="K1380">
        <f t="shared" si="521"/>
        <v>3.4999999999999989E-2</v>
      </c>
      <c r="L1380">
        <f t="shared" si="510"/>
        <v>0.1699486689971427</v>
      </c>
      <c r="M1380">
        <f t="shared" si="511"/>
        <v>0.19</v>
      </c>
      <c r="N1380">
        <f t="shared" si="512"/>
        <v>0.18800000000162803</v>
      </c>
      <c r="O1380">
        <f t="shared" si="513"/>
        <v>0.15777777777777779</v>
      </c>
      <c r="P1380">
        <f t="shared" si="526"/>
        <v>0.08</v>
      </c>
      <c r="Q1380">
        <f t="shared" si="522"/>
        <v>0.08</v>
      </c>
      <c r="R1380">
        <f t="shared" si="515"/>
        <v>0.08</v>
      </c>
      <c r="S1380">
        <f t="shared" si="516"/>
        <v>0.06</v>
      </c>
      <c r="T1380">
        <f t="shared" si="517"/>
        <v>0.1</v>
      </c>
      <c r="U1380">
        <f t="shared" si="523"/>
        <v>0.08</v>
      </c>
      <c r="V1380">
        <f t="shared" si="528"/>
        <v>0.18800000000162803</v>
      </c>
      <c r="W1380">
        <f t="shared" si="524"/>
        <v>0.16994763204210006</v>
      </c>
      <c r="X1380">
        <f t="shared" si="525"/>
        <v>0.21003472383908239</v>
      </c>
      <c r="Y1380" t="b">
        <f t="shared" si="527"/>
        <v>0</v>
      </c>
    </row>
    <row xmlns:x14ac="http://schemas.microsoft.com/office/spreadsheetml/2009/9/ac" r="1381" x14ac:dyDescent="0.45">
      <c r="A1381">
        <v>6.8699999999998802</v>
      </c>
      <c r="B1381">
        <f t="shared" si="505"/>
        <v>0.16299999999999998</v>
      </c>
      <c r="C1381" t="b">
        <f t="shared" si="518"/>
        <v>1</v>
      </c>
      <c r="D1381" t="b">
        <f t="shared" si="506"/>
        <v>1</v>
      </c>
      <c r="E1381">
        <f t="shared" si="514"/>
        <v>6.8699999999998802</v>
      </c>
      <c r="F1381">
        <f t="shared" si="519"/>
        <v>0.16299999999999998</v>
      </c>
      <c r="G1381">
        <f t="shared" si="507"/>
        <v>0.21003386650444072</v>
      </c>
      <c r="H1381">
        <f t="shared" si="508"/>
        <v>3.4999999999999989E-2</v>
      </c>
      <c r="I1381" t="b">
        <f t="shared" si="520"/>
        <v>1</v>
      </c>
      <c r="J1381">
        <f t="shared" si="509"/>
        <v>6.8699999999998802</v>
      </c>
      <c r="K1381">
        <f t="shared" si="521"/>
        <v>3.4999999999999989E-2</v>
      </c>
      <c r="L1381">
        <f t="shared" si="510"/>
        <v>0.16994892501158751</v>
      </c>
      <c r="M1381">
        <f t="shared" si="511"/>
        <v>0.19</v>
      </c>
      <c r="N1381">
        <f t="shared" si="512"/>
        <v>0.18800000000365838</v>
      </c>
      <c r="O1381">
        <f t="shared" si="513"/>
        <v>0.15777777777777779</v>
      </c>
      <c r="P1381">
        <f t="shared" si="526"/>
        <v>0.08</v>
      </c>
      <c r="Q1381">
        <f t="shared" si="522"/>
        <v>0.08</v>
      </c>
      <c r="R1381">
        <f t="shared" si="515"/>
        <v>0.08</v>
      </c>
      <c r="S1381">
        <f t="shared" si="516"/>
        <v>0.06</v>
      </c>
      <c r="T1381">
        <f t="shared" si="517"/>
        <v>0.1</v>
      </c>
      <c r="U1381">
        <f t="shared" si="523"/>
        <v>0.08</v>
      </c>
      <c r="V1381">
        <f t="shared" si="528"/>
        <v>0.18800000000365838</v>
      </c>
      <c r="W1381">
        <f t="shared" si="524"/>
        <v>0.16994789322837972</v>
      </c>
      <c r="X1381">
        <f t="shared" si="525"/>
        <v>0.21003455065321242</v>
      </c>
      <c r="Y1381" t="b">
        <f t="shared" si="527"/>
        <v>0</v>
      </c>
    </row>
    <row xmlns:x14ac="http://schemas.microsoft.com/office/spreadsheetml/2009/9/ac" r="1382" x14ac:dyDescent="0.45">
      <c r="A1382">
        <v>6.8749999999998801</v>
      </c>
      <c r="B1382">
        <f t="shared" si="505"/>
        <v>0.16300000000000001</v>
      </c>
      <c r="C1382" t="b">
        <f t="shared" si="518"/>
        <v>1</v>
      </c>
      <c r="D1382" t="b">
        <f t="shared" si="506"/>
        <v>1</v>
      </c>
      <c r="E1382">
        <f t="shared" si="514"/>
        <v>6.8749999999998801</v>
      </c>
      <c r="F1382">
        <f t="shared" si="519"/>
        <v>0.16300000000000001</v>
      </c>
      <c r="G1382">
        <f t="shared" si="507"/>
        <v>0.21003369759454515</v>
      </c>
      <c r="H1382">
        <f t="shared" si="508"/>
        <v>3.5000000000000003E-2</v>
      </c>
      <c r="I1382" t="b">
        <f t="shared" si="520"/>
        <v>1</v>
      </c>
      <c r="J1382">
        <f t="shared" si="509"/>
        <v>6.8749999999998801</v>
      </c>
      <c r="K1382">
        <f t="shared" si="521"/>
        <v>3.5000000000000003E-2</v>
      </c>
      <c r="L1382">
        <f t="shared" si="510"/>
        <v>0.16994917974915497</v>
      </c>
      <c r="M1382">
        <f t="shared" si="511"/>
        <v>0.19</v>
      </c>
      <c r="N1382">
        <f t="shared" si="512"/>
        <v>0.18800000000560846</v>
      </c>
      <c r="O1382">
        <f t="shared" si="513"/>
        <v>0.15777777777777779</v>
      </c>
      <c r="P1382">
        <f t="shared" si="526"/>
        <v>0.08</v>
      </c>
      <c r="Q1382">
        <f t="shared" si="522"/>
        <v>0.08</v>
      </c>
      <c r="R1382">
        <f t="shared" si="515"/>
        <v>0.08</v>
      </c>
      <c r="S1382">
        <f t="shared" si="516"/>
        <v>0.06</v>
      </c>
      <c r="T1382">
        <f t="shared" si="517"/>
        <v>0.1</v>
      </c>
      <c r="U1382">
        <f t="shared" si="523"/>
        <v>0.08</v>
      </c>
      <c r="V1382">
        <f t="shared" si="528"/>
        <v>0.18800000000560846</v>
      </c>
      <c r="W1382">
        <f t="shared" si="524"/>
        <v>0.16994815311198738</v>
      </c>
      <c r="X1382">
        <f t="shared" si="525"/>
        <v>0.2100343783311106</v>
      </c>
      <c r="Y1382" t="b">
        <f t="shared" si="527"/>
        <v>0</v>
      </c>
    </row>
    <row xmlns:x14ac="http://schemas.microsoft.com/office/spreadsheetml/2009/9/ac" r="1383" x14ac:dyDescent="0.45">
      <c r="A1383">
        <v>6.87999999999988</v>
      </c>
      <c r="B1383">
        <f t="shared" si="505"/>
        <v>0.16300000000000001</v>
      </c>
      <c r="C1383" t="b">
        <f t="shared" si="518"/>
        <v>1</v>
      </c>
      <c r="D1383" t="b">
        <f t="shared" si="506"/>
        <v>1</v>
      </c>
      <c r="E1383">
        <f t="shared" si="514"/>
        <v>6.87999999999988</v>
      </c>
      <c r="F1383">
        <f t="shared" si="519"/>
        <v>0.16300000000000001</v>
      </c>
      <c r="G1383">
        <f t="shared" si="507"/>
        <v>0.2100335295270912</v>
      </c>
      <c r="H1383">
        <f t="shared" si="508"/>
        <v>3.5000000000000003E-2</v>
      </c>
      <c r="I1383" t="b">
        <f t="shared" si="520"/>
        <v>1</v>
      </c>
      <c r="J1383">
        <f t="shared" si="509"/>
        <v>6.87999999999988</v>
      </c>
      <c r="K1383">
        <f t="shared" si="521"/>
        <v>3.5000000000000003E-2</v>
      </c>
      <c r="L1383">
        <f t="shared" si="510"/>
        <v>0.16994943321621347</v>
      </c>
      <c r="M1383">
        <f t="shared" si="511"/>
        <v>0.19</v>
      </c>
      <c r="N1383">
        <f t="shared" si="512"/>
        <v>0.18800000000747208</v>
      </c>
      <c r="O1383">
        <f t="shared" si="513"/>
        <v>0.15777777777777779</v>
      </c>
      <c r="P1383">
        <f t="shared" si="526"/>
        <v>0.08</v>
      </c>
      <c r="Q1383">
        <f t="shared" si="522"/>
        <v>0.08</v>
      </c>
      <c r="R1383">
        <f t="shared" si="515"/>
        <v>0.08</v>
      </c>
      <c r="S1383">
        <f t="shared" si="516"/>
        <v>0.06</v>
      </c>
      <c r="T1383">
        <f t="shared" si="517"/>
        <v>0.1</v>
      </c>
      <c r="U1383">
        <f t="shared" si="523"/>
        <v>0.08</v>
      </c>
      <c r="V1383">
        <f t="shared" si="528"/>
        <v>0.18800000000747208</v>
      </c>
      <c r="W1383">
        <f t="shared" si="524"/>
        <v>0.16994841169942015</v>
      </c>
      <c r="X1383">
        <f t="shared" si="525"/>
        <v>0.21003420686846891</v>
      </c>
      <c r="Y1383" t="b">
        <f t="shared" si="527"/>
        <v>0</v>
      </c>
    </row>
    <row xmlns:x14ac="http://schemas.microsoft.com/office/spreadsheetml/2009/9/ac" r="1384" x14ac:dyDescent="0.45">
      <c r="A1384">
        <v>6.8849999999998799</v>
      </c>
      <c r="B1384">
        <f t="shared" si="505"/>
        <v>0.16300000000000003</v>
      </c>
      <c r="C1384" t="b">
        <f t="shared" si="518"/>
        <v>1</v>
      </c>
      <c r="D1384" t="b">
        <f t="shared" si="506"/>
        <v>1</v>
      </c>
      <c r="E1384">
        <f t="shared" si="514"/>
        <v>6.8849999999998799</v>
      </c>
      <c r="F1384">
        <f t="shared" si="519"/>
        <v>0.16300000000000003</v>
      </c>
      <c r="G1384">
        <f t="shared" si="507"/>
        <v>0.21003336229787717</v>
      </c>
      <c r="H1384">
        <f t="shared" si="508"/>
        <v>3.5000000000000017E-2</v>
      </c>
      <c r="I1384" t="b">
        <f t="shared" si="520"/>
        <v>1</v>
      </c>
      <c r="J1384">
        <f t="shared" si="509"/>
        <v>6.8849999999998799</v>
      </c>
      <c r="K1384">
        <f t="shared" si="521"/>
        <v>3.5000000000000017E-2</v>
      </c>
      <c r="L1384">
        <f t="shared" si="510"/>
        <v>0.16994968541909977</v>
      </c>
      <c r="M1384">
        <f t="shared" si="511"/>
        <v>0.19000000000000003</v>
      </c>
      <c r="N1384">
        <f t="shared" si="512"/>
        <v>0.18800000000924369</v>
      </c>
      <c r="O1384">
        <f t="shared" si="513"/>
        <v>0.15777777777777779</v>
      </c>
      <c r="P1384">
        <f t="shared" si="526"/>
        <v>0.08</v>
      </c>
      <c r="Q1384">
        <f t="shared" si="522"/>
        <v>0.08</v>
      </c>
      <c r="R1384">
        <f t="shared" si="515"/>
        <v>0.08</v>
      </c>
      <c r="S1384">
        <f t="shared" si="516"/>
        <v>0.06</v>
      </c>
      <c r="T1384">
        <f t="shared" si="517"/>
        <v>0.1</v>
      </c>
      <c r="U1384">
        <f t="shared" si="523"/>
        <v>0.08</v>
      </c>
      <c r="V1384">
        <f t="shared" si="528"/>
        <v>0.18800000000924369</v>
      </c>
      <c r="W1384">
        <f t="shared" si="524"/>
        <v>0.1699486689971427</v>
      </c>
      <c r="X1384">
        <f t="shared" si="525"/>
        <v>0.21003403626100065</v>
      </c>
      <c r="Y1384" t="b">
        <f t="shared" si="527"/>
        <v>0</v>
      </c>
    </row>
    <row xmlns:x14ac="http://schemas.microsoft.com/office/spreadsheetml/2009/9/ac" r="1385" x14ac:dyDescent="0.45">
      <c r="A1385">
        <v>6.8899999999998798</v>
      </c>
      <c r="B1385">
        <f t="shared" si="505"/>
        <v>0.16300000000000003</v>
      </c>
      <c r="C1385" t="b">
        <f t="shared" si="518"/>
        <v>1</v>
      </c>
      <c r="D1385" t="b">
        <f t="shared" si="506"/>
        <v>1</v>
      </c>
      <c r="E1385">
        <f t="shared" si="514"/>
        <v>6.8899999999998798</v>
      </c>
      <c r="F1385">
        <f t="shared" si="519"/>
        <v>0.16300000000000003</v>
      </c>
      <c r="G1385">
        <f t="shared" si="507"/>
        <v>0.21003319590272235</v>
      </c>
      <c r="H1385">
        <f t="shared" si="508"/>
        <v>3.5000000000000017E-2</v>
      </c>
      <c r="I1385" t="b">
        <f t="shared" si="520"/>
        <v>1</v>
      </c>
      <c r="J1385">
        <f t="shared" si="509"/>
        <v>6.8899999999998798</v>
      </c>
      <c r="K1385">
        <f t="shared" si="521"/>
        <v>3.5000000000000017E-2</v>
      </c>
      <c r="L1385">
        <f t="shared" si="510"/>
        <v>0.16994993636411893</v>
      </c>
      <c r="M1385">
        <f t="shared" si="511"/>
        <v>0.19000000000000003</v>
      </c>
      <c r="N1385">
        <f t="shared" si="512"/>
        <v>0.18800000001091821</v>
      </c>
      <c r="O1385">
        <f t="shared" si="513"/>
        <v>0.15777777777777779</v>
      </c>
      <c r="P1385">
        <f t="shared" si="526"/>
        <v>0.08</v>
      </c>
      <c r="Q1385">
        <f t="shared" si="522"/>
        <v>0.08</v>
      </c>
      <c r="R1385">
        <f t="shared" si="515"/>
        <v>0.08</v>
      </c>
      <c r="S1385">
        <f t="shared" si="516"/>
        <v>0.06</v>
      </c>
      <c r="T1385">
        <f t="shared" si="517"/>
        <v>0.1</v>
      </c>
      <c r="U1385">
        <f t="shared" si="523"/>
        <v>0.08</v>
      </c>
      <c r="V1385">
        <f t="shared" si="528"/>
        <v>0.18800000001091821</v>
      </c>
      <c r="W1385">
        <f t="shared" si="524"/>
        <v>0.16994892501158751</v>
      </c>
      <c r="X1385">
        <f t="shared" si="525"/>
        <v>0.21003386650444072</v>
      </c>
      <c r="Y1385" t="b">
        <f t="shared" si="527"/>
        <v>0</v>
      </c>
    </row>
    <row xmlns:x14ac="http://schemas.microsoft.com/office/spreadsheetml/2009/9/ac" r="1386" x14ac:dyDescent="0.45">
      <c r="A1386">
        <v>6.8949999999998797</v>
      </c>
      <c r="B1386">
        <f t="shared" si="505"/>
        <v>0.16300000000000003</v>
      </c>
      <c r="C1386" t="b">
        <f t="shared" si="518"/>
        <v>1</v>
      </c>
      <c r="D1386" t="b">
        <f t="shared" si="506"/>
        <v>1</v>
      </c>
      <c r="E1386">
        <f t="shared" si="514"/>
        <v>6.8949999999998797</v>
      </c>
      <c r="F1386">
        <f t="shared" si="519"/>
        <v>0.16300000000000003</v>
      </c>
      <c r="G1386">
        <f t="shared" si="507"/>
        <v>0.21003303033746679</v>
      </c>
      <c r="H1386">
        <f t="shared" si="508"/>
        <v>3.5000000000000017E-2</v>
      </c>
      <c r="I1386" t="b">
        <f t="shared" si="520"/>
        <v>1</v>
      </c>
      <c r="J1386">
        <f t="shared" si="509"/>
        <v>6.8949999999998797</v>
      </c>
      <c r="K1386">
        <f t="shared" si="521"/>
        <v>3.5000000000000017E-2</v>
      </c>
      <c r="L1386">
        <f t="shared" si="510"/>
        <v>0.16995018605754458</v>
      </c>
      <c r="M1386">
        <f t="shared" si="511"/>
        <v>0.19000000000000003</v>
      </c>
      <c r="N1386">
        <f t="shared" si="512"/>
        <v>0.18800000001249129</v>
      </c>
      <c r="O1386">
        <f t="shared" si="513"/>
        <v>0.15777777777777779</v>
      </c>
      <c r="P1386">
        <f t="shared" si="526"/>
        <v>0.08</v>
      </c>
      <c r="Q1386">
        <f t="shared" si="522"/>
        <v>0.08</v>
      </c>
      <c r="R1386">
        <f t="shared" si="515"/>
        <v>0.08</v>
      </c>
      <c r="S1386">
        <f t="shared" si="516"/>
        <v>0.06</v>
      </c>
      <c r="T1386">
        <f t="shared" si="517"/>
        <v>0.1</v>
      </c>
      <c r="U1386">
        <f t="shared" si="523"/>
        <v>0.08</v>
      </c>
      <c r="V1386">
        <f t="shared" si="528"/>
        <v>0.18800000001249129</v>
      </c>
      <c r="W1386">
        <f t="shared" si="524"/>
        <v>0.16994917974915497</v>
      </c>
      <c r="X1386">
        <f t="shared" si="525"/>
        <v>0.21003369759454515</v>
      </c>
      <c r="Y1386" t="b">
        <f t="shared" si="527"/>
        <v>0</v>
      </c>
    </row>
    <row xmlns:x14ac="http://schemas.microsoft.com/office/spreadsheetml/2009/9/ac" r="1387" x14ac:dyDescent="0.45">
      <c r="A1387">
        <v>6.8999999999998796</v>
      </c>
      <c r="B1387">
        <f t="shared" si="505"/>
        <v>0.16300000000000006</v>
      </c>
      <c r="C1387" t="b">
        <f t="shared" si="518"/>
        <v>1</v>
      </c>
      <c r="D1387" t="b">
        <f t="shared" si="506"/>
        <v>1</v>
      </c>
      <c r="E1387">
        <f t="shared" si="514"/>
        <v>6.8999999999998796</v>
      </c>
      <c r="F1387">
        <f t="shared" si="519"/>
        <v>0.16300000000000006</v>
      </c>
      <c r="G1387">
        <f t="shared" si="507"/>
        <v>0.21003286559797141</v>
      </c>
      <c r="H1387">
        <f t="shared" si="508"/>
        <v>3.5000000000000031E-2</v>
      </c>
      <c r="I1387" t="b">
        <f t="shared" si="520"/>
        <v>1</v>
      </c>
      <c r="J1387">
        <f t="shared" si="509"/>
        <v>6.8999999999998796</v>
      </c>
      <c r="K1387">
        <f t="shared" si="521"/>
        <v>3.5000000000000031E-2</v>
      </c>
      <c r="L1387">
        <f t="shared" si="510"/>
        <v>0.16995043450561906</v>
      </c>
      <c r="M1387">
        <f t="shared" si="511"/>
        <v>0.19000000000000006</v>
      </c>
      <c r="N1387">
        <f t="shared" si="512"/>
        <v>0.18800000001395906</v>
      </c>
      <c r="O1387">
        <f t="shared" si="513"/>
        <v>0.15777777777777779</v>
      </c>
      <c r="P1387">
        <f t="shared" si="526"/>
        <v>0.08</v>
      </c>
      <c r="Q1387">
        <f t="shared" si="522"/>
        <v>0.08</v>
      </c>
      <c r="R1387">
        <f t="shared" si="515"/>
        <v>0.08</v>
      </c>
      <c r="S1387">
        <f t="shared" si="516"/>
        <v>0.06</v>
      </c>
      <c r="T1387">
        <f t="shared" si="517"/>
        <v>0.1</v>
      </c>
      <c r="U1387">
        <f t="shared" si="523"/>
        <v>0.08</v>
      </c>
      <c r="V1387">
        <f t="shared" si="528"/>
        <v>0.18800000001395906</v>
      </c>
      <c r="W1387">
        <f t="shared" si="524"/>
        <v>0.16994943321621347</v>
      </c>
      <c r="X1387">
        <f t="shared" si="525"/>
        <v>0.2100335295270912</v>
      </c>
      <c r="Y1387" t="b">
        <f t="shared" si="527"/>
        <v>0</v>
      </c>
    </row>
    <row xmlns:x14ac="http://schemas.microsoft.com/office/spreadsheetml/2009/9/ac" r="1388" x14ac:dyDescent="0.45">
      <c r="A1388">
        <v>6.9049999999998803</v>
      </c>
      <c r="B1388">
        <f t="shared" si="505"/>
        <v>0.16300000000000006</v>
      </c>
      <c r="C1388" t="b">
        <f t="shared" si="518"/>
        <v>1</v>
      </c>
      <c r="D1388" t="b">
        <f t="shared" si="506"/>
        <v>1</v>
      </c>
      <c r="E1388">
        <f t="shared" si="514"/>
        <v>6.9049999999998803</v>
      </c>
      <c r="F1388">
        <f t="shared" si="519"/>
        <v>0.16300000000000006</v>
      </c>
      <c r="G1388">
        <f t="shared" si="507"/>
        <v>0.21003270168011767</v>
      </c>
      <c r="H1388">
        <f t="shared" si="508"/>
        <v>3.5000000000000031E-2</v>
      </c>
      <c r="I1388" t="b">
        <f t="shared" si="520"/>
        <v>1</v>
      </c>
      <c r="J1388">
        <f t="shared" si="509"/>
        <v>6.9049999999998803</v>
      </c>
      <c r="K1388">
        <f t="shared" si="521"/>
        <v>3.5000000000000031E-2</v>
      </c>
      <c r="L1388">
        <f t="shared" si="510"/>
        <v>0.1699506817145536</v>
      </c>
      <c r="M1388">
        <f t="shared" si="511"/>
        <v>0.19000000000000006</v>
      </c>
      <c r="N1388">
        <f t="shared" si="512"/>
        <v>0.1880000000153183</v>
      </c>
      <c r="O1388">
        <f t="shared" si="513"/>
        <v>0.15777777777777779</v>
      </c>
      <c r="P1388">
        <f t="shared" si="526"/>
        <v>0.08</v>
      </c>
      <c r="Q1388">
        <f t="shared" si="522"/>
        <v>0.08</v>
      </c>
      <c r="R1388">
        <f t="shared" si="515"/>
        <v>0.08</v>
      </c>
      <c r="S1388">
        <f t="shared" si="516"/>
        <v>0.06</v>
      </c>
      <c r="T1388">
        <f t="shared" si="517"/>
        <v>0.1</v>
      </c>
      <c r="U1388">
        <f t="shared" si="523"/>
        <v>0.08</v>
      </c>
      <c r="V1388">
        <f t="shared" si="528"/>
        <v>0.1880000000153183</v>
      </c>
      <c r="W1388">
        <f t="shared" si="524"/>
        <v>0.16994968541909977</v>
      </c>
      <c r="X1388">
        <f t="shared" si="525"/>
        <v>0.21003336229787717</v>
      </c>
      <c r="Y1388" t="b">
        <f t="shared" si="527"/>
        <v>0</v>
      </c>
    </row>
    <row xmlns:x14ac="http://schemas.microsoft.com/office/spreadsheetml/2009/9/ac" r="1389" x14ac:dyDescent="0.45">
      <c r="A1389">
        <v>6.9099999999998802</v>
      </c>
      <c r="B1389">
        <f t="shared" si="505"/>
        <v>0.16300000000000006</v>
      </c>
      <c r="C1389" t="b">
        <f t="shared" si="518"/>
        <v>1</v>
      </c>
      <c r="D1389" t="b">
        <f t="shared" si="506"/>
        <v>1</v>
      </c>
      <c r="E1389">
        <f t="shared" si="514"/>
        <v>6.9099999999998802</v>
      </c>
      <c r="F1389">
        <f t="shared" si="519"/>
        <v>0.16300000000000006</v>
      </c>
      <c r="G1389">
        <f t="shared" si="507"/>
        <v>0.21003253857980764</v>
      </c>
      <c r="H1389">
        <f t="shared" si="508"/>
        <v>3.5000000000000031E-2</v>
      </c>
      <c r="I1389" t="b">
        <f t="shared" si="520"/>
        <v>1</v>
      </c>
      <c r="J1389">
        <f t="shared" si="509"/>
        <v>6.9099999999998802</v>
      </c>
      <c r="K1389">
        <f t="shared" si="521"/>
        <v>3.5000000000000031E-2</v>
      </c>
      <c r="L1389">
        <f t="shared" si="510"/>
        <v>0.16995092769052844</v>
      </c>
      <c r="M1389">
        <f t="shared" si="511"/>
        <v>0.19000000000000006</v>
      </c>
      <c r="N1389">
        <f t="shared" si="512"/>
        <v>0.18800000001656633</v>
      </c>
      <c r="O1389">
        <f t="shared" si="513"/>
        <v>0.15777777777777779</v>
      </c>
      <c r="P1389">
        <f t="shared" si="526"/>
        <v>0.08</v>
      </c>
      <c r="Q1389">
        <f t="shared" si="522"/>
        <v>0.08</v>
      </c>
      <c r="R1389">
        <f t="shared" si="515"/>
        <v>0.08</v>
      </c>
      <c r="S1389">
        <f t="shared" si="516"/>
        <v>0.06</v>
      </c>
      <c r="T1389">
        <f t="shared" si="517"/>
        <v>0.1</v>
      </c>
      <c r="U1389">
        <f t="shared" si="523"/>
        <v>0.08</v>
      </c>
      <c r="V1389">
        <f t="shared" si="528"/>
        <v>0.18800000001656633</v>
      </c>
      <c r="W1389">
        <f t="shared" si="524"/>
        <v>0.16994993636411893</v>
      </c>
      <c r="X1389">
        <f t="shared" si="525"/>
        <v>0.21003319590272235</v>
      </c>
      <c r="Y1389" t="b">
        <f t="shared" si="527"/>
        <v>0</v>
      </c>
    </row>
    <row xmlns:x14ac="http://schemas.microsoft.com/office/spreadsheetml/2009/9/ac" r="1390" x14ac:dyDescent="0.45">
      <c r="A1390">
        <v>6.9149999999998801</v>
      </c>
      <c r="B1390">
        <f t="shared" si="505"/>
        <v>0.16300000000000006</v>
      </c>
      <c r="C1390" t="b">
        <f t="shared" si="518"/>
        <v>1</v>
      </c>
      <c r="D1390" t="b">
        <f t="shared" si="506"/>
        <v>1</v>
      </c>
      <c r="E1390">
        <f t="shared" si="514"/>
        <v>6.9149999999998801</v>
      </c>
      <c r="F1390">
        <f t="shared" si="519"/>
        <v>0.16300000000000006</v>
      </c>
      <c r="G1390">
        <f t="shared" si="507"/>
        <v>0.21003237629296378</v>
      </c>
      <c r="H1390">
        <f t="shared" si="508"/>
        <v>3.5000000000000031E-2</v>
      </c>
      <c r="I1390" t="b">
        <f t="shared" si="520"/>
        <v>1</v>
      </c>
      <c r="J1390">
        <f t="shared" si="509"/>
        <v>6.9149999999998801</v>
      </c>
      <c r="K1390">
        <f t="shared" si="521"/>
        <v>3.5000000000000031E-2</v>
      </c>
      <c r="L1390">
        <f t="shared" si="510"/>
        <v>0.16995117243969299</v>
      </c>
      <c r="M1390">
        <f t="shared" si="511"/>
        <v>0.19000000000000006</v>
      </c>
      <c r="N1390">
        <f t="shared" si="512"/>
        <v>0.18800000001770112</v>
      </c>
      <c r="O1390">
        <f t="shared" si="513"/>
        <v>0.15777777777777779</v>
      </c>
      <c r="P1390">
        <f t="shared" si="526"/>
        <v>0.08</v>
      </c>
      <c r="Q1390">
        <f t="shared" si="522"/>
        <v>0.08</v>
      </c>
      <c r="R1390">
        <f t="shared" si="515"/>
        <v>0.08</v>
      </c>
      <c r="S1390">
        <f t="shared" si="516"/>
        <v>0.06</v>
      </c>
      <c r="T1390">
        <f t="shared" si="517"/>
        <v>0.1</v>
      </c>
      <c r="U1390">
        <f t="shared" si="523"/>
        <v>0.08</v>
      </c>
      <c r="V1390">
        <f t="shared" si="528"/>
        <v>0.18800000001770112</v>
      </c>
      <c r="W1390">
        <f t="shared" si="524"/>
        <v>0.16995018605754458</v>
      </c>
      <c r="X1390">
        <f t="shared" si="525"/>
        <v>0.21003303033746679</v>
      </c>
      <c r="Y1390" t="b">
        <f t="shared" si="527"/>
        <v>0</v>
      </c>
    </row>
    <row xmlns:x14ac="http://schemas.microsoft.com/office/spreadsheetml/2009/9/ac" r="1391" x14ac:dyDescent="0.45">
      <c r="A1391">
        <v>6.91999999999988</v>
      </c>
      <c r="B1391">
        <f t="shared" si="505"/>
        <v>0.16300000000000006</v>
      </c>
      <c r="C1391" t="b">
        <f t="shared" si="518"/>
        <v>1</v>
      </c>
      <c r="D1391" t="b">
        <f t="shared" si="506"/>
        <v>1</v>
      </c>
      <c r="E1391">
        <f t="shared" si="514"/>
        <v>6.91999999999988</v>
      </c>
      <c r="F1391">
        <f t="shared" si="519"/>
        <v>0.16300000000000006</v>
      </c>
      <c r="G1391">
        <f t="shared" si="507"/>
        <v>0.21003221481552897</v>
      </c>
      <c r="H1391">
        <f t="shared" si="508"/>
        <v>3.5000000000000031E-2</v>
      </c>
      <c r="I1391" t="b">
        <f t="shared" si="520"/>
        <v>1</v>
      </c>
      <c r="J1391">
        <f t="shared" si="509"/>
        <v>6.91999999999988</v>
      </c>
      <c r="K1391">
        <f t="shared" si="521"/>
        <v>3.5000000000000031E-2</v>
      </c>
      <c r="L1391">
        <f t="shared" si="510"/>
        <v>0.16995141596816601</v>
      </c>
      <c r="M1391">
        <f t="shared" si="511"/>
        <v>0.19000000000000006</v>
      </c>
      <c r="N1391">
        <f t="shared" si="512"/>
        <v>0.18800000001872119</v>
      </c>
      <c r="O1391">
        <f t="shared" si="513"/>
        <v>0.15777777777777779</v>
      </c>
      <c r="P1391">
        <f t="shared" si="526"/>
        <v>0.08</v>
      </c>
      <c r="Q1391">
        <f t="shared" si="522"/>
        <v>0.08</v>
      </c>
      <c r="R1391">
        <f t="shared" si="515"/>
        <v>0.08</v>
      </c>
      <c r="S1391">
        <f t="shared" si="516"/>
        <v>0.06</v>
      </c>
      <c r="T1391">
        <f t="shared" si="517"/>
        <v>0.1</v>
      </c>
      <c r="U1391">
        <f t="shared" si="523"/>
        <v>0.08</v>
      </c>
      <c r="V1391">
        <f t="shared" si="528"/>
        <v>0.18800000001872119</v>
      </c>
      <c r="W1391">
        <f t="shared" si="524"/>
        <v>0.16995043450561906</v>
      </c>
      <c r="X1391">
        <f t="shared" si="525"/>
        <v>0.21003286559797141</v>
      </c>
      <c r="Y1391" t="b">
        <f t="shared" si="527"/>
        <v>0</v>
      </c>
    </row>
    <row xmlns:x14ac="http://schemas.microsoft.com/office/spreadsheetml/2009/9/ac" r="1392" x14ac:dyDescent="0.45">
      <c r="A1392">
        <v>6.9249999999998799</v>
      </c>
      <c r="B1392">
        <f t="shared" si="505"/>
        <v>0.16300000000000009</v>
      </c>
      <c r="C1392" t="b">
        <f t="shared" si="518"/>
        <v>1</v>
      </c>
      <c r="D1392" t="b">
        <f t="shared" si="506"/>
        <v>1</v>
      </c>
      <c r="E1392">
        <f t="shared" si="514"/>
        <v>6.9249999999998799</v>
      </c>
      <c r="F1392">
        <f t="shared" si="519"/>
        <v>0.16300000000000009</v>
      </c>
      <c r="G1392">
        <f t="shared" si="507"/>
        <v>0.21003205414346621</v>
      </c>
      <c r="H1392">
        <f t="shared" si="508"/>
        <v>3.5000000000000031E-2</v>
      </c>
      <c r="I1392" t="b">
        <f t="shared" si="520"/>
        <v>1</v>
      </c>
      <c r="J1392">
        <f t="shared" si="509"/>
        <v>6.9249999999998799</v>
      </c>
      <c r="K1392">
        <f t="shared" si="521"/>
        <v>3.5000000000000031E-2</v>
      </c>
      <c r="L1392">
        <f t="shared" si="510"/>
        <v>0.16995165828203568</v>
      </c>
      <c r="M1392">
        <f t="shared" si="511"/>
        <v>0.19000000000000006</v>
      </c>
      <c r="N1392">
        <f t="shared" si="512"/>
        <v>0.18800000001962552</v>
      </c>
      <c r="O1392">
        <f t="shared" si="513"/>
        <v>0.15777777777777779</v>
      </c>
      <c r="P1392">
        <f t="shared" si="526"/>
        <v>0.08</v>
      </c>
      <c r="Q1392">
        <f t="shared" si="522"/>
        <v>0.08</v>
      </c>
      <c r="R1392">
        <f t="shared" si="515"/>
        <v>0.08</v>
      </c>
      <c r="S1392">
        <f t="shared" si="516"/>
        <v>0.06</v>
      </c>
      <c r="T1392">
        <f t="shared" si="517"/>
        <v>0.1</v>
      </c>
      <c r="U1392">
        <f t="shared" si="523"/>
        <v>0.08</v>
      </c>
      <c r="V1392">
        <f t="shared" si="528"/>
        <v>0.18800000001962552</v>
      </c>
      <c r="W1392">
        <f t="shared" si="524"/>
        <v>0.1699506817145536</v>
      </c>
      <c r="X1392">
        <f t="shared" si="525"/>
        <v>0.21003270168011767</v>
      </c>
      <c r="Y1392" t="b">
        <f t="shared" si="527"/>
        <v>0</v>
      </c>
    </row>
    <row xmlns:x14ac="http://schemas.microsoft.com/office/spreadsheetml/2009/9/ac" r="1393" x14ac:dyDescent="0.45">
      <c r="A1393">
        <v>6.9299999999998798</v>
      </c>
      <c r="B1393">
        <f t="shared" si="505"/>
        <v>0.16300000000000009</v>
      </c>
      <c r="C1393" t="b">
        <f t="shared" si="518"/>
        <v>1</v>
      </c>
      <c r="D1393" t="b">
        <f t="shared" si="506"/>
        <v>1</v>
      </c>
      <c r="E1393">
        <f t="shared" si="514"/>
        <v>6.9299999999998798</v>
      </c>
      <c r="F1393">
        <f t="shared" si="519"/>
        <v>0.16300000000000009</v>
      </c>
      <c r="G1393">
        <f t="shared" si="507"/>
        <v>0.21003189427275876</v>
      </c>
      <c r="H1393">
        <f t="shared" si="508"/>
        <v>3.5000000000000031E-2</v>
      </c>
      <c r="I1393" t="b">
        <f t="shared" si="520"/>
        <v>1</v>
      </c>
      <c r="J1393">
        <f t="shared" si="509"/>
        <v>6.9299999999998798</v>
      </c>
      <c r="K1393">
        <f t="shared" si="521"/>
        <v>3.5000000000000031E-2</v>
      </c>
      <c r="L1393">
        <f t="shared" si="510"/>
        <v>0.16995189938735988</v>
      </c>
      <c r="M1393">
        <f t="shared" si="511"/>
        <v>0.19000000000000006</v>
      </c>
      <c r="N1393">
        <f t="shared" si="512"/>
        <v>0.18800000002041378</v>
      </c>
      <c r="O1393">
        <f t="shared" si="513"/>
        <v>0.15777777777777779</v>
      </c>
      <c r="P1393">
        <f t="shared" si="526"/>
        <v>0.08</v>
      </c>
      <c r="Q1393">
        <f t="shared" si="522"/>
        <v>0.08</v>
      </c>
      <c r="R1393">
        <f t="shared" si="515"/>
        <v>0.08</v>
      </c>
      <c r="S1393">
        <f t="shared" si="516"/>
        <v>0.06</v>
      </c>
      <c r="T1393">
        <f t="shared" si="517"/>
        <v>0.1</v>
      </c>
      <c r="U1393">
        <f t="shared" si="523"/>
        <v>0.08</v>
      </c>
      <c r="V1393">
        <f t="shared" si="528"/>
        <v>0.18800000002041378</v>
      </c>
      <c r="W1393">
        <f t="shared" si="524"/>
        <v>0.16995092769052844</v>
      </c>
      <c r="X1393">
        <f t="shared" si="525"/>
        <v>0.21003253857980764</v>
      </c>
      <c r="Y1393" t="b">
        <f t="shared" si="527"/>
        <v>0</v>
      </c>
    </row>
    <row xmlns:x14ac="http://schemas.microsoft.com/office/spreadsheetml/2009/9/ac" r="1394" x14ac:dyDescent="0.45">
      <c r="A1394">
        <v>6.9349999999998797</v>
      </c>
      <c r="B1394">
        <f t="shared" si="505"/>
        <v>0.16300000000000009</v>
      </c>
      <c r="C1394" t="b">
        <f t="shared" si="518"/>
        <v>1</v>
      </c>
      <c r="D1394" t="b">
        <f t="shared" si="506"/>
        <v>1</v>
      </c>
      <c r="E1394">
        <f t="shared" si="514"/>
        <v>6.9349999999998797</v>
      </c>
      <c r="F1394">
        <f t="shared" si="519"/>
        <v>0.16300000000000009</v>
      </c>
      <c r="G1394">
        <f t="shared" si="507"/>
        <v>0.21003173519940971</v>
      </c>
      <c r="H1394">
        <f t="shared" si="508"/>
        <v>3.5000000000000031E-2</v>
      </c>
      <c r="I1394" t="b">
        <f t="shared" si="520"/>
        <v>1</v>
      </c>
      <c r="J1394">
        <f t="shared" si="509"/>
        <v>6.9349999999998797</v>
      </c>
      <c r="K1394">
        <f t="shared" si="521"/>
        <v>3.5000000000000031E-2</v>
      </c>
      <c r="L1394">
        <f t="shared" si="510"/>
        <v>0.16995213929016628</v>
      </c>
      <c r="M1394">
        <f t="shared" si="511"/>
        <v>0.19000000000000006</v>
      </c>
      <c r="N1394">
        <f t="shared" si="512"/>
        <v>0.18800000002108611</v>
      </c>
      <c r="O1394">
        <f t="shared" si="513"/>
        <v>0.15777777777777779</v>
      </c>
      <c r="P1394">
        <f t="shared" si="526"/>
        <v>0.08</v>
      </c>
      <c r="Q1394">
        <f t="shared" si="522"/>
        <v>0.08</v>
      </c>
      <c r="R1394">
        <f t="shared" si="515"/>
        <v>0.08</v>
      </c>
      <c r="S1394">
        <f t="shared" si="516"/>
        <v>0.06</v>
      </c>
      <c r="T1394">
        <f t="shared" si="517"/>
        <v>0.1</v>
      </c>
      <c r="U1394">
        <f t="shared" si="523"/>
        <v>0.08</v>
      </c>
      <c r="V1394">
        <f t="shared" si="528"/>
        <v>0.18800000002108611</v>
      </c>
      <c r="W1394">
        <f t="shared" si="524"/>
        <v>0.16995117243969299</v>
      </c>
      <c r="X1394">
        <f t="shared" si="525"/>
        <v>0.21003237629296378</v>
      </c>
      <c r="Y1394" t="b">
        <f t="shared" si="527"/>
        <v>0</v>
      </c>
    </row>
    <row xmlns:x14ac="http://schemas.microsoft.com/office/spreadsheetml/2009/9/ac" r="1395" x14ac:dyDescent="0.45">
      <c r="A1395">
        <v>6.9399999999998796</v>
      </c>
      <c r="B1395">
        <f t="shared" si="505"/>
        <v>0.16300000000000009</v>
      </c>
      <c r="C1395" t="b">
        <f t="shared" si="518"/>
        <v>1</v>
      </c>
      <c r="D1395" t="b">
        <f t="shared" si="506"/>
        <v>1</v>
      </c>
      <c r="E1395">
        <f t="shared" si="514"/>
        <v>6.9399999999998796</v>
      </c>
      <c r="F1395">
        <f t="shared" si="519"/>
        <v>0.16300000000000009</v>
      </c>
      <c r="G1395">
        <f t="shared" si="507"/>
        <v>0.21003157691944235</v>
      </c>
      <c r="H1395">
        <f t="shared" si="508"/>
        <v>3.5000000000000031E-2</v>
      </c>
      <c r="I1395" t="b">
        <f t="shared" si="520"/>
        <v>1</v>
      </c>
      <c r="J1395">
        <f t="shared" si="509"/>
        <v>6.9399999999998796</v>
      </c>
      <c r="K1395">
        <f t="shared" si="521"/>
        <v>3.5000000000000031E-2</v>
      </c>
      <c r="L1395">
        <f t="shared" si="510"/>
        <v>0.16995237799645241</v>
      </c>
      <c r="M1395">
        <f t="shared" si="511"/>
        <v>0.19000000000000006</v>
      </c>
      <c r="N1395">
        <f t="shared" si="512"/>
        <v>0.18800000002164313</v>
      </c>
      <c r="O1395">
        <f t="shared" si="513"/>
        <v>0.15777777777777779</v>
      </c>
      <c r="P1395">
        <f t="shared" si="526"/>
        <v>0.08</v>
      </c>
      <c r="Q1395">
        <f t="shared" si="522"/>
        <v>0.08</v>
      </c>
      <c r="R1395">
        <f t="shared" si="515"/>
        <v>0.08</v>
      </c>
      <c r="S1395">
        <f t="shared" si="516"/>
        <v>0.06</v>
      </c>
      <c r="T1395">
        <f t="shared" si="517"/>
        <v>0.1</v>
      </c>
      <c r="U1395">
        <f t="shared" si="523"/>
        <v>0.08</v>
      </c>
      <c r="V1395">
        <f t="shared" si="528"/>
        <v>0.18800000002164313</v>
      </c>
      <c r="W1395">
        <f t="shared" si="524"/>
        <v>0.16995141596816601</v>
      </c>
      <c r="X1395">
        <f t="shared" si="525"/>
        <v>0.21003221481552897</v>
      </c>
      <c r="Y1395" t="b">
        <f t="shared" si="527"/>
        <v>0</v>
      </c>
    </row>
    <row xmlns:x14ac="http://schemas.microsoft.com/office/spreadsheetml/2009/9/ac" r="1396" x14ac:dyDescent="0.45">
      <c r="A1396">
        <v>6.9449999999998804</v>
      </c>
      <c r="B1396">
        <f t="shared" si="505"/>
        <v>0.16300000000000009</v>
      </c>
      <c r="C1396" t="b">
        <f t="shared" si="518"/>
        <v>1</v>
      </c>
      <c r="D1396" t="b">
        <f t="shared" si="506"/>
        <v>1</v>
      </c>
      <c r="E1396">
        <f t="shared" si="514"/>
        <v>6.9449999999998804</v>
      </c>
      <c r="F1396">
        <f t="shared" si="519"/>
        <v>0.16300000000000009</v>
      </c>
      <c r="G1396">
        <f t="shared" si="507"/>
        <v>0.21003141942889958</v>
      </c>
      <c r="H1396">
        <f t="shared" si="508"/>
        <v>3.5000000000000031E-2</v>
      </c>
      <c r="I1396" t="b">
        <f t="shared" si="520"/>
        <v>1</v>
      </c>
      <c r="J1396">
        <f t="shared" si="509"/>
        <v>6.9449999999998804</v>
      </c>
      <c r="K1396">
        <f t="shared" si="521"/>
        <v>3.5000000000000031E-2</v>
      </c>
      <c r="L1396">
        <f t="shared" si="510"/>
        <v>0.16995261551218599</v>
      </c>
      <c r="M1396">
        <f t="shared" si="511"/>
        <v>0.19000000000000006</v>
      </c>
      <c r="N1396">
        <f t="shared" si="512"/>
        <v>0.188000000022086</v>
      </c>
      <c r="O1396">
        <f t="shared" si="513"/>
        <v>0.15777777777777779</v>
      </c>
      <c r="P1396">
        <f t="shared" si="526"/>
        <v>0.08</v>
      </c>
      <c r="Q1396">
        <f t="shared" si="522"/>
        <v>0.08</v>
      </c>
      <c r="R1396">
        <f t="shared" si="515"/>
        <v>0.08</v>
      </c>
      <c r="S1396">
        <f t="shared" si="516"/>
        <v>0.06</v>
      </c>
      <c r="T1396">
        <f t="shared" si="517"/>
        <v>0.1</v>
      </c>
      <c r="U1396">
        <f t="shared" si="523"/>
        <v>0.08</v>
      </c>
      <c r="V1396">
        <f t="shared" si="528"/>
        <v>0.188000000022086</v>
      </c>
      <c r="W1396">
        <f t="shared" si="524"/>
        <v>0.16995165828203568</v>
      </c>
      <c r="X1396">
        <f t="shared" si="525"/>
        <v>0.21003205414346621</v>
      </c>
      <c r="Y1396" t="b">
        <f t="shared" si="527"/>
        <v>0</v>
      </c>
    </row>
    <row xmlns:x14ac="http://schemas.microsoft.com/office/spreadsheetml/2009/9/ac" r="1397" x14ac:dyDescent="0.45">
      <c r="A1397">
        <v>6.9499999999998803</v>
      </c>
      <c r="B1397">
        <f t="shared" si="505"/>
        <v>0.16300000000000012</v>
      </c>
      <c r="C1397" t="b">
        <f t="shared" si="518"/>
        <v>1</v>
      </c>
      <c r="D1397" t="b">
        <f t="shared" si="506"/>
        <v>1</v>
      </c>
      <c r="E1397">
        <f t="shared" si="514"/>
        <v>6.9499999999998803</v>
      </c>
      <c r="F1397">
        <f t="shared" si="519"/>
        <v>0.16300000000000012</v>
      </c>
      <c r="G1397">
        <f t="shared" si="507"/>
        <v>0.2100312627238442</v>
      </c>
      <c r="H1397">
        <f t="shared" si="508"/>
        <v>3.5000000000000045E-2</v>
      </c>
      <c r="I1397" t="b">
        <f t="shared" si="520"/>
        <v>1</v>
      </c>
      <c r="J1397">
        <f t="shared" si="509"/>
        <v>6.9499999999998803</v>
      </c>
      <c r="K1397">
        <f t="shared" si="521"/>
        <v>3.5000000000000045E-2</v>
      </c>
      <c r="L1397">
        <f t="shared" si="510"/>
        <v>0.16995285184330494</v>
      </c>
      <c r="M1397">
        <f t="shared" si="511"/>
        <v>0.19000000000000009</v>
      </c>
      <c r="N1397">
        <f t="shared" si="512"/>
        <v>0.18800000002241635</v>
      </c>
      <c r="O1397">
        <f t="shared" si="513"/>
        <v>0.15777777777777779</v>
      </c>
      <c r="P1397">
        <f t="shared" si="526"/>
        <v>0.08</v>
      </c>
      <c r="Q1397">
        <f t="shared" si="522"/>
        <v>0.08</v>
      </c>
      <c r="R1397">
        <f t="shared" si="515"/>
        <v>0.08</v>
      </c>
      <c r="S1397">
        <f t="shared" si="516"/>
        <v>0.06</v>
      </c>
      <c r="T1397">
        <f t="shared" si="517"/>
        <v>0.1</v>
      </c>
      <c r="U1397">
        <f t="shared" si="523"/>
        <v>0.08</v>
      </c>
      <c r="V1397">
        <f t="shared" si="528"/>
        <v>0.18800000002241635</v>
      </c>
      <c r="W1397">
        <f t="shared" si="524"/>
        <v>0.16995189938735988</v>
      </c>
      <c r="X1397">
        <f t="shared" si="525"/>
        <v>0.21003189427275876</v>
      </c>
      <c r="Y1397" t="b">
        <f t="shared" si="527"/>
        <v>0</v>
      </c>
    </row>
    <row xmlns:x14ac="http://schemas.microsoft.com/office/spreadsheetml/2009/9/ac" r="1398" x14ac:dyDescent="0.45">
      <c r="A1398">
        <v>6.9549999999998802</v>
      </c>
      <c r="B1398">
        <f t="shared" si="505"/>
        <v>0.16300000000000012</v>
      </c>
      <c r="C1398" t="b">
        <f t="shared" si="518"/>
        <v>1</v>
      </c>
      <c r="D1398" t="b">
        <f t="shared" si="506"/>
        <v>1</v>
      </c>
      <c r="E1398">
        <f t="shared" si="514"/>
        <v>6.9549999999998802</v>
      </c>
      <c r="F1398">
        <f t="shared" si="519"/>
        <v>0.16300000000000012</v>
      </c>
      <c r="G1398">
        <f t="shared" si="507"/>
        <v>0.21003110680035852</v>
      </c>
      <c r="H1398">
        <f t="shared" si="508"/>
        <v>3.5000000000000045E-2</v>
      </c>
      <c r="I1398" t="b">
        <f t="shared" si="520"/>
        <v>1</v>
      </c>
      <c r="J1398">
        <f t="shared" si="509"/>
        <v>6.9549999999998802</v>
      </c>
      <c r="K1398">
        <f t="shared" si="521"/>
        <v>3.5000000000000045E-2</v>
      </c>
      <c r="L1398">
        <f t="shared" si="510"/>
        <v>0.16995308699571748</v>
      </c>
      <c r="M1398">
        <f t="shared" si="511"/>
        <v>0.19000000000000009</v>
      </c>
      <c r="N1398">
        <f t="shared" si="512"/>
        <v>0.18800000002263623</v>
      </c>
      <c r="O1398">
        <f t="shared" si="513"/>
        <v>0.15777777777777779</v>
      </c>
      <c r="P1398">
        <f t="shared" si="526"/>
        <v>0.08</v>
      </c>
      <c r="Q1398">
        <f t="shared" si="522"/>
        <v>0.08</v>
      </c>
      <c r="R1398">
        <f t="shared" si="515"/>
        <v>0.08</v>
      </c>
      <c r="S1398">
        <f t="shared" si="516"/>
        <v>0.06</v>
      </c>
      <c r="T1398">
        <f t="shared" si="517"/>
        <v>0.1</v>
      </c>
      <c r="U1398">
        <f t="shared" si="523"/>
        <v>0.08</v>
      </c>
      <c r="V1398">
        <f t="shared" si="528"/>
        <v>0.18800000002263623</v>
      </c>
      <c r="W1398">
        <f t="shared" si="524"/>
        <v>0.16995213929016628</v>
      </c>
      <c r="X1398">
        <f t="shared" si="525"/>
        <v>0.21003173519940971</v>
      </c>
      <c r="Y1398" t="b">
        <f t="shared" si="527"/>
        <v>0</v>
      </c>
    </row>
    <row xmlns:x14ac="http://schemas.microsoft.com/office/spreadsheetml/2009/9/ac" r="1399" x14ac:dyDescent="0.45">
      <c r="A1399">
        <v>6.9599999999998801</v>
      </c>
      <c r="B1399">
        <f t="shared" si="505"/>
        <v>0.16300000000000012</v>
      </c>
      <c r="C1399" t="b">
        <f t="shared" si="518"/>
        <v>1</v>
      </c>
      <c r="D1399" t="b">
        <f t="shared" si="506"/>
        <v>1</v>
      </c>
      <c r="E1399">
        <f t="shared" si="514"/>
        <v>6.9599999999998801</v>
      </c>
      <c r="F1399">
        <f t="shared" si="519"/>
        <v>0.16300000000000012</v>
      </c>
      <c r="G1399">
        <f t="shared" si="507"/>
        <v>0.2100309516545445</v>
      </c>
      <c r="H1399">
        <f t="shared" si="508"/>
        <v>3.5000000000000045E-2</v>
      </c>
      <c r="I1399" t="b">
        <f t="shared" si="520"/>
        <v>1</v>
      </c>
      <c r="J1399">
        <f t="shared" si="509"/>
        <v>6.9599999999998801</v>
      </c>
      <c r="K1399">
        <f t="shared" si="521"/>
        <v>3.5000000000000045E-2</v>
      </c>
      <c r="L1399">
        <f t="shared" si="510"/>
        <v>0.16995332097530247</v>
      </c>
      <c r="M1399">
        <f t="shared" si="511"/>
        <v>0.19000000000000009</v>
      </c>
      <c r="N1399">
        <f t="shared" si="512"/>
        <v>0.18800000002274814</v>
      </c>
      <c r="O1399">
        <f t="shared" si="513"/>
        <v>0.15777777777777779</v>
      </c>
      <c r="P1399">
        <f t="shared" si="526"/>
        <v>0.08</v>
      </c>
      <c r="Q1399">
        <f t="shared" si="522"/>
        <v>0.08</v>
      </c>
      <c r="R1399">
        <f t="shared" si="515"/>
        <v>0.08</v>
      </c>
      <c r="S1399">
        <f t="shared" si="516"/>
        <v>0.06</v>
      </c>
      <c r="T1399">
        <f t="shared" si="517"/>
        <v>0.1</v>
      </c>
      <c r="U1399">
        <f t="shared" si="523"/>
        <v>0.08</v>
      </c>
      <c r="V1399">
        <f t="shared" si="528"/>
        <v>0.18800000002274814</v>
      </c>
      <c r="W1399">
        <f t="shared" si="524"/>
        <v>0.16995237799645241</v>
      </c>
      <c r="X1399">
        <f t="shared" si="525"/>
        <v>0.21003157691944235</v>
      </c>
      <c r="Y1399" t="b">
        <f t="shared" si="527"/>
        <v>0</v>
      </c>
    </row>
    <row xmlns:x14ac="http://schemas.microsoft.com/office/spreadsheetml/2009/9/ac" r="1400" x14ac:dyDescent="0.45">
      <c r="A1400">
        <v>6.96499999999988</v>
      </c>
      <c r="B1400">
        <f t="shared" si="505"/>
        <v>0.16300000000000012</v>
      </c>
      <c r="C1400" t="b">
        <f t="shared" si="518"/>
        <v>1</v>
      </c>
      <c r="D1400" t="b">
        <f t="shared" si="506"/>
        <v>1</v>
      </c>
      <c r="E1400">
        <f t="shared" si="514"/>
        <v>6.96499999999988</v>
      </c>
      <c r="F1400">
        <f t="shared" si="519"/>
        <v>0.16300000000000012</v>
      </c>
      <c r="G1400">
        <f t="shared" si="507"/>
        <v>0.21003079728252344</v>
      </c>
      <c r="H1400">
        <f t="shared" si="508"/>
        <v>3.5000000000000045E-2</v>
      </c>
      <c r="I1400" t="b">
        <f t="shared" si="520"/>
        <v>1</v>
      </c>
      <c r="J1400">
        <f t="shared" si="509"/>
        <v>6.96499999999988</v>
      </c>
      <c r="K1400">
        <f t="shared" si="521"/>
        <v>3.5000000000000045E-2</v>
      </c>
      <c r="L1400">
        <f t="shared" si="510"/>
        <v>0.16995355378790938</v>
      </c>
      <c r="M1400">
        <f t="shared" si="511"/>
        <v>0.19000000000000009</v>
      </c>
      <c r="N1400">
        <f t="shared" si="512"/>
        <v>0.18800000002275497</v>
      </c>
      <c r="O1400">
        <f t="shared" si="513"/>
        <v>0.15777777777777779</v>
      </c>
      <c r="P1400">
        <f t="shared" si="526"/>
        <v>0.08</v>
      </c>
      <c r="Q1400">
        <f t="shared" si="522"/>
        <v>0.08</v>
      </c>
      <c r="R1400">
        <f t="shared" si="515"/>
        <v>0.08</v>
      </c>
      <c r="S1400">
        <f t="shared" si="516"/>
        <v>0.06</v>
      </c>
      <c r="T1400">
        <f t="shared" si="517"/>
        <v>0.1</v>
      </c>
      <c r="U1400">
        <f t="shared" si="523"/>
        <v>0.08</v>
      </c>
      <c r="V1400">
        <f t="shared" si="528"/>
        <v>0.18800000002275497</v>
      </c>
      <c r="W1400">
        <f t="shared" si="524"/>
        <v>0.16995261551218599</v>
      </c>
      <c r="X1400">
        <f t="shared" si="525"/>
        <v>0.21003141942889958</v>
      </c>
      <c r="Y1400" t="b">
        <f t="shared" si="527"/>
        <v>0</v>
      </c>
    </row>
    <row xmlns:x14ac="http://schemas.microsoft.com/office/spreadsheetml/2009/9/ac" r="1401" x14ac:dyDescent="0.45">
      <c r="A1401">
        <v>6.9699999999998798</v>
      </c>
      <c r="B1401">
        <f t="shared" si="505"/>
        <v>0.16300000000000012</v>
      </c>
      <c r="C1401" t="b">
        <f t="shared" si="518"/>
        <v>1</v>
      </c>
      <c r="D1401" t="b">
        <f t="shared" si="506"/>
        <v>1</v>
      </c>
      <c r="E1401">
        <f t="shared" si="514"/>
        <v>6.9699999999998798</v>
      </c>
      <c r="F1401">
        <f t="shared" si="519"/>
        <v>0.16300000000000012</v>
      </c>
      <c r="G1401">
        <f t="shared" si="507"/>
        <v>0.21003064368043606</v>
      </c>
      <c r="H1401">
        <f t="shared" si="508"/>
        <v>3.5000000000000045E-2</v>
      </c>
      <c r="I1401" t="b">
        <f t="shared" si="520"/>
        <v>1</v>
      </c>
      <c r="J1401">
        <f t="shared" si="509"/>
        <v>6.9699999999998798</v>
      </c>
      <c r="K1401">
        <f t="shared" si="521"/>
        <v>3.5000000000000045E-2</v>
      </c>
      <c r="L1401">
        <f t="shared" si="510"/>
        <v>0.16995378543935863</v>
      </c>
      <c r="M1401">
        <f t="shared" si="511"/>
        <v>0.19000000000000009</v>
      </c>
      <c r="N1401">
        <f t="shared" si="512"/>
        <v>0.18800000002266001</v>
      </c>
      <c r="O1401">
        <f t="shared" si="513"/>
        <v>0.15777777777777779</v>
      </c>
      <c r="P1401">
        <f t="shared" si="526"/>
        <v>0.08</v>
      </c>
      <c r="Q1401">
        <f t="shared" si="522"/>
        <v>0.08</v>
      </c>
      <c r="R1401">
        <f t="shared" si="515"/>
        <v>0.08</v>
      </c>
      <c r="S1401">
        <f t="shared" si="516"/>
        <v>0.06</v>
      </c>
      <c r="T1401">
        <f t="shared" si="517"/>
        <v>0.1</v>
      </c>
      <c r="U1401">
        <f t="shared" si="523"/>
        <v>0.08</v>
      </c>
      <c r="V1401">
        <f t="shared" si="528"/>
        <v>0.18800000002266001</v>
      </c>
      <c r="W1401">
        <f t="shared" si="524"/>
        <v>0.16995285184330494</v>
      </c>
      <c r="X1401">
        <f t="shared" si="525"/>
        <v>0.2100312627238442</v>
      </c>
      <c r="Y1401" t="b">
        <f t="shared" si="527"/>
        <v>0</v>
      </c>
    </row>
    <row xmlns:x14ac="http://schemas.microsoft.com/office/spreadsheetml/2009/9/ac" r="1402" x14ac:dyDescent="0.45">
      <c r="A1402">
        <v>6.9749999999998797</v>
      </c>
      <c r="B1402">
        <f t="shared" si="505"/>
        <v>0.16300000000000012</v>
      </c>
      <c r="C1402" t="b">
        <f t="shared" si="518"/>
        <v>1</v>
      </c>
      <c r="D1402" t="b">
        <f t="shared" si="506"/>
        <v>1</v>
      </c>
      <c r="E1402">
        <f t="shared" si="514"/>
        <v>6.9749999999998797</v>
      </c>
      <c r="F1402">
        <f t="shared" si="519"/>
        <v>0.16300000000000012</v>
      </c>
      <c r="G1402">
        <f t="shared" si="507"/>
        <v>0.21003049084444225</v>
      </c>
      <c r="H1402">
        <f t="shared" si="508"/>
        <v>3.5000000000000045E-2</v>
      </c>
      <c r="I1402" t="b">
        <f t="shared" si="520"/>
        <v>1</v>
      </c>
      <c r="J1402">
        <f t="shared" si="509"/>
        <v>6.9749999999998797</v>
      </c>
      <c r="K1402">
        <f t="shared" si="521"/>
        <v>3.5000000000000045E-2</v>
      </c>
      <c r="L1402">
        <f t="shared" si="510"/>
        <v>0.16995401593544143</v>
      </c>
      <c r="M1402">
        <f t="shared" si="511"/>
        <v>0.19000000000000009</v>
      </c>
      <c r="N1402">
        <f t="shared" si="512"/>
        <v>0.18800000002246692</v>
      </c>
      <c r="O1402">
        <f t="shared" si="513"/>
        <v>0.15777777777777779</v>
      </c>
      <c r="P1402">
        <f t="shared" si="526"/>
        <v>0.08</v>
      </c>
      <c r="Q1402">
        <f t="shared" si="522"/>
        <v>0.08</v>
      </c>
      <c r="R1402">
        <f t="shared" si="515"/>
        <v>0.08</v>
      </c>
      <c r="S1402">
        <f t="shared" si="516"/>
        <v>0.06</v>
      </c>
      <c r="T1402">
        <f t="shared" si="517"/>
        <v>0.1</v>
      </c>
      <c r="U1402">
        <f t="shared" si="523"/>
        <v>0.08</v>
      </c>
      <c r="V1402">
        <f t="shared" si="528"/>
        <v>0.18800000002246692</v>
      </c>
      <c r="W1402">
        <f t="shared" si="524"/>
        <v>0.16995308699571748</v>
      </c>
      <c r="X1402">
        <f t="shared" si="525"/>
        <v>0.21003110680035852</v>
      </c>
      <c r="Y1402" t="b">
        <f t="shared" si="527"/>
        <v>0</v>
      </c>
    </row>
    <row xmlns:x14ac="http://schemas.microsoft.com/office/spreadsheetml/2009/9/ac" r="1403" x14ac:dyDescent="0.45">
      <c r="A1403">
        <v>6.9799999999998796</v>
      </c>
      <c r="B1403">
        <f t="shared" si="505"/>
        <v>0.16300000000000012</v>
      </c>
      <c r="C1403" t="b">
        <f t="shared" si="518"/>
        <v>1</v>
      </c>
      <c r="D1403" t="b">
        <f t="shared" si="506"/>
        <v>1</v>
      </c>
      <c r="E1403">
        <f t="shared" si="514"/>
        <v>6.9799999999998796</v>
      </c>
      <c r="F1403">
        <f t="shared" si="519"/>
        <v>0.16300000000000012</v>
      </c>
      <c r="G1403">
        <f t="shared" si="507"/>
        <v>0.21003033877072114</v>
      </c>
      <c r="H1403">
        <f t="shared" si="508"/>
        <v>3.5000000000000045E-2</v>
      </c>
      <c r="I1403" t="b">
        <f t="shared" si="520"/>
        <v>1</v>
      </c>
      <c r="J1403">
        <f t="shared" si="509"/>
        <v>6.9799999999998796</v>
      </c>
      <c r="K1403">
        <f t="shared" si="521"/>
        <v>3.5000000000000045E-2</v>
      </c>
      <c r="L1403">
        <f t="shared" si="510"/>
        <v>0.16995424528192021</v>
      </c>
      <c r="M1403">
        <f t="shared" si="511"/>
        <v>0.19000000000000009</v>
      </c>
      <c r="N1403">
        <f t="shared" si="512"/>
        <v>0.18800000002217959</v>
      </c>
      <c r="O1403">
        <f t="shared" si="513"/>
        <v>0.15777777777777779</v>
      </c>
      <c r="P1403">
        <f t="shared" si="526"/>
        <v>0.08</v>
      </c>
      <c r="Q1403">
        <f t="shared" si="522"/>
        <v>0.08</v>
      </c>
      <c r="R1403">
        <f t="shared" si="515"/>
        <v>0.08</v>
      </c>
      <c r="S1403">
        <f t="shared" si="516"/>
        <v>0.06</v>
      </c>
      <c r="T1403">
        <f t="shared" si="517"/>
        <v>0.1</v>
      </c>
      <c r="U1403">
        <f t="shared" si="523"/>
        <v>0.08</v>
      </c>
      <c r="V1403">
        <f t="shared" si="528"/>
        <v>0.18800000002217959</v>
      </c>
      <c r="W1403">
        <f t="shared" si="524"/>
        <v>0.16995332097530247</v>
      </c>
      <c r="X1403">
        <f t="shared" si="525"/>
        <v>0.2100309516545445</v>
      </c>
      <c r="Y1403" t="b">
        <f t="shared" si="527"/>
        <v>0</v>
      </c>
    </row>
    <row xmlns:x14ac="http://schemas.microsoft.com/office/spreadsheetml/2009/9/ac" r="1404" x14ac:dyDescent="0.45">
      <c r="A1404">
        <v>6.9849999999998804</v>
      </c>
      <c r="B1404">
        <f t="shared" si="505"/>
        <v>0.16300000000000012</v>
      </c>
      <c r="C1404" t="b">
        <f t="shared" si="518"/>
        <v>1</v>
      </c>
      <c r="D1404" t="b">
        <f t="shared" si="506"/>
        <v>1</v>
      </c>
      <c r="E1404">
        <f t="shared" si="514"/>
        <v>6.9849999999998804</v>
      </c>
      <c r="F1404">
        <f t="shared" si="519"/>
        <v>0.16300000000000012</v>
      </c>
      <c r="G1404">
        <f t="shared" si="507"/>
        <v>0.21003018745547092</v>
      </c>
      <c r="H1404">
        <f t="shared" si="508"/>
        <v>3.5000000000000045E-2</v>
      </c>
      <c r="I1404" t="b">
        <f t="shared" si="520"/>
        <v>1</v>
      </c>
      <c r="J1404">
        <f t="shared" si="509"/>
        <v>6.9849999999998804</v>
      </c>
      <c r="K1404">
        <f t="shared" si="521"/>
        <v>3.5000000000000045E-2</v>
      </c>
      <c r="L1404">
        <f t="shared" si="510"/>
        <v>0.16995447348452869</v>
      </c>
      <c r="M1404">
        <f t="shared" si="511"/>
        <v>0.19000000000000009</v>
      </c>
      <c r="N1404">
        <f t="shared" si="512"/>
        <v>0.18800000002180234</v>
      </c>
      <c r="O1404">
        <f t="shared" si="513"/>
        <v>0.15777777777777779</v>
      </c>
      <c r="P1404">
        <f t="shared" si="526"/>
        <v>0.08</v>
      </c>
      <c r="Q1404">
        <f t="shared" si="522"/>
        <v>0.08</v>
      </c>
      <c r="R1404">
        <f t="shared" si="515"/>
        <v>0.08</v>
      </c>
      <c r="S1404">
        <f t="shared" si="516"/>
        <v>0.06</v>
      </c>
      <c r="T1404">
        <f t="shared" si="517"/>
        <v>0.1</v>
      </c>
      <c r="U1404">
        <f t="shared" si="523"/>
        <v>0.08</v>
      </c>
      <c r="V1404">
        <f t="shared" si="528"/>
        <v>0.18800000002180234</v>
      </c>
      <c r="W1404">
        <f t="shared" si="524"/>
        <v>0.16995355378790938</v>
      </c>
      <c r="X1404">
        <f t="shared" si="525"/>
        <v>0.21003079728252344</v>
      </c>
      <c r="Y1404" t="b">
        <f t="shared" si="527"/>
        <v>0</v>
      </c>
    </row>
    <row xmlns:x14ac="http://schemas.microsoft.com/office/spreadsheetml/2009/9/ac" r="1405" x14ac:dyDescent="0.45">
      <c r="A1405">
        <v>6.9899999999998803</v>
      </c>
      <c r="B1405">
        <f t="shared" si="505"/>
        <v>0.16300000000000012</v>
      </c>
      <c r="C1405" t="b">
        <f t="shared" si="518"/>
        <v>1</v>
      </c>
      <c r="D1405" t="b">
        <f t="shared" si="506"/>
        <v>1</v>
      </c>
      <c r="E1405">
        <f t="shared" si="514"/>
        <v>6.9899999999998803</v>
      </c>
      <c r="F1405">
        <f t="shared" si="519"/>
        <v>0.16300000000000012</v>
      </c>
      <c r="G1405">
        <f t="shared" si="507"/>
        <v>0.21003003689490862</v>
      </c>
      <c r="H1405">
        <f t="shared" si="508"/>
        <v>3.5000000000000045E-2</v>
      </c>
      <c r="I1405" t="b">
        <f t="shared" si="520"/>
        <v>1</v>
      </c>
      <c r="J1405">
        <f t="shared" si="509"/>
        <v>6.9899999999998803</v>
      </c>
      <c r="K1405">
        <f t="shared" si="521"/>
        <v>3.5000000000000045E-2</v>
      </c>
      <c r="L1405">
        <f t="shared" si="510"/>
        <v>0.16995470054897188</v>
      </c>
      <c r="M1405">
        <f t="shared" si="511"/>
        <v>0.19000000000000009</v>
      </c>
      <c r="N1405">
        <f t="shared" si="512"/>
        <v>0.18800000002133965</v>
      </c>
      <c r="O1405">
        <f t="shared" si="513"/>
        <v>0.15777777777777779</v>
      </c>
      <c r="P1405">
        <f t="shared" si="526"/>
        <v>0.08</v>
      </c>
      <c r="Q1405">
        <f t="shared" si="522"/>
        <v>0.08</v>
      </c>
      <c r="R1405">
        <f t="shared" si="515"/>
        <v>0.08</v>
      </c>
      <c r="S1405">
        <f t="shared" si="516"/>
        <v>0.06</v>
      </c>
      <c r="T1405">
        <f t="shared" si="517"/>
        <v>0.1</v>
      </c>
      <c r="U1405">
        <f t="shared" si="523"/>
        <v>0.08</v>
      </c>
      <c r="V1405">
        <f t="shared" si="528"/>
        <v>0.18800000002133965</v>
      </c>
      <c r="W1405">
        <f t="shared" si="524"/>
        <v>0.16995378543935863</v>
      </c>
      <c r="X1405">
        <f t="shared" si="525"/>
        <v>0.21003064368043606</v>
      </c>
      <c r="Y1405" t="b">
        <f t="shared" si="527"/>
        <v>0</v>
      </c>
    </row>
    <row xmlns:x14ac="http://schemas.microsoft.com/office/spreadsheetml/2009/9/ac" r="1406" x14ac:dyDescent="0.45">
      <c r="A1406">
        <v>6.9949999999998802</v>
      </c>
      <c r="B1406">
        <f t="shared" si="505"/>
        <v>0.16300000000000012</v>
      </c>
      <c r="C1406" t="b">
        <f t="shared" si="518"/>
        <v>1</v>
      </c>
      <c r="D1406" t="b">
        <f t="shared" si="506"/>
        <v>1</v>
      </c>
      <c r="E1406">
        <f t="shared" si="514"/>
        <v>6.9949999999998802</v>
      </c>
      <c r="F1406">
        <f t="shared" si="519"/>
        <v>0.16300000000000012</v>
      </c>
      <c r="G1406">
        <f t="shared" si="507"/>
        <v>0.21002988708527032</v>
      </c>
      <c r="H1406">
        <f t="shared" si="508"/>
        <v>3.5000000000000045E-2</v>
      </c>
      <c r="I1406" t="b">
        <f t="shared" si="520"/>
        <v>1</v>
      </c>
      <c r="J1406">
        <f t="shared" si="509"/>
        <v>6.9949999999998802</v>
      </c>
      <c r="K1406">
        <f t="shared" si="521"/>
        <v>3.5000000000000045E-2</v>
      </c>
      <c r="L1406">
        <f t="shared" si="510"/>
        <v>0.16995492648092642</v>
      </c>
      <c r="M1406">
        <f t="shared" si="511"/>
        <v>0.19000000000000009</v>
      </c>
      <c r="N1406">
        <f t="shared" si="512"/>
        <v>0.18800000002079625</v>
      </c>
      <c r="O1406">
        <f t="shared" si="513"/>
        <v>0.15777777777777779</v>
      </c>
      <c r="P1406">
        <f t="shared" si="526"/>
        <v>0.08</v>
      </c>
      <c r="Q1406">
        <f t="shared" si="522"/>
        <v>0.08</v>
      </c>
      <c r="R1406">
        <f t="shared" si="515"/>
        <v>0.08</v>
      </c>
      <c r="S1406">
        <f t="shared" si="516"/>
        <v>0.06</v>
      </c>
      <c r="T1406">
        <f t="shared" si="517"/>
        <v>0.1</v>
      </c>
      <c r="U1406">
        <f t="shared" si="523"/>
        <v>0.08</v>
      </c>
      <c r="V1406">
        <f t="shared" si="528"/>
        <v>0.18800000002079625</v>
      </c>
      <c r="W1406">
        <f t="shared" si="524"/>
        <v>0.16995401593544143</v>
      </c>
      <c r="X1406">
        <f t="shared" si="525"/>
        <v>0.21003049084444225</v>
      </c>
      <c r="Y1406" t="b">
        <f t="shared" si="527"/>
        <v>0</v>
      </c>
    </row>
    <row xmlns:x14ac="http://schemas.microsoft.com/office/spreadsheetml/2009/9/ac" r="1407" x14ac:dyDescent="0.45">
      <c r="A1407">
        <v>6.9999999999998801</v>
      </c>
      <c r="B1407">
        <f t="shared" si="505"/>
        <v>0.16300000000000009</v>
      </c>
      <c r="C1407" t="b">
        <f t="shared" si="518"/>
        <v>1</v>
      </c>
      <c r="D1407" t="b">
        <f t="shared" si="506"/>
        <v>1</v>
      </c>
      <c r="E1407">
        <f t="shared" si="514"/>
        <v>6.9999999999998801</v>
      </c>
      <c r="F1407">
        <f t="shared" si="519"/>
        <v>0.16300000000000009</v>
      </c>
      <c r="G1407">
        <f t="shared" si="507"/>
        <v>0.21002973802281066</v>
      </c>
      <c r="H1407">
        <f t="shared" si="508"/>
        <v>3.5000000000000031E-2</v>
      </c>
      <c r="I1407" t="b">
        <f t="shared" si="520"/>
        <v>1</v>
      </c>
      <c r="J1407">
        <f t="shared" si="509"/>
        <v>6.9999999999998801</v>
      </c>
      <c r="K1407">
        <f t="shared" si="521"/>
        <v>3.5000000000000031E-2</v>
      </c>
      <c r="L1407">
        <f t="shared" si="510"/>
        <v>0.16995515128604066</v>
      </c>
      <c r="M1407">
        <f t="shared" si="511"/>
        <v>0.19000000000000006</v>
      </c>
      <c r="N1407">
        <f t="shared" si="512"/>
        <v>0.18800000002017714</v>
      </c>
      <c r="O1407">
        <f t="shared" si="513"/>
        <v>0.15777777777777779</v>
      </c>
      <c r="P1407">
        <f t="shared" si="526"/>
        <v>0.08</v>
      </c>
      <c r="Q1407">
        <f t="shared" si="522"/>
        <v>0.08</v>
      </c>
      <c r="R1407">
        <f t="shared" si="515"/>
        <v>0.08</v>
      </c>
      <c r="S1407">
        <f t="shared" si="516"/>
        <v>0.06</v>
      </c>
      <c r="T1407">
        <f t="shared" si="517"/>
        <v>0.1</v>
      </c>
      <c r="U1407">
        <f t="shared" si="523"/>
        <v>0.08</v>
      </c>
      <c r="V1407">
        <f t="shared" si="528"/>
        <v>0.18800000002017714</v>
      </c>
      <c r="W1407">
        <f t="shared" si="524"/>
        <v>0.16995424528192021</v>
      </c>
      <c r="X1407">
        <f t="shared" si="525"/>
        <v>0.21003033877072114</v>
      </c>
      <c r="Y1407" t="b">
        <f t="shared" si="527"/>
        <v>0</v>
      </c>
    </row>
    <row xmlns:x14ac="http://schemas.microsoft.com/office/spreadsheetml/2009/9/ac" r="1408" x14ac:dyDescent="0.45">
      <c r="A1408">
        <v>7.00499999999988</v>
      </c>
      <c r="B1408">
        <f t="shared" si="505"/>
        <v>0.16300000000000009</v>
      </c>
      <c r="C1408" t="b">
        <f t="shared" si="518"/>
        <v>1</v>
      </c>
      <c r="D1408" t="b">
        <f t="shared" si="506"/>
        <v>1</v>
      </c>
      <c r="E1408">
        <f t="shared" si="514"/>
        <v>7.00499999999988</v>
      </c>
      <c r="F1408">
        <f t="shared" si="519"/>
        <v>0.16300000000000009</v>
      </c>
      <c r="G1408">
        <f t="shared" si="507"/>
        <v>0.21002958970380309</v>
      </c>
      <c r="H1408">
        <f t="shared" si="508"/>
        <v>3.5000000000000031E-2</v>
      </c>
      <c r="I1408" t="b">
        <f t="shared" si="520"/>
        <v>1</v>
      </c>
      <c r="J1408">
        <f t="shared" si="509"/>
        <v>7.00499999999988</v>
      </c>
      <c r="K1408">
        <f t="shared" si="521"/>
        <v>3.5000000000000031E-2</v>
      </c>
      <c r="L1408">
        <f t="shared" si="510"/>
        <v>0.16995537496993474</v>
      </c>
      <c r="M1408">
        <f t="shared" si="511"/>
        <v>0.19000000000000006</v>
      </c>
      <c r="N1408">
        <f t="shared" si="512"/>
        <v>0.1880000000194875</v>
      </c>
      <c r="O1408">
        <f t="shared" si="513"/>
        <v>0.15777777777777779</v>
      </c>
      <c r="P1408">
        <f t="shared" si="526"/>
        <v>0.08</v>
      </c>
      <c r="Q1408">
        <f t="shared" si="522"/>
        <v>0.08</v>
      </c>
      <c r="R1408">
        <f t="shared" si="515"/>
        <v>0.08</v>
      </c>
      <c r="S1408">
        <f t="shared" si="516"/>
        <v>0.06</v>
      </c>
      <c r="T1408">
        <f t="shared" si="517"/>
        <v>0.1</v>
      </c>
      <c r="U1408">
        <f t="shared" si="523"/>
        <v>0.08</v>
      </c>
      <c r="V1408">
        <f t="shared" si="528"/>
        <v>0.1880000000194875</v>
      </c>
      <c r="W1408">
        <f t="shared" si="524"/>
        <v>0.16995447348452869</v>
      </c>
      <c r="X1408">
        <f t="shared" si="525"/>
        <v>0.21003018745547092</v>
      </c>
      <c r="Y1408" t="b">
        <f t="shared" si="527"/>
        <v>0</v>
      </c>
    </row>
    <row xmlns:x14ac="http://schemas.microsoft.com/office/spreadsheetml/2009/9/ac" r="1409" x14ac:dyDescent="0.45">
      <c r="A1409">
        <v>7.0099999999998799</v>
      </c>
      <c r="B1409">
        <f t="shared" si="505"/>
        <v>0.16300000000000009</v>
      </c>
      <c r="C1409" t="b">
        <f t="shared" si="518"/>
        <v>1</v>
      </c>
      <c r="D1409" t="b">
        <f t="shared" si="506"/>
        <v>1</v>
      </c>
      <c r="E1409">
        <f t="shared" si="514"/>
        <v>7.0099999999998799</v>
      </c>
      <c r="F1409">
        <f t="shared" si="519"/>
        <v>0.16300000000000009</v>
      </c>
      <c r="G1409">
        <f t="shared" si="507"/>
        <v>0.21002944212453972</v>
      </c>
      <c r="H1409">
        <f t="shared" si="508"/>
        <v>3.5000000000000031E-2</v>
      </c>
      <c r="I1409" t="b">
        <f t="shared" si="520"/>
        <v>1</v>
      </c>
      <c r="J1409">
        <f t="shared" si="509"/>
        <v>7.0099999999998799</v>
      </c>
      <c r="K1409">
        <f t="shared" si="521"/>
        <v>3.5000000000000031E-2</v>
      </c>
      <c r="L1409">
        <f t="shared" si="510"/>
        <v>0.16995559753820072</v>
      </c>
      <c r="M1409">
        <f t="shared" si="511"/>
        <v>0.19000000000000006</v>
      </c>
      <c r="N1409">
        <f t="shared" si="512"/>
        <v>0.18800000001873257</v>
      </c>
      <c r="O1409">
        <f t="shared" si="513"/>
        <v>0.15777777777777779</v>
      </c>
      <c r="P1409">
        <f t="shared" si="526"/>
        <v>0.08</v>
      </c>
      <c r="Q1409">
        <f t="shared" si="522"/>
        <v>0.08</v>
      </c>
      <c r="R1409">
        <f t="shared" si="515"/>
        <v>0.08</v>
      </c>
      <c r="S1409">
        <f t="shared" si="516"/>
        <v>0.06</v>
      </c>
      <c r="T1409">
        <f t="shared" si="517"/>
        <v>0.1</v>
      </c>
      <c r="U1409">
        <f t="shared" si="523"/>
        <v>0.08</v>
      </c>
      <c r="V1409">
        <f t="shared" si="528"/>
        <v>0.18800000001873257</v>
      </c>
      <c r="W1409">
        <f t="shared" si="524"/>
        <v>0.16995470054897188</v>
      </c>
      <c r="X1409">
        <f t="shared" si="525"/>
        <v>0.21003003689490862</v>
      </c>
      <c r="Y1409" t="b">
        <f t="shared" si="527"/>
        <v>0</v>
      </c>
    </row>
    <row xmlns:x14ac="http://schemas.microsoft.com/office/spreadsheetml/2009/9/ac" r="1410" x14ac:dyDescent="0.45">
      <c r="A1410">
        <v>7.0149999999998798</v>
      </c>
      <c r="B1410">
        <f t="shared" si="505"/>
        <v>0.16300000000000009</v>
      </c>
      <c r="C1410" t="b">
        <f t="shared" si="518"/>
        <v>1</v>
      </c>
      <c r="D1410" t="b">
        <f t="shared" si="506"/>
        <v>1</v>
      </c>
      <c r="E1410">
        <f t="shared" si="514"/>
        <v>7.0149999999998798</v>
      </c>
      <c r="F1410">
        <f t="shared" si="519"/>
        <v>0.16300000000000009</v>
      </c>
      <c r="G1410">
        <f t="shared" si="507"/>
        <v>0.21002929528133096</v>
      </c>
      <c r="H1410">
        <f t="shared" si="508"/>
        <v>3.5000000000000031E-2</v>
      </c>
      <c r="I1410" t="b">
        <f t="shared" si="520"/>
        <v>1</v>
      </c>
      <c r="J1410">
        <f t="shared" si="509"/>
        <v>7.0149999999998798</v>
      </c>
      <c r="K1410">
        <f t="shared" si="521"/>
        <v>3.5000000000000031E-2</v>
      </c>
      <c r="L1410">
        <f t="shared" si="510"/>
        <v>0.16995581899640283</v>
      </c>
      <c r="M1410">
        <f t="shared" si="511"/>
        <v>0.19000000000000006</v>
      </c>
      <c r="N1410">
        <f t="shared" si="512"/>
        <v>0.18800000001791778</v>
      </c>
      <c r="O1410">
        <f t="shared" si="513"/>
        <v>0.15777777777777779</v>
      </c>
      <c r="P1410">
        <f t="shared" si="526"/>
        <v>0.08</v>
      </c>
      <c r="Q1410">
        <f t="shared" si="522"/>
        <v>0.08</v>
      </c>
      <c r="R1410">
        <f t="shared" si="515"/>
        <v>0.08</v>
      </c>
      <c r="S1410">
        <f t="shared" si="516"/>
        <v>0.06</v>
      </c>
      <c r="T1410">
        <f t="shared" si="517"/>
        <v>0.1</v>
      </c>
      <c r="U1410">
        <f t="shared" si="523"/>
        <v>0.08</v>
      </c>
      <c r="V1410">
        <f t="shared" si="528"/>
        <v>0.18800000001791778</v>
      </c>
      <c r="W1410">
        <f t="shared" si="524"/>
        <v>0.16995492648092642</v>
      </c>
      <c r="X1410">
        <f t="shared" si="525"/>
        <v>0.21002988708527032</v>
      </c>
      <c r="Y1410" t="b">
        <f t="shared" si="527"/>
        <v>0</v>
      </c>
    </row>
    <row xmlns:x14ac="http://schemas.microsoft.com/office/spreadsheetml/2009/9/ac" r="1411" x14ac:dyDescent="0.45">
      <c r="A1411">
        <v>7.0199999999998797</v>
      </c>
      <c r="B1411">
        <f t="shared" si="505"/>
        <v>0.16300000000000006</v>
      </c>
      <c r="C1411" t="b">
        <f t="shared" si="518"/>
        <v>1</v>
      </c>
      <c r="D1411" t="b">
        <f t="shared" si="506"/>
        <v>1</v>
      </c>
      <c r="E1411">
        <f t="shared" si="514"/>
        <v>7.0199999999998797</v>
      </c>
      <c r="F1411">
        <f t="shared" si="519"/>
        <v>0.16300000000000006</v>
      </c>
      <c r="G1411">
        <f t="shared" si="507"/>
        <v>0.21002914917050575</v>
      </c>
      <c r="H1411">
        <f t="shared" si="508"/>
        <v>3.5000000000000031E-2</v>
      </c>
      <c r="I1411" t="b">
        <f t="shared" si="520"/>
        <v>1</v>
      </c>
      <c r="J1411">
        <f t="shared" si="509"/>
        <v>7.0199999999998797</v>
      </c>
      <c r="K1411">
        <f t="shared" si="521"/>
        <v>3.5000000000000031E-2</v>
      </c>
      <c r="L1411">
        <f t="shared" si="510"/>
        <v>0.16995603935007755</v>
      </c>
      <c r="M1411">
        <f t="shared" si="511"/>
        <v>0.19000000000000006</v>
      </c>
      <c r="N1411">
        <f t="shared" si="512"/>
        <v>0.1880000000170487</v>
      </c>
      <c r="O1411">
        <f t="shared" si="513"/>
        <v>0.15777777777777779</v>
      </c>
      <c r="P1411">
        <f t="shared" si="526"/>
        <v>0.08</v>
      </c>
      <c r="Q1411">
        <f t="shared" si="522"/>
        <v>0.08</v>
      </c>
      <c r="R1411">
        <f t="shared" si="515"/>
        <v>0.08</v>
      </c>
      <c r="S1411">
        <f t="shared" si="516"/>
        <v>0.06</v>
      </c>
      <c r="T1411">
        <f t="shared" si="517"/>
        <v>0.1</v>
      </c>
      <c r="U1411">
        <f t="shared" si="523"/>
        <v>0.08</v>
      </c>
      <c r="V1411">
        <f t="shared" si="528"/>
        <v>0.1880000000170487</v>
      </c>
      <c r="W1411">
        <f t="shared" si="524"/>
        <v>0.16995515128604066</v>
      </c>
      <c r="X1411">
        <f t="shared" si="525"/>
        <v>0.21002973802281066</v>
      </c>
      <c r="Y1411" t="b">
        <f t="shared" si="527"/>
        <v>0</v>
      </c>
    </row>
    <row xmlns:x14ac="http://schemas.microsoft.com/office/spreadsheetml/2009/9/ac" r="1412" x14ac:dyDescent="0.45">
      <c r="A1412">
        <v>7.0249999999998796</v>
      </c>
      <c r="B1412">
        <f t="shared" si="505"/>
        <v>0.16300000000000006</v>
      </c>
      <c r="C1412" t="b">
        <f t="shared" si="518"/>
        <v>1</v>
      </c>
      <c r="D1412" t="b">
        <f t="shared" si="506"/>
        <v>1</v>
      </c>
      <c r="E1412">
        <f t="shared" si="514"/>
        <v>7.0249999999998796</v>
      </c>
      <c r="F1412">
        <f t="shared" si="519"/>
        <v>0.16300000000000006</v>
      </c>
      <c r="G1412">
        <f t="shared" si="507"/>
        <v>0.21002900378841133</v>
      </c>
      <c r="H1412">
        <f t="shared" si="508"/>
        <v>3.5000000000000031E-2</v>
      </c>
      <c r="I1412" t="b">
        <f t="shared" si="520"/>
        <v>1</v>
      </c>
      <c r="J1412">
        <f t="shared" si="509"/>
        <v>7.0249999999998796</v>
      </c>
      <c r="K1412">
        <f t="shared" si="521"/>
        <v>3.5000000000000031E-2</v>
      </c>
      <c r="L1412">
        <f t="shared" si="510"/>
        <v>0.16995625860473373</v>
      </c>
      <c r="M1412">
        <f t="shared" si="511"/>
        <v>0.19000000000000006</v>
      </c>
      <c r="N1412">
        <f t="shared" si="512"/>
        <v>0.18800000001613085</v>
      </c>
      <c r="O1412">
        <f t="shared" si="513"/>
        <v>0.15777777777777779</v>
      </c>
      <c r="P1412">
        <f t="shared" si="526"/>
        <v>0.08</v>
      </c>
      <c r="Q1412">
        <f t="shared" si="522"/>
        <v>0.08</v>
      </c>
      <c r="R1412">
        <f t="shared" si="515"/>
        <v>0.08</v>
      </c>
      <c r="S1412">
        <f t="shared" si="516"/>
        <v>0.06</v>
      </c>
      <c r="T1412">
        <f t="shared" si="517"/>
        <v>0.1</v>
      </c>
      <c r="U1412">
        <f t="shared" si="523"/>
        <v>0.08</v>
      </c>
      <c r="V1412">
        <f t="shared" si="528"/>
        <v>0.18800000001613085</v>
      </c>
      <c r="W1412">
        <f t="shared" si="524"/>
        <v>0.16995537496993474</v>
      </c>
      <c r="X1412">
        <f t="shared" si="525"/>
        <v>0.21002958970380309</v>
      </c>
      <c r="Y1412" t="b">
        <f t="shared" si="527"/>
        <v>0</v>
      </c>
    </row>
    <row xmlns:x14ac="http://schemas.microsoft.com/office/spreadsheetml/2009/9/ac" r="1413" x14ac:dyDescent="0.45">
      <c r="A1413">
        <v>7.0299999999998803</v>
      </c>
      <c r="B1413">
        <f t="shared" si="505"/>
        <v>0.16300000000000006</v>
      </c>
      <c r="C1413" t="b">
        <f t="shared" si="518"/>
        <v>1</v>
      </c>
      <c r="D1413" t="b">
        <f t="shared" si="506"/>
        <v>1</v>
      </c>
      <c r="E1413">
        <f t="shared" si="514"/>
        <v>7.0299999999998803</v>
      </c>
      <c r="F1413">
        <f t="shared" si="519"/>
        <v>0.16300000000000006</v>
      </c>
      <c r="G1413">
        <f t="shared" si="507"/>
        <v>0.21002885913141317</v>
      </c>
      <c r="H1413">
        <f t="shared" si="508"/>
        <v>3.5000000000000031E-2</v>
      </c>
      <c r="I1413" t="b">
        <f t="shared" si="520"/>
        <v>1</v>
      </c>
      <c r="J1413">
        <f t="shared" si="509"/>
        <v>7.0299999999998803</v>
      </c>
      <c r="K1413">
        <f t="shared" si="521"/>
        <v>3.5000000000000031E-2</v>
      </c>
      <c r="L1413">
        <f t="shared" si="510"/>
        <v>0.16995647676585279</v>
      </c>
      <c r="M1413">
        <f t="shared" si="511"/>
        <v>0.19000000000000006</v>
      </c>
      <c r="N1413">
        <f t="shared" si="512"/>
        <v>0.18800000001516992</v>
      </c>
      <c r="O1413">
        <f t="shared" si="513"/>
        <v>0.15777777777777779</v>
      </c>
      <c r="P1413">
        <f t="shared" si="526"/>
        <v>0.08</v>
      </c>
      <c r="Q1413">
        <f t="shared" si="522"/>
        <v>0.08</v>
      </c>
      <c r="R1413">
        <f t="shared" si="515"/>
        <v>0.08</v>
      </c>
      <c r="S1413">
        <f t="shared" si="516"/>
        <v>0.06</v>
      </c>
      <c r="T1413">
        <f t="shared" si="517"/>
        <v>0.1</v>
      </c>
      <c r="U1413">
        <f t="shared" si="523"/>
        <v>0.08</v>
      </c>
      <c r="V1413">
        <f t="shared" si="528"/>
        <v>0.18800000001516992</v>
      </c>
      <c r="W1413">
        <f t="shared" si="524"/>
        <v>0.16995559753820072</v>
      </c>
      <c r="X1413">
        <f t="shared" si="525"/>
        <v>0.21002944212453972</v>
      </c>
      <c r="Y1413" t="b">
        <f t="shared" si="527"/>
        <v>0</v>
      </c>
    </row>
    <row xmlns:x14ac="http://schemas.microsoft.com/office/spreadsheetml/2009/9/ac" r="1414" x14ac:dyDescent="0.45">
      <c r="A1414">
        <v>7.0349999999998802</v>
      </c>
      <c r="B1414">
        <f t="shared" si="505"/>
        <v>0.16300000000000006</v>
      </c>
      <c r="C1414" t="b">
        <f t="shared" si="518"/>
        <v>1</v>
      </c>
      <c r="D1414" t="b">
        <f t="shared" si="506"/>
        <v>1</v>
      </c>
      <c r="E1414">
        <f t="shared" si="514"/>
        <v>7.0349999999998802</v>
      </c>
      <c r="F1414">
        <f t="shared" si="519"/>
        <v>0.16300000000000006</v>
      </c>
      <c r="G1414">
        <f t="shared" si="507"/>
        <v>0.21002871519589472</v>
      </c>
      <c r="H1414">
        <f t="shared" si="508"/>
        <v>3.5000000000000017E-2</v>
      </c>
      <c r="I1414" t="b">
        <f t="shared" si="520"/>
        <v>1</v>
      </c>
      <c r="J1414">
        <f t="shared" si="509"/>
        <v>7.0349999999998802</v>
      </c>
      <c r="K1414">
        <f t="shared" si="521"/>
        <v>3.5000000000000017E-2</v>
      </c>
      <c r="L1414">
        <f t="shared" si="510"/>
        <v>0.16995669383888867</v>
      </c>
      <c r="M1414">
        <f t="shared" si="511"/>
        <v>0.19000000000000006</v>
      </c>
      <c r="N1414">
        <f t="shared" si="512"/>
        <v>0.18800000001417155</v>
      </c>
      <c r="O1414">
        <f t="shared" si="513"/>
        <v>0.15777777777777779</v>
      </c>
      <c r="P1414">
        <f t="shared" si="526"/>
        <v>0.08</v>
      </c>
      <c r="Q1414">
        <f t="shared" si="522"/>
        <v>0.08</v>
      </c>
      <c r="R1414">
        <f t="shared" si="515"/>
        <v>0.08</v>
      </c>
      <c r="S1414">
        <f t="shared" si="516"/>
        <v>0.06</v>
      </c>
      <c r="T1414">
        <f t="shared" si="517"/>
        <v>0.1</v>
      </c>
      <c r="U1414">
        <f t="shared" si="523"/>
        <v>0.08</v>
      </c>
      <c r="V1414">
        <f t="shared" si="528"/>
        <v>0.18800000001417155</v>
      </c>
      <c r="W1414">
        <f t="shared" si="524"/>
        <v>0.16995581899640283</v>
      </c>
      <c r="X1414">
        <f t="shared" si="525"/>
        <v>0.21002929528133096</v>
      </c>
      <c r="Y1414" t="b">
        <f t="shared" si="527"/>
        <v>0</v>
      </c>
    </row>
    <row xmlns:x14ac="http://schemas.microsoft.com/office/spreadsheetml/2009/9/ac" r="1415" x14ac:dyDescent="0.45">
      <c r="A1415">
        <v>7.0399999999998801</v>
      </c>
      <c r="B1415">
        <f t="shared" ref="B1415:B1478" si="529">-(1+Marge_haute)*(A+B/Tpll*EXP(-$A1415/Tpll)+C_*EXP(-epsilon*Wn*$A1415)*COS(Wd*$A1415)+C_*(D/C_-epsilon*Wn)/Wd*EXP(-epsilon*Wn*$A1415)*SIN(Wd*$A1415))+SIGN(DeltaPexpected)*Tunnel</f>
        <v>0.16300000000000006</v>
      </c>
      <c r="C1415" t="b">
        <f t="shared" si="518"/>
        <v>1</v>
      </c>
      <c r="D1415" t="b">
        <f t="shared" ref="D1415:D1478" si="530">IF(D1414,D1414,IF(C1415,B1415&gt;B1414,C1415))</f>
        <v>1</v>
      </c>
      <c r="E1415">
        <f t="shared" si="514"/>
        <v>7.0399999999998801</v>
      </c>
      <c r="F1415">
        <f t="shared" si="519"/>
        <v>0.16300000000000006</v>
      </c>
      <c r="G1415">
        <f t="shared" ref="G1415:G1478" si="531">P0-SIGN(Rocof)*IF(D1415,DeltaPexpected+SIGN(DeltaPexpected)*Tunnel+(MIN(F$7:F$1495)-DeltaPexpected-+SIGN(DeltaPexpected)*Tunnel)*EXP(-(A1415-MIN(E$7:E$1495))/Texpodecrease),B1415)</f>
        <v>0.21002857197825775</v>
      </c>
      <c r="H1415">
        <f t="shared" ref="H1415:H1478" si="532">-(1-marge_basse)*(A+B/Tpll*EXP(-$A1415/Tpll)+C_*EXP(-epsilon*Wn*$A1415)*COS(Wd*$A1415)+C_*(D/C_-epsilon*Wn)/Wd*EXP(-epsilon*Wn*$A1415)*SIN(Wd*$A1415))-Tunnel</f>
        <v>3.5000000000000017E-2</v>
      </c>
      <c r="I1415" t="b">
        <f t="shared" si="520"/>
        <v>1</v>
      </c>
      <c r="J1415">
        <f t="shared" ref="J1415:J1478" si="533">IF(I1415,A1415,I1415)</f>
        <v>7.0399999999998801</v>
      </c>
      <c r="K1415">
        <f t="shared" si="521"/>
        <v>3.5000000000000017E-2</v>
      </c>
      <c r="L1415">
        <f t="shared" ref="L1415:L1478" si="534">P0-SIGN(Rocof)*IF(I1415,AF$23-AF$13+(MAX(K$7:K$1495)-AF$23+AF$13)*EXP(-(A1415-MIN(J$7:J$1495))/AB$21),H1415)</f>
        <v>0.16995690982926831</v>
      </c>
      <c r="M1415">
        <f t="shared" ref="M1415:M1478" si="535">P0-(1)*(A+B/Tpll*EXP(-$A1415/Tpll)+C_*EXP(-epsilon*Wn*$A1415)*COS(Wd*$A1415)+C_*(D/C_-epsilon*Wn)/Wd*EXP(-epsilon*Wn*$A1415)*SIN(Wd*$A1415))</f>
        <v>0.19000000000000006</v>
      </c>
      <c r="N1415">
        <f t="shared" ref="N1415:N1478" si="536">AB$6-(AG$17+AG$16/AC$18*EXP(-$A1415/AC$18)+AG$18*EXP(-AG$6*AG$12*$A1415)*COS(AG$5*$A1415)+AG$18*(AG$19/AG$18-AG$6*AG$12)/AG$5*EXP(-AG$6*AG$12*$A1415)*SIN(AG$5*$A1415))</f>
        <v>0.18800000001314138</v>
      </c>
      <c r="O1415">
        <f t="shared" ref="O1415:O1478" si="537">AB$6-(AH$17+AH$16/AD$18*EXP(-$A1415/AD$18)+AH$18*EXP(-AH$6*AH$12*$A1415)*COS(AH$5*$A1415)+AH$18*(AH$19/AH$18-AH$6*AH$12)/AH$5*EXP(-AH$6*AH$12*$A1415)*SIN(AH$5*$A1415))</f>
        <v>0.15777777777777779</v>
      </c>
      <c r="P1415">
        <f t="shared" si="526"/>
        <v>0.08</v>
      </c>
      <c r="Q1415">
        <f t="shared" si="522"/>
        <v>0.08</v>
      </c>
      <c r="R1415">
        <f t="shared" si="515"/>
        <v>0.08</v>
      </c>
      <c r="S1415">
        <f t="shared" si="516"/>
        <v>0.06</v>
      </c>
      <c r="T1415">
        <f t="shared" si="517"/>
        <v>0.1</v>
      </c>
      <c r="U1415">
        <f t="shared" si="523"/>
        <v>0.08</v>
      </c>
      <c r="V1415">
        <f t="shared" si="528"/>
        <v>0.18800000001314138</v>
      </c>
      <c r="W1415">
        <f t="shared" si="524"/>
        <v>0.16995603935007755</v>
      </c>
      <c r="X1415">
        <f t="shared" si="525"/>
        <v>0.21002914917050575</v>
      </c>
      <c r="Y1415" t="b">
        <f t="shared" si="527"/>
        <v>0</v>
      </c>
    </row>
    <row xmlns:x14ac="http://schemas.microsoft.com/office/spreadsheetml/2009/9/ac" r="1416" x14ac:dyDescent="0.45">
      <c r="A1416">
        <v>7.04499999999988</v>
      </c>
      <c r="B1416">
        <f t="shared" si="529"/>
        <v>0.16300000000000006</v>
      </c>
      <c r="C1416" t="b">
        <f t="shared" si="518"/>
        <v>1</v>
      </c>
      <c r="D1416" t="b">
        <f t="shared" si="530"/>
        <v>1</v>
      </c>
      <c r="E1416">
        <f t="shared" ref="E1416:E1479" si="538">IF(D1416,A1416,D1416)</f>
        <v>7.04499999999988</v>
      </c>
      <c r="F1416">
        <f t="shared" si="519"/>
        <v>0.16300000000000006</v>
      </c>
      <c r="G1416">
        <f t="shared" si="531"/>
        <v>0.21002842947492167</v>
      </c>
      <c r="H1416">
        <f t="shared" si="532"/>
        <v>3.5000000000000017E-2</v>
      </c>
      <c r="I1416" t="b">
        <f t="shared" si="520"/>
        <v>1</v>
      </c>
      <c r="J1416">
        <f t="shared" si="533"/>
        <v>7.04499999999988</v>
      </c>
      <c r="K1416">
        <f t="shared" si="521"/>
        <v>3.5000000000000017E-2</v>
      </c>
      <c r="L1416">
        <f t="shared" si="534"/>
        <v>0.16995712474239144</v>
      </c>
      <c r="M1416">
        <f t="shared" si="535"/>
        <v>0.19000000000000006</v>
      </c>
      <c r="N1416">
        <f t="shared" si="536"/>
        <v>0.18800000001208494</v>
      </c>
      <c r="O1416">
        <f t="shared" si="537"/>
        <v>0.15777777777777779</v>
      </c>
      <c r="P1416">
        <f t="shared" si="526"/>
        <v>0.08</v>
      </c>
      <c r="Q1416">
        <f t="shared" si="522"/>
        <v>0.08</v>
      </c>
      <c r="R1416">
        <f t="shared" ref="R1416:R1479" si="539">$AB$6-(1+AB$17)*EXP(-AF$6*AF$12*A1416)*(COS(AF$5*A1416)-(AF$6*AF$12-1)/(AF$5)*SIN(AF$5*A1416))*AF$15</f>
        <v>0.08</v>
      </c>
      <c r="S1416">
        <f t="shared" ref="S1416:S1479" si="540">R1416-AF$13</f>
        <v>0.06</v>
      </c>
      <c r="T1416">
        <f t="shared" ref="T1416:T1479" si="541">R1416+AF$13</f>
        <v>0.1</v>
      </c>
      <c r="U1416">
        <f t="shared" si="523"/>
        <v>0.08</v>
      </c>
      <c r="V1416">
        <f t="shared" si="528"/>
        <v>0.18800000001208494</v>
      </c>
      <c r="W1416">
        <f t="shared" si="524"/>
        <v>0.16995625860473373</v>
      </c>
      <c r="X1416">
        <f t="shared" si="525"/>
        <v>0.21002900378841133</v>
      </c>
      <c r="Y1416" t="b">
        <f t="shared" si="527"/>
        <v>0</v>
      </c>
    </row>
    <row xmlns:x14ac="http://schemas.microsoft.com/office/spreadsheetml/2009/9/ac" r="1417" x14ac:dyDescent="0.45">
      <c r="A1417">
        <v>7.0499999999998799</v>
      </c>
      <c r="B1417">
        <f t="shared" si="529"/>
        <v>0.16300000000000006</v>
      </c>
      <c r="C1417" t="b">
        <f t="shared" ref="C1417:C1480" si="542">IF(C1416,C1416,(B1417&lt;B1416))</f>
        <v>1</v>
      </c>
      <c r="D1417" t="b">
        <f t="shared" si="530"/>
        <v>1</v>
      </c>
      <c r="E1417">
        <f t="shared" si="538"/>
        <v>7.0499999999998799</v>
      </c>
      <c r="F1417">
        <f t="shared" ref="F1417:F1480" si="543">IF(D1417,B1417,D1417)</f>
        <v>0.16300000000000006</v>
      </c>
      <c r="G1417">
        <f t="shared" si="531"/>
        <v>0.21002828768232396</v>
      </c>
      <c r="H1417">
        <f t="shared" si="532"/>
        <v>3.5000000000000017E-2</v>
      </c>
      <c r="I1417" t="b">
        <f t="shared" ref="I1417:I1480" si="544">IF(I1416,I1416,H1416&gt;H1417)</f>
        <v>1</v>
      </c>
      <c r="J1417">
        <f t="shared" si="533"/>
        <v>7.0499999999998799</v>
      </c>
      <c r="K1417">
        <f t="shared" ref="K1417:K1480" si="545">IF(I1417,H1417,I1417)</f>
        <v>3.5000000000000017E-2</v>
      </c>
      <c r="L1417">
        <f t="shared" si="534"/>
        <v>0.16995733858363088</v>
      </c>
      <c r="M1417">
        <f t="shared" si="535"/>
        <v>0.19000000000000006</v>
      </c>
      <c r="N1417">
        <f t="shared" si="536"/>
        <v>0.18800000001100786</v>
      </c>
      <c r="O1417">
        <f t="shared" si="537"/>
        <v>0.15777777777777779</v>
      </c>
      <c r="P1417">
        <f t="shared" si="526"/>
        <v>0.08</v>
      </c>
      <c r="Q1417">
        <f t="shared" ref="Q1417:Q1480" si="546">$AB$6-(1+AB$17)*EXP(-AF$6*AF$12*A1415)*(COS(AF$5*A1415)-(AF$6*AF$12-1)/(AF$5)*SIN(AF$5*A1415))*AF$15</f>
        <v>0.08</v>
      </c>
      <c r="R1417">
        <f t="shared" si="539"/>
        <v>0.08</v>
      </c>
      <c r="S1417">
        <f t="shared" si="540"/>
        <v>0.06</v>
      </c>
      <c r="T1417">
        <f t="shared" si="541"/>
        <v>0.1</v>
      </c>
      <c r="U1417">
        <f t="shared" ref="U1417:U1480" si="547">$AB$6-AB$18*EXP(-AF$6*AF$12*A1415)*(COS(AF$5*A1415)-(AF$6*AF$12-1)/(AF$5)*SIN(AF$5*A1415))*AF$15</f>
        <v>0.08</v>
      </c>
      <c r="V1417">
        <f t="shared" si="528"/>
        <v>0.18800000001100786</v>
      </c>
      <c r="W1417">
        <f t="shared" si="524"/>
        <v>0.16995647676585279</v>
      </c>
      <c r="X1417">
        <f t="shared" si="525"/>
        <v>0.21002885913141317</v>
      </c>
      <c r="Y1417" t="b">
        <f t="shared" si="527"/>
        <v>0</v>
      </c>
    </row>
    <row xmlns:x14ac="http://schemas.microsoft.com/office/spreadsheetml/2009/9/ac" r="1418" x14ac:dyDescent="0.45">
      <c r="A1418">
        <v>7.0549999999998798</v>
      </c>
      <c r="B1418">
        <f t="shared" si="529"/>
        <v>0.16300000000000003</v>
      </c>
      <c r="C1418" t="b">
        <f t="shared" si="542"/>
        <v>1</v>
      </c>
      <c r="D1418" t="b">
        <f t="shared" si="530"/>
        <v>1</v>
      </c>
      <c r="E1418">
        <f t="shared" si="538"/>
        <v>7.0549999999998798</v>
      </c>
      <c r="F1418">
        <f t="shared" si="543"/>
        <v>0.16300000000000003</v>
      </c>
      <c r="G1418">
        <f t="shared" si="531"/>
        <v>0.21002814659691976</v>
      </c>
      <c r="H1418">
        <f t="shared" si="532"/>
        <v>3.5000000000000017E-2</v>
      </c>
      <c r="I1418" t="b">
        <f t="shared" si="544"/>
        <v>1</v>
      </c>
      <c r="J1418">
        <f t="shared" si="533"/>
        <v>7.0549999999998798</v>
      </c>
      <c r="K1418">
        <f t="shared" si="545"/>
        <v>3.5000000000000017E-2</v>
      </c>
      <c r="L1418">
        <f t="shared" si="534"/>
        <v>0.16995755135833268</v>
      </c>
      <c r="M1418">
        <f t="shared" si="535"/>
        <v>0.19000000000000003</v>
      </c>
      <c r="N1418">
        <f t="shared" si="536"/>
        <v>0.18800000000991557</v>
      </c>
      <c r="O1418">
        <f t="shared" si="537"/>
        <v>0.15777777777777779</v>
      </c>
      <c r="P1418">
        <f t="shared" si="526"/>
        <v>0.08</v>
      </c>
      <c r="Q1418">
        <f t="shared" si="546"/>
        <v>0.08</v>
      </c>
      <c r="R1418">
        <f t="shared" si="539"/>
        <v>0.08</v>
      </c>
      <c r="S1418">
        <f t="shared" si="540"/>
        <v>0.06</v>
      </c>
      <c r="T1418">
        <f t="shared" si="541"/>
        <v>0.1</v>
      </c>
      <c r="U1418">
        <f t="shared" si="547"/>
        <v>0.08</v>
      </c>
      <c r="V1418">
        <f t="shared" si="528"/>
        <v>0.18800000000991557</v>
      </c>
      <c r="W1418">
        <f t="shared" si="524"/>
        <v>0.16995669383888867</v>
      </c>
      <c r="X1418">
        <f t="shared" si="525"/>
        <v>0.21002871519589472</v>
      </c>
      <c r="Y1418" t="b">
        <f t="shared" si="527"/>
        <v>0</v>
      </c>
    </row>
    <row xmlns:x14ac="http://schemas.microsoft.com/office/spreadsheetml/2009/9/ac" r="1419" x14ac:dyDescent="0.45">
      <c r="A1419">
        <v>7.0599999999998797</v>
      </c>
      <c r="B1419">
        <f t="shared" si="529"/>
        <v>0.16300000000000003</v>
      </c>
      <c r="C1419" t="b">
        <f t="shared" si="542"/>
        <v>1</v>
      </c>
      <c r="D1419" t="b">
        <f t="shared" si="530"/>
        <v>1</v>
      </c>
      <c r="E1419">
        <f t="shared" si="538"/>
        <v>7.0599999999998797</v>
      </c>
      <c r="F1419">
        <f t="shared" si="543"/>
        <v>0.16300000000000003</v>
      </c>
      <c r="G1419">
        <f t="shared" si="531"/>
        <v>0.21002800621518197</v>
      </c>
      <c r="H1419">
        <f t="shared" si="532"/>
        <v>3.5000000000000017E-2</v>
      </c>
      <c r="I1419" t="b">
        <f t="shared" si="544"/>
        <v>1</v>
      </c>
      <c r="J1419">
        <f t="shared" si="533"/>
        <v>7.0599999999998797</v>
      </c>
      <c r="K1419">
        <f t="shared" si="545"/>
        <v>3.5000000000000017E-2</v>
      </c>
      <c r="L1419">
        <f t="shared" si="534"/>
        <v>0.16995776307181626</v>
      </c>
      <c r="M1419">
        <f t="shared" si="535"/>
        <v>0.19000000000000003</v>
      </c>
      <c r="N1419">
        <f t="shared" si="536"/>
        <v>0.18800000000881342</v>
      </c>
      <c r="O1419">
        <f t="shared" si="537"/>
        <v>0.15777777777777779</v>
      </c>
      <c r="P1419">
        <f t="shared" si="526"/>
        <v>0.08</v>
      </c>
      <c r="Q1419">
        <f t="shared" si="546"/>
        <v>0.08</v>
      </c>
      <c r="R1419">
        <f t="shared" si="539"/>
        <v>0.08</v>
      </c>
      <c r="S1419">
        <f t="shared" si="540"/>
        <v>0.06</v>
      </c>
      <c r="T1419">
        <f t="shared" si="541"/>
        <v>0.1</v>
      </c>
      <c r="U1419">
        <f t="shared" si="547"/>
        <v>0.08</v>
      </c>
      <c r="V1419">
        <f t="shared" si="528"/>
        <v>0.18800000000881342</v>
      </c>
      <c r="W1419">
        <f t="shared" ref="W1419:W1482" si="548">IF(EMT_Simulation,L1415,L1419)</f>
        <v>0.16995690982926831</v>
      </c>
      <c r="X1419">
        <f t="shared" ref="X1419:X1482" si="549">IF(EMT_Simulation,G1415,G1419)</f>
        <v>0.21002857197825775</v>
      </c>
      <c r="Y1419" t="b">
        <f t="shared" si="527"/>
        <v>0</v>
      </c>
    </row>
    <row xmlns:x14ac="http://schemas.microsoft.com/office/spreadsheetml/2009/9/ac" r="1420" x14ac:dyDescent="0.45">
      <c r="A1420">
        <v>7.0649999999998796</v>
      </c>
      <c r="B1420">
        <f t="shared" si="529"/>
        <v>0.16300000000000003</v>
      </c>
      <c r="C1420" t="b">
        <f t="shared" si="542"/>
        <v>1</v>
      </c>
      <c r="D1420" t="b">
        <f t="shared" si="530"/>
        <v>1</v>
      </c>
      <c r="E1420">
        <f t="shared" si="538"/>
        <v>7.0649999999998796</v>
      </c>
      <c r="F1420">
        <f t="shared" si="543"/>
        <v>0.16300000000000003</v>
      </c>
      <c r="G1420">
        <f t="shared" si="531"/>
        <v>0.210027866533601</v>
      </c>
      <c r="H1420">
        <f t="shared" si="532"/>
        <v>3.5000000000000017E-2</v>
      </c>
      <c r="I1420" t="b">
        <f t="shared" si="544"/>
        <v>1</v>
      </c>
      <c r="J1420">
        <f t="shared" si="533"/>
        <v>7.0649999999998796</v>
      </c>
      <c r="K1420">
        <f t="shared" si="545"/>
        <v>3.5000000000000017E-2</v>
      </c>
      <c r="L1420">
        <f t="shared" si="534"/>
        <v>0.16995797372937438</v>
      </c>
      <c r="M1420">
        <f t="shared" si="535"/>
        <v>0.19000000000000003</v>
      </c>
      <c r="N1420">
        <f t="shared" si="536"/>
        <v>0.18800000000770664</v>
      </c>
      <c r="O1420">
        <f t="shared" si="537"/>
        <v>0.15777777777777779</v>
      </c>
      <c r="P1420">
        <f t="shared" si="526"/>
        <v>0.08</v>
      </c>
      <c r="Q1420">
        <f t="shared" si="546"/>
        <v>0.08</v>
      </c>
      <c r="R1420">
        <f t="shared" si="539"/>
        <v>0.08</v>
      </c>
      <c r="S1420">
        <f t="shared" si="540"/>
        <v>0.06</v>
      </c>
      <c r="T1420">
        <f t="shared" si="541"/>
        <v>0.1</v>
      </c>
      <c r="U1420">
        <f t="shared" si="547"/>
        <v>0.08</v>
      </c>
      <c r="V1420">
        <f t="shared" si="528"/>
        <v>0.18800000000770664</v>
      </c>
      <c r="W1420">
        <f t="shared" si="548"/>
        <v>0.16995712474239144</v>
      </c>
      <c r="X1420">
        <f t="shared" si="549"/>
        <v>0.21002842947492167</v>
      </c>
      <c r="Y1420" t="b">
        <f t="shared" si="527"/>
        <v>0</v>
      </c>
    </row>
    <row xmlns:x14ac="http://schemas.microsoft.com/office/spreadsheetml/2009/9/ac" r="1421" x14ac:dyDescent="0.45">
      <c r="A1421">
        <v>7.0699999999998804</v>
      </c>
      <c r="B1421">
        <f t="shared" si="529"/>
        <v>0.16300000000000003</v>
      </c>
      <c r="C1421" t="b">
        <f t="shared" si="542"/>
        <v>1</v>
      </c>
      <c r="D1421" t="b">
        <f t="shared" si="530"/>
        <v>1</v>
      </c>
      <c r="E1421">
        <f t="shared" si="538"/>
        <v>7.0699999999998804</v>
      </c>
      <c r="F1421">
        <f t="shared" si="543"/>
        <v>0.16300000000000003</v>
      </c>
      <c r="G1421">
        <f t="shared" si="531"/>
        <v>0.21002772754868487</v>
      </c>
      <c r="H1421">
        <f t="shared" si="532"/>
        <v>3.5000000000000017E-2</v>
      </c>
      <c r="I1421" t="b">
        <f t="shared" si="544"/>
        <v>1</v>
      </c>
      <c r="J1421">
        <f t="shared" si="533"/>
        <v>7.0699999999998804</v>
      </c>
      <c r="K1421">
        <f t="shared" si="545"/>
        <v>3.5000000000000017E-2</v>
      </c>
      <c r="L1421">
        <f t="shared" si="534"/>
        <v>0.1699581833362736</v>
      </c>
      <c r="M1421">
        <f t="shared" si="535"/>
        <v>0.19000000000000003</v>
      </c>
      <c r="N1421">
        <f t="shared" si="536"/>
        <v>0.1880000000066003</v>
      </c>
      <c r="O1421">
        <f t="shared" si="537"/>
        <v>0.15777777777777779</v>
      </c>
      <c r="P1421">
        <f t="shared" si="526"/>
        <v>0.08</v>
      </c>
      <c r="Q1421">
        <f t="shared" si="546"/>
        <v>0.08</v>
      </c>
      <c r="R1421">
        <f t="shared" si="539"/>
        <v>0.08</v>
      </c>
      <c r="S1421">
        <f t="shared" si="540"/>
        <v>0.06</v>
      </c>
      <c r="T1421">
        <f t="shared" si="541"/>
        <v>0.1</v>
      </c>
      <c r="U1421">
        <f t="shared" si="547"/>
        <v>0.08</v>
      </c>
      <c r="V1421">
        <f t="shared" si="528"/>
        <v>0.1880000000066003</v>
      </c>
      <c r="W1421">
        <f t="shared" si="548"/>
        <v>0.16995733858363088</v>
      </c>
      <c r="X1421">
        <f t="shared" si="549"/>
        <v>0.21002828768232396</v>
      </c>
      <c r="Y1421" t="b">
        <f t="shared" si="527"/>
        <v>0</v>
      </c>
    </row>
    <row xmlns:x14ac="http://schemas.microsoft.com/office/spreadsheetml/2009/9/ac" r="1422" x14ac:dyDescent="0.45">
      <c r="A1422">
        <v>7.0749999999998803</v>
      </c>
      <c r="B1422">
        <f t="shared" si="529"/>
        <v>0.16300000000000001</v>
      </c>
      <c r="C1422" t="b">
        <f t="shared" si="542"/>
        <v>1</v>
      </c>
      <c r="D1422" t="b">
        <f t="shared" si="530"/>
        <v>1</v>
      </c>
      <c r="E1422">
        <f t="shared" si="538"/>
        <v>7.0749999999998803</v>
      </c>
      <c r="F1422">
        <f t="shared" si="543"/>
        <v>0.16300000000000001</v>
      </c>
      <c r="G1422">
        <f t="shared" si="531"/>
        <v>0.21002758925695886</v>
      </c>
      <c r="H1422">
        <f t="shared" si="532"/>
        <v>3.5000000000000003E-2</v>
      </c>
      <c r="I1422" t="b">
        <f t="shared" si="544"/>
        <v>1</v>
      </c>
      <c r="J1422">
        <f t="shared" si="533"/>
        <v>7.0749999999998803</v>
      </c>
      <c r="K1422">
        <f t="shared" si="545"/>
        <v>3.5000000000000003E-2</v>
      </c>
      <c r="L1422">
        <f t="shared" si="534"/>
        <v>0.16995839189775402</v>
      </c>
      <c r="M1422">
        <f t="shared" si="535"/>
        <v>0.19</v>
      </c>
      <c r="N1422">
        <f t="shared" si="536"/>
        <v>0.18800000000549935</v>
      </c>
      <c r="O1422">
        <f t="shared" si="537"/>
        <v>0.15777777777777779</v>
      </c>
      <c r="P1422">
        <f t="shared" ref="P1422:P1485" si="550">$AB$6-EXP(-AF$6*AF$12*A1422)*(COS(AF$5*A1422)-(AF$6*AF$12-1)/(AF$5)*SIN(AF$5*A1422))*AF$15</f>
        <v>0.08</v>
      </c>
      <c r="Q1422">
        <f t="shared" si="546"/>
        <v>0.08</v>
      </c>
      <c r="R1422">
        <f t="shared" si="539"/>
        <v>0.08</v>
      </c>
      <c r="S1422">
        <f t="shared" si="540"/>
        <v>0.06</v>
      </c>
      <c r="T1422">
        <f t="shared" si="541"/>
        <v>0.1</v>
      </c>
      <c r="U1422">
        <f t="shared" si="547"/>
        <v>0.08</v>
      </c>
      <c r="V1422">
        <f t="shared" si="528"/>
        <v>0.18800000000549935</v>
      </c>
      <c r="W1422">
        <f t="shared" si="548"/>
        <v>0.16995755135833268</v>
      </c>
      <c r="X1422">
        <f t="shared" si="549"/>
        <v>0.21002814659691976</v>
      </c>
      <c r="Y1422" t="b">
        <f t="shared" si="527"/>
        <v>0</v>
      </c>
    </row>
    <row xmlns:x14ac="http://schemas.microsoft.com/office/spreadsheetml/2009/9/ac" r="1423" x14ac:dyDescent="0.45">
      <c r="A1423">
        <v>7.0799999999998802</v>
      </c>
      <c r="B1423">
        <f t="shared" si="529"/>
        <v>0.16300000000000001</v>
      </c>
      <c r="C1423" t="b">
        <f t="shared" si="542"/>
        <v>1</v>
      </c>
      <c r="D1423" t="b">
        <f t="shared" si="530"/>
        <v>1</v>
      </c>
      <c r="E1423">
        <f t="shared" si="538"/>
        <v>7.0799999999998802</v>
      </c>
      <c r="F1423">
        <f t="shared" si="543"/>
        <v>0.16300000000000001</v>
      </c>
      <c r="G1423">
        <f t="shared" si="531"/>
        <v>0.21002745165496572</v>
      </c>
      <c r="H1423">
        <f t="shared" si="532"/>
        <v>3.5000000000000003E-2</v>
      </c>
      <c r="I1423" t="b">
        <f t="shared" si="544"/>
        <v>1</v>
      </c>
      <c r="J1423">
        <f t="shared" si="533"/>
        <v>7.0799999999998802</v>
      </c>
      <c r="K1423">
        <f t="shared" si="545"/>
        <v>3.5000000000000003E-2</v>
      </c>
      <c r="L1423">
        <f t="shared" si="534"/>
        <v>0.16995859941902974</v>
      </c>
      <c r="M1423">
        <f t="shared" si="535"/>
        <v>0.19</v>
      </c>
      <c r="N1423">
        <f t="shared" si="536"/>
        <v>0.18800000000440853</v>
      </c>
      <c r="O1423">
        <f t="shared" si="537"/>
        <v>0.15777777777777779</v>
      </c>
      <c r="P1423">
        <f t="shared" si="550"/>
        <v>0.08</v>
      </c>
      <c r="Q1423">
        <f t="shared" si="546"/>
        <v>0.08</v>
      </c>
      <c r="R1423">
        <f t="shared" si="539"/>
        <v>0.08</v>
      </c>
      <c r="S1423">
        <f t="shared" si="540"/>
        <v>0.06</v>
      </c>
      <c r="T1423">
        <f t="shared" si="541"/>
        <v>0.1</v>
      </c>
      <c r="U1423">
        <f t="shared" si="547"/>
        <v>0.08</v>
      </c>
      <c r="V1423">
        <f t="shared" si="528"/>
        <v>0.18800000000440853</v>
      </c>
      <c r="W1423">
        <f t="shared" si="548"/>
        <v>0.16995776307181626</v>
      </c>
      <c r="X1423">
        <f t="shared" si="549"/>
        <v>0.21002800621518197</v>
      </c>
      <c r="Y1423" t="b">
        <f t="shared" ref="Y1423:Y1486" si="551">IF(Y1422,TRUE,IF(P1423&lt;P1422,TRUE))</f>
        <v>0</v>
      </c>
    </row>
    <row xmlns:x14ac="http://schemas.microsoft.com/office/spreadsheetml/2009/9/ac" r="1424" x14ac:dyDescent="0.45">
      <c r="A1424">
        <v>7.0849999999998801</v>
      </c>
      <c r="B1424">
        <f t="shared" si="529"/>
        <v>0.16300000000000001</v>
      </c>
      <c r="C1424" t="b">
        <f t="shared" si="542"/>
        <v>1</v>
      </c>
      <c r="D1424" t="b">
        <f t="shared" si="530"/>
        <v>1</v>
      </c>
      <c r="E1424">
        <f t="shared" si="538"/>
        <v>7.0849999999998801</v>
      </c>
      <c r="F1424">
        <f t="shared" si="543"/>
        <v>0.16300000000000001</v>
      </c>
      <c r="G1424">
        <f t="shared" si="531"/>
        <v>0.21002731473926539</v>
      </c>
      <c r="H1424">
        <f t="shared" si="532"/>
        <v>3.5000000000000003E-2</v>
      </c>
      <c r="I1424" t="b">
        <f t="shared" si="544"/>
        <v>1</v>
      </c>
      <c r="J1424">
        <f t="shared" si="533"/>
        <v>7.0849999999998801</v>
      </c>
      <c r="K1424">
        <f t="shared" si="545"/>
        <v>3.5000000000000003E-2</v>
      </c>
      <c r="L1424">
        <f t="shared" si="534"/>
        <v>0.16995880590528875</v>
      </c>
      <c r="M1424">
        <f t="shared" si="535"/>
        <v>0.19</v>
      </c>
      <c r="N1424">
        <f t="shared" si="536"/>
        <v>0.18800000000333239</v>
      </c>
      <c r="O1424">
        <f t="shared" si="537"/>
        <v>0.15777777777777779</v>
      </c>
      <c r="P1424">
        <f t="shared" si="550"/>
        <v>0.08</v>
      </c>
      <c r="Q1424">
        <f t="shared" si="546"/>
        <v>0.08</v>
      </c>
      <c r="R1424">
        <f t="shared" si="539"/>
        <v>0.08</v>
      </c>
      <c r="S1424">
        <f t="shared" si="540"/>
        <v>0.06</v>
      </c>
      <c r="T1424">
        <f t="shared" si="541"/>
        <v>0.1</v>
      </c>
      <c r="U1424">
        <f t="shared" si="547"/>
        <v>0.08</v>
      </c>
      <c r="V1424">
        <f t="shared" si="528"/>
        <v>0.18800000000333239</v>
      </c>
      <c r="W1424">
        <f t="shared" si="548"/>
        <v>0.16995797372937438</v>
      </c>
      <c r="X1424">
        <f t="shared" si="549"/>
        <v>0.210027866533601</v>
      </c>
      <c r="Y1424" t="b">
        <f t="shared" si="551"/>
        <v>0</v>
      </c>
    </row>
    <row xmlns:x14ac="http://schemas.microsoft.com/office/spreadsheetml/2009/9/ac" r="1425" x14ac:dyDescent="0.45">
      <c r="A1425">
        <v>7.08999999999988</v>
      </c>
      <c r="B1425">
        <f t="shared" si="529"/>
        <v>0.16300000000000001</v>
      </c>
      <c r="C1425" t="b">
        <f t="shared" si="542"/>
        <v>1</v>
      </c>
      <c r="D1425" t="b">
        <f t="shared" si="530"/>
        <v>1</v>
      </c>
      <c r="E1425">
        <f t="shared" si="538"/>
        <v>7.08999999999988</v>
      </c>
      <c r="F1425">
        <f t="shared" si="543"/>
        <v>0.16300000000000001</v>
      </c>
      <c r="G1425">
        <f t="shared" si="531"/>
        <v>0.21002717850643493</v>
      </c>
      <c r="H1425">
        <f t="shared" si="532"/>
        <v>3.5000000000000003E-2</v>
      </c>
      <c r="I1425" t="b">
        <f t="shared" si="544"/>
        <v>1</v>
      </c>
      <c r="J1425">
        <f t="shared" si="533"/>
        <v>7.08999999999988</v>
      </c>
      <c r="K1425">
        <f t="shared" si="545"/>
        <v>3.5000000000000003E-2</v>
      </c>
      <c r="L1425">
        <f t="shared" si="534"/>
        <v>0.16995901136169328</v>
      </c>
      <c r="M1425">
        <f t="shared" si="535"/>
        <v>0.19</v>
      </c>
      <c r="N1425">
        <f t="shared" si="536"/>
        <v>0.18800000000227524</v>
      </c>
      <c r="O1425">
        <f t="shared" si="537"/>
        <v>0.15777777777777779</v>
      </c>
      <c r="P1425">
        <f t="shared" si="550"/>
        <v>0.08</v>
      </c>
      <c r="Q1425">
        <f t="shared" si="546"/>
        <v>0.08</v>
      </c>
      <c r="R1425">
        <f t="shared" si="539"/>
        <v>0.08</v>
      </c>
      <c r="S1425">
        <f t="shared" si="540"/>
        <v>0.06</v>
      </c>
      <c r="T1425">
        <f t="shared" si="541"/>
        <v>0.1</v>
      </c>
      <c r="U1425">
        <f t="shared" si="547"/>
        <v>0.08</v>
      </c>
      <c r="V1425">
        <f t="shared" si="528"/>
        <v>0.18800000000227524</v>
      </c>
      <c r="W1425">
        <f t="shared" si="548"/>
        <v>0.1699581833362736</v>
      </c>
      <c r="X1425">
        <f t="shared" si="549"/>
        <v>0.21002772754868487</v>
      </c>
      <c r="Y1425" t="b">
        <f t="shared" si="551"/>
        <v>0</v>
      </c>
    </row>
    <row xmlns:x14ac="http://schemas.microsoft.com/office/spreadsheetml/2009/9/ac" r="1426" x14ac:dyDescent="0.45">
      <c r="A1426">
        <v>7.0949999999998798</v>
      </c>
      <c r="B1426">
        <f t="shared" si="529"/>
        <v>0.16300000000000001</v>
      </c>
      <c r="C1426" t="b">
        <f t="shared" si="542"/>
        <v>1</v>
      </c>
      <c r="D1426" t="b">
        <f t="shared" si="530"/>
        <v>1</v>
      </c>
      <c r="E1426">
        <f t="shared" si="538"/>
        <v>7.0949999999998798</v>
      </c>
      <c r="F1426">
        <f t="shared" si="543"/>
        <v>0.16300000000000001</v>
      </c>
      <c r="G1426">
        <f t="shared" si="531"/>
        <v>0.21002704295306862</v>
      </c>
      <c r="H1426">
        <f t="shared" si="532"/>
        <v>3.5000000000000003E-2</v>
      </c>
      <c r="I1426" t="b">
        <f t="shared" si="544"/>
        <v>1</v>
      </c>
      <c r="J1426">
        <f t="shared" si="533"/>
        <v>7.0949999999998798</v>
      </c>
      <c r="K1426">
        <f t="shared" si="545"/>
        <v>3.5000000000000003E-2</v>
      </c>
      <c r="L1426">
        <f t="shared" si="534"/>
        <v>0.16995921579337969</v>
      </c>
      <c r="M1426">
        <f t="shared" si="535"/>
        <v>0.19</v>
      </c>
      <c r="N1426">
        <f t="shared" si="536"/>
        <v>0.18800000000124123</v>
      </c>
      <c r="O1426">
        <f t="shared" si="537"/>
        <v>0.15777777777777779</v>
      </c>
      <c r="P1426">
        <f t="shared" si="550"/>
        <v>0.08</v>
      </c>
      <c r="Q1426">
        <f t="shared" si="546"/>
        <v>0.08</v>
      </c>
      <c r="R1426">
        <f t="shared" si="539"/>
        <v>0.08</v>
      </c>
      <c r="S1426">
        <f t="shared" si="540"/>
        <v>0.06</v>
      </c>
      <c r="T1426">
        <f t="shared" si="541"/>
        <v>0.1</v>
      </c>
      <c r="U1426">
        <f t="shared" si="547"/>
        <v>0.08</v>
      </c>
      <c r="V1426">
        <f t="shared" si="528"/>
        <v>0.18800000000124123</v>
      </c>
      <c r="W1426">
        <f t="shared" si="548"/>
        <v>0.16995839189775402</v>
      </c>
      <c r="X1426">
        <f t="shared" si="549"/>
        <v>0.21002758925695886</v>
      </c>
      <c r="Y1426" t="b">
        <f t="shared" si="551"/>
        <v>0</v>
      </c>
    </row>
    <row xmlns:x14ac="http://schemas.microsoft.com/office/spreadsheetml/2009/9/ac" r="1427" x14ac:dyDescent="0.45">
      <c r="A1427">
        <v>7.0999999999998797</v>
      </c>
      <c r="B1427">
        <f t="shared" si="529"/>
        <v>0.16300000000000001</v>
      </c>
      <c r="C1427" t="b">
        <f t="shared" si="542"/>
        <v>1</v>
      </c>
      <c r="D1427" t="b">
        <f t="shared" si="530"/>
        <v>1</v>
      </c>
      <c r="E1427">
        <f t="shared" si="538"/>
        <v>7.0999999999998797</v>
      </c>
      <c r="F1427">
        <f t="shared" si="543"/>
        <v>0.16300000000000001</v>
      </c>
      <c r="G1427">
        <f t="shared" si="531"/>
        <v>0.21002690807577745</v>
      </c>
      <c r="H1427">
        <f t="shared" si="532"/>
        <v>3.5000000000000003E-2</v>
      </c>
      <c r="I1427" t="b">
        <f t="shared" si="544"/>
        <v>1</v>
      </c>
      <c r="J1427">
        <f t="shared" si="533"/>
        <v>7.0999999999998797</v>
      </c>
      <c r="K1427">
        <f t="shared" si="545"/>
        <v>3.5000000000000003E-2</v>
      </c>
      <c r="L1427">
        <f t="shared" si="534"/>
        <v>0.16995941920545882</v>
      </c>
      <c r="M1427">
        <f t="shared" si="535"/>
        <v>0.19</v>
      </c>
      <c r="N1427">
        <f t="shared" si="536"/>
        <v>0.18800000000023426</v>
      </c>
      <c r="O1427">
        <f t="shared" si="537"/>
        <v>0.15777777777777779</v>
      </c>
      <c r="P1427">
        <f t="shared" si="550"/>
        <v>0.08</v>
      </c>
      <c r="Q1427">
        <f t="shared" si="546"/>
        <v>0.08</v>
      </c>
      <c r="R1427">
        <f t="shared" si="539"/>
        <v>0.08</v>
      </c>
      <c r="S1427">
        <f t="shared" si="540"/>
        <v>0.06</v>
      </c>
      <c r="T1427">
        <f t="shared" si="541"/>
        <v>0.1</v>
      </c>
      <c r="U1427">
        <f t="shared" si="547"/>
        <v>0.08</v>
      </c>
      <c r="V1427">
        <f t="shared" si="528"/>
        <v>0.18800000000023426</v>
      </c>
      <c r="W1427">
        <f t="shared" si="548"/>
        <v>0.16995859941902974</v>
      </c>
      <c r="X1427">
        <f t="shared" si="549"/>
        <v>0.21002745165496572</v>
      </c>
      <c r="Y1427" t="b">
        <f t="shared" si="551"/>
        <v>0</v>
      </c>
    </row>
    <row xmlns:x14ac="http://schemas.microsoft.com/office/spreadsheetml/2009/9/ac" r="1428" x14ac:dyDescent="0.45">
      <c r="A1428">
        <v>7.1049999999998796</v>
      </c>
      <c r="B1428">
        <f t="shared" si="529"/>
        <v>0.16300000000000001</v>
      </c>
      <c r="C1428" t="b">
        <f t="shared" si="542"/>
        <v>1</v>
      </c>
      <c r="D1428" t="b">
        <f t="shared" si="530"/>
        <v>1</v>
      </c>
      <c r="E1428">
        <f t="shared" si="538"/>
        <v>7.1049999999998796</v>
      </c>
      <c r="F1428">
        <f t="shared" si="543"/>
        <v>0.16300000000000001</v>
      </c>
      <c r="G1428">
        <f t="shared" si="531"/>
        <v>0.21002677387118962</v>
      </c>
      <c r="H1428">
        <f t="shared" si="532"/>
        <v>3.5000000000000003E-2</v>
      </c>
      <c r="I1428" t="b">
        <f t="shared" si="544"/>
        <v>1</v>
      </c>
      <c r="J1428">
        <f t="shared" si="533"/>
        <v>7.1049999999998796</v>
      </c>
      <c r="K1428">
        <f t="shared" si="545"/>
        <v>3.5000000000000003E-2</v>
      </c>
      <c r="L1428">
        <f t="shared" si="534"/>
        <v>0.16995962160301598</v>
      </c>
      <c r="M1428">
        <f t="shared" si="535"/>
        <v>0.19</v>
      </c>
      <c r="N1428">
        <f t="shared" si="536"/>
        <v>0.18799999999925798</v>
      </c>
      <c r="O1428">
        <f t="shared" si="537"/>
        <v>0.15777777777777779</v>
      </c>
      <c r="P1428">
        <f t="shared" si="550"/>
        <v>0.08</v>
      </c>
      <c r="Q1428">
        <f t="shared" si="546"/>
        <v>0.08</v>
      </c>
      <c r="R1428">
        <f t="shared" si="539"/>
        <v>0.08</v>
      </c>
      <c r="S1428">
        <f t="shared" si="540"/>
        <v>0.06</v>
      </c>
      <c r="T1428">
        <f t="shared" si="541"/>
        <v>0.1</v>
      </c>
      <c r="U1428">
        <f t="shared" si="547"/>
        <v>0.08</v>
      </c>
      <c r="V1428">
        <f t="shared" si="528"/>
        <v>0.18799999999925798</v>
      </c>
      <c r="W1428">
        <f t="shared" si="548"/>
        <v>0.16995880590528875</v>
      </c>
      <c r="X1428">
        <f t="shared" si="549"/>
        <v>0.21002731473926539</v>
      </c>
      <c r="Y1428" t="b">
        <f t="shared" si="551"/>
        <v>0</v>
      </c>
    </row>
    <row xmlns:x14ac="http://schemas.microsoft.com/office/spreadsheetml/2009/9/ac" r="1429" x14ac:dyDescent="0.45">
      <c r="A1429">
        <v>7.1099999999998804</v>
      </c>
      <c r="B1429">
        <f t="shared" si="529"/>
        <v>0.16300000000000001</v>
      </c>
      <c r="C1429" t="b">
        <f t="shared" si="542"/>
        <v>1</v>
      </c>
      <c r="D1429" t="b">
        <f t="shared" si="530"/>
        <v>1</v>
      </c>
      <c r="E1429">
        <f t="shared" si="538"/>
        <v>7.1099999999998804</v>
      </c>
      <c r="F1429">
        <f t="shared" si="543"/>
        <v>0.16300000000000001</v>
      </c>
      <c r="G1429">
        <f t="shared" si="531"/>
        <v>0.21002664033594998</v>
      </c>
      <c r="H1429">
        <f t="shared" si="532"/>
        <v>3.5000000000000003E-2</v>
      </c>
      <c r="I1429" t="b">
        <f t="shared" si="544"/>
        <v>1</v>
      </c>
      <c r="J1429">
        <f t="shared" si="533"/>
        <v>7.1099999999998804</v>
      </c>
      <c r="K1429">
        <f t="shared" si="545"/>
        <v>3.5000000000000003E-2</v>
      </c>
      <c r="L1429">
        <f t="shared" si="534"/>
        <v>0.16995982299111106</v>
      </c>
      <c r="M1429">
        <f t="shared" si="535"/>
        <v>0.19</v>
      </c>
      <c r="N1429">
        <f t="shared" si="536"/>
        <v>0.18799999999831574</v>
      </c>
      <c r="O1429">
        <f t="shared" si="537"/>
        <v>0.15777777777777779</v>
      </c>
      <c r="P1429">
        <f t="shared" si="550"/>
        <v>0.08</v>
      </c>
      <c r="Q1429">
        <f t="shared" si="546"/>
        <v>0.08</v>
      </c>
      <c r="R1429">
        <f t="shared" si="539"/>
        <v>0.08</v>
      </c>
      <c r="S1429">
        <f t="shared" si="540"/>
        <v>0.06</v>
      </c>
      <c r="T1429">
        <f t="shared" si="541"/>
        <v>0.1</v>
      </c>
      <c r="U1429">
        <f t="shared" si="547"/>
        <v>0.08</v>
      </c>
      <c r="V1429">
        <f t="shared" ref="V1429:V1495" si="552">MAX(IF(Y1429,MAX(H1429,$AB$6+$AF$13),MAX(T1429,$AB$6+$AF$13)),O1429,N1429)</f>
        <v>0.18799999999831574</v>
      </c>
      <c r="W1429">
        <f t="shared" si="548"/>
        <v>0.16995901136169328</v>
      </c>
      <c r="X1429">
        <f t="shared" si="549"/>
        <v>0.21002717850643493</v>
      </c>
      <c r="Y1429" t="b">
        <f t="shared" si="551"/>
        <v>0</v>
      </c>
    </row>
    <row xmlns:x14ac="http://schemas.microsoft.com/office/spreadsheetml/2009/9/ac" r="1430" x14ac:dyDescent="0.45">
      <c r="A1430">
        <v>7.1149999999998803</v>
      </c>
      <c r="B1430">
        <f t="shared" si="529"/>
        <v>0.16300000000000001</v>
      </c>
      <c r="C1430" t="b">
        <f t="shared" si="542"/>
        <v>1</v>
      </c>
      <c r="D1430" t="b">
        <f t="shared" si="530"/>
        <v>1</v>
      </c>
      <c r="E1430">
        <f t="shared" si="538"/>
        <v>7.1149999999998803</v>
      </c>
      <c r="F1430">
        <f t="shared" si="543"/>
        <v>0.16300000000000001</v>
      </c>
      <c r="G1430">
        <f t="shared" si="531"/>
        <v>0.21002650746672014</v>
      </c>
      <c r="H1430">
        <f t="shared" si="532"/>
        <v>3.5000000000000003E-2</v>
      </c>
      <c r="I1430" t="b">
        <f t="shared" si="544"/>
        <v>1</v>
      </c>
      <c r="J1430">
        <f t="shared" si="533"/>
        <v>7.1149999999998803</v>
      </c>
      <c r="K1430">
        <f t="shared" si="545"/>
        <v>3.5000000000000003E-2</v>
      </c>
      <c r="L1430">
        <f t="shared" si="534"/>
        <v>0.16996002337477889</v>
      </c>
      <c r="M1430">
        <f t="shared" si="535"/>
        <v>0.19</v>
      </c>
      <c r="N1430">
        <f t="shared" si="536"/>
        <v>0.18799999999741068</v>
      </c>
      <c r="O1430">
        <f t="shared" si="537"/>
        <v>0.15777777777777779</v>
      </c>
      <c r="P1430">
        <f t="shared" si="550"/>
        <v>0.08</v>
      </c>
      <c r="Q1430">
        <f t="shared" si="546"/>
        <v>0.08</v>
      </c>
      <c r="R1430">
        <f t="shared" si="539"/>
        <v>0.08</v>
      </c>
      <c r="S1430">
        <f t="shared" si="540"/>
        <v>0.06</v>
      </c>
      <c r="T1430">
        <f t="shared" si="541"/>
        <v>0.1</v>
      </c>
      <c r="U1430">
        <f t="shared" si="547"/>
        <v>0.08</v>
      </c>
      <c r="V1430">
        <f t="shared" si="552"/>
        <v>0.18799999999741068</v>
      </c>
      <c r="W1430">
        <f t="shared" si="548"/>
        <v>0.16995921579337969</v>
      </c>
      <c r="X1430">
        <f t="shared" si="549"/>
        <v>0.21002704295306862</v>
      </c>
      <c r="Y1430" t="b">
        <f t="shared" si="551"/>
        <v>0</v>
      </c>
    </row>
    <row xmlns:x14ac="http://schemas.microsoft.com/office/spreadsheetml/2009/9/ac" r="1431" x14ac:dyDescent="0.45">
      <c r="A1431">
        <v>7.1199999999998802</v>
      </c>
      <c r="B1431">
        <f t="shared" si="529"/>
        <v>0.16300000000000001</v>
      </c>
      <c r="C1431" t="b">
        <f t="shared" si="542"/>
        <v>1</v>
      </c>
      <c r="D1431" t="b">
        <f t="shared" si="530"/>
        <v>1</v>
      </c>
      <c r="E1431">
        <f t="shared" si="538"/>
        <v>7.1199999999998802</v>
      </c>
      <c r="F1431">
        <f t="shared" si="543"/>
        <v>0.16300000000000001</v>
      </c>
      <c r="G1431">
        <f t="shared" si="531"/>
        <v>0.21002637526017831</v>
      </c>
      <c r="H1431">
        <f t="shared" si="532"/>
        <v>3.5000000000000003E-2</v>
      </c>
      <c r="I1431" t="b">
        <f t="shared" si="544"/>
        <v>1</v>
      </c>
      <c r="J1431">
        <f t="shared" si="533"/>
        <v>7.1199999999998802</v>
      </c>
      <c r="K1431">
        <f t="shared" si="545"/>
        <v>3.5000000000000003E-2</v>
      </c>
      <c r="L1431">
        <f t="shared" si="534"/>
        <v>0.169960222759029</v>
      </c>
      <c r="M1431">
        <f t="shared" si="535"/>
        <v>0.19</v>
      </c>
      <c r="N1431">
        <f t="shared" si="536"/>
        <v>0.18799999999654568</v>
      </c>
      <c r="O1431">
        <f t="shared" si="537"/>
        <v>0.15777777777777779</v>
      </c>
      <c r="P1431">
        <f t="shared" si="550"/>
        <v>0.08</v>
      </c>
      <c r="Q1431">
        <f t="shared" si="546"/>
        <v>0.08</v>
      </c>
      <c r="R1431">
        <f t="shared" si="539"/>
        <v>0.08</v>
      </c>
      <c r="S1431">
        <f t="shared" si="540"/>
        <v>0.06</v>
      </c>
      <c r="T1431">
        <f t="shared" si="541"/>
        <v>0.1</v>
      </c>
      <c r="U1431">
        <f t="shared" si="547"/>
        <v>0.08</v>
      </c>
      <c r="V1431">
        <f t="shared" si="552"/>
        <v>0.18799999999654568</v>
      </c>
      <c r="W1431">
        <f t="shared" si="548"/>
        <v>0.16995941920545882</v>
      </c>
      <c r="X1431">
        <f t="shared" si="549"/>
        <v>0.21002690807577745</v>
      </c>
      <c r="Y1431" t="b">
        <f t="shared" si="551"/>
        <v>0</v>
      </c>
    </row>
    <row xmlns:x14ac="http://schemas.microsoft.com/office/spreadsheetml/2009/9/ac" r="1432" x14ac:dyDescent="0.45">
      <c r="A1432">
        <v>7.1249999999998801</v>
      </c>
      <c r="B1432">
        <f t="shared" si="529"/>
        <v>0.16300000000000001</v>
      </c>
      <c r="C1432" t="b">
        <f t="shared" si="542"/>
        <v>1</v>
      </c>
      <c r="D1432" t="b">
        <f t="shared" si="530"/>
        <v>1</v>
      </c>
      <c r="E1432">
        <f t="shared" si="538"/>
        <v>7.1249999999998801</v>
      </c>
      <c r="F1432">
        <f t="shared" si="543"/>
        <v>0.16300000000000001</v>
      </c>
      <c r="G1432">
        <f t="shared" si="531"/>
        <v>0.21002624371301937</v>
      </c>
      <c r="H1432">
        <f t="shared" si="532"/>
        <v>3.5000000000000003E-2</v>
      </c>
      <c r="I1432" t="b">
        <f t="shared" si="544"/>
        <v>1</v>
      </c>
      <c r="J1432">
        <f t="shared" si="533"/>
        <v>7.1249999999998801</v>
      </c>
      <c r="K1432">
        <f t="shared" si="545"/>
        <v>3.5000000000000003E-2</v>
      </c>
      <c r="L1432">
        <f t="shared" si="534"/>
        <v>0.16996042114884599</v>
      </c>
      <c r="M1432">
        <f t="shared" si="535"/>
        <v>0.19</v>
      </c>
      <c r="N1432">
        <f t="shared" si="536"/>
        <v>0.18799999999572334</v>
      </c>
      <c r="O1432">
        <f t="shared" si="537"/>
        <v>0.15777777777777779</v>
      </c>
      <c r="P1432">
        <f t="shared" si="550"/>
        <v>0.08</v>
      </c>
      <c r="Q1432">
        <f t="shared" si="546"/>
        <v>0.08</v>
      </c>
      <c r="R1432">
        <f t="shared" si="539"/>
        <v>0.08</v>
      </c>
      <c r="S1432">
        <f t="shared" si="540"/>
        <v>0.06</v>
      </c>
      <c r="T1432">
        <f t="shared" si="541"/>
        <v>0.1</v>
      </c>
      <c r="U1432">
        <f t="shared" si="547"/>
        <v>0.08</v>
      </c>
      <c r="V1432">
        <f t="shared" si="552"/>
        <v>0.18799999999572334</v>
      </c>
      <c r="W1432">
        <f t="shared" si="548"/>
        <v>0.16995962160301598</v>
      </c>
      <c r="X1432">
        <f t="shared" si="549"/>
        <v>0.21002677387118962</v>
      </c>
      <c r="Y1432" t="b">
        <f t="shared" si="551"/>
        <v>0</v>
      </c>
    </row>
    <row xmlns:x14ac="http://schemas.microsoft.com/office/spreadsheetml/2009/9/ac" r="1433" x14ac:dyDescent="0.45">
      <c r="A1433">
        <v>7.12999999999988</v>
      </c>
      <c r="B1433">
        <f t="shared" si="529"/>
        <v>0.16299999999999998</v>
      </c>
      <c r="C1433" t="b">
        <f t="shared" si="542"/>
        <v>1</v>
      </c>
      <c r="D1433" t="b">
        <f t="shared" si="530"/>
        <v>1</v>
      </c>
      <c r="E1433">
        <f t="shared" si="538"/>
        <v>7.12999999999988</v>
      </c>
      <c r="F1433">
        <f t="shared" si="543"/>
        <v>0.16299999999999998</v>
      </c>
      <c r="G1433">
        <f t="shared" si="531"/>
        <v>0.21002611282195466</v>
      </c>
      <c r="H1433">
        <f t="shared" si="532"/>
        <v>3.4999999999999989E-2</v>
      </c>
      <c r="I1433" t="b">
        <f t="shared" si="544"/>
        <v>1</v>
      </c>
      <c r="J1433">
        <f t="shared" si="533"/>
        <v>7.12999999999988</v>
      </c>
      <c r="K1433">
        <f t="shared" si="545"/>
        <v>3.4999999999999989E-2</v>
      </c>
      <c r="L1433">
        <f t="shared" si="534"/>
        <v>0.16996061854918965</v>
      </c>
      <c r="M1433">
        <f t="shared" si="535"/>
        <v>0.19</v>
      </c>
      <c r="N1433">
        <f t="shared" si="536"/>
        <v>0.18799999999494599</v>
      </c>
      <c r="O1433">
        <f t="shared" si="537"/>
        <v>0.15777777777777779</v>
      </c>
      <c r="P1433">
        <f t="shared" si="550"/>
        <v>0.08</v>
      </c>
      <c r="Q1433">
        <f t="shared" si="546"/>
        <v>0.08</v>
      </c>
      <c r="R1433">
        <f t="shared" si="539"/>
        <v>0.08</v>
      </c>
      <c r="S1433">
        <f t="shared" si="540"/>
        <v>0.06</v>
      </c>
      <c r="T1433">
        <f t="shared" si="541"/>
        <v>0.1</v>
      </c>
      <c r="U1433">
        <f t="shared" si="547"/>
        <v>0.08</v>
      </c>
      <c r="V1433">
        <f t="shared" si="552"/>
        <v>0.18799999999494599</v>
      </c>
      <c r="W1433">
        <f t="shared" si="548"/>
        <v>0.16995982299111106</v>
      </c>
      <c r="X1433">
        <f t="shared" si="549"/>
        <v>0.21002664033594998</v>
      </c>
      <c r="Y1433" t="b">
        <f t="shared" si="551"/>
        <v>0</v>
      </c>
    </row>
    <row xmlns:x14ac="http://schemas.microsoft.com/office/spreadsheetml/2009/9/ac" r="1434" x14ac:dyDescent="0.45">
      <c r="A1434">
        <v>7.1349999999998799</v>
      </c>
      <c r="B1434">
        <f t="shared" si="529"/>
        <v>0.16299999999999998</v>
      </c>
      <c r="C1434" t="b">
        <f t="shared" si="542"/>
        <v>1</v>
      </c>
      <c r="D1434" t="b">
        <f t="shared" si="530"/>
        <v>1</v>
      </c>
      <c r="E1434">
        <f t="shared" si="538"/>
        <v>7.1349999999998799</v>
      </c>
      <c r="F1434">
        <f t="shared" si="543"/>
        <v>0.16299999999999998</v>
      </c>
      <c r="G1434">
        <f t="shared" si="531"/>
        <v>0.2100259825837118</v>
      </c>
      <c r="H1434">
        <f t="shared" si="532"/>
        <v>3.4999999999999989E-2</v>
      </c>
      <c r="I1434" t="b">
        <f t="shared" si="544"/>
        <v>1</v>
      </c>
      <c r="J1434">
        <f t="shared" si="533"/>
        <v>7.1349999999998799</v>
      </c>
      <c r="K1434">
        <f t="shared" si="545"/>
        <v>3.4999999999999989E-2</v>
      </c>
      <c r="L1434">
        <f t="shared" si="534"/>
        <v>0.16996081496499499</v>
      </c>
      <c r="M1434">
        <f t="shared" si="535"/>
        <v>0.19</v>
      </c>
      <c r="N1434">
        <f t="shared" si="536"/>
        <v>0.18799999999421568</v>
      </c>
      <c r="O1434">
        <f t="shared" si="537"/>
        <v>0.15777777777777779</v>
      </c>
      <c r="P1434">
        <f t="shared" si="550"/>
        <v>0.08</v>
      </c>
      <c r="Q1434">
        <f t="shared" si="546"/>
        <v>0.08</v>
      </c>
      <c r="R1434">
        <f t="shared" si="539"/>
        <v>0.08</v>
      </c>
      <c r="S1434">
        <f t="shared" si="540"/>
        <v>0.06</v>
      </c>
      <c r="T1434">
        <f t="shared" si="541"/>
        <v>0.1</v>
      </c>
      <c r="U1434">
        <f t="shared" si="547"/>
        <v>0.08</v>
      </c>
      <c r="V1434">
        <f t="shared" si="552"/>
        <v>0.18799999999421568</v>
      </c>
      <c r="W1434">
        <f t="shared" si="548"/>
        <v>0.16996002337477889</v>
      </c>
      <c r="X1434">
        <f t="shared" si="549"/>
        <v>0.21002650746672014</v>
      </c>
      <c r="Y1434" t="b">
        <f t="shared" si="551"/>
        <v>0</v>
      </c>
    </row>
    <row xmlns:x14ac="http://schemas.microsoft.com/office/spreadsheetml/2009/9/ac" r="1435" x14ac:dyDescent="0.45">
      <c r="A1435">
        <v>7.1399999999998798</v>
      </c>
      <c r="B1435">
        <f t="shared" si="529"/>
        <v>0.16299999999999998</v>
      </c>
      <c r="C1435" t="b">
        <f t="shared" si="542"/>
        <v>1</v>
      </c>
      <c r="D1435" t="b">
        <f t="shared" si="530"/>
        <v>1</v>
      </c>
      <c r="E1435">
        <f t="shared" si="538"/>
        <v>7.1399999999998798</v>
      </c>
      <c r="F1435">
        <f t="shared" si="543"/>
        <v>0.16299999999999998</v>
      </c>
      <c r="G1435">
        <f t="shared" si="531"/>
        <v>0.2100258529950349</v>
      </c>
      <c r="H1435">
        <f t="shared" si="532"/>
        <v>3.4999999999999989E-2</v>
      </c>
      <c r="I1435" t="b">
        <f t="shared" si="544"/>
        <v>1</v>
      </c>
      <c r="J1435">
        <f t="shared" si="533"/>
        <v>7.1399999999998798</v>
      </c>
      <c r="K1435">
        <f t="shared" si="545"/>
        <v>3.4999999999999989E-2</v>
      </c>
      <c r="L1435">
        <f t="shared" si="534"/>
        <v>0.1699610104011724</v>
      </c>
      <c r="M1435">
        <f t="shared" si="535"/>
        <v>0.19</v>
      </c>
      <c r="N1435">
        <f t="shared" si="536"/>
        <v>0.18799999999353423</v>
      </c>
      <c r="O1435">
        <f t="shared" si="537"/>
        <v>0.15777777777777779</v>
      </c>
      <c r="P1435">
        <f t="shared" si="550"/>
        <v>0.08</v>
      </c>
      <c r="Q1435">
        <f t="shared" si="546"/>
        <v>0.08</v>
      </c>
      <c r="R1435">
        <f t="shared" si="539"/>
        <v>0.08</v>
      </c>
      <c r="S1435">
        <f t="shared" si="540"/>
        <v>0.06</v>
      </c>
      <c r="T1435">
        <f t="shared" si="541"/>
        <v>0.1</v>
      </c>
      <c r="U1435">
        <f t="shared" si="547"/>
        <v>0.08</v>
      </c>
      <c r="V1435">
        <f t="shared" si="552"/>
        <v>0.18799999999353423</v>
      </c>
      <c r="W1435">
        <f t="shared" si="548"/>
        <v>0.169960222759029</v>
      </c>
      <c r="X1435">
        <f t="shared" si="549"/>
        <v>0.21002637526017831</v>
      </c>
      <c r="Y1435" t="b">
        <f t="shared" si="551"/>
        <v>0</v>
      </c>
    </row>
    <row xmlns:x14ac="http://schemas.microsoft.com/office/spreadsheetml/2009/9/ac" r="1436" x14ac:dyDescent="0.45">
      <c r="A1436">
        <v>7.1449999999998797</v>
      </c>
      <c r="B1436">
        <f t="shared" si="529"/>
        <v>0.16299999999999998</v>
      </c>
      <c r="C1436" t="b">
        <f t="shared" si="542"/>
        <v>1</v>
      </c>
      <c r="D1436" t="b">
        <f t="shared" si="530"/>
        <v>1</v>
      </c>
      <c r="E1436">
        <f t="shared" si="538"/>
        <v>7.1449999999998797</v>
      </c>
      <c r="F1436">
        <f t="shared" si="543"/>
        <v>0.16299999999999998</v>
      </c>
      <c r="G1436">
        <f t="shared" si="531"/>
        <v>0.21002572405268422</v>
      </c>
      <c r="H1436">
        <f t="shared" si="532"/>
        <v>3.4999999999999989E-2</v>
      </c>
      <c r="I1436" t="b">
        <f t="shared" si="544"/>
        <v>1</v>
      </c>
      <c r="J1436">
        <f t="shared" si="533"/>
        <v>7.1449999999998797</v>
      </c>
      <c r="K1436">
        <f t="shared" si="545"/>
        <v>3.4999999999999989E-2</v>
      </c>
      <c r="L1436">
        <f t="shared" si="534"/>
        <v>0.16996120486260785</v>
      </c>
      <c r="M1436">
        <f t="shared" si="535"/>
        <v>0.19</v>
      </c>
      <c r="N1436">
        <f t="shared" si="536"/>
        <v>0.18799999999290307</v>
      </c>
      <c r="O1436">
        <f t="shared" si="537"/>
        <v>0.15777777777777779</v>
      </c>
      <c r="P1436">
        <f t="shared" si="550"/>
        <v>0.08</v>
      </c>
      <c r="Q1436">
        <f t="shared" si="546"/>
        <v>0.08</v>
      </c>
      <c r="R1436">
        <f t="shared" si="539"/>
        <v>0.08</v>
      </c>
      <c r="S1436">
        <f t="shared" si="540"/>
        <v>0.06</v>
      </c>
      <c r="T1436">
        <f t="shared" si="541"/>
        <v>0.1</v>
      </c>
      <c r="U1436">
        <f t="shared" si="547"/>
        <v>0.08</v>
      </c>
      <c r="V1436">
        <f t="shared" si="552"/>
        <v>0.18799999999290307</v>
      </c>
      <c r="W1436">
        <f t="shared" si="548"/>
        <v>0.16996042114884599</v>
      </c>
      <c r="X1436">
        <f t="shared" si="549"/>
        <v>0.21002624371301937</v>
      </c>
      <c r="Y1436" t="b">
        <f t="shared" si="551"/>
        <v>0</v>
      </c>
    </row>
    <row xmlns:x14ac="http://schemas.microsoft.com/office/spreadsheetml/2009/9/ac" r="1437" x14ac:dyDescent="0.45">
      <c r="A1437">
        <v>7.1499999999998796</v>
      </c>
      <c r="B1437">
        <f t="shared" si="529"/>
        <v>0.16299999999999998</v>
      </c>
      <c r="C1437" t="b">
        <f t="shared" si="542"/>
        <v>1</v>
      </c>
      <c r="D1437" t="b">
        <f t="shared" si="530"/>
        <v>1</v>
      </c>
      <c r="E1437">
        <f t="shared" si="538"/>
        <v>7.1499999999998796</v>
      </c>
      <c r="F1437">
        <f t="shared" si="543"/>
        <v>0.16299999999999998</v>
      </c>
      <c r="G1437">
        <f t="shared" si="531"/>
        <v>0.21002559575343621</v>
      </c>
      <c r="H1437">
        <f t="shared" si="532"/>
        <v>3.4999999999999989E-2</v>
      </c>
      <c r="I1437" t="b">
        <f t="shared" si="544"/>
        <v>1</v>
      </c>
      <c r="J1437">
        <f t="shared" si="533"/>
        <v>7.1499999999998796</v>
      </c>
      <c r="K1437">
        <f t="shared" si="545"/>
        <v>3.4999999999999989E-2</v>
      </c>
      <c r="L1437">
        <f t="shared" si="534"/>
        <v>0.1699613983541628</v>
      </c>
      <c r="M1437">
        <f t="shared" si="535"/>
        <v>0.19</v>
      </c>
      <c r="N1437">
        <f t="shared" si="536"/>
        <v>0.18799999999232345</v>
      </c>
      <c r="O1437">
        <f t="shared" si="537"/>
        <v>0.15777777777777779</v>
      </c>
      <c r="P1437">
        <f t="shared" si="550"/>
        <v>0.08</v>
      </c>
      <c r="Q1437">
        <f t="shared" si="546"/>
        <v>0.08</v>
      </c>
      <c r="R1437">
        <f t="shared" si="539"/>
        <v>0.08</v>
      </c>
      <c r="S1437">
        <f t="shared" si="540"/>
        <v>0.06</v>
      </c>
      <c r="T1437">
        <f t="shared" si="541"/>
        <v>0.1</v>
      </c>
      <c r="U1437">
        <f t="shared" si="547"/>
        <v>0.08</v>
      </c>
      <c r="V1437">
        <f t="shared" si="552"/>
        <v>0.18799999999232345</v>
      </c>
      <c r="W1437">
        <f t="shared" si="548"/>
        <v>0.16996061854918965</v>
      </c>
      <c r="X1437">
        <f t="shared" si="549"/>
        <v>0.21002611282195466</v>
      </c>
      <c r="Y1437" t="b">
        <f t="shared" si="551"/>
        <v>0</v>
      </c>
    </row>
    <row xmlns:x14ac="http://schemas.microsoft.com/office/spreadsheetml/2009/9/ac" r="1438" x14ac:dyDescent="0.45">
      <c r="A1438">
        <v>7.1549999999998803</v>
      </c>
      <c r="B1438">
        <f t="shared" si="529"/>
        <v>0.16299999999999998</v>
      </c>
      <c r="C1438" t="b">
        <f t="shared" si="542"/>
        <v>1</v>
      </c>
      <c r="D1438" t="b">
        <f t="shared" si="530"/>
        <v>1</v>
      </c>
      <c r="E1438">
        <f t="shared" si="538"/>
        <v>7.1549999999998803</v>
      </c>
      <c r="F1438">
        <f t="shared" si="543"/>
        <v>0.16299999999999998</v>
      </c>
      <c r="G1438">
        <f t="shared" si="531"/>
        <v>0.2100254680940834</v>
      </c>
      <c r="H1438">
        <f t="shared" si="532"/>
        <v>3.4999999999999989E-2</v>
      </c>
      <c r="I1438" t="b">
        <f t="shared" si="544"/>
        <v>1</v>
      </c>
      <c r="J1438">
        <f t="shared" si="533"/>
        <v>7.1549999999998803</v>
      </c>
      <c r="K1438">
        <f t="shared" si="545"/>
        <v>3.4999999999999989E-2</v>
      </c>
      <c r="L1438">
        <f t="shared" si="534"/>
        <v>0.16996159088067461</v>
      </c>
      <c r="M1438">
        <f t="shared" si="535"/>
        <v>0.19</v>
      </c>
      <c r="N1438">
        <f t="shared" si="536"/>
        <v>0.18799999999179637</v>
      </c>
      <c r="O1438">
        <f t="shared" si="537"/>
        <v>0.15777777777777779</v>
      </c>
      <c r="P1438">
        <f t="shared" si="550"/>
        <v>0.08</v>
      </c>
      <c r="Q1438">
        <f t="shared" si="546"/>
        <v>0.08</v>
      </c>
      <c r="R1438">
        <f t="shared" si="539"/>
        <v>0.08</v>
      </c>
      <c r="S1438">
        <f t="shared" si="540"/>
        <v>0.06</v>
      </c>
      <c r="T1438">
        <f t="shared" si="541"/>
        <v>0.1</v>
      </c>
      <c r="U1438">
        <f t="shared" si="547"/>
        <v>0.08</v>
      </c>
      <c r="V1438">
        <f t="shared" si="552"/>
        <v>0.18799999999179637</v>
      </c>
      <c r="W1438">
        <f t="shared" si="548"/>
        <v>0.16996081496499499</v>
      </c>
      <c r="X1438">
        <f t="shared" si="549"/>
        <v>0.2100259825837118</v>
      </c>
      <c r="Y1438" t="b">
        <f t="shared" si="551"/>
        <v>0</v>
      </c>
    </row>
    <row xmlns:x14ac="http://schemas.microsoft.com/office/spreadsheetml/2009/9/ac" r="1439" x14ac:dyDescent="0.45">
      <c r="A1439">
        <v>7.1599999999998802</v>
      </c>
      <c r="B1439">
        <f t="shared" si="529"/>
        <v>0.16299999999999995</v>
      </c>
      <c r="C1439" t="b">
        <f t="shared" si="542"/>
        <v>1</v>
      </c>
      <c r="D1439" t="b">
        <f t="shared" si="530"/>
        <v>1</v>
      </c>
      <c r="E1439">
        <f t="shared" si="538"/>
        <v>7.1599999999998802</v>
      </c>
      <c r="F1439">
        <f t="shared" si="543"/>
        <v>0.16299999999999995</v>
      </c>
      <c r="G1439">
        <f t="shared" si="531"/>
        <v>0.21002534107143422</v>
      </c>
      <c r="H1439">
        <f t="shared" si="532"/>
        <v>3.4999999999999989E-2</v>
      </c>
      <c r="I1439" t="b">
        <f t="shared" si="544"/>
        <v>1</v>
      </c>
      <c r="J1439">
        <f t="shared" si="533"/>
        <v>7.1599999999998802</v>
      </c>
      <c r="K1439">
        <f t="shared" si="545"/>
        <v>3.4999999999999989E-2</v>
      </c>
      <c r="L1439">
        <f t="shared" si="534"/>
        <v>0.16996178244695642</v>
      </c>
      <c r="M1439">
        <f t="shared" si="535"/>
        <v>0.18999999999999997</v>
      </c>
      <c r="N1439">
        <f t="shared" si="536"/>
        <v>0.1879999999913225</v>
      </c>
      <c r="O1439">
        <f t="shared" si="537"/>
        <v>0.15777777777777779</v>
      </c>
      <c r="P1439">
        <f t="shared" si="550"/>
        <v>0.08</v>
      </c>
      <c r="Q1439">
        <f t="shared" si="546"/>
        <v>0.08</v>
      </c>
      <c r="R1439">
        <f t="shared" si="539"/>
        <v>0.08</v>
      </c>
      <c r="S1439">
        <f t="shared" si="540"/>
        <v>0.06</v>
      </c>
      <c r="T1439">
        <f t="shared" si="541"/>
        <v>0.1</v>
      </c>
      <c r="U1439">
        <f t="shared" si="547"/>
        <v>0.08</v>
      </c>
      <c r="V1439">
        <f t="shared" si="552"/>
        <v>0.1879999999913225</v>
      </c>
      <c r="W1439">
        <f t="shared" si="548"/>
        <v>0.1699610104011724</v>
      </c>
      <c r="X1439">
        <f t="shared" si="549"/>
        <v>0.2100258529950349</v>
      </c>
      <c r="Y1439" t="b">
        <f t="shared" si="551"/>
        <v>0</v>
      </c>
    </row>
    <row xmlns:x14ac="http://schemas.microsoft.com/office/spreadsheetml/2009/9/ac" r="1440" x14ac:dyDescent="0.45">
      <c r="A1440">
        <v>7.1649999999998801</v>
      </c>
      <c r="B1440">
        <f t="shared" si="529"/>
        <v>0.16299999999999995</v>
      </c>
      <c r="C1440" t="b">
        <f t="shared" si="542"/>
        <v>1</v>
      </c>
      <c r="D1440" t="b">
        <f t="shared" si="530"/>
        <v>1</v>
      </c>
      <c r="E1440">
        <f t="shared" si="538"/>
        <v>7.1649999999998801</v>
      </c>
      <c r="F1440">
        <f t="shared" si="543"/>
        <v>0.16299999999999995</v>
      </c>
      <c r="G1440">
        <f t="shared" si="531"/>
        <v>0.21002521468231317</v>
      </c>
      <c r="H1440">
        <f t="shared" si="532"/>
        <v>3.4999999999999989E-2</v>
      </c>
      <c r="I1440" t="b">
        <f t="shared" si="544"/>
        <v>1</v>
      </c>
      <c r="J1440">
        <f t="shared" si="533"/>
        <v>7.1649999999998801</v>
      </c>
      <c r="K1440">
        <f t="shared" si="545"/>
        <v>3.4999999999999989E-2</v>
      </c>
      <c r="L1440">
        <f t="shared" si="534"/>
        <v>0.16996197305779745</v>
      </c>
      <c r="M1440">
        <f t="shared" si="535"/>
        <v>0.18999999999999997</v>
      </c>
      <c r="N1440">
        <f t="shared" si="536"/>
        <v>0.18799999999090231</v>
      </c>
      <c r="O1440">
        <f t="shared" si="537"/>
        <v>0.15777777777777779</v>
      </c>
      <c r="P1440">
        <f t="shared" si="550"/>
        <v>0.08</v>
      </c>
      <c r="Q1440">
        <f t="shared" si="546"/>
        <v>0.08</v>
      </c>
      <c r="R1440">
        <f t="shared" si="539"/>
        <v>0.08</v>
      </c>
      <c r="S1440">
        <f t="shared" si="540"/>
        <v>0.06</v>
      </c>
      <c r="T1440">
        <f t="shared" si="541"/>
        <v>0.1</v>
      </c>
      <c r="U1440">
        <f t="shared" si="547"/>
        <v>0.08</v>
      </c>
      <c r="V1440">
        <f t="shared" si="552"/>
        <v>0.18799999999090231</v>
      </c>
      <c r="W1440">
        <f t="shared" si="548"/>
        <v>0.16996120486260785</v>
      </c>
      <c r="X1440">
        <f t="shared" si="549"/>
        <v>0.21002572405268422</v>
      </c>
      <c r="Y1440" t="b">
        <f t="shared" si="551"/>
        <v>0</v>
      </c>
    </row>
    <row xmlns:x14ac="http://schemas.microsoft.com/office/spreadsheetml/2009/9/ac" r="1441" x14ac:dyDescent="0.45">
      <c r="A1441">
        <v>7.16999999999988</v>
      </c>
      <c r="B1441">
        <f t="shared" si="529"/>
        <v>0.16299999999999995</v>
      </c>
      <c r="C1441" t="b">
        <f t="shared" si="542"/>
        <v>1</v>
      </c>
      <c r="D1441" t="b">
        <f t="shared" si="530"/>
        <v>1</v>
      </c>
      <c r="E1441">
        <f t="shared" si="538"/>
        <v>7.16999999999988</v>
      </c>
      <c r="F1441">
        <f t="shared" si="543"/>
        <v>0.16299999999999995</v>
      </c>
      <c r="G1441">
        <f t="shared" si="531"/>
        <v>0.21002508892356048</v>
      </c>
      <c r="H1441">
        <f t="shared" si="532"/>
        <v>3.4999999999999989E-2</v>
      </c>
      <c r="I1441" t="b">
        <f t="shared" si="544"/>
        <v>1</v>
      </c>
      <c r="J1441">
        <f t="shared" si="533"/>
        <v>7.16999999999988</v>
      </c>
      <c r="K1441">
        <f t="shared" si="545"/>
        <v>3.4999999999999989E-2</v>
      </c>
      <c r="L1441">
        <f t="shared" si="534"/>
        <v>0.16996216271796294</v>
      </c>
      <c r="M1441">
        <f t="shared" si="535"/>
        <v>0.18999999999999997</v>
      </c>
      <c r="N1441">
        <f t="shared" si="536"/>
        <v>0.18799999999053593</v>
      </c>
      <c r="O1441">
        <f t="shared" si="537"/>
        <v>0.15777777777777779</v>
      </c>
      <c r="P1441">
        <f t="shared" si="550"/>
        <v>0.08</v>
      </c>
      <c r="Q1441">
        <f t="shared" si="546"/>
        <v>0.08</v>
      </c>
      <c r="R1441">
        <f t="shared" si="539"/>
        <v>0.08</v>
      </c>
      <c r="S1441">
        <f t="shared" si="540"/>
        <v>0.06</v>
      </c>
      <c r="T1441">
        <f t="shared" si="541"/>
        <v>0.1</v>
      </c>
      <c r="U1441">
        <f t="shared" si="547"/>
        <v>0.08</v>
      </c>
      <c r="V1441">
        <f t="shared" si="552"/>
        <v>0.18799999999053593</v>
      </c>
      <c r="W1441">
        <f t="shared" si="548"/>
        <v>0.1699613983541628</v>
      </c>
      <c r="X1441">
        <f t="shared" si="549"/>
        <v>0.21002559575343621</v>
      </c>
      <c r="Y1441" t="b">
        <f t="shared" si="551"/>
        <v>0</v>
      </c>
    </row>
    <row xmlns:x14ac="http://schemas.microsoft.com/office/spreadsheetml/2009/9/ac" r="1442" x14ac:dyDescent="0.45">
      <c r="A1442">
        <v>7.1749999999998701</v>
      </c>
      <c r="B1442">
        <f t="shared" si="529"/>
        <v>0.16299999999999995</v>
      </c>
      <c r="C1442" t="b">
        <f t="shared" si="542"/>
        <v>1</v>
      </c>
      <c r="D1442" t="b">
        <f t="shared" si="530"/>
        <v>1</v>
      </c>
      <c r="E1442">
        <f t="shared" si="538"/>
        <v>7.1749999999998701</v>
      </c>
      <c r="F1442">
        <f t="shared" si="543"/>
        <v>0.16299999999999995</v>
      </c>
      <c r="G1442">
        <f t="shared" si="531"/>
        <v>0.21002496379203217</v>
      </c>
      <c r="H1442">
        <f t="shared" si="532"/>
        <v>3.4999999999999989E-2</v>
      </c>
      <c r="I1442" t="b">
        <f t="shared" si="544"/>
        <v>1</v>
      </c>
      <c r="J1442">
        <f t="shared" si="533"/>
        <v>7.1749999999998701</v>
      </c>
      <c r="K1442">
        <f t="shared" si="545"/>
        <v>3.4999999999999989E-2</v>
      </c>
      <c r="L1442">
        <f t="shared" si="534"/>
        <v>0.16996235143219438</v>
      </c>
      <c r="M1442">
        <f t="shared" si="535"/>
        <v>0.18999999999999997</v>
      </c>
      <c r="N1442">
        <f t="shared" si="536"/>
        <v>0.18799999999022335</v>
      </c>
      <c r="O1442">
        <f t="shared" si="537"/>
        <v>0.15777777777777779</v>
      </c>
      <c r="P1442">
        <f t="shared" si="550"/>
        <v>0.08</v>
      </c>
      <c r="Q1442">
        <f t="shared" si="546"/>
        <v>0.08</v>
      </c>
      <c r="R1442">
        <f t="shared" si="539"/>
        <v>0.08</v>
      </c>
      <c r="S1442">
        <f t="shared" si="540"/>
        <v>0.06</v>
      </c>
      <c r="T1442">
        <f t="shared" si="541"/>
        <v>0.1</v>
      </c>
      <c r="U1442">
        <f t="shared" si="547"/>
        <v>0.08</v>
      </c>
      <c r="V1442">
        <f t="shared" si="552"/>
        <v>0.18799999999022335</v>
      </c>
      <c r="W1442">
        <f t="shared" si="548"/>
        <v>0.16996159088067461</v>
      </c>
      <c r="X1442">
        <f t="shared" si="549"/>
        <v>0.2100254680940834</v>
      </c>
      <c r="Y1442" t="b">
        <f t="shared" si="551"/>
        <v>0</v>
      </c>
    </row>
    <row xmlns:x14ac="http://schemas.microsoft.com/office/spreadsheetml/2009/9/ac" r="1443" x14ac:dyDescent="0.45">
      <c r="A1443">
        <v>7.17999999999987</v>
      </c>
      <c r="B1443">
        <f t="shared" si="529"/>
        <v>0.16299999999999995</v>
      </c>
      <c r="C1443" t="b">
        <f t="shared" si="542"/>
        <v>1</v>
      </c>
      <c r="D1443" t="b">
        <f t="shared" si="530"/>
        <v>1</v>
      </c>
      <c r="E1443">
        <f t="shared" si="538"/>
        <v>7.17999999999987</v>
      </c>
      <c r="F1443">
        <f t="shared" si="543"/>
        <v>0.16299999999999995</v>
      </c>
      <c r="G1443">
        <f t="shared" si="531"/>
        <v>0.21002483928459997</v>
      </c>
      <c r="H1443">
        <f t="shared" si="532"/>
        <v>3.4999999999999989E-2</v>
      </c>
      <c r="I1443" t="b">
        <f t="shared" si="544"/>
        <v>1</v>
      </c>
      <c r="J1443">
        <f t="shared" si="533"/>
        <v>7.17999999999987</v>
      </c>
      <c r="K1443">
        <f t="shared" si="545"/>
        <v>3.4999999999999989E-2</v>
      </c>
      <c r="L1443">
        <f t="shared" si="534"/>
        <v>0.16996253920520965</v>
      </c>
      <c r="M1443">
        <f t="shared" si="535"/>
        <v>0.18999999999999997</v>
      </c>
      <c r="N1443">
        <f t="shared" si="536"/>
        <v>0.18799999998996425</v>
      </c>
      <c r="O1443">
        <f t="shared" si="537"/>
        <v>0.15777777777777779</v>
      </c>
      <c r="P1443">
        <f t="shared" si="550"/>
        <v>0.08</v>
      </c>
      <c r="Q1443">
        <f t="shared" si="546"/>
        <v>0.08</v>
      </c>
      <c r="R1443">
        <f t="shared" si="539"/>
        <v>0.08</v>
      </c>
      <c r="S1443">
        <f t="shared" si="540"/>
        <v>0.06</v>
      </c>
      <c r="T1443">
        <f t="shared" si="541"/>
        <v>0.1</v>
      </c>
      <c r="U1443">
        <f t="shared" si="547"/>
        <v>0.08</v>
      </c>
      <c r="V1443">
        <f t="shared" si="552"/>
        <v>0.18799999998996425</v>
      </c>
      <c r="W1443">
        <f t="shared" si="548"/>
        <v>0.16996178244695642</v>
      </c>
      <c r="X1443">
        <f t="shared" si="549"/>
        <v>0.21002534107143422</v>
      </c>
      <c r="Y1443" t="b">
        <f t="shared" si="551"/>
        <v>0</v>
      </c>
    </row>
    <row xmlns:x14ac="http://schemas.microsoft.com/office/spreadsheetml/2009/9/ac" r="1444" x14ac:dyDescent="0.45">
      <c r="A1444">
        <v>7.1849999999998699</v>
      </c>
      <c r="B1444">
        <f t="shared" si="529"/>
        <v>0.16299999999999995</v>
      </c>
      <c r="C1444" t="b">
        <f t="shared" si="542"/>
        <v>1</v>
      </c>
      <c r="D1444" t="b">
        <f t="shared" si="530"/>
        <v>1</v>
      </c>
      <c r="E1444">
        <f t="shared" si="538"/>
        <v>7.1849999999998699</v>
      </c>
      <c r="F1444">
        <f t="shared" si="543"/>
        <v>0.16299999999999995</v>
      </c>
      <c r="G1444">
        <f t="shared" si="531"/>
        <v>0.21002471539815121</v>
      </c>
      <c r="H1444">
        <f t="shared" si="532"/>
        <v>3.4999999999999989E-2</v>
      </c>
      <c r="I1444" t="b">
        <f t="shared" si="544"/>
        <v>1</v>
      </c>
      <c r="J1444">
        <f t="shared" si="533"/>
        <v>7.1849999999998699</v>
      </c>
      <c r="K1444">
        <f t="shared" si="545"/>
        <v>3.4999999999999989E-2</v>
      </c>
      <c r="L1444">
        <f t="shared" si="534"/>
        <v>0.16996272604170315</v>
      </c>
      <c r="M1444">
        <f t="shared" si="535"/>
        <v>0.18999999999999997</v>
      </c>
      <c r="N1444">
        <f t="shared" si="536"/>
        <v>0.18799999998975814</v>
      </c>
      <c r="O1444">
        <f t="shared" si="537"/>
        <v>0.15777777777777779</v>
      </c>
      <c r="P1444">
        <f t="shared" si="550"/>
        <v>0.08</v>
      </c>
      <c r="Q1444">
        <f t="shared" si="546"/>
        <v>0.08</v>
      </c>
      <c r="R1444">
        <f t="shared" si="539"/>
        <v>0.08</v>
      </c>
      <c r="S1444">
        <f t="shared" si="540"/>
        <v>0.06</v>
      </c>
      <c r="T1444">
        <f t="shared" si="541"/>
        <v>0.1</v>
      </c>
      <c r="U1444">
        <f t="shared" si="547"/>
        <v>0.08</v>
      </c>
      <c r="V1444">
        <f t="shared" si="552"/>
        <v>0.18799999998975814</v>
      </c>
      <c r="W1444">
        <f t="shared" si="548"/>
        <v>0.16996197305779745</v>
      </c>
      <c r="X1444">
        <f t="shared" si="549"/>
        <v>0.21002521468231317</v>
      </c>
      <c r="Y1444" t="b">
        <f t="shared" si="551"/>
        <v>0</v>
      </c>
    </row>
    <row xmlns:x14ac="http://schemas.microsoft.com/office/spreadsheetml/2009/9/ac" r="1445" x14ac:dyDescent="0.45">
      <c r="A1445">
        <v>7.1899999999998698</v>
      </c>
      <c r="B1445">
        <f t="shared" si="529"/>
        <v>0.16299999999999995</v>
      </c>
      <c r="C1445" t="b">
        <f t="shared" si="542"/>
        <v>1</v>
      </c>
      <c r="D1445" t="b">
        <f t="shared" si="530"/>
        <v>1</v>
      </c>
      <c r="E1445">
        <f t="shared" si="538"/>
        <v>7.1899999999998698</v>
      </c>
      <c r="F1445">
        <f t="shared" si="543"/>
        <v>0.16299999999999995</v>
      </c>
      <c r="G1445">
        <f t="shared" si="531"/>
        <v>0.21002459212958868</v>
      </c>
      <c r="H1445">
        <f t="shared" si="532"/>
        <v>3.4999999999999989E-2</v>
      </c>
      <c r="I1445" t="b">
        <f t="shared" si="544"/>
        <v>1</v>
      </c>
      <c r="J1445">
        <f t="shared" si="533"/>
        <v>7.1899999999998698</v>
      </c>
      <c r="K1445">
        <f t="shared" si="545"/>
        <v>3.4999999999999989E-2</v>
      </c>
      <c r="L1445">
        <f t="shared" si="534"/>
        <v>0.16996291194634572</v>
      </c>
      <c r="M1445">
        <f t="shared" si="535"/>
        <v>0.18999999999999997</v>
      </c>
      <c r="N1445">
        <f t="shared" si="536"/>
        <v>0.18799999998960421</v>
      </c>
      <c r="O1445">
        <f t="shared" si="537"/>
        <v>0.15777777777777779</v>
      </c>
      <c r="P1445">
        <f t="shared" si="550"/>
        <v>0.08</v>
      </c>
      <c r="Q1445">
        <f t="shared" si="546"/>
        <v>0.08</v>
      </c>
      <c r="R1445">
        <f t="shared" si="539"/>
        <v>0.08</v>
      </c>
      <c r="S1445">
        <f t="shared" si="540"/>
        <v>0.06</v>
      </c>
      <c r="T1445">
        <f t="shared" si="541"/>
        <v>0.1</v>
      </c>
      <c r="U1445">
        <f t="shared" si="547"/>
        <v>0.08</v>
      </c>
      <c r="V1445">
        <f t="shared" si="552"/>
        <v>0.18799999998960421</v>
      </c>
      <c r="W1445">
        <f t="shared" si="548"/>
        <v>0.16996216271796294</v>
      </c>
      <c r="X1445">
        <f t="shared" si="549"/>
        <v>0.21002508892356048</v>
      </c>
      <c r="Y1445" t="b">
        <f t="shared" si="551"/>
        <v>0</v>
      </c>
    </row>
    <row xmlns:x14ac="http://schemas.microsoft.com/office/spreadsheetml/2009/9/ac" r="1446" x14ac:dyDescent="0.45">
      <c r="A1446">
        <v>7.1949999999998697</v>
      </c>
      <c r="B1446">
        <f t="shared" si="529"/>
        <v>0.16299999999999995</v>
      </c>
      <c r="C1446" t="b">
        <f t="shared" si="542"/>
        <v>1</v>
      </c>
      <c r="D1446" t="b">
        <f t="shared" si="530"/>
        <v>1</v>
      </c>
      <c r="E1446">
        <f t="shared" si="538"/>
        <v>7.1949999999998697</v>
      </c>
      <c r="F1446">
        <f t="shared" si="543"/>
        <v>0.16299999999999995</v>
      </c>
      <c r="G1446">
        <f t="shared" si="531"/>
        <v>0.21002446947583064</v>
      </c>
      <c r="H1446">
        <f t="shared" si="532"/>
        <v>3.4999999999999989E-2</v>
      </c>
      <c r="I1446" t="b">
        <f t="shared" si="544"/>
        <v>1</v>
      </c>
      <c r="J1446">
        <f t="shared" si="533"/>
        <v>7.1949999999998697</v>
      </c>
      <c r="K1446">
        <f t="shared" si="545"/>
        <v>3.4999999999999989E-2</v>
      </c>
      <c r="L1446">
        <f t="shared" si="534"/>
        <v>0.16996309692378503</v>
      </c>
      <c r="M1446">
        <f t="shared" si="535"/>
        <v>0.18999999999999997</v>
      </c>
      <c r="N1446">
        <f t="shared" si="536"/>
        <v>0.18799999998950151</v>
      </c>
      <c r="O1446">
        <f t="shared" si="537"/>
        <v>0.15777777777777779</v>
      </c>
      <c r="P1446">
        <f t="shared" si="550"/>
        <v>0.08</v>
      </c>
      <c r="Q1446">
        <f t="shared" si="546"/>
        <v>0.08</v>
      </c>
      <c r="R1446">
        <f t="shared" si="539"/>
        <v>0.08</v>
      </c>
      <c r="S1446">
        <f t="shared" si="540"/>
        <v>0.06</v>
      </c>
      <c r="T1446">
        <f t="shared" si="541"/>
        <v>0.1</v>
      </c>
      <c r="U1446">
        <f t="shared" si="547"/>
        <v>0.08</v>
      </c>
      <c r="V1446">
        <f t="shared" si="552"/>
        <v>0.18799999998950151</v>
      </c>
      <c r="W1446">
        <f t="shared" si="548"/>
        <v>0.16996235143219438</v>
      </c>
      <c r="X1446">
        <f t="shared" si="549"/>
        <v>0.21002496379203217</v>
      </c>
      <c r="Y1446" t="b">
        <f t="shared" si="551"/>
        <v>0</v>
      </c>
    </row>
    <row xmlns:x14ac="http://schemas.microsoft.com/office/spreadsheetml/2009/9/ac" r="1447" x14ac:dyDescent="0.45">
      <c r="A1447">
        <v>7.1999999999998696</v>
      </c>
      <c r="B1447">
        <f t="shared" si="529"/>
        <v>0.16299999999999995</v>
      </c>
      <c r="C1447" t="b">
        <f t="shared" si="542"/>
        <v>1</v>
      </c>
      <c r="D1447" t="b">
        <f t="shared" si="530"/>
        <v>1</v>
      </c>
      <c r="E1447">
        <f t="shared" si="538"/>
        <v>7.1999999999998696</v>
      </c>
      <c r="F1447">
        <f t="shared" si="543"/>
        <v>0.16299999999999995</v>
      </c>
      <c r="G1447">
        <f t="shared" si="531"/>
        <v>0.21002434743381082</v>
      </c>
      <c r="H1447">
        <f t="shared" si="532"/>
        <v>3.4999999999999989E-2</v>
      </c>
      <c r="I1447" t="b">
        <f t="shared" si="544"/>
        <v>1</v>
      </c>
      <c r="J1447">
        <f t="shared" si="533"/>
        <v>7.1999999999998696</v>
      </c>
      <c r="K1447">
        <f t="shared" si="545"/>
        <v>3.4999999999999989E-2</v>
      </c>
      <c r="L1447">
        <f t="shared" si="534"/>
        <v>0.16996328097864549</v>
      </c>
      <c r="M1447">
        <f t="shared" si="535"/>
        <v>0.18999999999999997</v>
      </c>
      <c r="N1447">
        <f t="shared" si="536"/>
        <v>0.18799999998944894</v>
      </c>
      <c r="O1447">
        <f t="shared" si="537"/>
        <v>0.15777777777777779</v>
      </c>
      <c r="P1447">
        <f t="shared" si="550"/>
        <v>0.08</v>
      </c>
      <c r="Q1447">
        <f t="shared" si="546"/>
        <v>0.08</v>
      </c>
      <c r="R1447">
        <f t="shared" si="539"/>
        <v>0.08</v>
      </c>
      <c r="S1447">
        <f t="shared" si="540"/>
        <v>0.06</v>
      </c>
      <c r="T1447">
        <f t="shared" si="541"/>
        <v>0.1</v>
      </c>
      <c r="U1447">
        <f t="shared" si="547"/>
        <v>0.08</v>
      </c>
      <c r="V1447">
        <f t="shared" si="552"/>
        <v>0.18799999998944894</v>
      </c>
      <c r="W1447">
        <f t="shared" si="548"/>
        <v>0.16996253920520965</v>
      </c>
      <c r="X1447">
        <f t="shared" si="549"/>
        <v>0.21002483928459997</v>
      </c>
      <c r="Y1447" t="b">
        <f t="shared" si="551"/>
        <v>0</v>
      </c>
    </row>
    <row xmlns:x14ac="http://schemas.microsoft.com/office/spreadsheetml/2009/9/ac" r="1448" x14ac:dyDescent="0.45">
      <c r="A1448">
        <v>7.2049999999998704</v>
      </c>
      <c r="B1448">
        <f t="shared" si="529"/>
        <v>0.16299999999999995</v>
      </c>
      <c r="C1448" t="b">
        <f t="shared" si="542"/>
        <v>1</v>
      </c>
      <c r="D1448" t="b">
        <f t="shared" si="530"/>
        <v>1</v>
      </c>
      <c r="E1448">
        <f t="shared" si="538"/>
        <v>7.2049999999998704</v>
      </c>
      <c r="F1448">
        <f t="shared" si="543"/>
        <v>0.16299999999999995</v>
      </c>
      <c r="G1448">
        <f t="shared" si="531"/>
        <v>0.21002422600047804</v>
      </c>
      <c r="H1448">
        <f t="shared" si="532"/>
        <v>3.4999999999999989E-2</v>
      </c>
      <c r="I1448" t="b">
        <f t="shared" si="544"/>
        <v>1</v>
      </c>
      <c r="J1448">
        <f t="shared" si="533"/>
        <v>7.2049999999998704</v>
      </c>
      <c r="K1448">
        <f t="shared" si="545"/>
        <v>3.4999999999999989E-2</v>
      </c>
      <c r="L1448">
        <f t="shared" si="534"/>
        <v>0.16996346411552854</v>
      </c>
      <c r="M1448">
        <f t="shared" si="535"/>
        <v>0.18999999999999997</v>
      </c>
      <c r="N1448">
        <f t="shared" si="536"/>
        <v>0.18799999998944511</v>
      </c>
      <c r="O1448">
        <f t="shared" si="537"/>
        <v>0.15777777777777779</v>
      </c>
      <c r="P1448">
        <f t="shared" si="550"/>
        <v>0.08</v>
      </c>
      <c r="Q1448">
        <f t="shared" si="546"/>
        <v>0.08</v>
      </c>
      <c r="R1448">
        <f t="shared" si="539"/>
        <v>0.08</v>
      </c>
      <c r="S1448">
        <f t="shared" si="540"/>
        <v>0.06</v>
      </c>
      <c r="T1448">
        <f t="shared" si="541"/>
        <v>0.1</v>
      </c>
      <c r="U1448">
        <f t="shared" si="547"/>
        <v>0.08</v>
      </c>
      <c r="V1448">
        <f t="shared" si="552"/>
        <v>0.18799999998944511</v>
      </c>
      <c r="W1448">
        <f t="shared" si="548"/>
        <v>0.16996272604170315</v>
      </c>
      <c r="X1448">
        <f t="shared" si="549"/>
        <v>0.21002471539815121</v>
      </c>
      <c r="Y1448" t="b">
        <f t="shared" si="551"/>
        <v>0</v>
      </c>
    </row>
    <row xmlns:x14ac="http://schemas.microsoft.com/office/spreadsheetml/2009/9/ac" r="1449" x14ac:dyDescent="0.45">
      <c r="A1449">
        <v>7.2099999999998703</v>
      </c>
      <c r="B1449">
        <f t="shared" si="529"/>
        <v>0.16299999999999995</v>
      </c>
      <c r="C1449" t="b">
        <f t="shared" si="542"/>
        <v>1</v>
      </c>
      <c r="D1449" t="b">
        <f t="shared" si="530"/>
        <v>1</v>
      </c>
      <c r="E1449">
        <f t="shared" si="538"/>
        <v>7.2099999999998703</v>
      </c>
      <c r="F1449">
        <f t="shared" si="543"/>
        <v>0.16299999999999995</v>
      </c>
      <c r="G1449">
        <f t="shared" si="531"/>
        <v>0.21002410517279663</v>
      </c>
      <c r="H1449">
        <f t="shared" si="532"/>
        <v>3.4999999999999989E-2</v>
      </c>
      <c r="I1449" t="b">
        <f t="shared" si="544"/>
        <v>1</v>
      </c>
      <c r="J1449">
        <f t="shared" si="533"/>
        <v>7.2099999999998703</v>
      </c>
      <c r="K1449">
        <f t="shared" si="545"/>
        <v>3.4999999999999989E-2</v>
      </c>
      <c r="L1449">
        <f t="shared" si="534"/>
        <v>0.16996364633901256</v>
      </c>
      <c r="M1449">
        <f t="shared" si="535"/>
        <v>0.18999999999999997</v>
      </c>
      <c r="N1449">
        <f t="shared" si="536"/>
        <v>0.18799999998948852</v>
      </c>
      <c r="O1449">
        <f t="shared" si="537"/>
        <v>0.15777777777777779</v>
      </c>
      <c r="P1449">
        <f t="shared" si="550"/>
        <v>0.08</v>
      </c>
      <c r="Q1449">
        <f t="shared" si="546"/>
        <v>0.08</v>
      </c>
      <c r="R1449">
        <f t="shared" si="539"/>
        <v>0.08</v>
      </c>
      <c r="S1449">
        <f t="shared" si="540"/>
        <v>0.06</v>
      </c>
      <c r="T1449">
        <f t="shared" si="541"/>
        <v>0.1</v>
      </c>
      <c r="U1449">
        <f t="shared" si="547"/>
        <v>0.08</v>
      </c>
      <c r="V1449">
        <f t="shared" si="552"/>
        <v>0.18799999998948852</v>
      </c>
      <c r="W1449">
        <f t="shared" si="548"/>
        <v>0.16996291194634572</v>
      </c>
      <c r="X1449">
        <f t="shared" si="549"/>
        <v>0.21002459212958868</v>
      </c>
      <c r="Y1449" t="b">
        <f t="shared" si="551"/>
        <v>0</v>
      </c>
    </row>
    <row xmlns:x14ac="http://schemas.microsoft.com/office/spreadsheetml/2009/9/ac" r="1450" x14ac:dyDescent="0.45">
      <c r="A1450">
        <v>7.2149999999998702</v>
      </c>
      <c r="B1450">
        <f t="shared" si="529"/>
        <v>0.16299999999999995</v>
      </c>
      <c r="C1450" t="b">
        <f t="shared" si="542"/>
        <v>1</v>
      </c>
      <c r="D1450" t="b">
        <f t="shared" si="530"/>
        <v>1</v>
      </c>
      <c r="E1450">
        <f t="shared" si="538"/>
        <v>7.2149999999998702</v>
      </c>
      <c r="F1450">
        <f t="shared" si="543"/>
        <v>0.16299999999999995</v>
      </c>
      <c r="G1450">
        <f t="shared" si="531"/>
        <v>0.21002398494774571</v>
      </c>
      <c r="H1450">
        <f t="shared" si="532"/>
        <v>3.4999999999999989E-2</v>
      </c>
      <c r="I1450" t="b">
        <f t="shared" si="544"/>
        <v>1</v>
      </c>
      <c r="J1450">
        <f t="shared" si="533"/>
        <v>7.2149999999998702</v>
      </c>
      <c r="K1450">
        <f t="shared" si="545"/>
        <v>3.4999999999999989E-2</v>
      </c>
      <c r="L1450">
        <f t="shared" si="534"/>
        <v>0.16996382765365314</v>
      </c>
      <c r="M1450">
        <f t="shared" si="535"/>
        <v>0.18999999999999997</v>
      </c>
      <c r="N1450">
        <f t="shared" si="536"/>
        <v>0.18799999998957748</v>
      </c>
      <c r="O1450">
        <f t="shared" si="537"/>
        <v>0.15777777777777779</v>
      </c>
      <c r="P1450">
        <f t="shared" si="550"/>
        <v>0.08</v>
      </c>
      <c r="Q1450">
        <f t="shared" si="546"/>
        <v>0.08</v>
      </c>
      <c r="R1450">
        <f t="shared" si="539"/>
        <v>0.08</v>
      </c>
      <c r="S1450">
        <f t="shared" si="540"/>
        <v>0.06</v>
      </c>
      <c r="T1450">
        <f t="shared" si="541"/>
        <v>0.1</v>
      </c>
      <c r="U1450">
        <f t="shared" si="547"/>
        <v>0.08</v>
      </c>
      <c r="V1450">
        <f t="shared" si="552"/>
        <v>0.18799999998957748</v>
      </c>
      <c r="W1450">
        <f t="shared" si="548"/>
        <v>0.16996309692378503</v>
      </c>
      <c r="X1450">
        <f t="shared" si="549"/>
        <v>0.21002446947583064</v>
      </c>
      <c r="Y1450" t="b">
        <f t="shared" si="551"/>
        <v>0</v>
      </c>
    </row>
    <row xmlns:x14ac="http://schemas.microsoft.com/office/spreadsheetml/2009/9/ac" r="1451" x14ac:dyDescent="0.45">
      <c r="A1451">
        <v>7.2199999999998701</v>
      </c>
      <c r="B1451">
        <f t="shared" si="529"/>
        <v>0.16299999999999995</v>
      </c>
      <c r="C1451" t="b">
        <f t="shared" si="542"/>
        <v>1</v>
      </c>
      <c r="D1451" t="b">
        <f t="shared" si="530"/>
        <v>1</v>
      </c>
      <c r="E1451">
        <f t="shared" si="538"/>
        <v>7.2199999999998701</v>
      </c>
      <c r="F1451">
        <f t="shared" si="543"/>
        <v>0.16299999999999995</v>
      </c>
      <c r="G1451">
        <f t="shared" si="531"/>
        <v>0.21002386532231976</v>
      </c>
      <c r="H1451">
        <f t="shared" si="532"/>
        <v>3.4999999999999989E-2</v>
      </c>
      <c r="I1451" t="b">
        <f t="shared" si="544"/>
        <v>1</v>
      </c>
      <c r="J1451">
        <f t="shared" si="533"/>
        <v>7.2199999999998701</v>
      </c>
      <c r="K1451">
        <f t="shared" si="545"/>
        <v>3.4999999999999989E-2</v>
      </c>
      <c r="L1451">
        <f t="shared" si="534"/>
        <v>0.16996400806398321</v>
      </c>
      <c r="M1451">
        <f t="shared" si="535"/>
        <v>0.18999999999999997</v>
      </c>
      <c r="N1451">
        <f t="shared" si="536"/>
        <v>0.18799999998971018</v>
      </c>
      <c r="O1451">
        <f t="shared" si="537"/>
        <v>0.15777777777777779</v>
      </c>
      <c r="P1451">
        <f t="shared" si="550"/>
        <v>0.08</v>
      </c>
      <c r="Q1451">
        <f t="shared" si="546"/>
        <v>0.08</v>
      </c>
      <c r="R1451">
        <f t="shared" si="539"/>
        <v>0.08</v>
      </c>
      <c r="S1451">
        <f t="shared" si="540"/>
        <v>0.06</v>
      </c>
      <c r="T1451">
        <f t="shared" si="541"/>
        <v>0.1</v>
      </c>
      <c r="U1451">
        <f t="shared" si="547"/>
        <v>0.08</v>
      </c>
      <c r="V1451">
        <f t="shared" si="552"/>
        <v>0.18799999998971018</v>
      </c>
      <c r="W1451">
        <f t="shared" si="548"/>
        <v>0.16996328097864549</v>
      </c>
      <c r="X1451">
        <f t="shared" si="549"/>
        <v>0.21002434743381082</v>
      </c>
      <c r="Y1451" t="b">
        <f t="shared" si="551"/>
        <v>0</v>
      </c>
    </row>
    <row xmlns:x14ac="http://schemas.microsoft.com/office/spreadsheetml/2009/9/ac" r="1452" x14ac:dyDescent="0.45">
      <c r="A1452">
        <v>7.22499999999987</v>
      </c>
      <c r="B1452">
        <f t="shared" si="529"/>
        <v>0.16299999999999995</v>
      </c>
      <c r="C1452" t="b">
        <f t="shared" si="542"/>
        <v>1</v>
      </c>
      <c r="D1452" t="b">
        <f t="shared" si="530"/>
        <v>1</v>
      </c>
      <c r="E1452">
        <f t="shared" si="538"/>
        <v>7.22499999999987</v>
      </c>
      <c r="F1452">
        <f t="shared" si="543"/>
        <v>0.16299999999999995</v>
      </c>
      <c r="G1452">
        <f t="shared" si="531"/>
        <v>0.21002374629352816</v>
      </c>
      <c r="H1452">
        <f t="shared" si="532"/>
        <v>3.4999999999999989E-2</v>
      </c>
      <c r="I1452" t="b">
        <f t="shared" si="544"/>
        <v>1</v>
      </c>
      <c r="J1452">
        <f t="shared" si="533"/>
        <v>7.22499999999987</v>
      </c>
      <c r="K1452">
        <f t="shared" si="545"/>
        <v>3.4999999999999989E-2</v>
      </c>
      <c r="L1452">
        <f t="shared" si="534"/>
        <v>0.16996418757451298</v>
      </c>
      <c r="M1452">
        <f t="shared" si="535"/>
        <v>0.18999999999999997</v>
      </c>
      <c r="N1452">
        <f t="shared" si="536"/>
        <v>0.18799999998988459</v>
      </c>
      <c r="O1452">
        <f t="shared" si="537"/>
        <v>0.15777777777777779</v>
      </c>
      <c r="P1452">
        <f t="shared" si="550"/>
        <v>0.08</v>
      </c>
      <c r="Q1452">
        <f t="shared" si="546"/>
        <v>0.08</v>
      </c>
      <c r="R1452">
        <f t="shared" si="539"/>
        <v>0.08</v>
      </c>
      <c r="S1452">
        <f t="shared" si="540"/>
        <v>0.06</v>
      </c>
      <c r="T1452">
        <f t="shared" si="541"/>
        <v>0.1</v>
      </c>
      <c r="U1452">
        <f t="shared" si="547"/>
        <v>0.08</v>
      </c>
      <c r="V1452">
        <f t="shared" si="552"/>
        <v>0.18799999998988459</v>
      </c>
      <c r="W1452">
        <f t="shared" si="548"/>
        <v>0.16996346411552854</v>
      </c>
      <c r="X1452">
        <f t="shared" si="549"/>
        <v>0.21002422600047804</v>
      </c>
      <c r="Y1452" t="b">
        <f t="shared" si="551"/>
        <v>0</v>
      </c>
    </row>
    <row xmlns:x14ac="http://schemas.microsoft.com/office/spreadsheetml/2009/9/ac" r="1453" x14ac:dyDescent="0.45">
      <c r="A1453">
        <v>7.2299999999998699</v>
      </c>
      <c r="B1453">
        <f t="shared" si="529"/>
        <v>0.16299999999999998</v>
      </c>
      <c r="C1453" t="b">
        <f t="shared" si="542"/>
        <v>1</v>
      </c>
      <c r="D1453" t="b">
        <f t="shared" si="530"/>
        <v>1</v>
      </c>
      <c r="E1453">
        <f t="shared" si="538"/>
        <v>7.2299999999998699</v>
      </c>
      <c r="F1453">
        <f t="shared" si="543"/>
        <v>0.16299999999999998</v>
      </c>
      <c r="G1453">
        <f t="shared" si="531"/>
        <v>0.21002362785839507</v>
      </c>
      <c r="H1453">
        <f t="shared" si="532"/>
        <v>3.4999999999999989E-2</v>
      </c>
      <c r="I1453" t="b">
        <f t="shared" si="544"/>
        <v>1</v>
      </c>
      <c r="J1453">
        <f t="shared" si="533"/>
        <v>7.2299999999998699</v>
      </c>
      <c r="K1453">
        <f t="shared" si="545"/>
        <v>3.4999999999999989E-2</v>
      </c>
      <c r="L1453">
        <f t="shared" si="534"/>
        <v>0.16996436618973026</v>
      </c>
      <c r="M1453">
        <f t="shared" si="535"/>
        <v>0.19</v>
      </c>
      <c r="N1453">
        <f t="shared" si="536"/>
        <v>0.1879999999900987</v>
      </c>
      <c r="O1453">
        <f t="shared" si="537"/>
        <v>0.15777777777777779</v>
      </c>
      <c r="P1453">
        <f t="shared" si="550"/>
        <v>0.08</v>
      </c>
      <c r="Q1453">
        <f t="shared" si="546"/>
        <v>0.08</v>
      </c>
      <c r="R1453">
        <f t="shared" si="539"/>
        <v>0.08</v>
      </c>
      <c r="S1453">
        <f t="shared" si="540"/>
        <v>0.06</v>
      </c>
      <c r="T1453">
        <f t="shared" si="541"/>
        <v>0.1</v>
      </c>
      <c r="U1453">
        <f t="shared" si="547"/>
        <v>0.08</v>
      </c>
      <c r="V1453">
        <f t="shared" si="552"/>
        <v>0.1879999999900987</v>
      </c>
      <c r="W1453">
        <f t="shared" si="548"/>
        <v>0.16996364633901256</v>
      </c>
      <c r="X1453">
        <f t="shared" si="549"/>
        <v>0.21002410517279663</v>
      </c>
      <c r="Y1453" t="b">
        <f t="shared" si="551"/>
        <v>0</v>
      </c>
    </row>
    <row xmlns:x14ac="http://schemas.microsoft.com/office/spreadsheetml/2009/9/ac" r="1454" x14ac:dyDescent="0.45">
      <c r="A1454">
        <v>7.2349999999998698</v>
      </c>
      <c r="B1454">
        <f t="shared" si="529"/>
        <v>0.16299999999999998</v>
      </c>
      <c r="C1454" t="b">
        <f t="shared" si="542"/>
        <v>1</v>
      </c>
      <c r="D1454" t="b">
        <f t="shared" si="530"/>
        <v>1</v>
      </c>
      <c r="E1454">
        <f t="shared" si="538"/>
        <v>7.2349999999998698</v>
      </c>
      <c r="F1454">
        <f t="shared" si="543"/>
        <v>0.16299999999999998</v>
      </c>
      <c r="G1454">
        <f t="shared" si="531"/>
        <v>0.21002351001395969</v>
      </c>
      <c r="H1454">
        <f t="shared" si="532"/>
        <v>3.4999999999999989E-2</v>
      </c>
      <c r="I1454" t="b">
        <f t="shared" si="544"/>
        <v>1</v>
      </c>
      <c r="J1454">
        <f t="shared" si="533"/>
        <v>7.2349999999998698</v>
      </c>
      <c r="K1454">
        <f t="shared" si="545"/>
        <v>3.4999999999999989E-2</v>
      </c>
      <c r="L1454">
        <f t="shared" si="534"/>
        <v>0.16996454391410043</v>
      </c>
      <c r="M1454">
        <f t="shared" si="535"/>
        <v>0.19</v>
      </c>
      <c r="N1454">
        <f t="shared" si="536"/>
        <v>0.18799999999035022</v>
      </c>
      <c r="O1454">
        <f t="shared" si="537"/>
        <v>0.15777777777777779</v>
      </c>
      <c r="P1454">
        <f t="shared" si="550"/>
        <v>0.08</v>
      </c>
      <c r="Q1454">
        <f t="shared" si="546"/>
        <v>0.08</v>
      </c>
      <c r="R1454">
        <f t="shared" si="539"/>
        <v>0.08</v>
      </c>
      <c r="S1454">
        <f t="shared" si="540"/>
        <v>0.06</v>
      </c>
      <c r="T1454">
        <f t="shared" si="541"/>
        <v>0.1</v>
      </c>
      <c r="U1454">
        <f t="shared" si="547"/>
        <v>0.08</v>
      </c>
      <c r="V1454">
        <f t="shared" si="552"/>
        <v>0.18799999999035022</v>
      </c>
      <c r="W1454">
        <f t="shared" si="548"/>
        <v>0.16996382765365314</v>
      </c>
      <c r="X1454">
        <f t="shared" si="549"/>
        <v>0.21002398494774571</v>
      </c>
      <c r="Y1454" t="b">
        <f t="shared" si="551"/>
        <v>0</v>
      </c>
    </row>
    <row xmlns:x14ac="http://schemas.microsoft.com/office/spreadsheetml/2009/9/ac" r="1455" x14ac:dyDescent="0.45">
      <c r="A1455">
        <v>7.2399999999998697</v>
      </c>
      <c r="B1455">
        <f t="shared" si="529"/>
        <v>0.16299999999999998</v>
      </c>
      <c r="C1455" t="b">
        <f t="shared" si="542"/>
        <v>1</v>
      </c>
      <c r="D1455" t="b">
        <f t="shared" si="530"/>
        <v>1</v>
      </c>
      <c r="E1455">
        <f t="shared" si="538"/>
        <v>7.2399999999998697</v>
      </c>
      <c r="F1455">
        <f t="shared" si="543"/>
        <v>0.16299999999999998</v>
      </c>
      <c r="G1455">
        <f t="shared" si="531"/>
        <v>0.21002339275727588</v>
      </c>
      <c r="H1455">
        <f t="shared" si="532"/>
        <v>3.4999999999999989E-2</v>
      </c>
      <c r="I1455" t="b">
        <f t="shared" si="544"/>
        <v>1</v>
      </c>
      <c r="J1455">
        <f t="shared" si="533"/>
        <v>7.2399999999998697</v>
      </c>
      <c r="K1455">
        <f t="shared" si="545"/>
        <v>3.4999999999999989E-2</v>
      </c>
      <c r="L1455">
        <f t="shared" si="534"/>
        <v>0.16996472075206659</v>
      </c>
      <c r="M1455">
        <f t="shared" si="535"/>
        <v>0.19</v>
      </c>
      <c r="N1455">
        <f t="shared" si="536"/>
        <v>0.18799999999063693</v>
      </c>
      <c r="O1455">
        <f t="shared" si="537"/>
        <v>0.15777777777777779</v>
      </c>
      <c r="P1455">
        <f t="shared" si="550"/>
        <v>0.08</v>
      </c>
      <c r="Q1455">
        <f t="shared" si="546"/>
        <v>0.08</v>
      </c>
      <c r="R1455">
        <f t="shared" si="539"/>
        <v>0.08</v>
      </c>
      <c r="S1455">
        <f t="shared" si="540"/>
        <v>0.06</v>
      </c>
      <c r="T1455">
        <f t="shared" si="541"/>
        <v>0.1</v>
      </c>
      <c r="U1455">
        <f t="shared" si="547"/>
        <v>0.08</v>
      </c>
      <c r="V1455">
        <f t="shared" si="552"/>
        <v>0.18799999999063693</v>
      </c>
      <c r="W1455">
        <f t="shared" si="548"/>
        <v>0.16996400806398321</v>
      </c>
      <c r="X1455">
        <f t="shared" si="549"/>
        <v>0.21002386532231976</v>
      </c>
      <c r="Y1455" t="b">
        <f t="shared" si="551"/>
        <v>0</v>
      </c>
    </row>
    <row xmlns:x14ac="http://schemas.microsoft.com/office/spreadsheetml/2009/9/ac" r="1456" x14ac:dyDescent="0.45">
      <c r="A1456">
        <v>7.2449999999998704</v>
      </c>
      <c r="B1456">
        <f t="shared" si="529"/>
        <v>0.16299999999999998</v>
      </c>
      <c r="C1456" t="b">
        <f t="shared" si="542"/>
        <v>1</v>
      </c>
      <c r="D1456" t="b">
        <f t="shared" si="530"/>
        <v>1</v>
      </c>
      <c r="E1456">
        <f t="shared" si="538"/>
        <v>7.2449999999998704</v>
      </c>
      <c r="F1456">
        <f t="shared" si="543"/>
        <v>0.16299999999999998</v>
      </c>
      <c r="G1456">
        <f t="shared" si="531"/>
        <v>0.21002327608541221</v>
      </c>
      <c r="H1456">
        <f t="shared" si="532"/>
        <v>3.4999999999999989E-2</v>
      </c>
      <c r="I1456" t="b">
        <f t="shared" si="544"/>
        <v>1</v>
      </c>
      <c r="J1456">
        <f t="shared" si="533"/>
        <v>7.2449999999998704</v>
      </c>
      <c r="K1456">
        <f t="shared" si="545"/>
        <v>3.4999999999999989E-2</v>
      </c>
      <c r="L1456">
        <f t="shared" si="534"/>
        <v>0.16996489670804971</v>
      </c>
      <c r="M1456">
        <f t="shared" si="535"/>
        <v>0.19</v>
      </c>
      <c r="N1456">
        <f t="shared" si="536"/>
        <v>0.1879999999909564</v>
      </c>
      <c r="O1456">
        <f t="shared" si="537"/>
        <v>0.15777777777777779</v>
      </c>
      <c r="P1456">
        <f t="shared" si="550"/>
        <v>0.08</v>
      </c>
      <c r="Q1456">
        <f t="shared" si="546"/>
        <v>0.08</v>
      </c>
      <c r="R1456">
        <f t="shared" si="539"/>
        <v>0.08</v>
      </c>
      <c r="S1456">
        <f t="shared" si="540"/>
        <v>0.06</v>
      </c>
      <c r="T1456">
        <f t="shared" si="541"/>
        <v>0.1</v>
      </c>
      <c r="U1456">
        <f t="shared" si="547"/>
        <v>0.08</v>
      </c>
      <c r="V1456">
        <f t="shared" si="552"/>
        <v>0.1879999999909564</v>
      </c>
      <c r="W1456">
        <f t="shared" si="548"/>
        <v>0.16996418757451298</v>
      </c>
      <c r="X1456">
        <f t="shared" si="549"/>
        <v>0.21002374629352816</v>
      </c>
      <c r="Y1456" t="b">
        <f t="shared" si="551"/>
        <v>0</v>
      </c>
    </row>
    <row xmlns:x14ac="http://schemas.microsoft.com/office/spreadsheetml/2009/9/ac" r="1457" x14ac:dyDescent="0.45">
      <c r="A1457">
        <v>7.2499999999998703</v>
      </c>
      <c r="B1457">
        <f t="shared" si="529"/>
        <v>0.16299999999999998</v>
      </c>
      <c r="C1457" t="b">
        <f t="shared" si="542"/>
        <v>1</v>
      </c>
      <c r="D1457" t="b">
        <f t="shared" si="530"/>
        <v>1</v>
      </c>
      <c r="E1457">
        <f t="shared" si="538"/>
        <v>7.2499999999998703</v>
      </c>
      <c r="F1457">
        <f t="shared" si="543"/>
        <v>0.16299999999999998</v>
      </c>
      <c r="G1457">
        <f t="shared" si="531"/>
        <v>0.2100231599954519</v>
      </c>
      <c r="H1457">
        <f t="shared" si="532"/>
        <v>3.4999999999999989E-2</v>
      </c>
      <c r="I1457" t="b">
        <f t="shared" si="544"/>
        <v>1</v>
      </c>
      <c r="J1457">
        <f t="shared" si="533"/>
        <v>7.2499999999998703</v>
      </c>
      <c r="K1457">
        <f t="shared" si="545"/>
        <v>3.4999999999999989E-2</v>
      </c>
      <c r="L1457">
        <f t="shared" si="534"/>
        <v>0.16996507178644873</v>
      </c>
      <c r="M1457">
        <f t="shared" si="535"/>
        <v>0.19</v>
      </c>
      <c r="N1457">
        <f t="shared" si="536"/>
        <v>0.18799999999130618</v>
      </c>
      <c r="O1457">
        <f t="shared" si="537"/>
        <v>0.15777777777777779</v>
      </c>
      <c r="P1457">
        <f t="shared" si="550"/>
        <v>0.08</v>
      </c>
      <c r="Q1457">
        <f t="shared" si="546"/>
        <v>0.08</v>
      </c>
      <c r="R1457">
        <f t="shared" si="539"/>
        <v>0.08</v>
      </c>
      <c r="S1457">
        <f t="shared" si="540"/>
        <v>0.06</v>
      </c>
      <c r="T1457">
        <f t="shared" si="541"/>
        <v>0.1</v>
      </c>
      <c r="U1457">
        <f t="shared" si="547"/>
        <v>0.08</v>
      </c>
      <c r="V1457">
        <f t="shared" si="552"/>
        <v>0.18799999999130618</v>
      </c>
      <c r="W1457">
        <f t="shared" si="548"/>
        <v>0.16996436618973026</v>
      </c>
      <c r="X1457">
        <f t="shared" si="549"/>
        <v>0.21002362785839507</v>
      </c>
      <c r="Y1457" t="b">
        <f t="shared" si="551"/>
        <v>0</v>
      </c>
    </row>
    <row xmlns:x14ac="http://schemas.microsoft.com/office/spreadsheetml/2009/9/ac" r="1458" x14ac:dyDescent="0.45">
      <c r="A1458">
        <v>7.2549999999998702</v>
      </c>
      <c r="B1458">
        <f t="shared" si="529"/>
        <v>0.16299999999999998</v>
      </c>
      <c r="C1458" t="b">
        <f t="shared" si="542"/>
        <v>1</v>
      </c>
      <c r="D1458" t="b">
        <f t="shared" si="530"/>
        <v>1</v>
      </c>
      <c r="E1458">
        <f t="shared" si="538"/>
        <v>7.2549999999998702</v>
      </c>
      <c r="F1458">
        <f t="shared" si="543"/>
        <v>0.16299999999999998</v>
      </c>
      <c r="G1458">
        <f t="shared" si="531"/>
        <v>0.21002304448449272</v>
      </c>
      <c r="H1458">
        <f t="shared" si="532"/>
        <v>3.4999999999999989E-2</v>
      </c>
      <c r="I1458" t="b">
        <f t="shared" si="544"/>
        <v>1</v>
      </c>
      <c r="J1458">
        <f t="shared" si="533"/>
        <v>7.2549999999998702</v>
      </c>
      <c r="K1458">
        <f t="shared" si="545"/>
        <v>3.4999999999999989E-2</v>
      </c>
      <c r="L1458">
        <f t="shared" si="534"/>
        <v>0.16996524599164059</v>
      </c>
      <c r="M1458">
        <f t="shared" si="535"/>
        <v>0.19</v>
      </c>
      <c r="N1458">
        <f t="shared" si="536"/>
        <v>0.18799999999168374</v>
      </c>
      <c r="O1458">
        <f t="shared" si="537"/>
        <v>0.15777777777777779</v>
      </c>
      <c r="P1458">
        <f t="shared" si="550"/>
        <v>0.08</v>
      </c>
      <c r="Q1458">
        <f t="shared" si="546"/>
        <v>0.08</v>
      </c>
      <c r="R1458">
        <f t="shared" si="539"/>
        <v>0.08</v>
      </c>
      <c r="S1458">
        <f t="shared" si="540"/>
        <v>0.06</v>
      </c>
      <c r="T1458">
        <f t="shared" si="541"/>
        <v>0.1</v>
      </c>
      <c r="U1458">
        <f t="shared" si="547"/>
        <v>0.08</v>
      </c>
      <c r="V1458">
        <f t="shared" si="552"/>
        <v>0.18799999999168374</v>
      </c>
      <c r="W1458">
        <f t="shared" si="548"/>
        <v>0.16996454391410043</v>
      </c>
      <c r="X1458">
        <f t="shared" si="549"/>
        <v>0.21002351001395969</v>
      </c>
      <c r="Y1458" t="b">
        <f t="shared" si="551"/>
        <v>0</v>
      </c>
    </row>
    <row xmlns:x14ac="http://schemas.microsoft.com/office/spreadsheetml/2009/9/ac" r="1459" x14ac:dyDescent="0.45">
      <c r="A1459">
        <v>7.2599999999998701</v>
      </c>
      <c r="B1459">
        <f t="shared" si="529"/>
        <v>0.16299999999999998</v>
      </c>
      <c r="C1459" t="b">
        <f t="shared" si="542"/>
        <v>1</v>
      </c>
      <c r="D1459" t="b">
        <f t="shared" si="530"/>
        <v>1</v>
      </c>
      <c r="E1459">
        <f t="shared" si="538"/>
        <v>7.2599999999998701</v>
      </c>
      <c r="F1459">
        <f t="shared" si="543"/>
        <v>0.16299999999999998</v>
      </c>
      <c r="G1459">
        <f t="shared" si="531"/>
        <v>0.2100229295496468</v>
      </c>
      <c r="H1459">
        <f t="shared" si="532"/>
        <v>3.4999999999999989E-2</v>
      </c>
      <c r="I1459" t="b">
        <f t="shared" si="544"/>
        <v>1</v>
      </c>
      <c r="J1459">
        <f t="shared" si="533"/>
        <v>7.2599999999998701</v>
      </c>
      <c r="K1459">
        <f t="shared" si="545"/>
        <v>3.4999999999999989E-2</v>
      </c>
      <c r="L1459">
        <f t="shared" si="534"/>
        <v>0.16996541932798043</v>
      </c>
      <c r="M1459">
        <f t="shared" si="535"/>
        <v>0.19</v>
      </c>
      <c r="N1459">
        <f t="shared" si="536"/>
        <v>0.18799999999208653</v>
      </c>
      <c r="O1459">
        <f t="shared" si="537"/>
        <v>0.15777777777777779</v>
      </c>
      <c r="P1459">
        <f t="shared" si="550"/>
        <v>0.08</v>
      </c>
      <c r="Q1459">
        <f t="shared" si="546"/>
        <v>0.08</v>
      </c>
      <c r="R1459">
        <f t="shared" si="539"/>
        <v>0.08</v>
      </c>
      <c r="S1459">
        <f t="shared" si="540"/>
        <v>0.06</v>
      </c>
      <c r="T1459">
        <f t="shared" si="541"/>
        <v>0.1</v>
      </c>
      <c r="U1459">
        <f t="shared" si="547"/>
        <v>0.08</v>
      </c>
      <c r="V1459">
        <f t="shared" si="552"/>
        <v>0.18799999999208653</v>
      </c>
      <c r="W1459">
        <f t="shared" si="548"/>
        <v>0.16996472075206659</v>
      </c>
      <c r="X1459">
        <f t="shared" si="549"/>
        <v>0.21002339275727588</v>
      </c>
      <c r="Y1459" t="b">
        <f t="shared" si="551"/>
        <v>0</v>
      </c>
    </row>
    <row xmlns:x14ac="http://schemas.microsoft.com/office/spreadsheetml/2009/9/ac" r="1460" x14ac:dyDescent="0.45">
      <c r="A1460">
        <v>7.26499999999987</v>
      </c>
      <c r="B1460">
        <f t="shared" si="529"/>
        <v>0.16299999999999998</v>
      </c>
      <c r="C1460" t="b">
        <f t="shared" si="542"/>
        <v>1</v>
      </c>
      <c r="D1460" t="b">
        <f t="shared" si="530"/>
        <v>1</v>
      </c>
      <c r="E1460">
        <f t="shared" si="538"/>
        <v>7.26499999999987</v>
      </c>
      <c r="F1460">
        <f t="shared" si="543"/>
        <v>0.16299999999999998</v>
      </c>
      <c r="G1460">
        <f t="shared" si="531"/>
        <v>0.21002281518804083</v>
      </c>
      <c r="H1460">
        <f t="shared" si="532"/>
        <v>3.4999999999999989E-2</v>
      </c>
      <c r="I1460" t="b">
        <f t="shared" si="544"/>
        <v>1</v>
      </c>
      <c r="J1460">
        <f t="shared" si="533"/>
        <v>7.26499999999987</v>
      </c>
      <c r="K1460">
        <f t="shared" si="545"/>
        <v>3.4999999999999989E-2</v>
      </c>
      <c r="L1460">
        <f t="shared" si="534"/>
        <v>0.16996559179980164</v>
      </c>
      <c r="M1460">
        <f t="shared" si="535"/>
        <v>0.19</v>
      </c>
      <c r="N1460">
        <f t="shared" si="536"/>
        <v>0.18799999999251196</v>
      </c>
      <c r="O1460">
        <f t="shared" si="537"/>
        <v>0.15777777777777779</v>
      </c>
      <c r="P1460">
        <f t="shared" si="550"/>
        <v>0.08</v>
      </c>
      <c r="Q1460">
        <f t="shared" si="546"/>
        <v>0.08</v>
      </c>
      <c r="R1460">
        <f t="shared" si="539"/>
        <v>0.08</v>
      </c>
      <c r="S1460">
        <f t="shared" si="540"/>
        <v>0.06</v>
      </c>
      <c r="T1460">
        <f t="shared" si="541"/>
        <v>0.1</v>
      </c>
      <c r="U1460">
        <f t="shared" si="547"/>
        <v>0.08</v>
      </c>
      <c r="V1460">
        <f t="shared" si="552"/>
        <v>0.18799999999251196</v>
      </c>
      <c r="W1460">
        <f t="shared" si="548"/>
        <v>0.16996489670804971</v>
      </c>
      <c r="X1460">
        <f t="shared" si="549"/>
        <v>0.21002327608541221</v>
      </c>
      <c r="Y1460" t="b">
        <f t="shared" si="551"/>
        <v>0</v>
      </c>
    </row>
    <row xmlns:x14ac="http://schemas.microsoft.com/office/spreadsheetml/2009/9/ac" r="1461" x14ac:dyDescent="0.45">
      <c r="A1461">
        <v>7.2699999999998699</v>
      </c>
      <c r="B1461">
        <f t="shared" si="529"/>
        <v>0.16299999999999998</v>
      </c>
      <c r="C1461" t="b">
        <f t="shared" si="542"/>
        <v>1</v>
      </c>
      <c r="D1461" t="b">
        <f t="shared" si="530"/>
        <v>1</v>
      </c>
      <c r="E1461">
        <f t="shared" si="538"/>
        <v>7.2699999999998699</v>
      </c>
      <c r="F1461">
        <f t="shared" si="543"/>
        <v>0.16299999999999998</v>
      </c>
      <c r="G1461">
        <f t="shared" si="531"/>
        <v>0.21002270139681578</v>
      </c>
      <c r="H1461">
        <f t="shared" si="532"/>
        <v>3.4999999999999989E-2</v>
      </c>
      <c r="I1461" t="b">
        <f t="shared" si="544"/>
        <v>1</v>
      </c>
      <c r="J1461">
        <f t="shared" si="533"/>
        <v>7.2699999999998699</v>
      </c>
      <c r="K1461">
        <f t="shared" si="545"/>
        <v>3.4999999999999989E-2</v>
      </c>
      <c r="L1461">
        <f t="shared" si="534"/>
        <v>0.16996576341141606</v>
      </c>
      <c r="M1461">
        <f t="shared" si="535"/>
        <v>0.19</v>
      </c>
      <c r="N1461">
        <f t="shared" si="536"/>
        <v>0.18799999999295741</v>
      </c>
      <c r="O1461">
        <f t="shared" si="537"/>
        <v>0.15777777777777779</v>
      </c>
      <c r="P1461">
        <f t="shared" si="550"/>
        <v>0.08</v>
      </c>
      <c r="Q1461">
        <f t="shared" si="546"/>
        <v>0.08</v>
      </c>
      <c r="R1461">
        <f t="shared" si="539"/>
        <v>0.08</v>
      </c>
      <c r="S1461">
        <f t="shared" si="540"/>
        <v>0.06</v>
      </c>
      <c r="T1461">
        <f t="shared" si="541"/>
        <v>0.1</v>
      </c>
      <c r="U1461">
        <f t="shared" si="547"/>
        <v>0.08</v>
      </c>
      <c r="V1461">
        <f t="shared" si="552"/>
        <v>0.18799999999295741</v>
      </c>
      <c r="W1461">
        <f t="shared" si="548"/>
        <v>0.16996507178644873</v>
      </c>
      <c r="X1461">
        <f t="shared" si="549"/>
        <v>0.2100231599954519</v>
      </c>
      <c r="Y1461" t="b">
        <f t="shared" si="551"/>
        <v>0</v>
      </c>
    </row>
    <row xmlns:x14ac="http://schemas.microsoft.com/office/spreadsheetml/2009/9/ac" r="1462" x14ac:dyDescent="0.45">
      <c r="A1462">
        <v>7.2749999999998698</v>
      </c>
      <c r="B1462">
        <f t="shared" si="529"/>
        <v>0.16299999999999998</v>
      </c>
      <c r="C1462" t="b">
        <f t="shared" si="542"/>
        <v>1</v>
      </c>
      <c r="D1462" t="b">
        <f t="shared" si="530"/>
        <v>1</v>
      </c>
      <c r="E1462">
        <f t="shared" si="538"/>
        <v>7.2749999999998698</v>
      </c>
      <c r="F1462">
        <f t="shared" si="543"/>
        <v>0.16299999999999998</v>
      </c>
      <c r="G1462">
        <f t="shared" si="531"/>
        <v>0.2100225881731268</v>
      </c>
      <c r="H1462">
        <f t="shared" si="532"/>
        <v>3.4999999999999989E-2</v>
      </c>
      <c r="I1462" t="b">
        <f t="shared" si="544"/>
        <v>1</v>
      </c>
      <c r="J1462">
        <f t="shared" si="533"/>
        <v>7.2749999999998698</v>
      </c>
      <c r="K1462">
        <f t="shared" si="545"/>
        <v>3.4999999999999989E-2</v>
      </c>
      <c r="L1462">
        <f t="shared" si="534"/>
        <v>0.169965934167114</v>
      </c>
      <c r="M1462">
        <f t="shared" si="535"/>
        <v>0.19</v>
      </c>
      <c r="N1462">
        <f t="shared" si="536"/>
        <v>0.18799999999342029</v>
      </c>
      <c r="O1462">
        <f t="shared" si="537"/>
        <v>0.15777777777777779</v>
      </c>
      <c r="P1462">
        <f t="shared" si="550"/>
        <v>0.08</v>
      </c>
      <c r="Q1462">
        <f t="shared" si="546"/>
        <v>0.08</v>
      </c>
      <c r="R1462">
        <f t="shared" si="539"/>
        <v>0.08</v>
      </c>
      <c r="S1462">
        <f t="shared" si="540"/>
        <v>0.06</v>
      </c>
      <c r="T1462">
        <f t="shared" si="541"/>
        <v>0.1</v>
      </c>
      <c r="U1462">
        <f t="shared" si="547"/>
        <v>0.08</v>
      </c>
      <c r="V1462">
        <f t="shared" si="552"/>
        <v>0.18799999999342029</v>
      </c>
      <c r="W1462">
        <f t="shared" si="548"/>
        <v>0.16996524599164059</v>
      </c>
      <c r="X1462">
        <f t="shared" si="549"/>
        <v>0.21002304448449272</v>
      </c>
      <c r="Y1462" t="b">
        <f t="shared" si="551"/>
        <v>0</v>
      </c>
    </row>
    <row xmlns:x14ac="http://schemas.microsoft.com/office/spreadsheetml/2009/9/ac" r="1463" x14ac:dyDescent="0.45">
      <c r="A1463">
        <v>7.2799999999998697</v>
      </c>
      <c r="B1463">
        <f t="shared" si="529"/>
        <v>0.16299999999999998</v>
      </c>
      <c r="C1463" t="b">
        <f t="shared" si="542"/>
        <v>1</v>
      </c>
      <c r="D1463" t="b">
        <f t="shared" si="530"/>
        <v>1</v>
      </c>
      <c r="E1463">
        <f t="shared" si="538"/>
        <v>7.2799999999998697</v>
      </c>
      <c r="F1463">
        <f t="shared" si="543"/>
        <v>0.16299999999999998</v>
      </c>
      <c r="G1463">
        <f t="shared" si="531"/>
        <v>0.21002247551414333</v>
      </c>
      <c r="H1463">
        <f t="shared" si="532"/>
        <v>3.4999999999999989E-2</v>
      </c>
      <c r="I1463" t="b">
        <f t="shared" si="544"/>
        <v>1</v>
      </c>
      <c r="J1463">
        <f t="shared" si="533"/>
        <v>7.2799999999998697</v>
      </c>
      <c r="K1463">
        <f t="shared" si="545"/>
        <v>3.4999999999999989E-2</v>
      </c>
      <c r="L1463">
        <f t="shared" si="534"/>
        <v>0.16996610407116436</v>
      </c>
      <c r="M1463">
        <f t="shared" si="535"/>
        <v>0.19</v>
      </c>
      <c r="N1463">
        <f t="shared" si="536"/>
        <v>0.18799999999389794</v>
      </c>
      <c r="O1463">
        <f t="shared" si="537"/>
        <v>0.15777777777777779</v>
      </c>
      <c r="P1463">
        <f t="shared" si="550"/>
        <v>0.08</v>
      </c>
      <c r="Q1463">
        <f t="shared" si="546"/>
        <v>0.08</v>
      </c>
      <c r="R1463">
        <f t="shared" si="539"/>
        <v>0.08</v>
      </c>
      <c r="S1463">
        <f t="shared" si="540"/>
        <v>0.06</v>
      </c>
      <c r="T1463">
        <f t="shared" si="541"/>
        <v>0.1</v>
      </c>
      <c r="U1463">
        <f t="shared" si="547"/>
        <v>0.08</v>
      </c>
      <c r="V1463">
        <f t="shared" si="552"/>
        <v>0.18799999999389794</v>
      </c>
      <c r="W1463">
        <f t="shared" si="548"/>
        <v>0.16996541932798043</v>
      </c>
      <c r="X1463">
        <f t="shared" si="549"/>
        <v>0.2100229295496468</v>
      </c>
      <c r="Y1463" t="b">
        <f t="shared" si="551"/>
        <v>0</v>
      </c>
    </row>
    <row xmlns:x14ac="http://schemas.microsoft.com/office/spreadsheetml/2009/9/ac" r="1464" x14ac:dyDescent="0.45">
      <c r="A1464">
        <v>7.2849999999998696</v>
      </c>
      <c r="B1464">
        <f t="shared" si="529"/>
        <v>0.16299999999999998</v>
      </c>
      <c r="C1464" t="b">
        <f t="shared" si="542"/>
        <v>1</v>
      </c>
      <c r="D1464" t="b">
        <f t="shared" si="530"/>
        <v>1</v>
      </c>
      <c r="E1464">
        <f t="shared" si="538"/>
        <v>7.2849999999998696</v>
      </c>
      <c r="F1464">
        <f t="shared" si="543"/>
        <v>0.16299999999999998</v>
      </c>
      <c r="G1464">
        <f t="shared" si="531"/>
        <v>0.21002236341704889</v>
      </c>
      <c r="H1464">
        <f t="shared" si="532"/>
        <v>3.4999999999999989E-2</v>
      </c>
      <c r="I1464" t="b">
        <f t="shared" si="544"/>
        <v>1</v>
      </c>
      <c r="J1464">
        <f t="shared" si="533"/>
        <v>7.2849999999998696</v>
      </c>
      <c r="K1464">
        <f t="shared" si="545"/>
        <v>3.4999999999999989E-2</v>
      </c>
      <c r="L1464">
        <f t="shared" si="534"/>
        <v>0.1699662731278147</v>
      </c>
      <c r="M1464">
        <f t="shared" si="535"/>
        <v>0.19</v>
      </c>
      <c r="N1464">
        <f t="shared" si="536"/>
        <v>0.1879999999943878</v>
      </c>
      <c r="O1464">
        <f t="shared" si="537"/>
        <v>0.15777777777777779</v>
      </c>
      <c r="P1464">
        <f t="shared" si="550"/>
        <v>0.08</v>
      </c>
      <c r="Q1464">
        <f t="shared" si="546"/>
        <v>0.08</v>
      </c>
      <c r="R1464">
        <f t="shared" si="539"/>
        <v>0.08</v>
      </c>
      <c r="S1464">
        <f t="shared" si="540"/>
        <v>0.06</v>
      </c>
      <c r="T1464">
        <f t="shared" si="541"/>
        <v>0.1</v>
      </c>
      <c r="U1464">
        <f t="shared" si="547"/>
        <v>0.08</v>
      </c>
      <c r="V1464">
        <f t="shared" si="552"/>
        <v>0.1879999999943878</v>
      </c>
      <c r="W1464">
        <f t="shared" si="548"/>
        <v>0.16996559179980164</v>
      </c>
      <c r="X1464">
        <f t="shared" si="549"/>
        <v>0.21002281518804083</v>
      </c>
      <c r="Y1464" t="b">
        <f t="shared" si="551"/>
        <v>0</v>
      </c>
    </row>
    <row xmlns:x14ac="http://schemas.microsoft.com/office/spreadsheetml/2009/9/ac" r="1465" x14ac:dyDescent="0.45">
      <c r="A1465">
        <v>7.2899999999998704</v>
      </c>
      <c r="B1465">
        <f t="shared" si="529"/>
        <v>0.16300000000000001</v>
      </c>
      <c r="C1465" t="b">
        <f t="shared" si="542"/>
        <v>1</v>
      </c>
      <c r="D1465" t="b">
        <f t="shared" si="530"/>
        <v>1</v>
      </c>
      <c r="E1465">
        <f t="shared" si="538"/>
        <v>7.2899999999998704</v>
      </c>
      <c r="F1465">
        <f t="shared" si="543"/>
        <v>0.16300000000000001</v>
      </c>
      <c r="G1465">
        <f t="shared" si="531"/>
        <v>0.210022251879041</v>
      </c>
      <c r="H1465">
        <f t="shared" si="532"/>
        <v>3.5000000000000003E-2</v>
      </c>
      <c r="I1465" t="b">
        <f t="shared" si="544"/>
        <v>1</v>
      </c>
      <c r="J1465">
        <f t="shared" si="533"/>
        <v>7.2899999999998704</v>
      </c>
      <c r="K1465">
        <f t="shared" si="545"/>
        <v>3.5000000000000003E-2</v>
      </c>
      <c r="L1465">
        <f t="shared" si="534"/>
        <v>0.16996644134129146</v>
      </c>
      <c r="M1465">
        <f t="shared" si="535"/>
        <v>0.19</v>
      </c>
      <c r="N1465">
        <f t="shared" si="536"/>
        <v>0.18799999999488726</v>
      </c>
      <c r="O1465">
        <f t="shared" si="537"/>
        <v>0.15777777777777779</v>
      </c>
      <c r="P1465">
        <f t="shared" si="550"/>
        <v>0.08</v>
      </c>
      <c r="Q1465">
        <f t="shared" si="546"/>
        <v>0.08</v>
      </c>
      <c r="R1465">
        <f t="shared" si="539"/>
        <v>0.08</v>
      </c>
      <c r="S1465">
        <f t="shared" si="540"/>
        <v>0.06</v>
      </c>
      <c r="T1465">
        <f t="shared" si="541"/>
        <v>0.1</v>
      </c>
      <c r="U1465">
        <f t="shared" si="547"/>
        <v>0.08</v>
      </c>
      <c r="V1465">
        <f t="shared" si="552"/>
        <v>0.18799999999488726</v>
      </c>
      <c r="W1465">
        <f t="shared" si="548"/>
        <v>0.16996576341141606</v>
      </c>
      <c r="X1465">
        <f t="shared" si="549"/>
        <v>0.21002270139681578</v>
      </c>
      <c r="Y1465" t="b">
        <f t="shared" si="551"/>
        <v>0</v>
      </c>
    </row>
    <row xmlns:x14ac="http://schemas.microsoft.com/office/spreadsheetml/2009/9/ac" r="1466" x14ac:dyDescent="0.45">
      <c r="A1466">
        <v>7.2949999999998703</v>
      </c>
      <c r="B1466">
        <f t="shared" si="529"/>
        <v>0.16300000000000001</v>
      </c>
      <c r="C1466" t="b">
        <f t="shared" si="542"/>
        <v>1</v>
      </c>
      <c r="D1466" t="b">
        <f t="shared" si="530"/>
        <v>1</v>
      </c>
      <c r="E1466">
        <f t="shared" si="538"/>
        <v>7.2949999999998703</v>
      </c>
      <c r="F1466">
        <f t="shared" si="543"/>
        <v>0.16300000000000001</v>
      </c>
      <c r="G1466">
        <f t="shared" si="531"/>
        <v>0.21002214089733129</v>
      </c>
      <c r="H1466">
        <f t="shared" si="532"/>
        <v>3.5000000000000003E-2</v>
      </c>
      <c r="I1466" t="b">
        <f t="shared" si="544"/>
        <v>1</v>
      </c>
      <c r="J1466">
        <f t="shared" si="533"/>
        <v>7.2949999999998703</v>
      </c>
      <c r="K1466">
        <f t="shared" si="545"/>
        <v>3.5000000000000003E-2</v>
      </c>
      <c r="L1466">
        <f t="shared" si="534"/>
        <v>0.16996660871580005</v>
      </c>
      <c r="M1466">
        <f t="shared" si="535"/>
        <v>0.19</v>
      </c>
      <c r="N1466">
        <f t="shared" si="536"/>
        <v>0.18799999999539385</v>
      </c>
      <c r="O1466">
        <f t="shared" si="537"/>
        <v>0.15777777777777779</v>
      </c>
      <c r="P1466">
        <f t="shared" si="550"/>
        <v>0.08</v>
      </c>
      <c r="Q1466">
        <f t="shared" si="546"/>
        <v>0.08</v>
      </c>
      <c r="R1466">
        <f t="shared" si="539"/>
        <v>0.08</v>
      </c>
      <c r="S1466">
        <f t="shared" si="540"/>
        <v>0.06</v>
      </c>
      <c r="T1466">
        <f t="shared" si="541"/>
        <v>0.1</v>
      </c>
      <c r="U1466">
        <f t="shared" si="547"/>
        <v>0.08</v>
      </c>
      <c r="V1466">
        <f t="shared" si="552"/>
        <v>0.18799999999539385</v>
      </c>
      <c r="W1466">
        <f t="shared" si="548"/>
        <v>0.169965934167114</v>
      </c>
      <c r="X1466">
        <f t="shared" si="549"/>
        <v>0.2100225881731268</v>
      </c>
      <c r="Y1466" t="b">
        <f t="shared" si="551"/>
        <v>0</v>
      </c>
    </row>
    <row xmlns:x14ac="http://schemas.microsoft.com/office/spreadsheetml/2009/9/ac" r="1467" x14ac:dyDescent="0.45">
      <c r="A1467">
        <v>7.2999999999998701</v>
      </c>
      <c r="B1467">
        <f t="shared" si="529"/>
        <v>0.16300000000000001</v>
      </c>
      <c r="C1467" t="b">
        <f t="shared" si="542"/>
        <v>1</v>
      </c>
      <c r="D1467" t="b">
        <f t="shared" si="530"/>
        <v>1</v>
      </c>
      <c r="E1467">
        <f t="shared" si="538"/>
        <v>7.2999999999998701</v>
      </c>
      <c r="F1467">
        <f t="shared" si="543"/>
        <v>0.16300000000000001</v>
      </c>
      <c r="G1467">
        <f t="shared" si="531"/>
        <v>0.21002203046914519</v>
      </c>
      <c r="H1467">
        <f t="shared" si="532"/>
        <v>3.5000000000000003E-2</v>
      </c>
      <c r="I1467" t="b">
        <f t="shared" si="544"/>
        <v>1</v>
      </c>
      <c r="J1467">
        <f t="shared" si="533"/>
        <v>7.2999999999998701</v>
      </c>
      <c r="K1467">
        <f t="shared" si="545"/>
        <v>3.5000000000000003E-2</v>
      </c>
      <c r="L1467">
        <f t="shared" si="534"/>
        <v>0.16996677525552478</v>
      </c>
      <c r="M1467">
        <f t="shared" si="535"/>
        <v>0.19</v>
      </c>
      <c r="N1467">
        <f t="shared" si="536"/>
        <v>0.18799999999590503</v>
      </c>
      <c r="O1467">
        <f t="shared" si="537"/>
        <v>0.15777777777777779</v>
      </c>
      <c r="P1467">
        <f t="shared" si="550"/>
        <v>0.08</v>
      </c>
      <c r="Q1467">
        <f t="shared" si="546"/>
        <v>0.08</v>
      </c>
      <c r="R1467">
        <f t="shared" si="539"/>
        <v>0.08</v>
      </c>
      <c r="S1467">
        <f t="shared" si="540"/>
        <v>0.06</v>
      </c>
      <c r="T1467">
        <f t="shared" si="541"/>
        <v>0.1</v>
      </c>
      <c r="U1467">
        <f t="shared" si="547"/>
        <v>0.08</v>
      </c>
      <c r="V1467">
        <f t="shared" si="552"/>
        <v>0.18799999999590503</v>
      </c>
      <c r="W1467">
        <f t="shared" si="548"/>
        <v>0.16996610407116436</v>
      </c>
      <c r="X1467">
        <f t="shared" si="549"/>
        <v>0.21002247551414333</v>
      </c>
      <c r="Y1467" t="b">
        <f t="shared" si="551"/>
        <v>0</v>
      </c>
    </row>
    <row xmlns:x14ac="http://schemas.microsoft.com/office/spreadsheetml/2009/9/ac" r="1468" x14ac:dyDescent="0.45">
      <c r="A1468">
        <v>7.30499999999987</v>
      </c>
      <c r="B1468">
        <f t="shared" si="529"/>
        <v>0.16300000000000001</v>
      </c>
      <c r="C1468" t="b">
        <f t="shared" si="542"/>
        <v>1</v>
      </c>
      <c r="D1468" t="b">
        <f t="shared" si="530"/>
        <v>1</v>
      </c>
      <c r="E1468">
        <f t="shared" si="538"/>
        <v>7.30499999999987</v>
      </c>
      <c r="F1468">
        <f t="shared" si="543"/>
        <v>0.16300000000000001</v>
      </c>
      <c r="G1468">
        <f t="shared" si="531"/>
        <v>0.21002192059172192</v>
      </c>
      <c r="H1468">
        <f t="shared" si="532"/>
        <v>3.5000000000000003E-2</v>
      </c>
      <c r="I1468" t="b">
        <f t="shared" si="544"/>
        <v>1</v>
      </c>
      <c r="J1468">
        <f t="shared" si="533"/>
        <v>7.30499999999987</v>
      </c>
      <c r="K1468">
        <f t="shared" si="545"/>
        <v>3.5000000000000003E-2</v>
      </c>
      <c r="L1468">
        <f t="shared" si="534"/>
        <v>0.16996694096462917</v>
      </c>
      <c r="M1468">
        <f t="shared" si="535"/>
        <v>0.19</v>
      </c>
      <c r="N1468">
        <f t="shared" si="536"/>
        <v>0.18799999999641837</v>
      </c>
      <c r="O1468">
        <f t="shared" si="537"/>
        <v>0.15777777777777779</v>
      </c>
      <c r="P1468">
        <f t="shared" si="550"/>
        <v>0.08</v>
      </c>
      <c r="Q1468">
        <f t="shared" si="546"/>
        <v>0.08</v>
      </c>
      <c r="R1468">
        <f t="shared" si="539"/>
        <v>0.08</v>
      </c>
      <c r="S1468">
        <f t="shared" si="540"/>
        <v>0.06</v>
      </c>
      <c r="T1468">
        <f t="shared" si="541"/>
        <v>0.1</v>
      </c>
      <c r="U1468">
        <f t="shared" si="547"/>
        <v>0.08</v>
      </c>
      <c r="V1468">
        <f t="shared" si="552"/>
        <v>0.18799999999641837</v>
      </c>
      <c r="W1468">
        <f t="shared" si="548"/>
        <v>0.1699662731278147</v>
      </c>
      <c r="X1468">
        <f t="shared" si="549"/>
        <v>0.21002236341704889</v>
      </c>
      <c r="Y1468" t="b">
        <f t="shared" si="551"/>
        <v>0</v>
      </c>
    </row>
    <row xmlns:x14ac="http://schemas.microsoft.com/office/spreadsheetml/2009/9/ac" r="1469" x14ac:dyDescent="0.45">
      <c r="A1469">
        <v>7.3099999999998699</v>
      </c>
      <c r="B1469">
        <f t="shared" si="529"/>
        <v>0.16300000000000001</v>
      </c>
      <c r="C1469" t="b">
        <f t="shared" si="542"/>
        <v>1</v>
      </c>
      <c r="D1469" t="b">
        <f t="shared" si="530"/>
        <v>1</v>
      </c>
      <c r="E1469">
        <f t="shared" si="538"/>
        <v>7.3099999999998699</v>
      </c>
      <c r="F1469">
        <f t="shared" si="543"/>
        <v>0.16300000000000001</v>
      </c>
      <c r="G1469">
        <f t="shared" si="531"/>
        <v>0.21002181126231462</v>
      </c>
      <c r="H1469">
        <f t="shared" si="532"/>
        <v>3.5000000000000003E-2</v>
      </c>
      <c r="I1469" t="b">
        <f t="shared" si="544"/>
        <v>1</v>
      </c>
      <c r="J1469">
        <f t="shared" si="533"/>
        <v>7.3099999999998699</v>
      </c>
      <c r="K1469">
        <f t="shared" si="545"/>
        <v>3.5000000000000003E-2</v>
      </c>
      <c r="L1469">
        <f t="shared" si="534"/>
        <v>0.16996710584725594</v>
      </c>
      <c r="M1469">
        <f t="shared" si="535"/>
        <v>0.19</v>
      </c>
      <c r="N1469">
        <f t="shared" si="536"/>
        <v>0.18799999999693157</v>
      </c>
      <c r="O1469">
        <f t="shared" si="537"/>
        <v>0.15777777777777779</v>
      </c>
      <c r="P1469">
        <f t="shared" si="550"/>
        <v>0.08</v>
      </c>
      <c r="Q1469">
        <f t="shared" si="546"/>
        <v>0.08</v>
      </c>
      <c r="R1469">
        <f t="shared" si="539"/>
        <v>0.08</v>
      </c>
      <c r="S1469">
        <f t="shared" si="540"/>
        <v>0.06</v>
      </c>
      <c r="T1469">
        <f t="shared" si="541"/>
        <v>0.1</v>
      </c>
      <c r="U1469">
        <f t="shared" si="547"/>
        <v>0.08</v>
      </c>
      <c r="V1469">
        <f t="shared" si="552"/>
        <v>0.18799999999693157</v>
      </c>
      <c r="W1469">
        <f t="shared" si="548"/>
        <v>0.16996644134129146</v>
      </c>
      <c r="X1469">
        <f t="shared" si="549"/>
        <v>0.210022251879041</v>
      </c>
      <c r="Y1469" t="b">
        <f t="shared" si="551"/>
        <v>0</v>
      </c>
    </row>
    <row xmlns:x14ac="http://schemas.microsoft.com/office/spreadsheetml/2009/9/ac" r="1470" x14ac:dyDescent="0.45">
      <c r="A1470">
        <v>7.3149999999998698</v>
      </c>
      <c r="B1470">
        <f t="shared" si="529"/>
        <v>0.16300000000000001</v>
      </c>
      <c r="C1470" t="b">
        <f t="shared" si="542"/>
        <v>1</v>
      </c>
      <c r="D1470" t="b">
        <f t="shared" si="530"/>
        <v>1</v>
      </c>
      <c r="E1470">
        <f t="shared" si="538"/>
        <v>7.3149999999998698</v>
      </c>
      <c r="F1470">
        <f t="shared" si="543"/>
        <v>0.16300000000000001</v>
      </c>
      <c r="G1470">
        <f t="shared" si="531"/>
        <v>0.21002170247818996</v>
      </c>
      <c r="H1470">
        <f t="shared" si="532"/>
        <v>3.5000000000000003E-2</v>
      </c>
      <c r="I1470" t="b">
        <f t="shared" si="544"/>
        <v>1</v>
      </c>
      <c r="J1470">
        <f t="shared" si="533"/>
        <v>7.3149999999998698</v>
      </c>
      <c r="K1470">
        <f t="shared" si="545"/>
        <v>3.5000000000000003E-2</v>
      </c>
      <c r="L1470">
        <f t="shared" si="534"/>
        <v>0.1699672699075272</v>
      </c>
      <c r="M1470">
        <f t="shared" si="535"/>
        <v>0.19</v>
      </c>
      <c r="N1470">
        <f t="shared" si="536"/>
        <v>0.18799999999744227</v>
      </c>
      <c r="O1470">
        <f t="shared" si="537"/>
        <v>0.15777777777777779</v>
      </c>
      <c r="P1470">
        <f t="shared" si="550"/>
        <v>0.08</v>
      </c>
      <c r="Q1470">
        <f t="shared" si="546"/>
        <v>0.08</v>
      </c>
      <c r="R1470">
        <f t="shared" si="539"/>
        <v>0.08</v>
      </c>
      <c r="S1470">
        <f t="shared" si="540"/>
        <v>0.06</v>
      </c>
      <c r="T1470">
        <f t="shared" si="541"/>
        <v>0.1</v>
      </c>
      <c r="U1470">
        <f t="shared" si="547"/>
        <v>0.08</v>
      </c>
      <c r="V1470">
        <f t="shared" si="552"/>
        <v>0.18799999999744227</v>
      </c>
      <c r="W1470">
        <f t="shared" si="548"/>
        <v>0.16996660871580005</v>
      </c>
      <c r="X1470">
        <f t="shared" si="549"/>
        <v>0.21002214089733129</v>
      </c>
      <c r="Y1470" t="b">
        <f t="shared" si="551"/>
        <v>0</v>
      </c>
    </row>
    <row xmlns:x14ac="http://schemas.microsoft.com/office/spreadsheetml/2009/9/ac" r="1471" x14ac:dyDescent="0.45">
      <c r="A1471">
        <v>7.3199999999998697</v>
      </c>
      <c r="B1471">
        <f t="shared" si="529"/>
        <v>0.16300000000000001</v>
      </c>
      <c r="C1471" t="b">
        <f t="shared" si="542"/>
        <v>1</v>
      </c>
      <c r="D1471" t="b">
        <f t="shared" si="530"/>
        <v>1</v>
      </c>
      <c r="E1471">
        <f t="shared" si="538"/>
        <v>7.3199999999998697</v>
      </c>
      <c r="F1471">
        <f t="shared" si="543"/>
        <v>0.16300000000000001</v>
      </c>
      <c r="G1471">
        <f t="shared" si="531"/>
        <v>0.21002159423662842</v>
      </c>
      <c r="H1471">
        <f t="shared" si="532"/>
        <v>3.5000000000000003E-2</v>
      </c>
      <c r="I1471" t="b">
        <f t="shared" si="544"/>
        <v>1</v>
      </c>
      <c r="J1471">
        <f t="shared" si="533"/>
        <v>7.3199999999998697</v>
      </c>
      <c r="K1471">
        <f t="shared" si="545"/>
        <v>3.5000000000000003E-2</v>
      </c>
      <c r="L1471">
        <f t="shared" si="534"/>
        <v>0.16996743314954443</v>
      </c>
      <c r="M1471">
        <f t="shared" si="535"/>
        <v>0.19</v>
      </c>
      <c r="N1471">
        <f t="shared" si="536"/>
        <v>0.18799999999794831</v>
      </c>
      <c r="O1471">
        <f t="shared" si="537"/>
        <v>0.15777777777777779</v>
      </c>
      <c r="P1471">
        <f t="shared" si="550"/>
        <v>0.08</v>
      </c>
      <c r="Q1471">
        <f t="shared" si="546"/>
        <v>0.08</v>
      </c>
      <c r="R1471">
        <f t="shared" si="539"/>
        <v>0.08</v>
      </c>
      <c r="S1471">
        <f t="shared" si="540"/>
        <v>0.06</v>
      </c>
      <c r="T1471">
        <f t="shared" si="541"/>
        <v>0.1</v>
      </c>
      <c r="U1471">
        <f t="shared" si="547"/>
        <v>0.08</v>
      </c>
      <c r="V1471">
        <f t="shared" si="552"/>
        <v>0.18799999999794831</v>
      </c>
      <c r="W1471">
        <f t="shared" si="548"/>
        <v>0.16996677525552478</v>
      </c>
      <c r="X1471">
        <f t="shared" si="549"/>
        <v>0.21002203046914519</v>
      </c>
      <c r="Y1471" t="b">
        <f t="shared" si="551"/>
        <v>0</v>
      </c>
    </row>
    <row xmlns:x14ac="http://schemas.microsoft.com/office/spreadsheetml/2009/9/ac" r="1472" x14ac:dyDescent="0.45">
      <c r="A1472">
        <v>7.3249999999998696</v>
      </c>
      <c r="B1472">
        <f t="shared" si="529"/>
        <v>0.16300000000000001</v>
      </c>
      <c r="C1472" t="b">
        <f t="shared" si="542"/>
        <v>1</v>
      </c>
      <c r="D1472" t="b">
        <f t="shared" si="530"/>
        <v>1</v>
      </c>
      <c r="E1472">
        <f t="shared" si="538"/>
        <v>7.3249999999998696</v>
      </c>
      <c r="F1472">
        <f t="shared" si="543"/>
        <v>0.16300000000000001</v>
      </c>
      <c r="G1472">
        <f t="shared" si="531"/>
        <v>0.21002148653492392</v>
      </c>
      <c r="H1472">
        <f t="shared" si="532"/>
        <v>3.5000000000000003E-2</v>
      </c>
      <c r="I1472" t="b">
        <f t="shared" si="544"/>
        <v>1</v>
      </c>
      <c r="J1472">
        <f t="shared" si="533"/>
        <v>7.3249999999998696</v>
      </c>
      <c r="K1472">
        <f t="shared" si="545"/>
        <v>3.5000000000000003E-2</v>
      </c>
      <c r="L1472">
        <f t="shared" si="534"/>
        <v>0.16996759557738872</v>
      </c>
      <c r="M1472">
        <f t="shared" si="535"/>
        <v>0.19</v>
      </c>
      <c r="N1472">
        <f t="shared" si="536"/>
        <v>0.18799999999844758</v>
      </c>
      <c r="O1472">
        <f t="shared" si="537"/>
        <v>0.15777777777777779</v>
      </c>
      <c r="P1472">
        <f t="shared" si="550"/>
        <v>0.08</v>
      </c>
      <c r="Q1472">
        <f t="shared" si="546"/>
        <v>0.08</v>
      </c>
      <c r="R1472">
        <f t="shared" si="539"/>
        <v>0.08</v>
      </c>
      <c r="S1472">
        <f t="shared" si="540"/>
        <v>0.06</v>
      </c>
      <c r="T1472">
        <f t="shared" si="541"/>
        <v>0.1</v>
      </c>
      <c r="U1472">
        <f t="shared" si="547"/>
        <v>0.08</v>
      </c>
      <c r="V1472">
        <f t="shared" si="552"/>
        <v>0.18799999999844758</v>
      </c>
      <c r="W1472">
        <f t="shared" si="548"/>
        <v>0.16996694096462917</v>
      </c>
      <c r="X1472">
        <f t="shared" si="549"/>
        <v>0.21002192059172192</v>
      </c>
      <c r="Y1472" t="b">
        <f t="shared" si="551"/>
        <v>0</v>
      </c>
    </row>
    <row xmlns:x14ac="http://schemas.microsoft.com/office/spreadsheetml/2009/9/ac" r="1473" x14ac:dyDescent="0.45">
      <c r="A1473">
        <v>7.3299999999998704</v>
      </c>
      <c r="B1473">
        <f t="shared" si="529"/>
        <v>0.16300000000000001</v>
      </c>
      <c r="C1473" t="b">
        <f t="shared" si="542"/>
        <v>1</v>
      </c>
      <c r="D1473" t="b">
        <f t="shared" si="530"/>
        <v>1</v>
      </c>
      <c r="E1473">
        <f t="shared" si="538"/>
        <v>7.3299999999998704</v>
      </c>
      <c r="F1473">
        <f t="shared" si="543"/>
        <v>0.16300000000000001</v>
      </c>
      <c r="G1473">
        <f t="shared" si="531"/>
        <v>0.2100213793703839</v>
      </c>
      <c r="H1473">
        <f t="shared" si="532"/>
        <v>3.5000000000000003E-2</v>
      </c>
      <c r="I1473" t="b">
        <f t="shared" si="544"/>
        <v>1</v>
      </c>
      <c r="J1473">
        <f t="shared" si="533"/>
        <v>7.3299999999998704</v>
      </c>
      <c r="K1473">
        <f t="shared" si="545"/>
        <v>3.5000000000000003E-2</v>
      </c>
      <c r="L1473">
        <f t="shared" si="534"/>
        <v>0.16996775719512075</v>
      </c>
      <c r="M1473">
        <f t="shared" si="535"/>
        <v>0.19</v>
      </c>
      <c r="N1473">
        <f t="shared" si="536"/>
        <v>0.18799999999893807</v>
      </c>
      <c r="O1473">
        <f t="shared" si="537"/>
        <v>0.15777777777777779</v>
      </c>
      <c r="P1473">
        <f t="shared" si="550"/>
        <v>0.08</v>
      </c>
      <c r="Q1473">
        <f t="shared" si="546"/>
        <v>0.08</v>
      </c>
      <c r="R1473">
        <f t="shared" si="539"/>
        <v>0.08</v>
      </c>
      <c r="S1473">
        <f t="shared" si="540"/>
        <v>0.06</v>
      </c>
      <c r="T1473">
        <f t="shared" si="541"/>
        <v>0.1</v>
      </c>
      <c r="U1473">
        <f t="shared" si="547"/>
        <v>0.08</v>
      </c>
      <c r="V1473">
        <f t="shared" si="552"/>
        <v>0.18799999999893807</v>
      </c>
      <c r="W1473">
        <f t="shared" si="548"/>
        <v>0.16996710584725594</v>
      </c>
      <c r="X1473">
        <f t="shared" si="549"/>
        <v>0.21002181126231462</v>
      </c>
      <c r="Y1473" t="b">
        <f t="shared" si="551"/>
        <v>0</v>
      </c>
    </row>
    <row xmlns:x14ac="http://schemas.microsoft.com/office/spreadsheetml/2009/9/ac" r="1474" x14ac:dyDescent="0.45">
      <c r="A1474">
        <v>7.3349999999998703</v>
      </c>
      <c r="B1474">
        <f t="shared" si="529"/>
        <v>0.16300000000000001</v>
      </c>
      <c r="C1474" t="b">
        <f t="shared" si="542"/>
        <v>1</v>
      </c>
      <c r="D1474" t="b">
        <f t="shared" si="530"/>
        <v>1</v>
      </c>
      <c r="E1474">
        <f t="shared" si="538"/>
        <v>7.3349999999998703</v>
      </c>
      <c r="F1474">
        <f t="shared" si="543"/>
        <v>0.16300000000000001</v>
      </c>
      <c r="G1474">
        <f t="shared" si="531"/>
        <v>0.21002127274032928</v>
      </c>
      <c r="H1474">
        <f t="shared" si="532"/>
        <v>3.5000000000000003E-2</v>
      </c>
      <c r="I1474" t="b">
        <f t="shared" si="544"/>
        <v>1</v>
      </c>
      <c r="J1474">
        <f t="shared" si="533"/>
        <v>7.3349999999998703</v>
      </c>
      <c r="K1474">
        <f t="shared" si="545"/>
        <v>3.5000000000000003E-2</v>
      </c>
      <c r="L1474">
        <f t="shared" si="534"/>
        <v>0.16996791800678096</v>
      </c>
      <c r="M1474">
        <f t="shared" si="535"/>
        <v>0.19</v>
      </c>
      <c r="N1474">
        <f t="shared" si="536"/>
        <v>0.1879999999994178</v>
      </c>
      <c r="O1474">
        <f t="shared" si="537"/>
        <v>0.15777777777777779</v>
      </c>
      <c r="P1474">
        <f t="shared" si="550"/>
        <v>0.08</v>
      </c>
      <c r="Q1474">
        <f t="shared" si="546"/>
        <v>0.08</v>
      </c>
      <c r="R1474">
        <f t="shared" si="539"/>
        <v>0.08</v>
      </c>
      <c r="S1474">
        <f t="shared" si="540"/>
        <v>0.06</v>
      </c>
      <c r="T1474">
        <f t="shared" si="541"/>
        <v>0.1</v>
      </c>
      <c r="U1474">
        <f t="shared" si="547"/>
        <v>0.08</v>
      </c>
      <c r="V1474">
        <f t="shared" si="552"/>
        <v>0.1879999999994178</v>
      </c>
      <c r="W1474">
        <f t="shared" si="548"/>
        <v>0.1699672699075272</v>
      </c>
      <c r="X1474">
        <f t="shared" si="549"/>
        <v>0.21002170247818996</v>
      </c>
      <c r="Y1474" t="b">
        <f t="shared" si="551"/>
        <v>0</v>
      </c>
    </row>
    <row xmlns:x14ac="http://schemas.microsoft.com/office/spreadsheetml/2009/9/ac" r="1475" x14ac:dyDescent="0.45">
      <c r="A1475">
        <v>7.3399999999998702</v>
      </c>
      <c r="B1475">
        <f t="shared" si="529"/>
        <v>0.16300000000000001</v>
      </c>
      <c r="C1475" t="b">
        <f t="shared" si="542"/>
        <v>1</v>
      </c>
      <c r="D1475" t="b">
        <f t="shared" si="530"/>
        <v>1</v>
      </c>
      <c r="E1475">
        <f t="shared" si="538"/>
        <v>7.3399999999998702</v>
      </c>
      <c r="F1475">
        <f t="shared" si="543"/>
        <v>0.16300000000000001</v>
      </c>
      <c r="G1475">
        <f t="shared" si="531"/>
        <v>0.21002116664209425</v>
      </c>
      <c r="H1475">
        <f t="shared" si="532"/>
        <v>3.5000000000000003E-2</v>
      </c>
      <c r="I1475" t="b">
        <f t="shared" si="544"/>
        <v>1</v>
      </c>
      <c r="J1475">
        <f t="shared" si="533"/>
        <v>7.3399999999998702</v>
      </c>
      <c r="K1475">
        <f t="shared" si="545"/>
        <v>3.5000000000000003E-2</v>
      </c>
      <c r="L1475">
        <f t="shared" si="534"/>
        <v>0.16996807801638969</v>
      </c>
      <c r="M1475">
        <f t="shared" si="535"/>
        <v>0.19</v>
      </c>
      <c r="N1475">
        <f t="shared" si="536"/>
        <v>0.18799999999988509</v>
      </c>
      <c r="O1475">
        <f t="shared" si="537"/>
        <v>0.15777777777777779</v>
      </c>
      <c r="P1475">
        <f t="shared" si="550"/>
        <v>0.08</v>
      </c>
      <c r="Q1475">
        <f t="shared" si="546"/>
        <v>0.08</v>
      </c>
      <c r="R1475">
        <f t="shared" si="539"/>
        <v>0.08</v>
      </c>
      <c r="S1475">
        <f t="shared" si="540"/>
        <v>0.06</v>
      </c>
      <c r="T1475">
        <f t="shared" si="541"/>
        <v>0.1</v>
      </c>
      <c r="U1475">
        <f t="shared" si="547"/>
        <v>0.08</v>
      </c>
      <c r="V1475">
        <f t="shared" si="552"/>
        <v>0.18799999999988509</v>
      </c>
      <c r="W1475">
        <f t="shared" si="548"/>
        <v>0.16996743314954443</v>
      </c>
      <c r="X1475">
        <f t="shared" si="549"/>
        <v>0.21002159423662842</v>
      </c>
      <c r="Y1475" t="b">
        <f t="shared" si="551"/>
        <v>0</v>
      </c>
    </row>
    <row xmlns:x14ac="http://schemas.microsoft.com/office/spreadsheetml/2009/9/ac" r="1476" x14ac:dyDescent="0.45">
      <c r="A1476">
        <v>7.3449999999998701</v>
      </c>
      <c r="B1476">
        <f t="shared" si="529"/>
        <v>0.16300000000000001</v>
      </c>
      <c r="C1476" t="b">
        <f t="shared" si="542"/>
        <v>1</v>
      </c>
      <c r="D1476" t="b">
        <f t="shared" si="530"/>
        <v>1</v>
      </c>
      <c r="E1476">
        <f t="shared" si="538"/>
        <v>7.3449999999998701</v>
      </c>
      <c r="F1476">
        <f t="shared" si="543"/>
        <v>0.16300000000000001</v>
      </c>
      <c r="G1476">
        <f t="shared" si="531"/>
        <v>0.21002106107302637</v>
      </c>
      <c r="H1476">
        <f t="shared" si="532"/>
        <v>3.5000000000000003E-2</v>
      </c>
      <c r="I1476" t="b">
        <f t="shared" si="544"/>
        <v>1</v>
      </c>
      <c r="J1476">
        <f t="shared" si="533"/>
        <v>7.3449999999998701</v>
      </c>
      <c r="K1476">
        <f t="shared" si="545"/>
        <v>3.5000000000000003E-2</v>
      </c>
      <c r="L1476">
        <f t="shared" si="534"/>
        <v>0.16996823722794713</v>
      </c>
      <c r="M1476">
        <f t="shared" si="535"/>
        <v>0.19</v>
      </c>
      <c r="N1476">
        <f t="shared" si="536"/>
        <v>0.18800000000033812</v>
      </c>
      <c r="O1476">
        <f t="shared" si="537"/>
        <v>0.15777777777777779</v>
      </c>
      <c r="P1476">
        <f t="shared" si="550"/>
        <v>0.08</v>
      </c>
      <c r="Q1476">
        <f t="shared" si="546"/>
        <v>0.08</v>
      </c>
      <c r="R1476">
        <f t="shared" si="539"/>
        <v>0.08</v>
      </c>
      <c r="S1476">
        <f t="shared" si="540"/>
        <v>0.06</v>
      </c>
      <c r="T1476">
        <f t="shared" si="541"/>
        <v>0.1</v>
      </c>
      <c r="U1476">
        <f t="shared" si="547"/>
        <v>0.08</v>
      </c>
      <c r="V1476">
        <f t="shared" si="552"/>
        <v>0.18800000000033812</v>
      </c>
      <c r="W1476">
        <f t="shared" si="548"/>
        <v>0.16996759557738872</v>
      </c>
      <c r="X1476">
        <f t="shared" si="549"/>
        <v>0.21002148653492392</v>
      </c>
      <c r="Y1476" t="b">
        <f t="shared" si="551"/>
        <v>0</v>
      </c>
    </row>
    <row xmlns:x14ac="http://schemas.microsoft.com/office/spreadsheetml/2009/9/ac" r="1477" x14ac:dyDescent="0.45">
      <c r="A1477">
        <v>7.34999999999987</v>
      </c>
      <c r="B1477">
        <f t="shared" si="529"/>
        <v>0.16300000000000001</v>
      </c>
      <c r="C1477" t="b">
        <f t="shared" si="542"/>
        <v>1</v>
      </c>
      <c r="D1477" t="b">
        <f t="shared" si="530"/>
        <v>1</v>
      </c>
      <c r="E1477">
        <f t="shared" si="538"/>
        <v>7.34999999999987</v>
      </c>
      <c r="F1477">
        <f t="shared" si="543"/>
        <v>0.16300000000000001</v>
      </c>
      <c r="G1477">
        <f t="shared" si="531"/>
        <v>0.21002095603048643</v>
      </c>
      <c r="H1477">
        <f t="shared" si="532"/>
        <v>3.5000000000000003E-2</v>
      </c>
      <c r="I1477" t="b">
        <f t="shared" si="544"/>
        <v>1</v>
      </c>
      <c r="J1477">
        <f t="shared" si="533"/>
        <v>7.34999999999987</v>
      </c>
      <c r="K1477">
        <f t="shared" si="545"/>
        <v>3.5000000000000003E-2</v>
      </c>
      <c r="L1477">
        <f t="shared" si="534"/>
        <v>0.16996839564543365</v>
      </c>
      <c r="M1477">
        <f t="shared" si="535"/>
        <v>0.19</v>
      </c>
      <c r="N1477">
        <f t="shared" si="536"/>
        <v>0.18800000000077541</v>
      </c>
      <c r="O1477">
        <f t="shared" si="537"/>
        <v>0.15777777777777779</v>
      </c>
      <c r="P1477">
        <f t="shared" si="550"/>
        <v>0.08</v>
      </c>
      <c r="Q1477">
        <f t="shared" si="546"/>
        <v>0.08</v>
      </c>
      <c r="R1477">
        <f t="shared" si="539"/>
        <v>0.08</v>
      </c>
      <c r="S1477">
        <f t="shared" si="540"/>
        <v>0.06</v>
      </c>
      <c r="T1477">
        <f t="shared" si="541"/>
        <v>0.1</v>
      </c>
      <c r="U1477">
        <f t="shared" si="547"/>
        <v>0.08</v>
      </c>
      <c r="V1477">
        <f t="shared" si="552"/>
        <v>0.18800000000077541</v>
      </c>
      <c r="W1477">
        <f t="shared" si="548"/>
        <v>0.16996775719512075</v>
      </c>
      <c r="X1477">
        <f t="shared" si="549"/>
        <v>0.2100213793703839</v>
      </c>
      <c r="Y1477" t="b">
        <f t="shared" si="551"/>
        <v>0</v>
      </c>
    </row>
    <row xmlns:x14ac="http://schemas.microsoft.com/office/spreadsheetml/2009/9/ac" r="1478" x14ac:dyDescent="0.45">
      <c r="A1478">
        <v>7.3549999999998699</v>
      </c>
      <c r="B1478">
        <f t="shared" si="529"/>
        <v>0.16300000000000001</v>
      </c>
      <c r="C1478" t="b">
        <f t="shared" si="542"/>
        <v>1</v>
      </c>
      <c r="D1478" t="b">
        <f t="shared" si="530"/>
        <v>1</v>
      </c>
      <c r="E1478">
        <f t="shared" si="538"/>
        <v>7.3549999999998699</v>
      </c>
      <c r="F1478">
        <f t="shared" si="543"/>
        <v>0.16300000000000001</v>
      </c>
      <c r="G1478">
        <f t="shared" si="531"/>
        <v>0.21002085151184835</v>
      </c>
      <c r="H1478">
        <f t="shared" si="532"/>
        <v>3.5000000000000003E-2</v>
      </c>
      <c r="I1478" t="b">
        <f t="shared" si="544"/>
        <v>1</v>
      </c>
      <c r="J1478">
        <f t="shared" si="533"/>
        <v>7.3549999999998699</v>
      </c>
      <c r="K1478">
        <f t="shared" si="545"/>
        <v>3.5000000000000003E-2</v>
      </c>
      <c r="L1478">
        <f t="shared" si="534"/>
        <v>0.16996855327280966</v>
      </c>
      <c r="M1478">
        <f t="shared" si="535"/>
        <v>0.19</v>
      </c>
      <c r="N1478">
        <f t="shared" si="536"/>
        <v>0.18800000000119543</v>
      </c>
      <c r="O1478">
        <f t="shared" si="537"/>
        <v>0.15777777777777779</v>
      </c>
      <c r="P1478">
        <f t="shared" si="550"/>
        <v>0.08</v>
      </c>
      <c r="Q1478">
        <f t="shared" si="546"/>
        <v>0.08</v>
      </c>
      <c r="R1478">
        <f t="shared" si="539"/>
        <v>0.08</v>
      </c>
      <c r="S1478">
        <f t="shared" si="540"/>
        <v>0.06</v>
      </c>
      <c r="T1478">
        <f t="shared" si="541"/>
        <v>0.1</v>
      </c>
      <c r="U1478">
        <f t="shared" si="547"/>
        <v>0.08</v>
      </c>
      <c r="V1478">
        <f t="shared" si="552"/>
        <v>0.18800000000119543</v>
      </c>
      <c r="W1478">
        <f t="shared" si="548"/>
        <v>0.16996791800678096</v>
      </c>
      <c r="X1478">
        <f t="shared" si="549"/>
        <v>0.21002127274032928</v>
      </c>
      <c r="Y1478" t="b">
        <f t="shared" si="551"/>
        <v>0</v>
      </c>
    </row>
    <row xmlns:x14ac="http://schemas.microsoft.com/office/spreadsheetml/2009/9/ac" r="1479" x14ac:dyDescent="0.45">
      <c r="A1479">
        <v>7.3599999999998698</v>
      </c>
      <c r="B1479">
        <f t="shared" ref="B1479:B1495" si="553">-(1+Marge_haute)*(A+B/Tpll*EXP(-$A1479/Tpll)+C_*EXP(-epsilon*Wn*$A1479)*COS(Wd*$A1479)+C_*(D/C_-epsilon*Wn)/Wd*EXP(-epsilon*Wn*$A1479)*SIN(Wd*$A1479))+SIGN(DeltaPexpected)*Tunnel</f>
        <v>0.16300000000000001</v>
      </c>
      <c r="C1479" t="b">
        <f t="shared" si="542"/>
        <v>1</v>
      </c>
      <c r="D1479" t="b">
        <f t="shared" ref="D1479:D1495" si="554">IF(D1478,D1478,IF(C1479,B1479&gt;B1478,C1479))</f>
        <v>1</v>
      </c>
      <c r="E1479">
        <f t="shared" si="538"/>
        <v>7.3599999999998698</v>
      </c>
      <c r="F1479">
        <f t="shared" si="543"/>
        <v>0.16300000000000001</v>
      </c>
      <c r="G1479">
        <f t="shared" ref="G1479:G1495" si="555">P0-SIGN(Rocof)*IF(D1479,DeltaPexpected+SIGN(DeltaPexpected)*Tunnel+(MIN(F$7:F$1495)-DeltaPexpected-+SIGN(DeltaPexpected)*Tunnel)*EXP(-(A1479-MIN(E$7:E$1495))/Texpodecrease),B1479)</f>
        <v>0.21002074751449912</v>
      </c>
      <c r="H1479">
        <f t="shared" ref="H1479:H1495" si="556">-(1-marge_basse)*(A+B/Tpll*EXP(-$A1479/Tpll)+C_*EXP(-epsilon*Wn*$A1479)*COS(Wd*$A1479)+C_*(D/C_-epsilon*Wn)/Wd*EXP(-epsilon*Wn*$A1479)*SIN(Wd*$A1479))-Tunnel</f>
        <v>3.5000000000000003E-2</v>
      </c>
      <c r="I1479" t="b">
        <f t="shared" si="544"/>
        <v>1</v>
      </c>
      <c r="J1479">
        <f t="shared" ref="J1479:J1495" si="557">IF(I1479,A1479,I1479)</f>
        <v>7.3599999999998698</v>
      </c>
      <c r="K1479">
        <f t="shared" si="545"/>
        <v>3.5000000000000003E-2</v>
      </c>
      <c r="L1479">
        <f t="shared" ref="L1479:L1495" si="558">P0-SIGN(Rocof)*IF(I1479,AF$23-AF$13+(MAX(K$7:K$1495)-AF$23+AF$13)*EXP(-(A1479-MIN(J$7:J$1495))/AB$21),H1479)</f>
        <v>0.16996871011401585</v>
      </c>
      <c r="M1479">
        <f t="shared" ref="M1479:M1495" si="559">P0-(1)*(A+B/Tpll*EXP(-$A1479/Tpll)+C_*EXP(-epsilon*Wn*$A1479)*COS(Wd*$A1479)+C_*(D/C_-epsilon*Wn)/Wd*EXP(-epsilon*Wn*$A1479)*SIN(Wd*$A1479))</f>
        <v>0.19</v>
      </c>
      <c r="N1479">
        <f t="shared" ref="N1479:N1495" si="560">AB$6-(AG$17+AG$16/AC$18*EXP(-$A1479/AC$18)+AG$18*EXP(-AG$6*AG$12*$A1479)*COS(AG$5*$A1479)+AG$18*(AG$19/AG$18-AG$6*AG$12)/AG$5*EXP(-AG$6*AG$12*$A1479)*SIN(AG$5*$A1479))</f>
        <v>0.18800000000159695</v>
      </c>
      <c r="O1479">
        <f t="shared" ref="O1479:O1495" si="561">AB$6-(AH$17+AH$16/AD$18*EXP(-$A1479/AD$18)+AH$18*EXP(-AH$6*AH$12*$A1479)*COS(AH$5*$A1479)+AH$18*(AH$19/AH$18-AH$6*AH$12)/AH$5*EXP(-AH$6*AH$12*$A1479)*SIN(AH$5*$A1479))</f>
        <v>0.15777777777777779</v>
      </c>
      <c r="P1479">
        <f t="shared" si="550"/>
        <v>0.08</v>
      </c>
      <c r="Q1479">
        <f t="shared" si="546"/>
        <v>0.08</v>
      </c>
      <c r="R1479">
        <f t="shared" si="539"/>
        <v>0.08</v>
      </c>
      <c r="S1479">
        <f t="shared" si="540"/>
        <v>0.06</v>
      </c>
      <c r="T1479">
        <f t="shared" si="541"/>
        <v>0.1</v>
      </c>
      <c r="U1479">
        <f t="shared" si="547"/>
        <v>0.08</v>
      </c>
      <c r="V1479">
        <f t="shared" si="552"/>
        <v>0.18800000000159695</v>
      </c>
      <c r="W1479">
        <f t="shared" si="548"/>
        <v>0.16996807801638969</v>
      </c>
      <c r="X1479">
        <f t="shared" si="549"/>
        <v>0.21002116664209425</v>
      </c>
      <c r="Y1479" t="b">
        <f t="shared" si="551"/>
        <v>0</v>
      </c>
    </row>
    <row xmlns:x14ac="http://schemas.microsoft.com/office/spreadsheetml/2009/9/ac" r="1480" x14ac:dyDescent="0.45">
      <c r="A1480">
        <v>7.3649999999998697</v>
      </c>
      <c r="B1480">
        <f t="shared" si="553"/>
        <v>0.16300000000000001</v>
      </c>
      <c r="C1480" t="b">
        <f t="shared" si="542"/>
        <v>1</v>
      </c>
      <c r="D1480" t="b">
        <f t="shared" si="554"/>
        <v>1</v>
      </c>
      <c r="E1480">
        <f t="shared" ref="E1480:E1495" si="562">IF(D1480,A1480,D1480)</f>
        <v>7.3649999999998697</v>
      </c>
      <c r="F1480">
        <f t="shared" si="543"/>
        <v>0.16300000000000001</v>
      </c>
      <c r="G1480">
        <f t="shared" si="555"/>
        <v>0.21002064403583887</v>
      </c>
      <c r="H1480">
        <f t="shared" si="556"/>
        <v>3.5000000000000003E-2</v>
      </c>
      <c r="I1480" t="b">
        <f t="shared" si="544"/>
        <v>1</v>
      </c>
      <c r="J1480">
        <f t="shared" si="557"/>
        <v>7.3649999999998697</v>
      </c>
      <c r="K1480">
        <f t="shared" si="545"/>
        <v>3.5000000000000003E-2</v>
      </c>
      <c r="L1480">
        <f t="shared" si="558"/>
        <v>0.16996886617297324</v>
      </c>
      <c r="M1480">
        <f t="shared" si="559"/>
        <v>0.19</v>
      </c>
      <c r="N1480">
        <f t="shared" si="560"/>
        <v>0.18800000000197864</v>
      </c>
      <c r="O1480">
        <f t="shared" si="561"/>
        <v>0.15777777777777779</v>
      </c>
      <c r="P1480">
        <f t="shared" si="550"/>
        <v>0.08</v>
      </c>
      <c r="Q1480">
        <f t="shared" si="546"/>
        <v>0.08</v>
      </c>
      <c r="R1480">
        <f t="shared" ref="R1480:R1495" si="563">$AB$6-(1+AB$17)*EXP(-AF$6*AF$12*A1480)*(COS(AF$5*A1480)-(AF$6*AF$12-1)/(AF$5)*SIN(AF$5*A1480))*AF$15</f>
        <v>0.08</v>
      </c>
      <c r="S1480">
        <f t="shared" ref="S1480:S1495" si="564">R1480-AF$13</f>
        <v>0.06</v>
      </c>
      <c r="T1480">
        <f t="shared" ref="T1480:T1495" si="565">R1480+AF$13</f>
        <v>0.1</v>
      </c>
      <c r="U1480">
        <f t="shared" si="547"/>
        <v>0.08</v>
      </c>
      <c r="V1480">
        <f t="shared" si="552"/>
        <v>0.18800000000197864</v>
      </c>
      <c r="W1480">
        <f t="shared" si="548"/>
        <v>0.16996823722794713</v>
      </c>
      <c r="X1480">
        <f t="shared" si="549"/>
        <v>0.21002106107302637</v>
      </c>
      <c r="Y1480" t="b">
        <f t="shared" si="551"/>
        <v>0</v>
      </c>
    </row>
    <row xmlns:x14ac="http://schemas.microsoft.com/office/spreadsheetml/2009/9/ac" r="1481" x14ac:dyDescent="0.45">
      <c r="A1481">
        <v>7.3699999999998704</v>
      </c>
      <c r="B1481">
        <f t="shared" si="553"/>
        <v>0.16300000000000001</v>
      </c>
      <c r="C1481" t="b">
        <f t="shared" ref="C1481:C1495" si="566">IF(C1480,C1480,(B1481&lt;B1480))</f>
        <v>1</v>
      </c>
      <c r="D1481" t="b">
        <f t="shared" si="554"/>
        <v>1</v>
      </c>
      <c r="E1481">
        <f t="shared" si="562"/>
        <v>7.3699999999998704</v>
      </c>
      <c r="F1481">
        <f t="shared" ref="F1481:F1495" si="567">IF(D1481,B1481,D1481)</f>
        <v>0.16300000000000001</v>
      </c>
      <c r="G1481">
        <f t="shared" si="555"/>
        <v>0.21002054107328061</v>
      </c>
      <c r="H1481">
        <f t="shared" si="556"/>
        <v>3.5000000000000003E-2</v>
      </c>
      <c r="I1481" t="b">
        <f t="shared" ref="I1481:I1495" si="568">IF(I1480,I1480,H1480&gt;H1481)</f>
        <v>1</v>
      </c>
      <c r="J1481">
        <f t="shared" si="557"/>
        <v>7.3699999999998704</v>
      </c>
      <c r="K1481">
        <f t="shared" ref="K1481:K1495" si="569">IF(I1481,H1481,I1481)</f>
        <v>3.5000000000000003E-2</v>
      </c>
      <c r="L1481">
        <f t="shared" si="558"/>
        <v>0.16996902145358336</v>
      </c>
      <c r="M1481">
        <f t="shared" si="559"/>
        <v>0.19</v>
      </c>
      <c r="N1481">
        <f t="shared" si="560"/>
        <v>0.18800000000233949</v>
      </c>
      <c r="O1481">
        <f t="shared" si="561"/>
        <v>0.15777777777777779</v>
      </c>
      <c r="P1481">
        <f t="shared" si="550"/>
        <v>0.08</v>
      </c>
      <c r="Q1481">
        <f t="shared" ref="Q1481:Q1495" si="570">$AB$6-(1+AB$17)*EXP(-AF$6*AF$12*A1479)*(COS(AF$5*A1479)-(AF$6*AF$12-1)/(AF$5)*SIN(AF$5*A1479))*AF$15</f>
        <v>0.08</v>
      </c>
      <c r="R1481">
        <f t="shared" si="563"/>
        <v>0.08</v>
      </c>
      <c r="S1481">
        <f t="shared" si="564"/>
        <v>0.06</v>
      </c>
      <c r="T1481">
        <f t="shared" si="565"/>
        <v>0.1</v>
      </c>
      <c r="U1481">
        <f t="shared" ref="U1481:U1495" si="571">$AB$6-AB$18*EXP(-AF$6*AF$12*A1479)*(COS(AF$5*A1479)-(AF$6*AF$12-1)/(AF$5)*SIN(AF$5*A1479))*AF$15</f>
        <v>0.08</v>
      </c>
      <c r="V1481">
        <f t="shared" si="552"/>
        <v>0.18800000000233949</v>
      </c>
      <c r="W1481">
        <f t="shared" si="548"/>
        <v>0.16996839564543365</v>
      </c>
      <c r="X1481">
        <f t="shared" si="549"/>
        <v>0.21002095603048643</v>
      </c>
      <c r="Y1481" t="b">
        <f t="shared" si="551"/>
        <v>0</v>
      </c>
    </row>
    <row xmlns:x14ac="http://schemas.microsoft.com/office/spreadsheetml/2009/9/ac" r="1482" x14ac:dyDescent="0.45">
      <c r="A1482">
        <v>7.3749999999998703</v>
      </c>
      <c r="B1482">
        <f t="shared" si="553"/>
        <v>0.16300000000000001</v>
      </c>
      <c r="C1482" t="b">
        <f t="shared" si="566"/>
        <v>1</v>
      </c>
      <c r="D1482" t="b">
        <f t="shared" si="554"/>
        <v>1</v>
      </c>
      <c r="E1482">
        <f t="shared" si="562"/>
        <v>7.3749999999998703</v>
      </c>
      <c r="F1482">
        <f t="shared" si="567"/>
        <v>0.16300000000000001</v>
      </c>
      <c r="G1482">
        <f t="shared" si="555"/>
        <v>0.21002043862425018</v>
      </c>
      <c r="H1482">
        <f t="shared" si="556"/>
        <v>3.5000000000000003E-2</v>
      </c>
      <c r="I1482" t="b">
        <f t="shared" si="568"/>
        <v>1</v>
      </c>
      <c r="J1482">
        <f t="shared" si="557"/>
        <v>7.3749999999998703</v>
      </c>
      <c r="K1482">
        <f t="shared" si="569"/>
        <v>3.5000000000000003E-2</v>
      </c>
      <c r="L1482">
        <f t="shared" si="558"/>
        <v>0.16996917595972819</v>
      </c>
      <c r="M1482">
        <f t="shared" si="559"/>
        <v>0.19</v>
      </c>
      <c r="N1482">
        <f t="shared" si="560"/>
        <v>0.18800000000267852</v>
      </c>
      <c r="O1482">
        <f t="shared" si="561"/>
        <v>0.15777777777777779</v>
      </c>
      <c r="P1482">
        <f t="shared" si="550"/>
        <v>0.08</v>
      </c>
      <c r="Q1482">
        <f t="shared" si="570"/>
        <v>0.08</v>
      </c>
      <c r="R1482">
        <f t="shared" si="563"/>
        <v>0.08</v>
      </c>
      <c r="S1482">
        <f t="shared" si="564"/>
        <v>0.06</v>
      </c>
      <c r="T1482">
        <f t="shared" si="565"/>
        <v>0.1</v>
      </c>
      <c r="U1482">
        <f t="shared" si="571"/>
        <v>0.08</v>
      </c>
      <c r="V1482">
        <f t="shared" si="552"/>
        <v>0.18800000000267852</v>
      </c>
      <c r="W1482">
        <f t="shared" si="548"/>
        <v>0.16996855327280966</v>
      </c>
      <c r="X1482">
        <f t="shared" si="549"/>
        <v>0.21002085151184835</v>
      </c>
      <c r="Y1482" t="b">
        <f t="shared" si="551"/>
        <v>0</v>
      </c>
    </row>
    <row xmlns:x14ac="http://schemas.microsoft.com/office/spreadsheetml/2009/9/ac" r="1483" x14ac:dyDescent="0.45">
      <c r="A1483">
        <v>7.3799999999998702</v>
      </c>
      <c r="B1483">
        <f t="shared" si="553"/>
        <v>0.16300000000000001</v>
      </c>
      <c r="C1483" t="b">
        <f t="shared" si="566"/>
        <v>1</v>
      </c>
      <c r="D1483" t="b">
        <f t="shared" si="554"/>
        <v>1</v>
      </c>
      <c r="E1483">
        <f t="shared" si="562"/>
        <v>7.3799999999998702</v>
      </c>
      <c r="F1483">
        <f t="shared" si="567"/>
        <v>0.16300000000000001</v>
      </c>
      <c r="G1483">
        <f t="shared" si="555"/>
        <v>0.21002033668618647</v>
      </c>
      <c r="H1483">
        <f t="shared" si="556"/>
        <v>3.5000000000000003E-2</v>
      </c>
      <c r="I1483" t="b">
        <f t="shared" si="568"/>
        <v>1</v>
      </c>
      <c r="J1483">
        <f t="shared" si="557"/>
        <v>7.3799999999998702</v>
      </c>
      <c r="K1483">
        <f t="shared" si="569"/>
        <v>3.5000000000000003E-2</v>
      </c>
      <c r="L1483">
        <f t="shared" si="558"/>
        <v>0.1699693296952704</v>
      </c>
      <c r="M1483">
        <f t="shared" si="559"/>
        <v>0.19</v>
      </c>
      <c r="N1483">
        <f t="shared" si="560"/>
        <v>0.18800000000299494</v>
      </c>
      <c r="O1483">
        <f t="shared" si="561"/>
        <v>0.15777777777777779</v>
      </c>
      <c r="P1483">
        <f t="shared" si="550"/>
        <v>0.08</v>
      </c>
      <c r="Q1483">
        <f t="shared" si="570"/>
        <v>0.08</v>
      </c>
      <c r="R1483">
        <f t="shared" si="563"/>
        <v>0.08</v>
      </c>
      <c r="S1483">
        <f t="shared" si="564"/>
        <v>0.06</v>
      </c>
      <c r="T1483">
        <f t="shared" si="565"/>
        <v>0.1</v>
      </c>
      <c r="U1483">
        <f t="shared" si="571"/>
        <v>0.08</v>
      </c>
      <c r="V1483">
        <f t="shared" si="552"/>
        <v>0.18800000000299494</v>
      </c>
      <c r="W1483">
        <f t="shared" ref="W1483:W1495" si="572">IF(EMT_Simulation,L1479,L1483)</f>
        <v>0.16996871011401585</v>
      </c>
      <c r="X1483">
        <f t="shared" ref="X1483:X1495" si="573">IF(EMT_Simulation,G1479,G1483)</f>
        <v>0.21002074751449912</v>
      </c>
      <c r="Y1483" t="b">
        <f t="shared" si="551"/>
        <v>0</v>
      </c>
    </row>
    <row xmlns:x14ac="http://schemas.microsoft.com/office/spreadsheetml/2009/9/ac" r="1484" x14ac:dyDescent="0.45">
      <c r="A1484">
        <v>7.3849999999998701</v>
      </c>
      <c r="B1484">
        <f t="shared" si="553"/>
        <v>0.16300000000000001</v>
      </c>
      <c r="C1484" t="b">
        <f t="shared" si="566"/>
        <v>1</v>
      </c>
      <c r="D1484" t="b">
        <f t="shared" si="554"/>
        <v>1</v>
      </c>
      <c r="E1484">
        <f t="shared" si="562"/>
        <v>7.3849999999998701</v>
      </c>
      <c r="F1484">
        <f t="shared" si="567"/>
        <v>0.16300000000000001</v>
      </c>
      <c r="G1484">
        <f t="shared" si="555"/>
        <v>0.21002023525654095</v>
      </c>
      <c r="H1484">
        <f t="shared" si="556"/>
        <v>3.5000000000000003E-2</v>
      </c>
      <c r="I1484" t="b">
        <f t="shared" si="568"/>
        <v>1</v>
      </c>
      <c r="J1484">
        <f t="shared" si="557"/>
        <v>7.3849999999998701</v>
      </c>
      <c r="K1484">
        <f t="shared" si="569"/>
        <v>3.5000000000000003E-2</v>
      </c>
      <c r="L1484">
        <f t="shared" si="558"/>
        <v>0.16996948266405343</v>
      </c>
      <c r="M1484">
        <f t="shared" si="559"/>
        <v>0.19</v>
      </c>
      <c r="N1484">
        <f t="shared" si="560"/>
        <v>0.18800000000328804</v>
      </c>
      <c r="O1484">
        <f t="shared" si="561"/>
        <v>0.15777777777777779</v>
      </c>
      <c r="P1484">
        <f t="shared" si="550"/>
        <v>0.08</v>
      </c>
      <c r="Q1484">
        <f t="shared" si="570"/>
        <v>0.08</v>
      </c>
      <c r="R1484">
        <f t="shared" si="563"/>
        <v>0.08</v>
      </c>
      <c r="S1484">
        <f t="shared" si="564"/>
        <v>0.06</v>
      </c>
      <c r="T1484">
        <f t="shared" si="565"/>
        <v>0.1</v>
      </c>
      <c r="U1484">
        <f t="shared" si="571"/>
        <v>0.08</v>
      </c>
      <c r="V1484">
        <f t="shared" si="552"/>
        <v>0.18800000000328804</v>
      </c>
      <c r="W1484">
        <f t="shared" si="572"/>
        <v>0.16996886617297324</v>
      </c>
      <c r="X1484">
        <f t="shared" si="573"/>
        <v>0.21002064403583887</v>
      </c>
      <c r="Y1484" t="b">
        <f t="shared" si="551"/>
        <v>0</v>
      </c>
    </row>
    <row xmlns:x14ac="http://schemas.microsoft.com/office/spreadsheetml/2009/9/ac" r="1485" x14ac:dyDescent="0.45">
      <c r="A1485">
        <v>7.38999999999987</v>
      </c>
      <c r="B1485">
        <f t="shared" si="553"/>
        <v>0.16300000000000001</v>
      </c>
      <c r="C1485" t="b">
        <f t="shared" si="566"/>
        <v>1</v>
      </c>
      <c r="D1485" t="b">
        <f t="shared" si="554"/>
        <v>1</v>
      </c>
      <c r="E1485">
        <f t="shared" si="562"/>
        <v>7.38999999999987</v>
      </c>
      <c r="F1485">
        <f t="shared" si="567"/>
        <v>0.16300000000000001</v>
      </c>
      <c r="G1485">
        <f t="shared" si="555"/>
        <v>0.21002013433277794</v>
      </c>
      <c r="H1485">
        <f t="shared" si="556"/>
        <v>3.5000000000000003E-2</v>
      </c>
      <c r="I1485" t="b">
        <f t="shared" si="568"/>
        <v>1</v>
      </c>
      <c r="J1485">
        <f t="shared" si="557"/>
        <v>7.38999999999987</v>
      </c>
      <c r="K1485">
        <f t="shared" si="569"/>
        <v>3.5000000000000003E-2</v>
      </c>
      <c r="L1485">
        <f t="shared" si="558"/>
        <v>0.16996963486990144</v>
      </c>
      <c r="M1485">
        <f t="shared" si="559"/>
        <v>0.19</v>
      </c>
      <c r="N1485">
        <f t="shared" si="560"/>
        <v>0.18800000000355721</v>
      </c>
      <c r="O1485">
        <f t="shared" si="561"/>
        <v>0.15777777777777779</v>
      </c>
      <c r="P1485">
        <f t="shared" si="550"/>
        <v>0.08</v>
      </c>
      <c r="Q1485">
        <f t="shared" si="570"/>
        <v>0.08</v>
      </c>
      <c r="R1485">
        <f t="shared" si="563"/>
        <v>0.08</v>
      </c>
      <c r="S1485">
        <f t="shared" si="564"/>
        <v>0.06</v>
      </c>
      <c r="T1485">
        <f t="shared" si="565"/>
        <v>0.1</v>
      </c>
      <c r="U1485">
        <f t="shared" si="571"/>
        <v>0.08</v>
      </c>
      <c r="V1485">
        <f t="shared" si="552"/>
        <v>0.18800000000355721</v>
      </c>
      <c r="W1485">
        <f t="shared" si="572"/>
        <v>0.16996902145358336</v>
      </c>
      <c r="X1485">
        <f t="shared" si="573"/>
        <v>0.21002054107328061</v>
      </c>
      <c r="Y1485" t="b">
        <f t="shared" si="551"/>
        <v>0</v>
      </c>
    </row>
    <row xmlns:x14ac="http://schemas.microsoft.com/office/spreadsheetml/2009/9/ac" r="1486" x14ac:dyDescent="0.45">
      <c r="A1486">
        <v>7.3949999999998699</v>
      </c>
      <c r="B1486">
        <f t="shared" si="553"/>
        <v>0.16300000000000001</v>
      </c>
      <c r="C1486" t="b">
        <f t="shared" si="566"/>
        <v>1</v>
      </c>
      <c r="D1486" t="b">
        <f t="shared" si="554"/>
        <v>1</v>
      </c>
      <c r="E1486">
        <f t="shared" si="562"/>
        <v>7.3949999999998699</v>
      </c>
      <c r="F1486">
        <f t="shared" si="567"/>
        <v>0.16300000000000001</v>
      </c>
      <c r="G1486">
        <f t="shared" si="555"/>
        <v>0.21002003391237428</v>
      </c>
      <c r="H1486">
        <f t="shared" si="556"/>
        <v>3.5000000000000003E-2</v>
      </c>
      <c r="I1486" t="b">
        <f t="shared" si="568"/>
        <v>1</v>
      </c>
      <c r="J1486">
        <f t="shared" si="557"/>
        <v>7.3949999999998699</v>
      </c>
      <c r="K1486">
        <f t="shared" si="569"/>
        <v>3.5000000000000003E-2</v>
      </c>
      <c r="L1486">
        <f t="shared" si="558"/>
        <v>0.16996978631661963</v>
      </c>
      <c r="M1486">
        <f t="shared" si="559"/>
        <v>0.19</v>
      </c>
      <c r="N1486">
        <f t="shared" si="560"/>
        <v>0.18800000000380201</v>
      </c>
      <c r="O1486">
        <f t="shared" si="561"/>
        <v>0.15777777777777779</v>
      </c>
      <c r="P1486">
        <f t="shared" ref="P1486:P1495" si="574">$AB$6-EXP(-AF$6*AF$12*A1486)*(COS(AF$5*A1486)-(AF$6*AF$12-1)/(AF$5)*SIN(AF$5*A1486))*AF$15</f>
        <v>0.08</v>
      </c>
      <c r="Q1486">
        <f t="shared" si="570"/>
        <v>0.08</v>
      </c>
      <c r="R1486">
        <f t="shared" si="563"/>
        <v>0.08</v>
      </c>
      <c r="S1486">
        <f t="shared" si="564"/>
        <v>0.06</v>
      </c>
      <c r="T1486">
        <f t="shared" si="565"/>
        <v>0.1</v>
      </c>
      <c r="U1486">
        <f t="shared" si="571"/>
        <v>0.08</v>
      </c>
      <c r="V1486">
        <f t="shared" si="552"/>
        <v>0.18800000000380201</v>
      </c>
      <c r="W1486">
        <f t="shared" si="572"/>
        <v>0.16996917595972819</v>
      </c>
      <c r="X1486">
        <f t="shared" si="573"/>
        <v>0.21002043862425018</v>
      </c>
      <c r="Y1486" t="b">
        <f t="shared" si="551"/>
        <v>0</v>
      </c>
    </row>
    <row xmlns:x14ac="http://schemas.microsoft.com/office/spreadsheetml/2009/9/ac" r="1487" x14ac:dyDescent="0.45">
      <c r="A1487">
        <v>7.3999999999998698</v>
      </c>
      <c r="B1487">
        <f t="shared" si="553"/>
        <v>0.16300000000000001</v>
      </c>
      <c r="C1487" t="b">
        <f t="shared" si="566"/>
        <v>1</v>
      </c>
      <c r="D1487" t="b">
        <f t="shared" si="554"/>
        <v>1</v>
      </c>
      <c r="E1487">
        <f t="shared" si="562"/>
        <v>7.3999999999998698</v>
      </c>
      <c r="F1487">
        <f t="shared" si="567"/>
        <v>0.16300000000000001</v>
      </c>
      <c r="G1487">
        <f t="shared" si="555"/>
        <v>0.21001993399281943</v>
      </c>
      <c r="H1487">
        <f t="shared" si="556"/>
        <v>3.5000000000000003E-2</v>
      </c>
      <c r="I1487" t="b">
        <f t="shared" si="568"/>
        <v>1</v>
      </c>
      <c r="J1487">
        <f t="shared" si="557"/>
        <v>7.3999999999998698</v>
      </c>
      <c r="K1487">
        <f t="shared" si="569"/>
        <v>3.5000000000000003E-2</v>
      </c>
      <c r="L1487">
        <f t="shared" si="558"/>
        <v>0.16996993700799415</v>
      </c>
      <c r="M1487">
        <f t="shared" si="559"/>
        <v>0.19</v>
      </c>
      <c r="N1487">
        <f t="shared" si="560"/>
        <v>0.18800000000402214</v>
      </c>
      <c r="O1487">
        <f t="shared" si="561"/>
        <v>0.15777777777777779</v>
      </c>
      <c r="P1487">
        <f t="shared" si="574"/>
        <v>0.08</v>
      </c>
      <c r="Q1487">
        <f t="shared" si="570"/>
        <v>0.08</v>
      </c>
      <c r="R1487">
        <f t="shared" si="563"/>
        <v>0.08</v>
      </c>
      <c r="S1487">
        <f t="shared" si="564"/>
        <v>0.06</v>
      </c>
      <c r="T1487">
        <f t="shared" si="565"/>
        <v>0.1</v>
      </c>
      <c r="U1487">
        <f t="shared" si="571"/>
        <v>0.08</v>
      </c>
      <c r="V1487">
        <f t="shared" si="552"/>
        <v>0.18800000000402214</v>
      </c>
      <c r="W1487">
        <f t="shared" si="572"/>
        <v>0.1699693296952704</v>
      </c>
      <c r="X1487">
        <f t="shared" si="573"/>
        <v>0.21002033668618647</v>
      </c>
      <c r="Y1487" t="b">
        <f t="shared" ref="Y1487:Y1495" si="575">IF(Y1486,TRUE,IF(P1487&lt;P1486,TRUE))</f>
        <v>0</v>
      </c>
    </row>
    <row xmlns:x14ac="http://schemas.microsoft.com/office/spreadsheetml/2009/9/ac" r="1488" x14ac:dyDescent="0.45">
      <c r="A1488">
        <v>7.4049999999998697</v>
      </c>
      <c r="B1488">
        <f t="shared" si="553"/>
        <v>0.16300000000000001</v>
      </c>
      <c r="C1488" t="b">
        <f t="shared" si="566"/>
        <v>1</v>
      </c>
      <c r="D1488" t="b">
        <f t="shared" si="554"/>
        <v>1</v>
      </c>
      <c r="E1488">
        <f t="shared" si="562"/>
        <v>7.4049999999998697</v>
      </c>
      <c r="F1488">
        <f t="shared" si="567"/>
        <v>0.16300000000000001</v>
      </c>
      <c r="G1488">
        <f t="shared" si="555"/>
        <v>0.21001983457161549</v>
      </c>
      <c r="H1488">
        <f t="shared" si="556"/>
        <v>3.5000000000000003E-2</v>
      </c>
      <c r="I1488" t="b">
        <f t="shared" si="568"/>
        <v>1</v>
      </c>
      <c r="J1488">
        <f t="shared" si="557"/>
        <v>7.4049999999998697</v>
      </c>
      <c r="K1488">
        <f t="shared" si="569"/>
        <v>3.5000000000000003E-2</v>
      </c>
      <c r="L1488">
        <f t="shared" si="558"/>
        <v>0.16997008694779231</v>
      </c>
      <c r="M1488">
        <f t="shared" si="559"/>
        <v>0.19</v>
      </c>
      <c r="N1488">
        <f t="shared" si="560"/>
        <v>0.1880000000042174</v>
      </c>
      <c r="O1488">
        <f t="shared" si="561"/>
        <v>0.15777777777777779</v>
      </c>
      <c r="P1488">
        <f t="shared" si="574"/>
        <v>0.08</v>
      </c>
      <c r="Q1488">
        <f t="shared" si="570"/>
        <v>0.08</v>
      </c>
      <c r="R1488">
        <f t="shared" si="563"/>
        <v>0.08</v>
      </c>
      <c r="S1488">
        <f t="shared" si="564"/>
        <v>0.06</v>
      </c>
      <c r="T1488">
        <f t="shared" si="565"/>
        <v>0.1</v>
      </c>
      <c r="U1488">
        <f t="shared" si="571"/>
        <v>0.08</v>
      </c>
      <c r="V1488">
        <f t="shared" si="552"/>
        <v>0.1880000000042174</v>
      </c>
      <c r="W1488">
        <f t="shared" si="572"/>
        <v>0.16996948266405343</v>
      </c>
      <c r="X1488">
        <f t="shared" si="573"/>
        <v>0.21002023525654095</v>
      </c>
      <c r="Y1488" t="b">
        <f t="shared" si="575"/>
        <v>0</v>
      </c>
    </row>
    <row xmlns:x14ac="http://schemas.microsoft.com/office/spreadsheetml/2009/9/ac" r="1489" x14ac:dyDescent="0.45">
      <c r="A1489">
        <v>7.4099999999998696</v>
      </c>
      <c r="B1489">
        <f t="shared" si="553"/>
        <v>0.16300000000000001</v>
      </c>
      <c r="C1489" t="b">
        <f t="shared" si="566"/>
        <v>1</v>
      </c>
      <c r="D1489" t="b">
        <f t="shared" si="554"/>
        <v>1</v>
      </c>
      <c r="E1489">
        <f t="shared" si="562"/>
        <v>7.4099999999998696</v>
      </c>
      <c r="F1489">
        <f t="shared" si="567"/>
        <v>0.16300000000000001</v>
      </c>
      <c r="G1489">
        <f t="shared" si="555"/>
        <v>0.21001973564627685</v>
      </c>
      <c r="H1489">
        <f t="shared" si="556"/>
        <v>3.5000000000000003E-2</v>
      </c>
      <c r="I1489" t="b">
        <f t="shared" si="568"/>
        <v>1</v>
      </c>
      <c r="J1489">
        <f t="shared" si="557"/>
        <v>7.4099999999998696</v>
      </c>
      <c r="K1489">
        <f t="shared" si="569"/>
        <v>3.5000000000000003E-2</v>
      </c>
      <c r="L1489">
        <f t="shared" si="558"/>
        <v>0.16997023613976259</v>
      </c>
      <c r="M1489">
        <f t="shared" si="559"/>
        <v>0.19</v>
      </c>
      <c r="N1489">
        <f t="shared" si="560"/>
        <v>0.18800000000438766</v>
      </c>
      <c r="O1489">
        <f t="shared" si="561"/>
        <v>0.15777777777777779</v>
      </c>
      <c r="P1489">
        <f t="shared" si="574"/>
        <v>0.08</v>
      </c>
      <c r="Q1489">
        <f t="shared" si="570"/>
        <v>0.08</v>
      </c>
      <c r="R1489">
        <f t="shared" si="563"/>
        <v>0.08</v>
      </c>
      <c r="S1489">
        <f t="shared" si="564"/>
        <v>0.06</v>
      </c>
      <c r="T1489">
        <f t="shared" si="565"/>
        <v>0.1</v>
      </c>
      <c r="U1489">
        <f t="shared" si="571"/>
        <v>0.08</v>
      </c>
      <c r="V1489">
        <f t="shared" si="552"/>
        <v>0.18800000000438766</v>
      </c>
      <c r="W1489">
        <f t="shared" si="572"/>
        <v>0.16996963486990144</v>
      </c>
      <c r="X1489">
        <f t="shared" si="573"/>
        <v>0.21002013433277794</v>
      </c>
      <c r="Y1489" t="b">
        <f t="shared" si="575"/>
        <v>0</v>
      </c>
    </row>
    <row xmlns:x14ac="http://schemas.microsoft.com/office/spreadsheetml/2009/9/ac" r="1490" x14ac:dyDescent="0.45">
      <c r="A1490">
        <v>7.4149999999998704</v>
      </c>
      <c r="B1490">
        <f t="shared" si="553"/>
        <v>0.16300000000000001</v>
      </c>
      <c r="C1490" t="b">
        <f t="shared" si="566"/>
        <v>1</v>
      </c>
      <c r="D1490" t="b">
        <f t="shared" si="554"/>
        <v>1</v>
      </c>
      <c r="E1490">
        <f t="shared" si="562"/>
        <v>7.4149999999998704</v>
      </c>
      <c r="F1490">
        <f t="shared" si="567"/>
        <v>0.16300000000000001</v>
      </c>
      <c r="G1490">
        <f t="shared" si="555"/>
        <v>0.21001963721433037</v>
      </c>
      <c r="H1490">
        <f t="shared" si="556"/>
        <v>3.5000000000000003E-2</v>
      </c>
      <c r="I1490" t="b">
        <f t="shared" si="568"/>
        <v>1</v>
      </c>
      <c r="J1490">
        <f t="shared" si="557"/>
        <v>7.4149999999998704</v>
      </c>
      <c r="K1490">
        <f t="shared" si="569"/>
        <v>3.5000000000000003E-2</v>
      </c>
      <c r="L1490">
        <f t="shared" si="558"/>
        <v>0.16997038458763486</v>
      </c>
      <c r="M1490">
        <f t="shared" si="559"/>
        <v>0.19</v>
      </c>
      <c r="N1490">
        <f t="shared" si="560"/>
        <v>0.18800000000453299</v>
      </c>
      <c r="O1490">
        <f t="shared" si="561"/>
        <v>0.15777777777777779</v>
      </c>
      <c r="P1490">
        <f t="shared" si="574"/>
        <v>0.08</v>
      </c>
      <c r="Q1490">
        <f t="shared" si="570"/>
        <v>0.08</v>
      </c>
      <c r="R1490">
        <f t="shared" si="563"/>
        <v>0.08</v>
      </c>
      <c r="S1490">
        <f t="shared" si="564"/>
        <v>0.06</v>
      </c>
      <c r="T1490">
        <f t="shared" si="565"/>
        <v>0.1</v>
      </c>
      <c r="U1490">
        <f t="shared" si="571"/>
        <v>0.08</v>
      </c>
      <c r="V1490">
        <f t="shared" si="552"/>
        <v>0.18800000000453299</v>
      </c>
      <c r="W1490">
        <f t="shared" si="572"/>
        <v>0.16996978631661963</v>
      </c>
      <c r="X1490">
        <f t="shared" si="573"/>
        <v>0.21002003391237428</v>
      </c>
      <c r="Y1490" t="b">
        <f t="shared" si="575"/>
        <v>0</v>
      </c>
    </row>
    <row xmlns:x14ac="http://schemas.microsoft.com/office/spreadsheetml/2009/9/ac" r="1491" x14ac:dyDescent="0.45">
      <c r="A1491">
        <v>7.4199999999998703</v>
      </c>
      <c r="B1491">
        <f t="shared" si="553"/>
        <v>0.16300000000000001</v>
      </c>
      <c r="C1491" t="b">
        <f t="shared" si="566"/>
        <v>1</v>
      </c>
      <c r="D1491" t="b">
        <f t="shared" si="554"/>
        <v>1</v>
      </c>
      <c r="E1491">
        <f t="shared" si="562"/>
        <v>7.4199999999998703</v>
      </c>
      <c r="F1491">
        <f t="shared" si="567"/>
        <v>0.16300000000000001</v>
      </c>
      <c r="G1491">
        <f t="shared" si="555"/>
        <v>0.21001953927331529</v>
      </c>
      <c r="H1491">
        <f t="shared" si="556"/>
        <v>3.5000000000000003E-2</v>
      </c>
      <c r="I1491" t="b">
        <f t="shared" si="568"/>
        <v>1</v>
      </c>
      <c r="J1491">
        <f t="shared" si="557"/>
        <v>7.4199999999998703</v>
      </c>
      <c r="K1491">
        <f t="shared" si="569"/>
        <v>3.5000000000000003E-2</v>
      </c>
      <c r="L1491">
        <f t="shared" si="558"/>
        <v>0.16997053229512021</v>
      </c>
      <c r="M1491">
        <f t="shared" si="559"/>
        <v>0.19</v>
      </c>
      <c r="N1491">
        <f t="shared" si="560"/>
        <v>0.1880000000046535</v>
      </c>
      <c r="O1491">
        <f t="shared" si="561"/>
        <v>0.15777777777777779</v>
      </c>
      <c r="P1491">
        <f t="shared" si="574"/>
        <v>0.08</v>
      </c>
      <c r="Q1491">
        <f t="shared" si="570"/>
        <v>0.08</v>
      </c>
      <c r="R1491">
        <f t="shared" si="563"/>
        <v>0.08</v>
      </c>
      <c r="S1491">
        <f t="shared" si="564"/>
        <v>0.06</v>
      </c>
      <c r="T1491">
        <f t="shared" si="565"/>
        <v>0.1</v>
      </c>
      <c r="U1491">
        <f t="shared" si="571"/>
        <v>0.08</v>
      </c>
      <c r="V1491">
        <f t="shared" si="552"/>
        <v>0.1880000000046535</v>
      </c>
      <c r="W1491">
        <f t="shared" si="572"/>
        <v>0.16996993700799415</v>
      </c>
      <c r="X1491">
        <f t="shared" si="573"/>
        <v>0.21001993399281943</v>
      </c>
      <c r="Y1491" t="b">
        <f t="shared" si="575"/>
        <v>0</v>
      </c>
    </row>
    <row xmlns:x14ac="http://schemas.microsoft.com/office/spreadsheetml/2009/9/ac" r="1492" x14ac:dyDescent="0.45">
      <c r="A1492">
        <v>7.4249999999998701</v>
      </c>
      <c r="B1492">
        <f t="shared" si="553"/>
        <v>0.16300000000000001</v>
      </c>
      <c r="C1492" t="b">
        <f t="shared" si="566"/>
        <v>1</v>
      </c>
      <c r="D1492" t="b">
        <f t="shared" si="554"/>
        <v>1</v>
      </c>
      <c r="E1492">
        <f t="shared" si="562"/>
        <v>7.4249999999998701</v>
      </c>
      <c r="F1492">
        <f t="shared" si="567"/>
        <v>0.16300000000000001</v>
      </c>
      <c r="G1492">
        <f t="shared" si="555"/>
        <v>0.21001944182078308</v>
      </c>
      <c r="H1492">
        <f t="shared" si="556"/>
        <v>3.5000000000000003E-2</v>
      </c>
      <c r="I1492" t="b">
        <f t="shared" si="568"/>
        <v>1</v>
      </c>
      <c r="J1492">
        <f t="shared" si="557"/>
        <v>7.4249999999998701</v>
      </c>
      <c r="K1492">
        <f t="shared" si="569"/>
        <v>3.5000000000000003E-2</v>
      </c>
      <c r="L1492">
        <f t="shared" si="558"/>
        <v>0.16997067926591147</v>
      </c>
      <c r="M1492">
        <f t="shared" si="559"/>
        <v>0.19</v>
      </c>
      <c r="N1492">
        <f t="shared" si="560"/>
        <v>0.18800000000474945</v>
      </c>
      <c r="O1492">
        <f t="shared" si="561"/>
        <v>0.15777777777777779</v>
      </c>
      <c r="P1492">
        <f t="shared" si="574"/>
        <v>0.08</v>
      </c>
      <c r="Q1492">
        <f t="shared" si="570"/>
        <v>0.08</v>
      </c>
      <c r="R1492">
        <f t="shared" si="563"/>
        <v>0.08</v>
      </c>
      <c r="S1492">
        <f t="shared" si="564"/>
        <v>0.06</v>
      </c>
      <c r="T1492">
        <f t="shared" si="565"/>
        <v>0.1</v>
      </c>
      <c r="U1492">
        <f t="shared" si="571"/>
        <v>0.08</v>
      </c>
      <c r="V1492">
        <f t="shared" si="552"/>
        <v>0.18800000000474945</v>
      </c>
      <c r="W1492">
        <f t="shared" si="572"/>
        <v>0.16997008694779231</v>
      </c>
      <c r="X1492">
        <f t="shared" si="573"/>
        <v>0.21001983457161549</v>
      </c>
      <c r="Y1492" t="b">
        <f t="shared" si="575"/>
        <v>0</v>
      </c>
    </row>
    <row xmlns:x14ac="http://schemas.microsoft.com/office/spreadsheetml/2009/9/ac" r="1493" x14ac:dyDescent="0.45">
      <c r="A1493">
        <v>7.42999999999987</v>
      </c>
      <c r="B1493">
        <f t="shared" si="553"/>
        <v>0.16300000000000001</v>
      </c>
      <c r="C1493" t="b">
        <f t="shared" si="566"/>
        <v>1</v>
      </c>
      <c r="D1493" t="b">
        <f t="shared" si="554"/>
        <v>1</v>
      </c>
      <c r="E1493">
        <f t="shared" si="562"/>
        <v>7.42999999999987</v>
      </c>
      <c r="F1493">
        <f t="shared" si="567"/>
        <v>0.16300000000000001</v>
      </c>
      <c r="G1493">
        <f t="shared" si="555"/>
        <v>0.21001934485429741</v>
      </c>
      <c r="H1493">
        <f t="shared" si="556"/>
        <v>3.5000000000000003E-2</v>
      </c>
      <c r="I1493" t="b">
        <f t="shared" si="568"/>
        <v>1</v>
      </c>
      <c r="J1493">
        <f t="shared" si="557"/>
        <v>7.42999999999987</v>
      </c>
      <c r="K1493">
        <f t="shared" si="569"/>
        <v>3.5000000000000003E-2</v>
      </c>
      <c r="L1493">
        <f t="shared" si="558"/>
        <v>0.16997082550368281</v>
      </c>
      <c r="M1493">
        <f t="shared" si="559"/>
        <v>0.19</v>
      </c>
      <c r="N1493">
        <f t="shared" si="560"/>
        <v>0.1880000000048212</v>
      </c>
      <c r="O1493">
        <f t="shared" si="561"/>
        <v>0.15777777777777779</v>
      </c>
      <c r="P1493">
        <f t="shared" si="574"/>
        <v>0.08</v>
      </c>
      <c r="Q1493">
        <f t="shared" si="570"/>
        <v>0.08</v>
      </c>
      <c r="R1493">
        <f t="shared" si="563"/>
        <v>0.08</v>
      </c>
      <c r="S1493">
        <f t="shared" si="564"/>
        <v>0.06</v>
      </c>
      <c r="T1493">
        <f t="shared" si="565"/>
        <v>0.1</v>
      </c>
      <c r="U1493">
        <f t="shared" si="571"/>
        <v>0.08</v>
      </c>
      <c r="V1493">
        <f t="shared" si="552"/>
        <v>0.1880000000048212</v>
      </c>
      <c r="W1493">
        <f t="shared" si="572"/>
        <v>0.16997023613976259</v>
      </c>
      <c r="X1493">
        <f t="shared" si="573"/>
        <v>0.21001973564627685</v>
      </c>
      <c r="Y1493" t="b">
        <f t="shared" si="575"/>
        <v>0</v>
      </c>
    </row>
    <row xmlns:x14ac="http://schemas.microsoft.com/office/spreadsheetml/2009/9/ac" r="1494" x14ac:dyDescent="0.45">
      <c r="A1494">
        <v>7.4349999999998699</v>
      </c>
      <c r="B1494">
        <f t="shared" si="553"/>
        <v>0.16300000000000001</v>
      </c>
      <c r="C1494" t="b">
        <f t="shared" si="566"/>
        <v>1</v>
      </c>
      <c r="D1494" t="b">
        <f t="shared" si="554"/>
        <v>1</v>
      </c>
      <c r="E1494">
        <f t="shared" si="562"/>
        <v>7.4349999999998699</v>
      </c>
      <c r="F1494">
        <f t="shared" si="567"/>
        <v>0.16300000000000001</v>
      </c>
      <c r="G1494">
        <f t="shared" si="555"/>
        <v>0.2100192483714341</v>
      </c>
      <c r="H1494">
        <f t="shared" si="556"/>
        <v>3.5000000000000003E-2</v>
      </c>
      <c r="I1494" t="b">
        <f t="shared" si="568"/>
        <v>1</v>
      </c>
      <c r="J1494">
        <f t="shared" si="557"/>
        <v>7.4349999999998699</v>
      </c>
      <c r="K1494">
        <f t="shared" si="569"/>
        <v>3.5000000000000003E-2</v>
      </c>
      <c r="L1494">
        <f t="shared" si="558"/>
        <v>0.16997097101209024</v>
      </c>
      <c r="M1494">
        <f t="shared" si="559"/>
        <v>0.19</v>
      </c>
      <c r="N1494">
        <f t="shared" si="560"/>
        <v>0.18800000000486913</v>
      </c>
      <c r="O1494">
        <f t="shared" si="561"/>
        <v>0.15777777777777779</v>
      </c>
      <c r="P1494">
        <f t="shared" si="574"/>
        <v>0.08</v>
      </c>
      <c r="Q1494">
        <f t="shared" si="570"/>
        <v>0.08</v>
      </c>
      <c r="R1494">
        <f t="shared" si="563"/>
        <v>0.08</v>
      </c>
      <c r="S1494">
        <f t="shared" si="564"/>
        <v>0.06</v>
      </c>
      <c r="T1494">
        <f t="shared" si="565"/>
        <v>0.1</v>
      </c>
      <c r="U1494">
        <f t="shared" si="571"/>
        <v>0.08</v>
      </c>
      <c r="V1494">
        <f t="shared" si="552"/>
        <v>0.18800000000486913</v>
      </c>
      <c r="W1494">
        <f t="shared" si="572"/>
        <v>0.16997038458763486</v>
      </c>
      <c r="X1494">
        <f t="shared" si="573"/>
        <v>0.21001963721433037</v>
      </c>
      <c r="Y1494" t="b">
        <f t="shared" si="575"/>
        <v>0</v>
      </c>
    </row>
    <row xmlns:x14ac="http://schemas.microsoft.com/office/spreadsheetml/2009/9/ac" r="1495" x14ac:dyDescent="0.45">
      <c r="A1495">
        <v>7.4399999999998698</v>
      </c>
      <c r="B1495">
        <f t="shared" si="553"/>
        <v>0.16300000000000001</v>
      </c>
      <c r="C1495" t="b">
        <f t="shared" si="566"/>
        <v>1</v>
      </c>
      <c r="D1495" t="b">
        <f t="shared" si="554"/>
        <v>1</v>
      </c>
      <c r="E1495">
        <f t="shared" si="562"/>
        <v>7.4399999999998698</v>
      </c>
      <c r="F1495">
        <f t="shared" si="567"/>
        <v>0.16300000000000001</v>
      </c>
      <c r="G1495">
        <f t="shared" si="555"/>
        <v>0.21001915236978108</v>
      </c>
      <c r="H1495">
        <f t="shared" si="556"/>
        <v>3.5000000000000003E-2</v>
      </c>
      <c r="I1495" t="b">
        <f t="shared" si="568"/>
        <v>1</v>
      </c>
      <c r="J1495">
        <f t="shared" si="557"/>
        <v>7.4399999999998698</v>
      </c>
      <c r="K1495">
        <f t="shared" si="569"/>
        <v>3.5000000000000003E-2</v>
      </c>
      <c r="L1495">
        <f t="shared" si="558"/>
        <v>0.16997111579477145</v>
      </c>
      <c r="M1495">
        <f t="shared" si="559"/>
        <v>0.19</v>
      </c>
      <c r="N1495">
        <f t="shared" si="560"/>
        <v>0.18800000000489384</v>
      </c>
      <c r="O1495">
        <f t="shared" si="561"/>
        <v>0.15777777777777779</v>
      </c>
      <c r="P1495">
        <f t="shared" si="574"/>
        <v>0.08</v>
      </c>
      <c r="Q1495">
        <f t="shared" si="570"/>
        <v>0.08</v>
      </c>
      <c r="R1495">
        <f t="shared" si="563"/>
        <v>0.08</v>
      </c>
      <c r="S1495">
        <f t="shared" si="564"/>
        <v>0.06</v>
      </c>
      <c r="T1495">
        <f t="shared" si="565"/>
        <v>0.1</v>
      </c>
      <c r="U1495">
        <f t="shared" si="571"/>
        <v>0.08</v>
      </c>
      <c r="V1495">
        <f t="shared" si="552"/>
        <v>0.18800000000489384</v>
      </c>
      <c r="W1495">
        <f t="shared" si="572"/>
        <v>0.16997053229512021</v>
      </c>
      <c r="X1495">
        <f t="shared" si="573"/>
        <v>0.21001953927331529</v>
      </c>
      <c r="Y1495" t="b">
        <f t="shared" si="57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Export_CSV_rocof">
                <anchor moveWithCells="1" sizeWithCells="1">
                  <from>
                    <xdr:col>25</xdr:col>
                    <xdr:colOff>85725</xdr:colOff>
                    <xdr:row>0</xdr:row>
                    <xdr:rowOff>152400</xdr:rowOff>
                  </from>
                  <to>
                    <xdr:col>27</xdr:col>
                    <xdr:colOff>714375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9E00F-9110-4C75-B44B-5B3480ED011A}">
  <sheetPr codeName="Feuil5"/>
  <dimension ref="A1:C265"/>
  <sheetViews>
    <sheetView workbookViewId="0">
      <selection activeCell="C5" sqref="C5"/>
    </sheetView>
  </sheetViews>
  <sheetFormatPr xmlns:x14ac="http://schemas.microsoft.com/office/spreadsheetml/2009/9/ac" baseColWidth="10" defaultColWidth="11.3984375" defaultRowHeight="14.25" x14ac:dyDescent="0.45"/>
  <cols>
    <col min="2" max="2" width="17" customWidth="true"/>
  </cols>
  <sheetData>
    <row xmlns:x14ac="http://schemas.microsoft.com/office/spreadsheetml/2009/9/ac" r="1" x14ac:dyDescent="0.45">
      <c r="A1" t="s">
        <v>8</v>
      </c>
      <c r="B1" t="s">
        <v>53</v>
      </c>
      <c r="C1" t="s">
        <v>54</v>
      </c>
    </row>
    <row xmlns:x14ac="http://schemas.microsoft.com/office/spreadsheetml/2009/9/ac" r="2" x14ac:dyDescent="0.45">
      <c r="A2">
        <f>Rocof!A7</f>
        <v>0</v>
      </c>
      <c r="B2">
        <f>Rocof!$W7</f>
        <v>0.06</v>
      </c>
      <c r="C2">
        <f>Rocof!$X7</f>
        <v>0.1</v>
      </c>
    </row>
    <row xmlns:x14ac="http://schemas.microsoft.com/office/spreadsheetml/2009/9/ac" r="3" x14ac:dyDescent="0.45">
      <c r="A3">
        <f>Rocof!A8</f>
        <v>5.0000000000000001E-3</v>
      </c>
      <c r="B3">
        <f>Rocof!$W8</f>
        <v>0.06</v>
      </c>
      <c r="C3">
        <f>Rocof!$X8</f>
        <v>0.1</v>
      </c>
    </row>
    <row xmlns:x14ac="http://schemas.microsoft.com/office/spreadsheetml/2009/9/ac" r="4" x14ac:dyDescent="0.45">
      <c r="A4">
        <f>Rocof!A9</f>
        <v>0.01</v>
      </c>
      <c r="B4">
        <f>Rocof!$W9</f>
        <v>0.06</v>
      </c>
      <c r="C4">
        <f>Rocof!$X9</f>
        <v>0.1</v>
      </c>
    </row>
    <row xmlns:x14ac="http://schemas.microsoft.com/office/spreadsheetml/2009/9/ac" r="5" x14ac:dyDescent="0.45">
      <c r="A5">
        <f>Rocof!A10</f>
        <v>1.4999999999999999E-2</v>
      </c>
      <c r="B5">
        <f>Rocof!$W10</f>
        <v>0.06</v>
      </c>
      <c r="C5">
        <f>Rocof!$X10</f>
        <v>0.1</v>
      </c>
    </row>
    <row xmlns:x14ac="http://schemas.microsoft.com/office/spreadsheetml/2009/9/ac" r="6" x14ac:dyDescent="0.45">
      <c r="A6">
        <f>Rocof!A11</f>
        <v>0.02</v>
      </c>
      <c r="B6">
        <f>Rocof!$W11</f>
        <v>0.06</v>
      </c>
      <c r="C6">
        <f>Rocof!$X11</f>
        <v>0.1</v>
      </c>
    </row>
    <row xmlns:x14ac="http://schemas.microsoft.com/office/spreadsheetml/2009/9/ac" r="7" x14ac:dyDescent="0.45">
      <c r="A7">
        <f>Rocof!A12</f>
        <v>2.5000000000000001E-2</v>
      </c>
      <c r="B7">
        <f>Rocof!$W12</f>
        <v>6.0122377015488546E-2</v>
      </c>
      <c r="C7">
        <f>Rocof!$X12</f>
        <v>0.10031818024027021</v>
      </c>
    </row>
    <row xmlns:x14ac="http://schemas.microsoft.com/office/spreadsheetml/2009/9/ac" r="8" x14ac:dyDescent="0.45">
      <c r="A8">
        <f>Rocof!A13</f>
        <v>0.03</v>
      </c>
      <c r="B8">
        <f>Rocof!$W13</f>
        <v>6.0486520046280079E-2</v>
      </c>
      <c r="C8">
        <f>Rocof!$X13</f>
        <v>0.10126495212032821</v>
      </c>
    </row>
    <row xmlns:x14ac="http://schemas.microsoft.com/office/spreadsheetml/2009/9/ac" r="9" x14ac:dyDescent="0.45">
      <c r="A9">
        <f>Rocof!A14</f>
        <v>3.5000000000000003E-2</v>
      </c>
      <c r="B9">
        <f>Rocof!$W14</f>
        <v>6.1084712072098257E-2</v>
      </c>
      <c r="C9">
        <f>Rocof!$X14</f>
        <v>0.10282025138745546</v>
      </c>
    </row>
    <row xmlns:x14ac="http://schemas.microsoft.com/office/spreadsheetml/2009/9/ac" r="10" x14ac:dyDescent="0.45">
      <c r="A10">
        <f>Rocof!A15</f>
        <v>0.04</v>
      </c>
      <c r="B10">
        <f>Rocof!$W15</f>
        <v>6.190620441535092E-2</v>
      </c>
      <c r="C10">
        <f>Rocof!$X15</f>
        <v>0.1049561314799124</v>
      </c>
    </row>
    <row xmlns:x14ac="http://schemas.microsoft.com/office/spreadsheetml/2009/9/ac" r="11" x14ac:dyDescent="0.45">
      <c r="A11">
        <f>Rocof!A16</f>
        <v>4.4999999999999998E-2</v>
      </c>
      <c r="B11">
        <f>Rocof!$W16</f>
        <v>6.2938316434286545E-2</v>
      </c>
      <c r="C11">
        <f>Rocof!$X16</f>
        <v>0.10763962272914501</v>
      </c>
    </row>
    <row xmlns:x14ac="http://schemas.microsoft.com/office/spreadsheetml/2009/9/ac" r="12" x14ac:dyDescent="0.45">
      <c r="A12">
        <f>Rocof!A17</f>
        <v>0.05</v>
      </c>
      <c r="B12">
        <f>Rocof!$W17</f>
        <v>6.416713653786757E-2</v>
      </c>
      <c r="C12">
        <f>Rocof!$X17</f>
        <v>0.11083455499845565</v>
      </c>
    </row>
    <row xmlns:x14ac="http://schemas.microsoft.com/office/spreadsheetml/2009/9/ac" r="13" x14ac:dyDescent="0.45">
      <c r="A13">
        <f>Rocof!A18</f>
        <v>5.5E-2</v>
      </c>
      <c r="B13">
        <f>Rocof!$W18</f>
        <v>6.5577980013971943E-2</v>
      </c>
      <c r="C13">
        <f>Rocof!$X18</f>
        <v>0.11450274803632705</v>
      </c>
    </row>
    <row xmlns:x14ac="http://schemas.microsoft.com/office/spreadsheetml/2009/9/ac" r="14" x14ac:dyDescent="0.45">
      <c r="A14">
        <f>Rocof!A19</f>
        <v>0.06</v>
      </c>
      <c r="B14">
        <f>Rocof!$W19</f>
        <v>6.7155697892319968E-2</v>
      </c>
      <c r="C14">
        <f>Rocof!$X19</f>
        <v>0.11860481452003192</v>
      </c>
    </row>
    <row xmlns:x14ac="http://schemas.microsoft.com/office/spreadsheetml/2009/9/ac" r="15" x14ac:dyDescent="0.45">
      <c r="A15">
        <f>Rocof!A20</f>
        <v>6.5000000000000002E-2</v>
      </c>
      <c r="B15">
        <f>Rocof!$W20</f>
        <v>6.888489391261042E-2</v>
      </c>
      <c r="C15">
        <f>Rocof!$X20</f>
        <v>0.12310072417278708</v>
      </c>
    </row>
    <row xmlns:x14ac="http://schemas.microsoft.com/office/spreadsheetml/2009/9/ac" r="16" x14ac:dyDescent="0.45">
      <c r="A16">
        <f>Rocof!A21</f>
        <v>7.0000000000000007E-2</v>
      </c>
      <c r="B16">
        <f>Rocof!$W21</f>
        <v>7.0750084146351644E-2</v>
      </c>
      <c r="C16">
        <f>Rocof!$X21</f>
        <v>0.12795021878051427</v>
      </c>
    </row>
    <row xmlns:x14ac="http://schemas.microsoft.com/office/spreadsheetml/2009/9/ac" r="17" x14ac:dyDescent="0.45">
      <c r="A17">
        <f>Rocof!A22</f>
        <v>7.4999999999999997E-2</v>
      </c>
      <c r="B17">
        <f>Rocof!$W22</f>
        <v>7.2735820171532184E-2</v>
      </c>
      <c r="C17">
        <f>Rocof!$X22</f>
        <v>0.13311313244598366</v>
      </c>
    </row>
    <row xmlns:x14ac="http://schemas.microsoft.com/office/spreadsheetml/2009/9/ac" r="18" x14ac:dyDescent="0.45">
      <c r="A18">
        <f>Rocof!A23</f>
        <v>0.08</v>
      </c>
      <c r="B18">
        <f>Rocof!$W23</f>
        <v>7.4826788431206853E-2</v>
      </c>
      <c r="C18">
        <f>Rocof!$X23</f>
        <v>0.1385496499211378</v>
      </c>
    </row>
    <row xmlns:x14ac="http://schemas.microsoft.com/office/spreadsheetml/2009/9/ac" r="19" x14ac:dyDescent="0.45">
      <c r="A19">
        <f>Rocof!A24</f>
        <v>8.5000000000000006E-2</v>
      </c>
      <c r="B19">
        <f>Rocof!$W24</f>
        <v>7.7007893402604444E-2</v>
      </c>
      <c r="C19">
        <f>Rocof!$X24</f>
        <v>0.14422052284677156</v>
      </c>
    </row>
    <row xmlns:x14ac="http://schemas.microsoft.com/office/spreadsheetml/2009/9/ac" r="20" x14ac:dyDescent="0.45">
      <c r="A20">
        <f>Rocof!A25</f>
        <v>0.09</v>
      </c>
      <c r="B20">
        <f>Rocof!$W25</f>
        <v>7.9264329178028531E-2</v>
      </c>
      <c r="C20">
        <f>Rocof!$X25</f>
        <v>0.15008725586287419</v>
      </c>
    </row>
    <row xmlns:x14ac="http://schemas.microsoft.com/office/spreadsheetml/2009/9/ac" r="21" x14ac:dyDescent="0.45">
      <c r="A21">
        <f>Rocof!A26</f>
        <v>9.5000000000000001E-2</v>
      </c>
      <c r="B21">
        <f>Rocof!$W26</f>
        <v>8.1581642233519033E-2</v>
      </c>
      <c r="C21">
        <f>Rocof!$X26</f>
        <v>0.15611226980714948</v>
      </c>
    </row>
    <row xmlns:x14ac="http://schemas.microsoft.com/office/spreadsheetml/2009/9/ac" r="22" x14ac:dyDescent="0.45">
      <c r="A22">
        <f>Rocof!A27</f>
        <v>0.1</v>
      </c>
      <c r="B22">
        <f>Rocof!$W27</f>
        <v>8.3945787063397337E-2</v>
      </c>
      <c r="C22">
        <f>Rocof!$X27</f>
        <v>0.16225904636483307</v>
      </c>
    </row>
    <row xmlns:x14ac="http://schemas.microsoft.com/office/spreadsheetml/2009/9/ac" r="23" x14ac:dyDescent="0.45">
      <c r="A23">
        <f>Rocof!A28</f>
        <v>0.105</v>
      </c>
      <c r="B23">
        <f>Rocof!$W28</f>
        <v>8.6343175701771219E-2</v>
      </c>
      <c r="C23">
        <f>Rocof!$X28</f>
        <v>0.16849225682460517</v>
      </c>
    </row>
    <row xmlns:x14ac="http://schemas.microsoft.com/office/spreadsheetml/2009/9/ac" r="24" x14ac:dyDescent="0.45">
      <c r="A24">
        <f>Rocof!A29</f>
        <v>0.11</v>
      </c>
      <c r="B24">
        <f>Rocof!$W29</f>
        <v>8.8760721761943551E-2</v>
      </c>
      <c r="C24">
        <f>Rocof!$X29</f>
        <v>0.17477787658105326</v>
      </c>
    </row>
    <row xmlns:x14ac="http://schemas.microsoft.com/office/spreadsheetml/2009/9/ac" r="25" x14ac:dyDescent="0.45">
      <c r="A25">
        <f>Rocof!A30</f>
        <v>0.115</v>
      </c>
      <c r="B25">
        <f>Rocof!$W30</f>
        <v>9.1185879395961469E-2</v>
      </c>
      <c r="C25">
        <f>Rocof!$X30</f>
        <v>0.18108328642949983</v>
      </c>
    </row>
    <row xmlns:x14ac="http://schemas.microsoft.com/office/spreadsheetml/2009/9/ac" r="26" x14ac:dyDescent="0.45">
      <c r="A26">
        <f>Rocof!A31</f>
        <v>0.12</v>
      </c>
      <c r="B26">
        <f>Rocof!$W31</f>
        <v>9.3606677445265823E-2</v>
      </c>
      <c r="C26">
        <f>Rocof!$X31</f>
        <v>0.18737736135769117</v>
      </c>
    </row>
    <row xmlns:x14ac="http://schemas.microsoft.com/office/spreadsheetml/2009/9/ac" r="27" x14ac:dyDescent="0.45">
      <c r="A27">
        <f>Rocof!A32</f>
        <v>0.125</v>
      </c>
      <c r="B27">
        <f>Rocof!$W32</f>
        <v>9.6011748980726369E-2</v>
      </c>
      <c r="C27">
        <f>Rocof!$X32</f>
        <v>0.19363054734988858</v>
      </c>
    </row>
    <row xmlns:x14ac="http://schemas.microsoft.com/office/spreadsheetml/2009/9/ac" r="28" x14ac:dyDescent="0.45">
      <c r="A28">
        <f>Rocof!A33</f>
        <v>0.13</v>
      </c>
      <c r="B28">
        <f>Rocof!$W33</f>
        <v>9.8390356392716122E-2</v>
      </c>
      <c r="C28">
        <f>Rocof!$X33</f>
        <v>0.19981492662106193</v>
      </c>
    </row>
    <row xmlns:x14ac="http://schemas.microsoft.com/office/spreadsheetml/2009/9/ac" r="29" x14ac:dyDescent="0.45">
      <c r="A29">
        <f>Rocof!A34</f>
        <v>0.13500000000000001</v>
      </c>
      <c r="B29">
        <f>Rocof!$W34</f>
        <v>0.10073241217499369</v>
      </c>
      <c r="C29">
        <f>Rocof!$X34</f>
        <v>0.20590427165498359</v>
      </c>
    </row>
    <row xmlns:x14ac="http://schemas.microsoft.com/office/spreadsheetml/2009/9/ac" r="30" x14ac:dyDescent="0.45">
      <c r="A30">
        <f>Rocof!A35</f>
        <v>0.14000000000000001</v>
      </c>
      <c r="B30">
        <f>Rocof!$W35</f>
        <v>0.10302849554135</v>
      </c>
      <c r="C30">
        <f>Rocof!$X35</f>
        <v>0.21187408840751004</v>
      </c>
    </row>
    <row xmlns:x14ac="http://schemas.microsoft.com/office/spreadsheetml/2009/9/ac" r="31" x14ac:dyDescent="0.45">
      <c r="A31">
        <f>Rocof!A36</f>
        <v>0.14499999999999999</v>
      </c>
      <c r="B31">
        <f>Rocof!$W36</f>
        <v>0.1052698650159728</v>
      </c>
      <c r="C31">
        <f>Rocof!$X36</f>
        <v>0.21770164904152928</v>
      </c>
    </row>
    <row xmlns:x14ac="http://schemas.microsoft.com/office/spreadsheetml/2009/9/ac" r="32" x14ac:dyDescent="0.45">
      <c r="A32">
        <f>Rocof!A37</f>
        <v>0.15</v>
      </c>
      <c r="B32">
        <f>Rocof!$W37</f>
        <v>0.1074484671440996</v>
      </c>
      <c r="C32">
        <f>Rocof!$X37</f>
        <v>0.22336601457465893</v>
      </c>
    </row>
    <row xmlns:x14ac="http://schemas.microsoft.com/office/spreadsheetml/2009/9/ac" r="33" x14ac:dyDescent="0.45">
      <c r="A33">
        <f>Rocof!A38</f>
        <v>0.155</v>
      </c>
      <c r="B33">
        <f>Rocof!$W38</f>
        <v>0.10955694147683501</v>
      </c>
      <c r="C33">
        <f>Rocof!$X38</f>
        <v>0.22884804783977103</v>
      </c>
    </row>
    <row xmlns:x14ac="http://schemas.microsoft.com/office/spreadsheetml/2009/9/ac" r="34" x14ac:dyDescent="0.45">
      <c r="A34">
        <f>Rocof!A39</f>
        <v>0.16</v>
      </c>
      <c r="B34">
        <f>Rocof!$W39</f>
        <v>0.11158862199183629</v>
      </c>
      <c r="C34">
        <f>Rocof!$X39</f>
        <v>0.23413041717877436</v>
      </c>
    </row>
    <row xmlns:x14ac="http://schemas.microsoft.com/office/spreadsheetml/2009/9/ac" r="35" x14ac:dyDescent="0.45">
      <c r="A35">
        <f>Rocof!A40</f>
        <v>0.16500000000000001</v>
      </c>
      <c r="B35">
        <f>Rocof!$W40</f>
        <v>0.11353753511922421</v>
      </c>
      <c r="C35">
        <f>Rocof!$X40</f>
        <v>0.23919759130998297</v>
      </c>
    </row>
    <row xmlns:x14ac="http://schemas.microsoft.com/office/spreadsheetml/2009/9/ac" r="36" x14ac:dyDescent="0.45">
      <c r="A36">
        <f>Rocof!A41</f>
        <v>0.17</v>
      </c>
      <c r="B36">
        <f>Rocof!$W41</f>
        <v>0.11539839454913998</v>
      </c>
      <c r="C36">
        <f>Rocof!$X41</f>
        <v>0.24403582582776395</v>
      </c>
    </row>
    <row xmlns:x14ac="http://schemas.microsoft.com/office/spreadsheetml/2009/9/ac" r="37" x14ac:dyDescent="0.45">
      <c r="A37">
        <f>Rocof!A42</f>
        <v>0.17499999999999999</v>
      </c>
      <c r="B37">
        <f>Rocof!$W42</f>
        <v>0.11716659300360419</v>
      </c>
      <c r="C37">
        <f>Rocof!$X42</f>
        <v>0.24863314180937085</v>
      </c>
    </row>
    <row xmlns:x14ac="http://schemas.microsoft.com/office/spreadsheetml/2009/9/ac" r="38" x14ac:dyDescent="0.45">
      <c r="A38">
        <f>Rocof!A43</f>
        <v>0.18</v>
      </c>
      <c r="B38">
        <f>Rocof!$W43</f>
        <v>0.11883819116061101</v>
      </c>
      <c r="C38">
        <f>Rocof!$X43</f>
        <v>0.25297929701758859</v>
      </c>
    </row>
    <row xmlns:x14ac="http://schemas.microsoft.com/office/spreadsheetml/2009/9/ac" r="39" x14ac:dyDescent="0.45">
      <c r="A39">
        <f>Rocof!A44</f>
        <v>0.185</v>
      </c>
      <c r="B39">
        <f>Rocof!$W44</f>
        <v>0.12040990392264309</v>
      </c>
      <c r="C39">
        <f>Rocof!$X44</f>
        <v>0.25706575019887201</v>
      </c>
    </row>
    <row xmlns:x14ac="http://schemas.microsoft.com/office/spreadsheetml/2009/9/ac" r="40" x14ac:dyDescent="0.45">
      <c r="A40">
        <f>Rocof!A45</f>
        <v>0.19</v>
      </c>
      <c r="B40">
        <f>Rocof!$W45</f>
        <v>0.12187908422499889</v>
      </c>
      <c r="C40">
        <f>Rocof!$X45</f>
        <v>0.26088561898499713</v>
      </c>
    </row>
    <row xmlns:x14ac="http://schemas.microsoft.com/office/spreadsheetml/2009/9/ac" r="41" x14ac:dyDescent="0.45">
      <c r="A41">
        <f>Rocof!A46</f>
        <v>0.19500000000000001</v>
      </c>
      <c r="B41">
        <f>Rocof!$W46</f>
        <v>0.12324370458148888</v>
      </c>
      <c r="C41">
        <f>Rocof!$X46</f>
        <v>0.26443363191187108</v>
      </c>
    </row>
    <row xmlns:x14ac="http://schemas.microsoft.com/office/spreadsheetml/2009/9/ac" r="42" x14ac:dyDescent="0.45">
      <c r="A42">
        <f>Rocof!A47</f>
        <v>0.2</v>
      </c>
      <c r="B42">
        <f>Rocof!$W47</f>
        <v>0.12450233656619941</v>
      </c>
      <c r="C42">
        <f>Rocof!$X47</f>
        <v>0.26770607507211847</v>
      </c>
    </row>
    <row xmlns:x14ac="http://schemas.microsoft.com/office/spreadsheetml/2009/9/ac" r="43" x14ac:dyDescent="0.45">
      <c r="A43">
        <f>Rocof!A48</f>
        <v>0.20499999999999999</v>
      </c>
      <c r="B43">
        <f>Rocof!$W48</f>
        <v>0.12565412843017856</v>
      </c>
      <c r="C43">
        <f>Rocof!$X48</f>
        <v>0.27070073391846428</v>
      </c>
    </row>
    <row xmlns:x14ac="http://schemas.microsoft.com/office/spreadsheetml/2009/9/ac" r="44" x14ac:dyDescent="0.45">
      <c r="A44">
        <f>Rocof!A49</f>
        <v>0.21</v>
      </c>
      <c r="B44">
        <f>Rocof!$W49</f>
        <v>0.12669878105110477</v>
      </c>
      <c r="C44">
        <f>Rocof!$X49</f>
        <v>0.27341683073287243</v>
      </c>
    </row>
    <row xmlns:x14ac="http://schemas.microsoft.com/office/spreadsheetml/2009/9/ac" r="45" x14ac:dyDescent="0.45">
      <c r="A45">
        <f>Rocof!A50</f>
        <v>0.215</v>
      </c>
      <c r="B45">
        <f>Rocof!$W50</f>
        <v>0.12763652241230367</v>
      </c>
      <c r="C45">
        <f>Rocof!$X50</f>
        <v>0.27585495827198958</v>
      </c>
    </row>
    <row xmlns:x14ac="http://schemas.microsoft.com/office/spreadsheetml/2009/9/ac" r="46" x14ac:dyDescent="0.45">
      <c r="A46">
        <f>Rocof!A51</f>
        <v>0.22</v>
      </c>
      <c r="B46">
        <f>Rocof!$W51</f>
        <v>0.12846808080493111</v>
      </c>
      <c r="C46">
        <f>Rocof!$X51</f>
        <v>0.27801701009282087</v>
      </c>
    </row>
    <row xmlns:x14ac="http://schemas.microsoft.com/office/spreadsheetml/2009/9/ac" r="47" x14ac:dyDescent="0.45">
      <c r="A47">
        <f>Rocof!A52</f>
        <v>0.22500000000000001</v>
      </c>
      <c r="B47">
        <f>Rocof!$W52</f>
        <v>0.12919465694379123</v>
      </c>
      <c r="C47">
        <f>Rocof!$X52</f>
        <v>0.27990610805385718</v>
      </c>
    </row>
    <row xmlns:x14ac="http://schemas.microsoft.com/office/spreadsheetml/2009/9/ac" r="48" x14ac:dyDescent="0.45">
      <c r="A48">
        <f>Rocof!A53</f>
        <v>0.23</v>
      </c>
      <c r="B48">
        <f>Rocof!$W53</f>
        <v>0.1298178951831645</v>
      </c>
      <c r="C48">
        <f>Rocof!$X53</f>
        <v>0.28152652747622769</v>
      </c>
    </row>
    <row xmlns:x14ac="http://schemas.microsoft.com/office/spreadsheetml/2009/9/ac" r="49" x14ac:dyDescent="0.45">
      <c r="A49">
        <f>Rocof!A54</f>
        <v>0.23499999999999999</v>
      </c>
      <c r="B49">
        <f>Rocof!$W54</f>
        <v>0.13033985401423404</v>
      </c>
      <c r="C49">
        <f>Rocof!$X54</f>
        <v>0.28288362043700849</v>
      </c>
    </row>
    <row xmlns:x14ac="http://schemas.microsoft.com/office/spreadsheetml/2009/9/ac" r="50" x14ac:dyDescent="0.45">
      <c r="A50">
        <f>Rocof!A55</f>
        <v>0.24</v>
      </c>
      <c r="B50">
        <f>Rocof!$W55</f>
        <v>0.13076297602027892</v>
      </c>
      <c r="C50">
        <f>Rocof!$X55</f>
        <v>0.28398373765272517</v>
      </c>
    </row>
    <row xmlns:x14ac="http://schemas.microsoft.com/office/spreadsheetml/2009/9/ac" r="51" x14ac:dyDescent="0.45">
      <c r="A51">
        <f>Rocof!A56</f>
        <v>0.245</v>
      </c>
      <c r="B51">
        <f>Rocof!$W56</f>
        <v>0.13109005745980407</v>
      </c>
      <c r="C51">
        <f>Rocof!$X56</f>
        <v>0.28483414939549057</v>
      </c>
    </row>
    <row xmlns:x14ac="http://schemas.microsoft.com/office/spreadsheetml/2009/9/ac" r="52" x14ac:dyDescent="0.45">
      <c r="A52">
        <f>Rocof!A57</f>
        <v>0.25</v>
      </c>
      <c r="B52">
        <f>Rocof!$W57</f>
        <v>0.13132421764125685</v>
      </c>
      <c r="C52">
        <f>Rocof!$X57</f>
        <v>0.28544296586726786</v>
      </c>
    </row>
    <row xmlns:x14ac="http://schemas.microsoft.com/office/spreadsheetml/2009/9/ac" r="53" x14ac:dyDescent="0.45">
      <c r="A53">
        <f>Rocof!A58</f>
        <v>0.255</v>
      </c>
      <c r="B53">
        <f>Rocof!$W58</f>
        <v>0.13146886824599613</v>
      </c>
      <c r="C53">
        <f>Rocof!$X58</f>
        <v>0.28581905743958991</v>
      </c>
    </row>
    <row xmlns:x14ac="http://schemas.microsoft.com/office/spreadsheetml/2009/9/ac" r="54" x14ac:dyDescent="0.45">
      <c r="A54">
        <f>Rocof!A59</f>
        <v>0.26</v>
      </c>
      <c r="B54">
        <f>Rocof!$W59</f>
        <v>0.13152768274878557</v>
      </c>
      <c r="C54">
        <f>Rocof!$X59</f>
        <v>0.28597197514684247</v>
      </c>
    </row>
    <row xmlns:x14ac="http://schemas.microsoft.com/office/spreadsheetml/2009/9/ac" r="55" x14ac:dyDescent="0.45">
      <c r="A55">
        <f>Rocof!A60</f>
        <v>0.26500000000000001</v>
      </c>
      <c r="B55">
        <f>Rocof!$W60</f>
        <v>0.13150456607733768</v>
      </c>
      <c r="C55">
        <f>Rocof!$X60</f>
        <v>0.28591187180107802</v>
      </c>
    </row>
    <row xmlns:x14ac="http://schemas.microsoft.com/office/spreadsheetml/2009/9/ac" r="56" x14ac:dyDescent="0.45">
      <c r="A56">
        <f>Rocof!A61</f>
        <v>0.27</v>
      </c>
      <c r="B56">
        <f>Rocof!$W61</f>
        <v>0.13169656285501369</v>
      </c>
      <c r="C56">
        <f>Rocof!$X61</f>
        <v>0.28564942407540744</v>
      </c>
    </row>
    <row xmlns:x14ac="http://schemas.microsoft.com/office/spreadsheetml/2009/9/ac" r="57" x14ac:dyDescent="0.45">
      <c r="A57">
        <f>Rocof!A62</f>
        <v>0.27500000000000002</v>
      </c>
      <c r="B57">
        <f>Rocof!$W62</f>
        <v>0.1318876020447661</v>
      </c>
      <c r="C57">
        <f>Rocof!$X62</f>
        <v>0.28519575588145835</v>
      </c>
    </row>
    <row xmlns:x14ac="http://schemas.microsoft.com/office/spreadsheetml/2009/9/ac" r="58" x14ac:dyDescent="0.45">
      <c r="A58">
        <f>Rocof!A63</f>
        <v>0.28000000000000003</v>
      </c>
      <c r="B58">
        <f>Rocof!$W63</f>
        <v>0.1320776884225846</v>
      </c>
      <c r="C58">
        <f>Rocof!$X63</f>
        <v>0.28456236334432339</v>
      </c>
    </row>
    <row xmlns:x14ac="http://schemas.microsoft.com/office/spreadsheetml/2009/9/ac" r="59" x14ac:dyDescent="0.45">
      <c r="A59">
        <f>Rocof!A64</f>
        <v>0.28499999999999998</v>
      </c>
      <c r="B59">
        <f>Rocof!$W64</f>
        <v>0.13226682674063855</v>
      </c>
      <c r="C59">
        <f>Rocof!$X64</f>
        <v>0.28376104165598121</v>
      </c>
    </row>
    <row xmlns:x14ac="http://schemas.microsoft.com/office/spreadsheetml/2009/9/ac" r="60" x14ac:dyDescent="0.45">
      <c r="A60">
        <f>Rocof!A65</f>
        <v>0.28999999999999998</v>
      </c>
      <c r="B60">
        <f>Rocof!$W65</f>
        <v>0.13245502172739573</v>
      </c>
      <c r="C60">
        <f>Rocof!$X65</f>
        <v>0.28280381406548633</v>
      </c>
    </row>
    <row xmlns:x14ac="http://schemas.microsoft.com/office/spreadsheetml/2009/9/ac" r="61" x14ac:dyDescent="0.45">
      <c r="A61">
        <f>Rocof!A66</f>
        <v>0.29499999999999998</v>
      </c>
      <c r="B61">
        <f>Rocof!$W66</f>
        <v>0.13264227808774065</v>
      </c>
      <c r="C61">
        <f>Rocof!$X66</f>
        <v>0.28170286324140015</v>
      </c>
    </row>
    <row xmlns:x14ac="http://schemas.microsoft.com/office/spreadsheetml/2009/9/ac" r="62" x14ac:dyDescent="0.45">
      <c r="A62">
        <f>Rocof!A67</f>
        <v>0.3</v>
      </c>
      <c r="B62">
        <f>Rocof!$W67</f>
        <v>0.13282860050309203</v>
      </c>
      <c r="C62">
        <f>Rocof!$X67</f>
        <v>0.28047046521910851</v>
      </c>
    </row>
    <row xmlns:x14ac="http://schemas.microsoft.com/office/spreadsheetml/2009/9/ac" r="63" x14ac:dyDescent="0.45">
      <c r="A63">
        <f>Rocof!A68</f>
        <v>0.30499999999999999</v>
      </c>
      <c r="B63">
        <f>Rocof!$W68</f>
        <v>0.13301399363151997</v>
      </c>
      <c r="C63">
        <f>Rocof!$X68</f>
        <v>0.27911892612293132</v>
      </c>
    </row>
    <row xmlns:x14ac="http://schemas.microsoft.com/office/spreadsheetml/2009/9/ac" r="64" x14ac:dyDescent="0.45">
      <c r="A64">
        <f>Rocof!A69</f>
        <v>0.31</v>
      </c>
      <c r="B64">
        <f>Rocof!$W69</f>
        <v>0.13319846210786235</v>
      </c>
      <c r="C64">
        <f>Rocof!$X69</f>
        <v>0.27766052183039625</v>
      </c>
    </row>
    <row xmlns:x14ac="http://schemas.microsoft.com/office/spreadsheetml/2009/9/ac" r="65" x14ac:dyDescent="0.45">
      <c r="A65">
        <f>Rocof!A70</f>
        <v>0.315</v>
      </c>
      <c r="B65">
        <f>Rocof!$W70</f>
        <v>0.13338201054384066</v>
      </c>
      <c r="C65">
        <f>Rocof!$X70</f>
        <v>0.27610744072381099</v>
      </c>
    </row>
    <row xmlns:x14ac="http://schemas.microsoft.com/office/spreadsheetml/2009/9/ac" r="66" x14ac:dyDescent="0.45">
      <c r="A66">
        <f>Rocof!A71</f>
        <v>0.32</v>
      </c>
      <c r="B66">
        <f>Rocof!$W71</f>
        <v>0.1335646435281754</v>
      </c>
      <c r="C66">
        <f>Rocof!$X71</f>
        <v>0.27447172965242078</v>
      </c>
    </row>
    <row xmlns:x14ac="http://schemas.microsoft.com/office/spreadsheetml/2009/9/ac" r="67" x14ac:dyDescent="0.45">
      <c r="A67">
        <f>Rocof!A72</f>
        <v>0.32500000000000001</v>
      </c>
      <c r="B67">
        <f>Rocof!$W72</f>
        <v>0.13374636562670067</v>
      </c>
      <c r="C67">
        <f>Rocof!$X72</f>
        <v>0.27276524320706919</v>
      </c>
    </row>
    <row xmlns:x14ac="http://schemas.microsoft.com/office/spreadsheetml/2009/9/ac" r="68" x14ac:dyDescent="0.45">
      <c r="A68">
        <f>Rocof!A73</f>
        <v>0.33</v>
      </c>
      <c r="B68">
        <f>Rocof!$W73</f>
        <v>0.13392718138247839</v>
      </c>
      <c r="C68">
        <f>Rocof!$X73</f>
        <v>0.27099959638845972</v>
      </c>
    </row>
    <row xmlns:x14ac="http://schemas.microsoft.com/office/spreadsheetml/2009/9/ac" r="69" x14ac:dyDescent="0.45">
      <c r="A69">
        <f>Rocof!A74</f>
        <v>0.33500000000000002</v>
      </c>
      <c r="B69">
        <f>Rocof!$W74</f>
        <v>0.13410709531591186</v>
      </c>
      <c r="C69">
        <f>Rocof!$X74</f>
        <v>0.2691861207299317</v>
      </c>
    </row>
    <row xmlns:x14ac="http://schemas.microsoft.com/office/spreadsheetml/2009/9/ac" r="70" x14ac:dyDescent="0.45">
      <c r="A70">
        <f>Rocof!A75</f>
        <v>0.34</v>
      </c>
      <c r="B70">
        <f>Rocof!$W75</f>
        <v>0.13428611192485884</v>
      </c>
      <c r="C70">
        <f>Rocof!$X75</f>
        <v>0.26733582391616328</v>
      </c>
    </row>
    <row xmlns:x14ac="http://schemas.microsoft.com/office/spreadsheetml/2009/9/ac" r="71" x14ac:dyDescent="0.45">
      <c r="A71">
        <f>Rocof!A76</f>
        <v>0.34499999999999997</v>
      </c>
      <c r="B71">
        <f>Rocof!$W76</f>
        <v>0.1344642356847438</v>
      </c>
      <c r="C71">
        <f>Rocof!$X76</f>
        <v>0.26545935292047484</v>
      </c>
    </row>
    <row xmlns:x14ac="http://schemas.microsoft.com/office/spreadsheetml/2009/9/ac" r="72" x14ac:dyDescent="0.45">
      <c r="A72">
        <f>Rocof!A77</f>
        <v>0.35</v>
      </c>
      <c r="B72">
        <f>Rocof!$W77</f>
        <v>0.13464147104867008</v>
      </c>
      <c r="C72">
        <f>Rocof!$X77</f>
        <v>0.26356696066546603</v>
      </c>
    </row>
    <row xmlns:x14ac="http://schemas.microsoft.com/office/spreadsheetml/2009/9/ac" r="73" x14ac:dyDescent="0.45">
      <c r="A73">
        <f>Rocof!A78</f>
        <v>0.35499999999999998</v>
      </c>
      <c r="B73">
        <f>Rocof!$W78</f>
        <v>0.13481782244753099</v>
      </c>
      <c r="C73">
        <f>Rocof!$X78</f>
        <v>0.26166847619463657</v>
      </c>
    </row>
    <row xmlns:x14ac="http://schemas.microsoft.com/office/spreadsheetml/2009/9/ac" r="74" x14ac:dyDescent="0.45">
      <c r="A74">
        <f>Rocof!A79</f>
        <v>0.36</v>
      </c>
      <c r="B74">
        <f>Rocof!$W79</f>
        <v>0.13499329429012069</v>
      </c>
      <c r="C74">
        <f>Rocof!$X79</f>
        <v>0.25977327832644592</v>
      </c>
    </row>
    <row xmlns:x14ac="http://schemas.microsoft.com/office/spreadsheetml/2009/9/ac" r="75" x14ac:dyDescent="0.45">
      <c r="A75">
        <f>Rocof!A80</f>
        <v>0.36499999999999999</v>
      </c>
      <c r="B75">
        <f>Rocof!$W80</f>
        <v>0.13516789096324433</v>
      </c>
      <c r="C75">
        <f>Rocof!$X80</f>
        <v>0.25789027274700177</v>
      </c>
    </row>
    <row xmlns:x14ac="http://schemas.microsoft.com/office/spreadsheetml/2009/9/ac" r="76" x14ac:dyDescent="0.45">
      <c r="A76">
        <f>Rocof!A81</f>
        <v>0.37</v>
      </c>
      <c r="B76">
        <f>Rocof!$W81</f>
        <v>0.13534161683182794</v>
      </c>
      <c r="C76">
        <f>Rocof!$X81</f>
        <v>0.25602787248325354</v>
      </c>
    </row>
    <row xmlns:x14ac="http://schemas.microsoft.com/office/spreadsheetml/2009/9/ac" r="77" x14ac:dyDescent="0.45">
      <c r="A77">
        <f>Rocof!A82</f>
        <v>0.375</v>
      </c>
      <c r="B77">
        <f>Rocof!$W82</f>
        <v>0.13551447623902718</v>
      </c>
      <c r="C77">
        <f>Rocof!$X82</f>
        <v>0.25419398168523233</v>
      </c>
    </row>
    <row xmlns:x14ac="http://schemas.microsoft.com/office/spreadsheetml/2009/9/ac" r="78" x14ac:dyDescent="0.45">
      <c r="A78">
        <f>Rocof!A83</f>
        <v>0.38</v>
      </c>
      <c r="B78">
        <f>Rocof!$W83</f>
        <v>0.13568647350633628</v>
      </c>
      <c r="C78">
        <f>Rocof!$X83</f>
        <v>0.25239598263353225</v>
      </c>
    </row>
    <row xmlns:x14ac="http://schemas.microsoft.com/office/spreadsheetml/2009/9/ac" r="79" x14ac:dyDescent="0.45">
      <c r="A79">
        <f>Rocof!A84</f>
        <v>0.38500000000000001</v>
      </c>
      <c r="B79">
        <f>Rocof!$W84</f>
        <v>0.13585761293369586</v>
      </c>
      <c r="C79">
        <f>Rocof!$X84</f>
        <v>0.25064072587688846</v>
      </c>
    </row>
    <row xmlns:x14ac="http://schemas.microsoft.com/office/spreadsheetml/2009/9/ac" r="80" x14ac:dyDescent="0.45">
      <c r="A80">
        <f>Rocof!A85</f>
        <v>0.39</v>
      </c>
      <c r="B80">
        <f>Rocof!$W85</f>
        <v>0.13602789879960056</v>
      </c>
      <c r="C80">
        <f>Rocof!$X85</f>
        <v>0.24893452339437411</v>
      </c>
    </row>
    <row xmlns:x14ac="http://schemas.microsoft.com/office/spreadsheetml/2009/9/ac" r="81" x14ac:dyDescent="0.45">
      <c r="A81">
        <f>Rocof!A86</f>
        <v>0.39500000000000002</v>
      </c>
      <c r="B81">
        <f>Rocof!$W86</f>
        <v>0.13619733536120585</v>
      </c>
      <c r="C81">
        <f>Rocof!$X86</f>
        <v>0.24728314466741291</v>
      </c>
    </row>
    <row xmlns:x14ac="http://schemas.microsoft.com/office/spreadsheetml/2009/9/ac" r="82" x14ac:dyDescent="0.45">
      <c r="A82">
        <f>Rocof!A87</f>
        <v>0.4</v>
      </c>
      <c r="B82">
        <f>Rocof!$W87</f>
        <v>0.1363659268544346</v>
      </c>
      <c r="C82">
        <f>Rocof!$X87</f>
        <v>0.2456918155384844</v>
      </c>
    </row>
    <row xmlns:x14ac="http://schemas.microsoft.com/office/spreadsheetml/2009/9/ac" r="83" x14ac:dyDescent="0.45">
      <c r="A83">
        <f>Rocof!A88</f>
        <v>0.40500000000000003</v>
      </c>
      <c r="B83">
        <f>Rocof!$W88</f>
        <v>0.13653367749408296</v>
      </c>
      <c r="C83">
        <f>Rocof!$X88</f>
        <v>0.24416521972607252</v>
      </c>
    </row>
    <row xmlns:x14ac="http://schemas.microsoft.com/office/spreadsheetml/2009/9/ac" r="84" x14ac:dyDescent="0.45">
      <c r="A84">
        <f>Rocof!A89</f>
        <v>0.41</v>
      </c>
      <c r="B84">
        <f>Rocof!$W89</f>
        <v>0.13670059147392563</v>
      </c>
      <c r="C84">
        <f>Rocof!$X89</f>
        <v>0.24270750285906489</v>
      </c>
    </row>
    <row xmlns:x14ac="http://schemas.microsoft.com/office/spreadsheetml/2009/9/ac" r="85" x14ac:dyDescent="0.45">
      <c r="A85">
        <f>Rocof!A90</f>
        <v>0.41499999999999998</v>
      </c>
      <c r="B85">
        <f>Rocof!$W90</f>
        <v>0.13686667296682081</v>
      </c>
      <c r="C85">
        <f>Rocof!$X90</f>
        <v>0.241322278888427</v>
      </c>
    </row>
    <row xmlns:x14ac="http://schemas.microsoft.com/office/spreadsheetml/2009/9/ac" r="86" x14ac:dyDescent="0.45">
      <c r="A86">
        <f>Rocof!A91</f>
        <v>0.42</v>
      </c>
      <c r="B86">
        <f>Rocof!$W91</f>
        <v>0.13703192612481446</v>
      </c>
      <c r="C86">
        <f>Rocof!$X91</f>
        <v>0.24001263872954087</v>
      </c>
    </row>
    <row xmlns:x14ac="http://schemas.microsoft.com/office/spreadsheetml/2009/9/ac" r="87" x14ac:dyDescent="0.45">
      <c r="A87">
        <f>Rocof!A92</f>
        <v>0.42499999999999999</v>
      </c>
      <c r="B87">
        <f>Rocof!$W92</f>
        <v>0.1371963550792441</v>
      </c>
      <c r="C87">
        <f>Rocof!$X92</f>
        <v>0.23878116098507374</v>
      </c>
    </row>
    <row xmlns:x14ac="http://schemas.microsoft.com/office/spreadsheetml/2009/9/ac" r="88" x14ac:dyDescent="0.45">
      <c r="A88">
        <f>Rocof!A93</f>
        <v>0.43</v>
      </c>
      <c r="B88">
        <f>Rocof!$W93</f>
        <v>0.13735996394084224</v>
      </c>
      <c r="C88">
        <f>Rocof!$X93</f>
        <v>0.23762992459561455</v>
      </c>
    </row>
    <row xmlns:x14ac="http://schemas.microsoft.com/office/spreadsheetml/2009/9/ac" r="89" x14ac:dyDescent="0.45">
      <c r="A89">
        <f>Rocof!A94</f>
        <v>0.435</v>
      </c>
      <c r="B89">
        <f>Rocof!$W94</f>
        <v>0.13752275679983889</v>
      </c>
      <c r="C89">
        <f>Rocof!$X94</f>
        <v>0.23656052326354354</v>
      </c>
    </row>
    <row xmlns:x14ac="http://schemas.microsoft.com/office/spreadsheetml/2009/9/ac" r="90" x14ac:dyDescent="0.45">
      <c r="A90">
        <f>Rocof!A95</f>
        <v>0.44</v>
      </c>
      <c r="B90">
        <f>Rocof!$W95</f>
        <v>0.13768473772606402</v>
      </c>
      <c r="C90">
        <f>Rocof!$X95</f>
        <v>0.23557408149465409</v>
      </c>
    </row>
    <row xmlns:x14ac="http://schemas.microsoft.com/office/spreadsheetml/2009/9/ac" r="91" x14ac:dyDescent="0.45">
      <c r="A91">
        <f>Rocof!A96</f>
        <v>0.44500000000000001</v>
      </c>
      <c r="B91">
        <f>Rocof!$W96</f>
        <v>0.1378459107690492</v>
      </c>
      <c r="C91">
        <f>Rocof!$X96</f>
        <v>0.23467127210189082</v>
      </c>
    </row>
    <row xmlns:x14ac="http://schemas.microsoft.com/office/spreadsheetml/2009/9/ac" r="92" x14ac:dyDescent="0.45">
      <c r="A92">
        <f>Rocof!A97</f>
        <v>0.45</v>
      </c>
      <c r="B92">
        <f>Rocof!$W97</f>
        <v>0.13800627995812892</v>
      </c>
      <c r="C92">
        <f>Rocof!$X97</f>
        <v>0.23385233501616387</v>
      </c>
    </row>
    <row xmlns:x14ac="http://schemas.microsoft.com/office/spreadsheetml/2009/9/ac" r="93" x14ac:dyDescent="0.45">
      <c r="A93">
        <f>Rocof!A98</f>
        <v>0.45500000000000002</v>
      </c>
      <c r="B93">
        <f>Rocof!$W98</f>
        <v>0.13816584930254125</v>
      </c>
      <c r="C93">
        <f>Rocof!$X98</f>
        <v>0.23311709725050761</v>
      </c>
    </row>
    <row xmlns:x14ac="http://schemas.microsoft.com/office/spreadsheetml/2009/9/ac" r="94" x14ac:dyDescent="0.45">
      <c r="A94">
        <f>Rocof!A99</f>
        <v>0.46</v>
      </c>
      <c r="B94">
        <f>Rocof!$W99</f>
        <v>0.1383246227915281</v>
      </c>
      <c r="C94">
        <f>Rocof!$X99</f>
        <v>0.23246499386583347</v>
      </c>
    </row>
    <row xmlns:x14ac="http://schemas.microsoft.com/office/spreadsheetml/2009/9/ac" r="95" x14ac:dyDescent="0.45">
      <c r="A95">
        <f>Rocof!A100</f>
        <v>0.46500000000000002</v>
      </c>
      <c r="B95">
        <f>Rocof!$W100</f>
        <v>0.13848260439443499</v>
      </c>
      <c r="C95">
        <f>Rocof!$X100</f>
        <v>0.23189508978913492</v>
      </c>
    </row>
    <row xmlns:x14ac="http://schemas.microsoft.com/office/spreadsheetml/2009/9/ac" r="96" x14ac:dyDescent="0.45">
      <c r="A96">
        <f>Rocof!A101</f>
        <v>0.47</v>
      </c>
      <c r="B96">
        <f>Rocof!$W101</f>
        <v>0.13863979806081023</v>
      </c>
      <c r="C96">
        <f>Rocof!$X101</f>
        <v>0.23140610233819986</v>
      </c>
    </row>
    <row xmlns:x14ac="http://schemas.microsoft.com/office/spreadsheetml/2009/9/ac" r="97" x14ac:dyDescent="0.45">
      <c r="A97">
        <f>Rocof!A102</f>
        <v>0.47499999999999998</v>
      </c>
      <c r="B97">
        <f>Rocof!$W102</f>
        <v>0.13879620772050361</v>
      </c>
      <c r="C97">
        <f>Rocof!$X102</f>
        <v>0.23099642431062273</v>
      </c>
    </row>
    <row xmlns:x14ac="http://schemas.microsoft.com/office/spreadsheetml/2009/9/ac" r="98" x14ac:dyDescent="0.45">
      <c r="A98">
        <f>Rocof!A103</f>
        <v>0.48</v>
      </c>
      <c r="B98">
        <f>Rocof!$W103</f>
        <v>0.13895183728376481</v>
      </c>
      <c r="C98">
        <f>Rocof!$X103</f>
        <v>0.23066414749914521</v>
      </c>
    </row>
    <row xmlns:x14ac="http://schemas.microsoft.com/office/spreadsheetml/2009/9/ac" r="99" x14ac:dyDescent="0.45">
      <c r="A99">
        <f>Rocof!A104</f>
        <v>0.48499999999999999</v>
      </c>
      <c r="B99">
        <f>Rocof!$W104</f>
        <v>0.13910669064134101</v>
      </c>
      <c r="C99">
        <f>Rocof!$X104</f>
        <v>0.23040708650004438</v>
      </c>
    </row>
    <row xmlns:x14ac="http://schemas.microsoft.com/office/spreadsheetml/2009/9/ac" r="100" x14ac:dyDescent="0.45">
      <c r="A100">
        <f>Rocof!A105</f>
        <v>0.49</v>
      </c>
      <c r="B100">
        <f>Rocof!$W105</f>
        <v>0.13926077166457423</v>
      </c>
      <c r="C100">
        <f>Rocof!$X105</f>
        <v>0.2302228026863844</v>
      </c>
    </row>
    <row xmlns:x14ac="http://schemas.microsoft.com/office/spreadsheetml/2009/9/ac" r="101" x14ac:dyDescent="0.45">
      <c r="A101">
        <f>Rocof!A106</f>
        <v>0.495</v>
      </c>
      <c r="B101">
        <f>Rocof!$W106</f>
        <v>0.13941408420549806</v>
      </c>
      <c r="C101">
        <f>Rocof!$X106</f>
        <v>0.23010862822341205</v>
      </c>
    </row>
    <row xmlns:x14ac="http://schemas.microsoft.com/office/spreadsheetml/2009/9/ac" r="102" x14ac:dyDescent="0.45">
      <c r="A102">
        <f>Rocof!A107</f>
        <v>0.5</v>
      </c>
      <c r="B102">
        <f>Rocof!$W107</f>
        <v>0.13956663209693401</v>
      </c>
      <c r="C102">
        <f>Rocof!$X107</f>
        <v>0.23006169000915883</v>
      </c>
    </row>
    <row xmlns:x14ac="http://schemas.microsoft.com/office/spreadsheetml/2009/9/ac" r="103" x14ac:dyDescent="0.45">
      <c r="A103">
        <f>Rocof!A108</f>
        <v>0.505</v>
      </c>
      <c r="B103">
        <f>Rocof!$W108</f>
        <v>0.13971841915258731</v>
      </c>
      <c r="C103">
        <f>Rocof!$X108</f>
        <v>0.23007893342937424</v>
      </c>
    </row>
    <row xmlns:x14ac="http://schemas.microsoft.com/office/spreadsheetml/2009/9/ac" r="104" x14ac:dyDescent="0.45">
      <c r="A104">
        <f>Rocof!A109</f>
        <v>0.51</v>
      </c>
      <c r="B104">
        <f>Rocof!$W109</f>
        <v>0.13986944916714225</v>
      </c>
      <c r="C104">
        <f>Rocof!$X109</f>
        <v>0.22997878933110649</v>
      </c>
    </row>
    <row xmlns:x14ac="http://schemas.microsoft.com/office/spreadsheetml/2009/9/ac" r="105" x14ac:dyDescent="0.45">
      <c r="A105">
        <f>Rocof!A110</f>
        <v>0.51500000000000001</v>
      </c>
      <c r="B105">
        <f>Rocof!$W110</f>
        <v>0.14001972591635709</v>
      </c>
      <c r="C105">
        <f>Rocof!$X110</f>
        <v>0.22987914470361259</v>
      </c>
    </row>
    <row xmlns:x14ac="http://schemas.microsoft.com/office/spreadsheetml/2009/9/ac" r="106" x14ac:dyDescent="0.45">
      <c r="A106">
        <f>Rocof!A111</f>
        <v>0.52</v>
      </c>
      <c r="B106">
        <f>Rocof!$W111</f>
        <v>0.14016925315715834</v>
      </c>
      <c r="C106">
        <f>Rocof!$X111</f>
        <v>0.22977999705577162</v>
      </c>
    </row>
    <row xmlns:x14ac="http://schemas.microsoft.com/office/spreadsheetml/2009/9/ac" r="107" x14ac:dyDescent="0.45">
      <c r="A107">
        <f>Rocof!A112</f>
        <v>0.52500000000000002</v>
      </c>
      <c r="B107">
        <f>Rocof!$W112</f>
        <v>0.14031803462773484</v>
      </c>
      <c r="C107">
        <f>Rocof!$X112</f>
        <v>0.22968134390888728</v>
      </c>
    </row>
    <row xmlns:x14ac="http://schemas.microsoft.com/office/spreadsheetml/2009/9/ac" r="108" x14ac:dyDescent="0.45">
      <c r="A108">
        <f>Rocof!A113</f>
        <v>0.53</v>
      </c>
      <c r="B108">
        <f>Rocof!$W113</f>
        <v>0.14046607404763109</v>
      </c>
      <c r="C108">
        <f>Rocof!$X113</f>
        <v>0.22958318279662571</v>
      </c>
    </row>
    <row xmlns:x14ac="http://schemas.microsoft.com/office/spreadsheetml/2009/9/ac" r="109" x14ac:dyDescent="0.45">
      <c r="A109">
        <f>Rocof!A114</f>
        <v>0.53500000000000003</v>
      </c>
      <c r="B109">
        <f>Rocof!$W114</f>
        <v>0.14061337511784031</v>
      </c>
      <c r="C109">
        <f>Rocof!$X114</f>
        <v>0.22948551126495403</v>
      </c>
    </row>
    <row xmlns:x14ac="http://schemas.microsoft.com/office/spreadsheetml/2009/9/ac" r="110" x14ac:dyDescent="0.45">
      <c r="A110">
        <f>Rocof!A115</f>
        <v>0.54</v>
      </c>
      <c r="B110">
        <f>Rocof!$W115</f>
        <v>0.14075994152089691</v>
      </c>
      <c r="C110">
        <f>Rocof!$X115</f>
        <v>0.22938832687207888</v>
      </c>
    </row>
    <row xmlns:x14ac="http://schemas.microsoft.com/office/spreadsheetml/2009/9/ac" r="111" x14ac:dyDescent="0.45">
      <c r="A111">
        <f>Rocof!A116</f>
        <v>0.54500000000000004</v>
      </c>
      <c r="B111">
        <f>Rocof!$W116</f>
        <v>0.14090577692096862</v>
      </c>
      <c r="C111">
        <f>Rocof!$X116</f>
        <v>0.22929162718838531</v>
      </c>
    </row>
    <row xmlns:x14ac="http://schemas.microsoft.com/office/spreadsheetml/2009/9/ac" r="112" x14ac:dyDescent="0.45">
      <c r="A112">
        <f>Rocof!A117</f>
        <v>0.55000000000000004</v>
      </c>
      <c r="B112">
        <f>Rocof!$W117</f>
        <v>0.14105088496394805</v>
      </c>
      <c r="C112">
        <f>Rocof!$X117</f>
        <v>0.2291954097963762</v>
      </c>
    </row>
    <row xmlns:x14ac="http://schemas.microsoft.com/office/spreadsheetml/2009/9/ac" r="113" x14ac:dyDescent="0.45">
      <c r="A113">
        <f>Rocof!A118</f>
        <v>0.55500000000000005</v>
      </c>
      <c r="B113">
        <f>Rocof!$W118</f>
        <v>0.14119526927754378</v>
      </c>
      <c r="C113">
        <f>Rocof!$X118</f>
        <v>0.22909967229061179</v>
      </c>
    </row>
    <row xmlns:x14ac="http://schemas.microsoft.com/office/spreadsheetml/2009/9/ac" r="114" x14ac:dyDescent="0.45">
      <c r="A114">
        <f>Rocof!A119</f>
        <v>0.56000000000000005</v>
      </c>
      <c r="B114">
        <f>Rocof!$W119</f>
        <v>0.14133893347137122</v>
      </c>
      <c r="C114">
        <f>Rocof!$X119</f>
        <v>0.22900441227764945</v>
      </c>
    </row>
    <row xmlns:x14ac="http://schemas.microsoft.com/office/spreadsheetml/2009/9/ac" r="115" x14ac:dyDescent="0.45">
      <c r="A115">
        <f>Rocof!A120</f>
        <v>0.56499999999999995</v>
      </c>
      <c r="B115">
        <f>Rocof!$W120</f>
        <v>0.14148188113704269</v>
      </c>
      <c r="C115">
        <f>Rocof!$X120</f>
        <v>0.2289096273759838</v>
      </c>
    </row>
    <row xmlns:x14ac="http://schemas.microsoft.com/office/spreadsheetml/2009/9/ac" r="116" x14ac:dyDescent="0.45">
      <c r="A116">
        <f>Rocof!A121</f>
        <v>0.56999999999999995</v>
      </c>
      <c r="B116">
        <f>Rocof!$W121</f>
        <v>0.14162411584825724</v>
      </c>
      <c r="C116">
        <f>Rocof!$X121</f>
        <v>0.22881531521598747</v>
      </c>
    </row>
    <row xmlns:x14ac="http://schemas.microsoft.com/office/spreadsheetml/2009/9/ac" r="117" x14ac:dyDescent="0.45">
      <c r="A117">
        <f>Rocof!A122</f>
        <v>0.57499999999999996</v>
      </c>
      <c r="B117">
        <f>Rocof!$W122</f>
        <v>0.14176564116089008</v>
      </c>
      <c r="C117">
        <f>Rocof!$X122</f>
        <v>0.2287214734398515</v>
      </c>
    </row>
    <row xmlns:x14ac="http://schemas.microsoft.com/office/spreadsheetml/2009/9/ac" r="118" x14ac:dyDescent="0.45">
      <c r="A118">
        <f>Rocof!A123</f>
        <v>0.57999999999999996</v>
      </c>
      <c r="B118">
        <f>Rocof!$W123</f>
        <v>0.14190646061308143</v>
      </c>
      <c r="C118">
        <f>Rocof!$X123</f>
        <v>0.22862809970152659</v>
      </c>
    </row>
    <row xmlns:x14ac="http://schemas.microsoft.com/office/spreadsheetml/2009/9/ac" r="119" x14ac:dyDescent="0.45">
      <c r="A119">
        <f>Rocof!A124</f>
        <v>0.58499999999999996</v>
      </c>
      <c r="B119">
        <f>Rocof!$W124</f>
        <v>0.14204657772532486</v>
      </c>
      <c r="C119">
        <f>Rocof!$X124</f>
        <v>0.22853519166666442</v>
      </c>
    </row>
    <row xmlns:x14ac="http://schemas.microsoft.com/office/spreadsheetml/2009/9/ac" r="120" x14ac:dyDescent="0.45">
      <c r="A120">
        <f>Rocof!A125</f>
        <v>0.59</v>
      </c>
      <c r="B120">
        <f>Rocof!$W125</f>
        <v>0.14218599600055554</v>
      </c>
      <c r="C120">
        <f>Rocof!$X125</f>
        <v>0.22844274701255934</v>
      </c>
    </row>
    <row xmlns:x14ac="http://schemas.microsoft.com/office/spreadsheetml/2009/9/ac" r="121" x14ac:dyDescent="0.45">
      <c r="A121">
        <f>Rocof!A126</f>
        <v>0.59499999999999997</v>
      </c>
      <c r="B121">
        <f>Rocof!$W126</f>
        <v>0.14232471892423759</v>
      </c>
      <c r="C121">
        <f>Rocof!$X126</f>
        <v>0.22835076342809008</v>
      </c>
    </row>
    <row xmlns:x14ac="http://schemas.microsoft.com/office/spreadsheetml/2009/9/ac" r="122" x14ac:dyDescent="0.45">
      <c r="A122">
        <f>Rocof!A127</f>
        <v>0.6</v>
      </c>
      <c r="B122">
        <f>Rocof!$W127</f>
        <v>0.14246274996445132</v>
      </c>
      <c r="C122">
        <f>Rocof!$X127</f>
        <v>0.22825923861366232</v>
      </c>
    </row>
    <row xmlns:x14ac="http://schemas.microsoft.com/office/spreadsheetml/2009/9/ac" r="123" x14ac:dyDescent="0.45">
      <c r="A123">
        <f>Rocof!A128</f>
        <v>0.60499999999999998</v>
      </c>
      <c r="B123">
        <f>Rocof!$W128</f>
        <v>0.14260009257197992</v>
      </c>
      <c r="C123">
        <f>Rocof!$X128</f>
        <v>0.22816817028115088</v>
      </c>
    </row>
    <row xmlns:x14ac="http://schemas.microsoft.com/office/spreadsheetml/2009/9/ac" r="124" x14ac:dyDescent="0.45">
      <c r="A124">
        <f>Rocof!A129</f>
        <v>0.61</v>
      </c>
      <c r="B124">
        <f>Rocof!$W129</f>
        <v>0.14273675018039578</v>
      </c>
      <c r="C124">
        <f>Rocof!$X129</f>
        <v>0.22807755615384279</v>
      </c>
    </row>
    <row xmlns:x14ac="http://schemas.microsoft.com/office/spreadsheetml/2009/9/ac" r="125" x14ac:dyDescent="0.45">
      <c r="A125">
        <f>Rocof!A130</f>
        <v>0.61499999999999999</v>
      </c>
      <c r="B125">
        <f>Rocof!$W130</f>
        <v>0.14287272620614616</v>
      </c>
      <c r="C125">
        <f>Rocof!$X130</f>
        <v>0.22798739396638001</v>
      </c>
    </row>
    <row xmlns:x14ac="http://schemas.microsoft.com/office/spreadsheetml/2009/9/ac" r="126" x14ac:dyDescent="0.45">
      <c r="A126">
        <f>Rocof!A131</f>
        <v>0.62</v>
      </c>
      <c r="B126">
        <f>Rocof!$W131</f>
        <v>0.14300802404863877</v>
      </c>
      <c r="C126">
        <f>Rocof!$X131</f>
        <v>0.22789768146470329</v>
      </c>
    </row>
    <row xmlns:x14ac="http://schemas.microsoft.com/office/spreadsheetml/2009/9/ac" r="127" x14ac:dyDescent="0.45">
      <c r="A127">
        <f>Rocof!A132</f>
        <v>0.625</v>
      </c>
      <c r="B127">
        <f>Rocof!$W132</f>
        <v>0.14314264709032681</v>
      </c>
      <c r="C127">
        <f>Rocof!$X132</f>
        <v>0.22780841640599531</v>
      </c>
    </row>
    <row xmlns:x14ac="http://schemas.microsoft.com/office/spreadsheetml/2009/9/ac" r="128" x14ac:dyDescent="0.45">
      <c r="A128">
        <f>Rocof!A133</f>
        <v>0.63</v>
      </c>
      <c r="B128">
        <f>Rocof!$W133</f>
        <v>0.14327659869679329</v>
      </c>
      <c r="C128">
        <f>Rocof!$X133</f>
        <v>0.22771959655862506</v>
      </c>
    </row>
    <row xmlns:x14ac="http://schemas.microsoft.com/office/spreadsheetml/2009/9/ac" r="129" x14ac:dyDescent="0.45">
      <c r="A129">
        <f>Rocof!A134</f>
        <v>0.63500000000000001</v>
      </c>
      <c r="B129">
        <f>Rocof!$W134</f>
        <v>0.14340988221683532</v>
      </c>
      <c r="C129">
        <f>Rocof!$X134</f>
        <v>0.22763121970209166</v>
      </c>
    </row>
    <row xmlns:x14ac="http://schemas.microsoft.com/office/spreadsheetml/2009/9/ac" r="130" x14ac:dyDescent="0.45">
      <c r="A130">
        <f>Rocof!A135</f>
        <v>0.64</v>
      </c>
      <c r="B130">
        <f>Rocof!$W135</f>
        <v>0.14354250098254789</v>
      </c>
      <c r="C130">
        <f>Rocof!$X135</f>
        <v>0.22754328362696907</v>
      </c>
    </row>
    <row xmlns:x14ac="http://schemas.microsoft.com/office/spreadsheetml/2009/9/ac" r="131" x14ac:dyDescent="0.45">
      <c r="A131">
        <f>Rocof!A136</f>
        <v>0.64500000000000002</v>
      </c>
      <c r="B131">
        <f>Rocof!$W136</f>
        <v>0.14367445830940703</v>
      </c>
      <c r="C131">
        <f>Rocof!$X136</f>
        <v>0.2274557861348509</v>
      </c>
    </row>
    <row xmlns:x14ac="http://schemas.microsoft.com/office/spreadsheetml/2009/9/ac" r="132" x14ac:dyDescent="0.45">
      <c r="A132">
        <f>Rocof!A137</f>
        <v>0.65</v>
      </c>
      <c r="B132">
        <f>Rocof!$W137</f>
        <v>0.14380575749635277</v>
      </c>
      <c r="C132">
        <f>Rocof!$X137</f>
        <v>0.22736872503829525</v>
      </c>
    </row>
    <row xmlns:x14ac="http://schemas.microsoft.com/office/spreadsheetml/2009/9/ac" r="133" x14ac:dyDescent="0.45">
      <c r="A133">
        <f>Rocof!A138</f>
        <v>0.65500000000000003</v>
      </c>
      <c r="B133">
        <f>Rocof!$W138</f>
        <v>0.14393640182587164</v>
      </c>
      <c r="C133">
        <f>Rocof!$X138</f>
        <v>0.22728209816077016</v>
      </c>
    </row>
    <row xmlns:x14ac="http://schemas.microsoft.com/office/spreadsheetml/2009/9/ac" r="134" x14ac:dyDescent="0.45">
      <c r="A134">
        <f>Rocof!A139</f>
        <v>0.66</v>
      </c>
      <c r="B134">
        <f>Rocof!$W139</f>
        <v>0.14406639456407866</v>
      </c>
      <c r="C134">
        <f>Rocof!$X139</f>
        <v>0.22719590333659917</v>
      </c>
    </row>
    <row xmlns:x14ac="http://schemas.microsoft.com/office/spreadsheetml/2009/9/ac" r="135" x14ac:dyDescent="0.45">
      <c r="A135">
        <f>Rocof!A140</f>
        <v>0.66500000000000004</v>
      </c>
      <c r="B135">
        <f>Rocof!$W140</f>
        <v>0.14419573896079907</v>
      </c>
      <c r="C135">
        <f>Rocof!$X140</f>
        <v>0.22711013841090727</v>
      </c>
    </row>
    <row xmlns:x14ac="http://schemas.microsoft.com/office/spreadsheetml/2009/9/ac" r="136" x14ac:dyDescent="0.45">
      <c r="A136">
        <f>Rocof!A141</f>
        <v>0.67</v>
      </c>
      <c r="B136">
        <f>Rocof!$W141</f>
        <v>0.14432443824964958</v>
      </c>
      <c r="C136">
        <f>Rocof!$X141</f>
        <v>0.22702480123956681</v>
      </c>
    </row>
    <row xmlns:x14ac="http://schemas.microsoft.com/office/spreadsheetml/2009/9/ac" r="137" x14ac:dyDescent="0.45">
      <c r="A137">
        <f>Rocof!A142</f>
        <v>0.67500000000000004</v>
      </c>
      <c r="B137">
        <f>Rocof!$W142</f>
        <v>0.14445249564811902</v>
      </c>
      <c r="C137">
        <f>Rocof!$X142</f>
        <v>0.22693988968914403</v>
      </c>
    </row>
    <row xmlns:x14ac="http://schemas.microsoft.com/office/spreadsheetml/2009/9/ac" r="138" x14ac:dyDescent="0.45">
      <c r="A138">
        <f>Rocof!A143</f>
        <v>0.68</v>
      </c>
      <c r="B138">
        <f>Rocof!$W143</f>
        <v>0.14457991435764905</v>
      </c>
      <c r="C138">
        <f>Rocof!$X143</f>
        <v>0.22685540163684575</v>
      </c>
    </row>
    <row xmlns:x14ac="http://schemas.microsoft.com/office/spreadsheetml/2009/9/ac" r="139" x14ac:dyDescent="0.45">
      <c r="A139">
        <f>Rocof!A144</f>
        <v>0.68500000000000005</v>
      </c>
      <c r="B139">
        <f>Rocof!$W144</f>
        <v>0.14470669756371407</v>
      </c>
      <c r="C139">
        <f>Rocof!$X144</f>
        <v>0.22677133497046625</v>
      </c>
    </row>
    <row xmlns:x14ac="http://schemas.microsoft.com/office/spreadsheetml/2009/9/ac" r="140" x14ac:dyDescent="0.45">
      <c r="A140">
        <f>Rocof!A145</f>
        <v>0.69</v>
      </c>
      <c r="B140">
        <f>Rocof!$W145</f>
        <v>0.14483284843590083</v>
      </c>
      <c r="C140">
        <f>Rocof!$X145</f>
        <v>0.22668768758833457</v>
      </c>
    </row>
    <row xmlns:x14ac="http://schemas.microsoft.com/office/spreadsheetml/2009/9/ac" r="141" x14ac:dyDescent="0.45">
      <c r="A141">
        <f>Rocof!A146</f>
        <v>0.69499999999999995</v>
      </c>
      <c r="B141">
        <f>Rocof!$W146</f>
        <v>0.14495837012798768</v>
      </c>
      <c r="C141">
        <f>Rocof!$X146</f>
        <v>0.22660445739926177</v>
      </c>
    </row>
    <row xmlns:x14ac="http://schemas.microsoft.com/office/spreadsheetml/2009/9/ac" r="142" x14ac:dyDescent="0.45">
      <c r="A142">
        <f>Rocof!A147</f>
        <v>0.7</v>
      </c>
      <c r="B142">
        <f>Rocof!$W147</f>
        <v>0.1450832657780235</v>
      </c>
      <c r="C142">
        <f>Rocof!$X147</f>
        <v>0.22652164232248873</v>
      </c>
    </row>
    <row xmlns:x14ac="http://schemas.microsoft.com/office/spreadsheetml/2009/9/ac" r="143" x14ac:dyDescent="0.45">
      <c r="A143">
        <f>Rocof!A148</f>
        <v>0.70499999999999996</v>
      </c>
      <c r="B143">
        <f>Rocof!$W148</f>
        <v>0.14520753850840601</v>
      </c>
      <c r="C143">
        <f>Rocof!$X148</f>
        <v>0.22643924028763424</v>
      </c>
    </row>
    <row xmlns:x14ac="http://schemas.microsoft.com/office/spreadsheetml/2009/9/ac" r="144" x14ac:dyDescent="0.45">
      <c r="A144">
        <f>Rocof!A149</f>
        <v>0.71</v>
      </c>
      <c r="B144">
        <f>Rocof!$W149</f>
        <v>0.14533119142595996</v>
      </c>
      <c r="C144">
        <f>Rocof!$X149</f>
        <v>0.22635724923464318</v>
      </c>
    </row>
    <row xmlns:x14ac="http://schemas.microsoft.com/office/spreadsheetml/2009/9/ac" r="145" x14ac:dyDescent="0.45">
      <c r="A145">
        <f>Rocof!A150</f>
        <v>0.71499999999999997</v>
      </c>
      <c r="B145">
        <f>Rocof!$W150</f>
        <v>0.14545422762201471</v>
      </c>
      <c r="C145">
        <f>Rocof!$X150</f>
        <v>0.22627566711373492</v>
      </c>
    </row>
    <row xmlns:x14ac="http://schemas.microsoft.com/office/spreadsheetml/2009/9/ac" r="146" x14ac:dyDescent="0.45">
      <c r="A146">
        <f>Rocof!A151</f>
        <v>0.72</v>
      </c>
      <c r="B146">
        <f>Rocof!$W151</f>
        <v>0.14557665017248161</v>
      </c>
      <c r="C146">
        <f>Rocof!$X151</f>
        <v>0.22619449188535218</v>
      </c>
    </row>
    <row xmlns:x14ac="http://schemas.microsoft.com/office/spreadsheetml/2009/9/ac" r="147" x14ac:dyDescent="0.45">
      <c r="A147">
        <f>Rocof!A152</f>
        <v>0.72499999999999998</v>
      </c>
      <c r="B147">
        <f>Rocof!$W152</f>
        <v>0.14569846213793075</v>
      </c>
      <c r="C147">
        <f>Rocof!$X152</f>
        <v>0.22611372152011006</v>
      </c>
    </row>
    <row xmlns:x14ac="http://schemas.microsoft.com/office/spreadsheetml/2009/9/ac" r="148" x14ac:dyDescent="0.45">
      <c r="A148">
        <f>Rocof!A153</f>
        <v>0.73</v>
      </c>
      <c r="B148">
        <f>Rocof!$W153</f>
        <v>0.14581966656366763</v>
      </c>
      <c r="C148">
        <f>Rocof!$X153</f>
        <v>0.22603335399874519</v>
      </c>
    </row>
    <row xmlns:x14ac="http://schemas.microsoft.com/office/spreadsheetml/2009/9/ac" r="149" x14ac:dyDescent="0.45">
      <c r="A149">
        <f>Rocof!A154</f>
        <v>0.73499999999999999</v>
      </c>
      <c r="B149">
        <f>Rocof!$W154</f>
        <v>0.14594026647980923</v>
      </c>
      <c r="C149">
        <f>Rocof!$X154</f>
        <v>0.22595338731206532</v>
      </c>
    </row>
    <row xmlns:x14ac="http://schemas.microsoft.com/office/spreadsheetml/2009/9/ac" r="150" x14ac:dyDescent="0.45">
      <c r="A150">
        <f>Rocof!A155</f>
        <v>0.74</v>
      </c>
      <c r="B150">
        <f>Rocof!$W155</f>
        <v>0.1460602649013597</v>
      </c>
      <c r="C150">
        <f>Rocof!$X155</f>
        <v>0.22587381946089924</v>
      </c>
    </row>
    <row xmlns:x14ac="http://schemas.microsoft.com/office/spreadsheetml/2009/9/ac" r="151" x14ac:dyDescent="0.45">
      <c r="A151">
        <f>Rocof!A156</f>
        <v>0.745</v>
      </c>
      <c r="B151">
        <f>Rocof!$W156</f>
        <v>0.14617966482828584</v>
      </c>
      <c r="C151">
        <f>Rocof!$X156</f>
        <v>0.22579464845604635</v>
      </c>
    </row>
    <row xmlns:x14ac="http://schemas.microsoft.com/office/spreadsheetml/2009/9/ac" r="152" x14ac:dyDescent="0.45">
      <c r="A152">
        <f>Rocof!A157</f>
        <v>0.75</v>
      </c>
      <c r="B152">
        <f>Rocof!$W157</f>
        <v>0.14629846924559203</v>
      </c>
      <c r="C152">
        <f>Rocof!$X157</f>
        <v>0.2257158723182276</v>
      </c>
    </row>
    <row xmlns:x14ac="http://schemas.microsoft.com/office/spreadsheetml/2009/9/ac" r="153" x14ac:dyDescent="0.45">
      <c r="A153">
        <f>Rocof!A158</f>
        <v>0.755</v>
      </c>
      <c r="B153">
        <f>Rocof!$W158</f>
        <v>0.14641668112339495</v>
      </c>
      <c r="C153">
        <f>Rocof!$X158</f>
        <v>0.22563748907803527</v>
      </c>
    </row>
    <row xmlns:x14ac="http://schemas.microsoft.com/office/spreadsheetml/2009/9/ac" r="154" x14ac:dyDescent="0.45">
      <c r="A154">
        <f>Rocof!A159</f>
        <v>0.76</v>
      </c>
      <c r="B154">
        <f>Rocof!$W159</f>
        <v>0.14653430341699764</v>
      </c>
      <c r="C154">
        <f>Rocof!$X159</f>
        <v>0.22555949677588438</v>
      </c>
    </row>
    <row xmlns:x14ac="http://schemas.microsoft.com/office/spreadsheetml/2009/9/ac" r="155" x14ac:dyDescent="0.45">
      <c r="A155">
        <f>Rocof!A160</f>
        <v>0.76500000000000001</v>
      </c>
      <c r="B155">
        <f>Rocof!$W160</f>
        <v>0.14665133906696354</v>
      </c>
      <c r="C155">
        <f>Rocof!$X160</f>
        <v>0.22548189346196323</v>
      </c>
    </row>
    <row xmlns:x14ac="http://schemas.microsoft.com/office/spreadsheetml/2009/9/ac" r="156" x14ac:dyDescent="0.45">
      <c r="A156">
        <f>Rocof!A161</f>
        <v>0.77</v>
      </c>
      <c r="B156">
        <f>Rocof!$W161</f>
        <v>0.14676779099919007</v>
      </c>
      <c r="C156">
        <f>Rocof!$X161</f>
        <v>0.22540467719618501</v>
      </c>
    </row>
    <row xmlns:x14ac="http://schemas.microsoft.com/office/spreadsheetml/2009/9/ac" r="157" x14ac:dyDescent="0.45">
      <c r="A157">
        <f>Rocof!A162</f>
        <v>0.77500000000000002</v>
      </c>
      <c r="B157">
        <f>Rocof!$W162</f>
        <v>0.14688366212498155</v>
      </c>
      <c r="C157">
        <f>Rocof!$X162</f>
        <v>0.22532784604813905</v>
      </c>
    </row>
    <row xmlns:x14ac="http://schemas.microsoft.com/office/spreadsheetml/2009/9/ac" r="158" x14ac:dyDescent="0.45">
      <c r="A158">
        <f>Rocof!A163</f>
        <v>0.78</v>
      </c>
      <c r="B158">
        <f>Rocof!$W163</f>
        <v>0.1469989553411222</v>
      </c>
      <c r="C158">
        <f>Rocof!$X163</f>
        <v>0.22525139809704259</v>
      </c>
    </row>
    <row xmlns:x14ac="http://schemas.microsoft.com/office/spreadsheetml/2009/9/ac" r="159" x14ac:dyDescent="0.45">
      <c r="A159">
        <f>Rocof!A164</f>
        <v>0.78500000000000003</v>
      </c>
      <c r="B159">
        <f>Rocof!$W164</f>
        <v>0.14711367352994842</v>
      </c>
      <c r="C159">
        <f>Rocof!$X164</f>
        <v>0.22517533143169288</v>
      </c>
    </row>
    <row xmlns:x14ac="http://schemas.microsoft.com/office/spreadsheetml/2009/9/ac" r="160" x14ac:dyDescent="0.45">
      <c r="A160">
        <f>Rocof!A165</f>
        <v>0.79</v>
      </c>
      <c r="B160">
        <f>Rocof!$W165</f>
        <v>0.14722781955942082</v>
      </c>
      <c r="C160">
        <f>Rocof!$X165</f>
        <v>0.22509964415041939</v>
      </c>
    </row>
    <row xmlns:x14ac="http://schemas.microsoft.com/office/spreadsheetml/2009/9/ac" r="161" x14ac:dyDescent="0.45">
      <c r="A161">
        <f>Rocof!A166</f>
        <v>0.79500000000000004</v>
      </c>
      <c r="B161">
        <f>Rocof!$W166</f>
        <v>0.14734139628319623</v>
      </c>
      <c r="C161">
        <f>Rocof!$X166</f>
        <v>0.22502433436103608</v>
      </c>
    </row>
    <row xmlns:x14ac="http://schemas.microsoft.com/office/spreadsheetml/2009/9/ac" r="162" x14ac:dyDescent="0.45">
      <c r="A162">
        <f>Rocof!A167</f>
        <v>0.8</v>
      </c>
      <c r="B162">
        <f>Rocof!$W167</f>
        <v>0.14745440654069855</v>
      </c>
      <c r="C162">
        <f>Rocof!$X167</f>
        <v>0.22494940018079429</v>
      </c>
    </row>
    <row xmlns:x14ac="http://schemas.microsoft.com/office/spreadsheetml/2009/9/ac" r="163" x14ac:dyDescent="0.45">
      <c r="A163">
        <f>Rocof!A168</f>
        <v>0.80500000000000005</v>
      </c>
      <c r="B163">
        <f>Rocof!$W168</f>
        <v>0.14756685315719015</v>
      </c>
      <c r="C163">
        <f>Rocof!$X168</f>
        <v>0.22487483973633571</v>
      </c>
    </row>
    <row xmlns:x14ac="http://schemas.microsoft.com/office/spreadsheetml/2009/9/ac" r="164" x14ac:dyDescent="0.45">
      <c r="A164">
        <f>Rocof!A169</f>
        <v>0.81</v>
      </c>
      <c r="B164">
        <f>Rocof!$W169</f>
        <v>0.14767873894384226</v>
      </c>
      <c r="C164">
        <f>Rocof!$X169</f>
        <v>0.22480065116364517</v>
      </c>
    </row>
    <row xmlns:x14ac="http://schemas.microsoft.com/office/spreadsheetml/2009/9/ac" r="165" x14ac:dyDescent="0.45">
      <c r="A165">
        <f>Rocof!A170</f>
        <v>0.81499999999999995</v>
      </c>
      <c r="B165">
        <f>Rocof!$W170</f>
        <v>0.14779006669780542</v>
      </c>
      <c r="C165">
        <f>Rocof!$X170</f>
        <v>0.22472683260800469</v>
      </c>
    </row>
    <row xmlns:x14ac="http://schemas.microsoft.com/office/spreadsheetml/2009/9/ac" r="166" x14ac:dyDescent="0.45">
      <c r="A166">
        <f>Rocof!A171</f>
        <v>0.82</v>
      </c>
      <c r="B166">
        <f>Rocof!$W171</f>
        <v>0.14790083920227926</v>
      </c>
      <c r="C166">
        <f>Rocof!$X171</f>
        <v>0.22465338222394637</v>
      </c>
    </row>
    <row xmlns:x14ac="http://schemas.microsoft.com/office/spreadsheetml/2009/9/ac" r="167" x14ac:dyDescent="0.45">
      <c r="A167">
        <f>Rocof!A172</f>
        <v>0.82499999999999996</v>
      </c>
      <c r="B167">
        <f>Rocof!$W172</f>
        <v>0.14801105922658214</v>
      </c>
      <c r="C167">
        <f>Rocof!$X172</f>
        <v>0.22458029817520686</v>
      </c>
    </row>
    <row xmlns:x14ac="http://schemas.microsoft.com/office/spreadsheetml/2009/9/ac" r="168" x14ac:dyDescent="0.45">
      <c r="A168">
        <f>Rocof!A173</f>
        <v>0.83</v>
      </c>
      <c r="B168">
        <f>Rocof!$W173</f>
        <v>0.14812072952622046</v>
      </c>
      <c r="C168">
        <f>Rocof!$X173</f>
        <v>0.22450757863468113</v>
      </c>
    </row>
    <row xmlns:x14ac="http://schemas.microsoft.com/office/spreadsheetml/2009/9/ac" r="169" x14ac:dyDescent="0.45">
      <c r="A169">
        <f>Rocof!A174</f>
        <v>0.83499999999999996</v>
      </c>
      <c r="B169">
        <f>Rocof!$W174</f>
        <v>0.14822985284295737</v>
      </c>
      <c r="C169">
        <f>Rocof!$X174</f>
        <v>0.22443522178437686</v>
      </c>
    </row>
    <row xmlns:x14ac="http://schemas.microsoft.com/office/spreadsheetml/2009/9/ac" r="170" x14ac:dyDescent="0.45">
      <c r="A170">
        <f>Rocof!A175</f>
        <v>0.84000000000000097</v>
      </c>
      <c r="B170">
        <f>Rocof!$W175</f>
        <v>0.1483384319048815</v>
      </c>
      <c r="C170">
        <f>Rocof!$X175</f>
        <v>0.22436322581536899</v>
      </c>
    </row>
    <row xmlns:x14ac="http://schemas.microsoft.com/office/spreadsheetml/2009/9/ac" r="171" x14ac:dyDescent="0.45">
      <c r="A171">
        <f>Rocof!A176</f>
        <v>0.84500000000000097</v>
      </c>
      <c r="B171">
        <f>Rocof!$W176</f>
        <v>0.14844646942647499</v>
      </c>
      <c r="C171">
        <f>Rocof!$X176</f>
        <v>0.22429158892775464</v>
      </c>
    </row>
    <row xmlns:x14ac="http://schemas.microsoft.com/office/spreadsheetml/2009/9/ac" r="172" x14ac:dyDescent="0.45">
      <c r="A172">
        <f>Rocof!A177</f>
        <v>0.85000000000000098</v>
      </c>
      <c r="B172">
        <f>Rocof!$W177</f>
        <v>0.1485539681086816</v>
      </c>
      <c r="C172">
        <f>Rocof!$X177</f>
        <v>0.22422030933060783</v>
      </c>
    </row>
    <row xmlns:x14ac="http://schemas.microsoft.com/office/spreadsheetml/2009/9/ac" r="173" x14ac:dyDescent="0.45">
      <c r="A173">
        <f>Rocof!A178</f>
        <v>0.85500000000000098</v>
      </c>
      <c r="B173">
        <f>Rocof!$W178</f>
        <v>0.14866093063897395</v>
      </c>
      <c r="C173">
        <f>Rocof!$X178</f>
        <v>0.22414938524193495</v>
      </c>
    </row>
    <row xmlns:x14ac="http://schemas.microsoft.com/office/spreadsheetml/2009/9/ac" r="174" x14ac:dyDescent="0.45">
      <c r="A174">
        <f>Rocof!A179</f>
        <v>0.86000000000000099</v>
      </c>
      <c r="B174">
        <f>Rocof!$W179</f>
        <v>0.14876735969142091</v>
      </c>
      <c r="C174">
        <f>Rocof!$X179</f>
        <v>0.22407881488863002</v>
      </c>
    </row>
    <row xmlns:x14ac="http://schemas.microsoft.com/office/spreadsheetml/2009/9/ac" r="175" x14ac:dyDescent="0.45">
      <c r="A175">
        <f>Rocof!A180</f>
        <v>0.86500000000000099</v>
      </c>
      <c r="B175">
        <f>Rocof!$W180</f>
        <v>0.14887325792675424</v>
      </c>
      <c r="C175">
        <f>Rocof!$X180</f>
        <v>0.22400859650643062</v>
      </c>
    </row>
    <row xmlns:x14ac="http://schemas.microsoft.com/office/spreadsheetml/2009/9/ac" r="176" x14ac:dyDescent="0.45">
      <c r="A176">
        <f>Rocof!A181</f>
        <v>0.87000000000000099</v>
      </c>
      <c r="B176">
        <f>Rocof!$W181</f>
        <v>0.14897862799243539</v>
      </c>
      <c r="C176">
        <f>Rocof!$X181</f>
        <v>0.22393872833987349</v>
      </c>
    </row>
    <row xmlns:x14ac="http://schemas.microsoft.com/office/spreadsheetml/2009/9/ac" r="177" x14ac:dyDescent="0.45">
      <c r="A177">
        <f>Rocof!A182</f>
        <v>0.875000000000001</v>
      </c>
      <c r="B177">
        <f>Rocof!$W182</f>
        <v>0.14908347252272147</v>
      </c>
      <c r="C177">
        <f>Rocof!$X182</f>
        <v>0.22386920864225079</v>
      </c>
    </row>
    <row xmlns:x14ac="http://schemas.microsoft.com/office/spreadsheetml/2009/9/ac" r="178" x14ac:dyDescent="0.45">
      <c r="A178">
        <f>Rocof!A183</f>
        <v>0.880000000000001</v>
      </c>
      <c r="B178">
        <f>Rocof!$W183</f>
        <v>0.14918779413873123</v>
      </c>
      <c r="C178">
        <f>Rocof!$X183</f>
        <v>0.22380003567556656</v>
      </c>
    </row>
    <row xmlns:x14ac="http://schemas.microsoft.com/office/spreadsheetml/2009/9/ac" r="179" x14ac:dyDescent="0.45">
      <c r="A179">
        <f>Rocof!A184</f>
        <v>0.88500000000000101</v>
      </c>
      <c r="B179">
        <f>Rocof!$W184</f>
        <v>0.14929159544851051</v>
      </c>
      <c r="C179">
        <f>Rocof!$X184</f>
        <v>0.22373120771049293</v>
      </c>
    </row>
    <row xmlns:x14ac="http://schemas.microsoft.com/office/spreadsheetml/2009/9/ac" r="180" x14ac:dyDescent="0.45">
      <c r="A180">
        <f>Rocof!A185</f>
        <v>0.89000000000000101</v>
      </c>
      <c r="B180">
        <f>Rocof!$W185</f>
        <v>0.14939487904709742</v>
      </c>
      <c r="C180">
        <f>Rocof!$X185</f>
        <v>0.22366272302632723</v>
      </c>
    </row>
    <row xmlns:x14ac="http://schemas.microsoft.com/office/spreadsheetml/2009/9/ac" r="181" x14ac:dyDescent="0.45">
      <c r="A181">
        <f>Rocof!A186</f>
        <v>0.89500000000000102</v>
      </c>
      <c r="B181">
        <f>Rocof!$W186</f>
        <v>0.14949764751658728</v>
      </c>
      <c r="C181">
        <f>Rocof!$X186</f>
        <v>0.22359457991094883</v>
      </c>
    </row>
    <row xmlns:x14ac="http://schemas.microsoft.com/office/spreadsheetml/2009/9/ac" r="182" x14ac:dyDescent="0.45">
      <c r="A182">
        <f>Rocof!A187</f>
        <v>0.90000000000000102</v>
      </c>
      <c r="B182">
        <f>Rocof!$W187</f>
        <v>0.14959990342619728</v>
      </c>
      <c r="C182">
        <f>Rocof!$X187</f>
        <v>0.22352677666077625</v>
      </c>
    </row>
    <row xmlns:x14ac="http://schemas.microsoft.com/office/spreadsheetml/2009/9/ac" r="183" x14ac:dyDescent="0.45">
      <c r="A183">
        <f>Rocof!A188</f>
        <v>0.90500000000000103</v>
      </c>
      <c r="B183">
        <f>Rocof!$W188</f>
        <v>0.14970164933233043</v>
      </c>
      <c r="C183">
        <f>Rocof!$X188</f>
        <v>0.22345931158072468</v>
      </c>
    </row>
    <row xmlns:x14ac="http://schemas.microsoft.com/office/spreadsheetml/2009/9/ac" r="184" x14ac:dyDescent="0.45">
      <c r="A184">
        <f>Rocof!A189</f>
        <v>0.91000000000000103</v>
      </c>
      <c r="B184">
        <f>Rocof!$W189</f>
        <v>0.14980288777863965</v>
      </c>
      <c r="C184">
        <f>Rocof!$X189</f>
        <v>0.22339218298416363</v>
      </c>
    </row>
    <row xmlns:x14ac="http://schemas.microsoft.com/office/spreadsheetml/2009/9/ac" r="185" x14ac:dyDescent="0.45">
      <c r="A185">
        <f>Rocof!A190</f>
        <v>0.91500000000000103</v>
      </c>
      <c r="B185">
        <f>Rocof!$W190</f>
        <v>0.14990362129609142</v>
      </c>
      <c r="C185">
        <f>Rocof!$X190</f>
        <v>0.2233253891928747</v>
      </c>
    </row>
    <row xmlns:x14ac="http://schemas.microsoft.com/office/spreadsheetml/2009/9/ac" r="186" x14ac:dyDescent="0.45">
      <c r="A186">
        <f>Rocof!A191</f>
        <v>0.92000000000000104</v>
      </c>
      <c r="B186">
        <f>Rocof!$W191</f>
        <v>0.15000385240302888</v>
      </c>
      <c r="C186">
        <f>Rocof!$X191</f>
        <v>0.22325892853700963</v>
      </c>
    </row>
    <row xmlns:x14ac="http://schemas.microsoft.com/office/spreadsheetml/2009/9/ac" r="187" x14ac:dyDescent="0.45">
      <c r="A187">
        <f>Rocof!A192</f>
        <v>0.92500000000000104</v>
      </c>
      <c r="B187">
        <f>Rocof!$W192</f>
        <v>0.15010358360523496</v>
      </c>
      <c r="C187">
        <f>Rocof!$X192</f>
        <v>0.22319279935504854</v>
      </c>
    </row>
    <row xmlns:x14ac="http://schemas.microsoft.com/office/spreadsheetml/2009/9/ac" r="188" x14ac:dyDescent="0.45">
      <c r="A188">
        <f>Rocof!A193</f>
        <v>0.93000000000000105</v>
      </c>
      <c r="B188">
        <f>Rocof!$W193</f>
        <v>0.15020281739599492</v>
      </c>
      <c r="C188">
        <f>Rocof!$X193</f>
        <v>0.22312699999375851</v>
      </c>
    </row>
    <row xmlns:x14ac="http://schemas.microsoft.com/office/spreadsheetml/2009/9/ac" r="189" x14ac:dyDescent="0.45">
      <c r="A189">
        <f>Rocof!A194</f>
        <v>0.93500000000000105</v>
      </c>
      <c r="B189">
        <f>Rocof!$W194</f>
        <v>0.15030155625615865</v>
      </c>
      <c r="C189">
        <f>Rocof!$X194</f>
        <v>0.22306152880815194</v>
      </c>
    </row>
    <row xmlns:x14ac="http://schemas.microsoft.com/office/spreadsheetml/2009/9/ac" r="190" x14ac:dyDescent="0.45">
      <c r="A190">
        <f>Rocof!A195</f>
        <v>0.94000000000000095</v>
      </c>
      <c r="B190">
        <f>Rocof!$W195</f>
        <v>0.15039980265420286</v>
      </c>
      <c r="C190">
        <f>Rocof!$X195</f>
        <v>0.2229963841614459</v>
      </c>
    </row>
    <row xmlns:x14ac="http://schemas.microsoft.com/office/spreadsheetml/2009/9/ac" r="191" x14ac:dyDescent="0.45">
      <c r="A191">
        <f>Rocof!A196</f>
        <v>0.94500000000000095</v>
      </c>
      <c r="B191">
        <f>Rocof!$W196</f>
        <v>0.15049755904629253</v>
      </c>
      <c r="C191">
        <f>Rocof!$X196</f>
        <v>0.22293156442502082</v>
      </c>
    </row>
    <row xmlns:x14ac="http://schemas.microsoft.com/office/spreadsheetml/2009/9/ac" r="192" x14ac:dyDescent="0.45">
      <c r="A192">
        <f>Rocof!A197</f>
        <v>0.95000000000000095</v>
      </c>
      <c r="B192">
        <f>Rocof!$W197</f>
        <v>0.15059482787634265</v>
      </c>
      <c r="C192">
        <f>Rocof!$X197</f>
        <v>0.22286706797837985</v>
      </c>
    </row>
    <row xmlns:x14ac="http://schemas.microsoft.com/office/spreadsheetml/2009/9/ac" r="193" x14ac:dyDescent="0.45">
      <c r="A193">
        <f>Rocof!A198</f>
        <v>0.95500000000000096</v>
      </c>
      <c r="B193">
        <f>Rocof!$W198</f>
        <v>0.15069161157607897</v>
      </c>
      <c r="C193">
        <f>Rocof!$X198</f>
        <v>0.22280289320910851</v>
      </c>
    </row>
    <row xmlns:x14ac="http://schemas.microsoft.com/office/spreadsheetml/2009/9/ac" r="194" x14ac:dyDescent="0.45">
      <c r="A194">
        <f>Rocof!A199</f>
        <v>0.96000000000000096</v>
      </c>
      <c r="B194">
        <f>Rocof!$W199</f>
        <v>0.15078791256509905</v>
      </c>
      <c r="C194">
        <f>Rocof!$X199</f>
        <v>0.22273903851283422</v>
      </c>
    </row>
    <row xmlns:x14ac="http://schemas.microsoft.com/office/spreadsheetml/2009/9/ac" r="195" x14ac:dyDescent="0.45">
      <c r="A195">
        <f>Rocof!A200</f>
        <v>0.96500000000000097</v>
      </c>
      <c r="B195">
        <f>Rocof!$W200</f>
        <v>0.15088373325093263</v>
      </c>
      <c r="C195">
        <f>Rocof!$X200</f>
        <v>0.22267550229318622</v>
      </c>
    </row>
    <row xmlns:x14ac="http://schemas.microsoft.com/office/spreadsheetml/2009/9/ac" r="196" x14ac:dyDescent="0.45">
      <c r="A196">
        <f>Rocof!A201</f>
        <v>0.97000000000000097</v>
      </c>
      <c r="B196">
        <f>Rocof!$W201</f>
        <v>0.15097907602910182</v>
      </c>
      <c r="C196">
        <f>Rocof!$X201</f>
        <v>0.22261228296175578</v>
      </c>
    </row>
    <row xmlns:x14ac="http://schemas.microsoft.com/office/spreadsheetml/2009/9/ac" r="197" x14ac:dyDescent="0.45">
      <c r="A197">
        <f>Rocof!A202</f>
        <v>0.97500000000000098</v>
      </c>
      <c r="B197">
        <f>Rocof!$W202</f>
        <v>0.15107394328318108</v>
      </c>
      <c r="C197">
        <f>Rocof!$X202</f>
        <v>0.22254937893805621</v>
      </c>
    </row>
    <row xmlns:x14ac="http://schemas.microsoft.com/office/spreadsheetml/2009/9/ac" r="198" x14ac:dyDescent="0.45">
      <c r="A198">
        <f>Rocof!A203</f>
        <v>0.98000000000000098</v>
      </c>
      <c r="B198">
        <f>Rocof!$W203</f>
        <v>0.15116833738485669</v>
      </c>
      <c r="C198">
        <f>Rocof!$X203</f>
        <v>0.22248678864948379</v>
      </c>
    </row>
    <row xmlns:x14ac="http://schemas.microsoft.com/office/spreadsheetml/2009/9/ac" r="199" x14ac:dyDescent="0.45">
      <c r="A199">
        <f>Rocof!A204</f>
        <v>0.98500000000000099</v>
      </c>
      <c r="B199">
        <f>Rocof!$W204</f>
        <v>0.15126226069398613</v>
      </c>
      <c r="C199">
        <f>Rocof!$X204</f>
        <v>0.22242451053127787</v>
      </c>
    </row>
    <row xmlns:x14ac="http://schemas.microsoft.com/office/spreadsheetml/2009/9/ac" r="200" x14ac:dyDescent="0.45">
      <c r="A200">
        <f>Rocof!A205</f>
        <v>0.99000000000000099</v>
      </c>
      <c r="B200">
        <f>Rocof!$W205</f>
        <v>0.15135571555865696</v>
      </c>
      <c r="C200">
        <f>Rocof!$X205</f>
        <v>0.2223625430264824</v>
      </c>
    </row>
    <row xmlns:x14ac="http://schemas.microsoft.com/office/spreadsheetml/2009/9/ac" r="201" x14ac:dyDescent="0.45">
      <c r="A201">
        <f>Rocof!A206</f>
        <v>0.99500000000000099</v>
      </c>
      <c r="B201">
        <f>Rocof!$W206</f>
        <v>0.15144870431524571</v>
      </c>
      <c r="C201">
        <f>Rocof!$X206</f>
        <v>0.22230088458590647</v>
      </c>
    </row>
    <row xmlns:x14ac="http://schemas.microsoft.com/office/spreadsheetml/2009/9/ac" r="202" x14ac:dyDescent="0.45">
      <c r="A202">
        <f>Rocof!A207</f>
        <v>1</v>
      </c>
      <c r="B202">
        <f>Rocof!$W207</f>
        <v>0.15154122928847613</v>
      </c>
      <c r="C202">
        <f>Rocof!$X207</f>
        <v>0.22223953366808585</v>
      </c>
    </row>
    <row xmlns:x14ac="http://schemas.microsoft.com/office/spreadsheetml/2009/9/ac" r="203" x14ac:dyDescent="0.45">
      <c r="A203">
        <f>Rocof!A208</f>
        <v>1.0049999999999999</v>
      </c>
      <c r="B203">
        <f>Rocof!$W208</f>
        <v>0.15163329279147736</v>
      </c>
      <c r="C203">
        <f>Rocof!$X208</f>
        <v>0.2221784887392444</v>
      </c>
    </row>
    <row xmlns:x14ac="http://schemas.microsoft.com/office/spreadsheetml/2009/9/ac" r="204" x14ac:dyDescent="0.45">
      <c r="A204">
        <f>Rocof!A209</f>
        <v>1.01</v>
      </c>
      <c r="B204">
        <f>Rocof!$W209</f>
        <v>0.15172489712584175</v>
      </c>
      <c r="C204">
        <f>Rocof!$X209</f>
        <v>0.22211774827325576</v>
      </c>
    </row>
    <row xmlns:x14ac="http://schemas.microsoft.com/office/spreadsheetml/2009/9/ac" r="205" x14ac:dyDescent="0.45">
      <c r="A205">
        <f>Rocof!A210</f>
        <v>1.0149999999999999</v>
      </c>
      <c r="B205">
        <f>Rocof!$W210</f>
        <v>0.15181604458168252</v>
      </c>
      <c r="C205">
        <f>Rocof!$X210</f>
        <v>0.22205731075160501</v>
      </c>
    </row>
    <row xmlns:x14ac="http://schemas.microsoft.com/office/spreadsheetml/2009/9/ac" r="206" x14ac:dyDescent="0.45">
      <c r="A206">
        <f>Rocof!A211</f>
        <v>1.02</v>
      </c>
      <c r="B206">
        <f>Rocof!$W211</f>
        <v>0.15190673743769068</v>
      </c>
      <c r="C206">
        <f>Rocof!$X211</f>
        <v>0.22199717466335112</v>
      </c>
    </row>
    <row xmlns:x14ac="http://schemas.microsoft.com/office/spreadsheetml/2009/9/ac" r="207" x14ac:dyDescent="0.45">
      <c r="A207">
        <f>Rocof!A212</f>
        <v>1.0249999999999999</v>
      </c>
      <c r="B207">
        <f>Rocof!$W212</f>
        <v>0.15199697796119246</v>
      </c>
      <c r="C207">
        <f>Rocof!$X212</f>
        <v>0.22193733850508862</v>
      </c>
    </row>
    <row xmlns:x14ac="http://schemas.microsoft.com/office/spreadsheetml/2009/9/ac" r="208" x14ac:dyDescent="0.45">
      <c r="A208">
        <f>Rocof!A213</f>
        <v>1.03</v>
      </c>
      <c r="B208">
        <f>Rocof!$W213</f>
        <v>0.15208676840820562</v>
      </c>
      <c r="C208">
        <f>Rocof!$X213</f>
        <v>0.22187780078091052</v>
      </c>
    </row>
    <row xmlns:x14ac="http://schemas.microsoft.com/office/spreadsheetml/2009/9/ac" r="209" x14ac:dyDescent="0.45">
      <c r="A209">
        <f>Rocof!A214</f>
        <v>1.0349999999999999</v>
      </c>
      <c r="B209">
        <f>Rocof!$W214</f>
        <v>0.15217611102349599</v>
      </c>
      <c r="C209">
        <f>Rocof!$X214</f>
        <v>0.22181856000237055</v>
      </c>
    </row>
    <row xmlns:x14ac="http://schemas.microsoft.com/office/spreadsheetml/2009/9/ac" r="210" x14ac:dyDescent="0.45">
      <c r="A210">
        <f>Rocof!A215</f>
        <v>1.04</v>
      </c>
      <c r="B210">
        <f>Rocof!$W215</f>
        <v>0.15226500804063364</v>
      </c>
      <c r="C210">
        <f>Rocof!$X215</f>
        <v>0.22175961468844618</v>
      </c>
    </row>
    <row xmlns:x14ac="http://schemas.microsoft.com/office/spreadsheetml/2009/9/ac" r="211" x14ac:dyDescent="0.45">
      <c r="A211">
        <f>Rocof!A216</f>
        <v>1.0449999999999999</v>
      </c>
      <c r="B211">
        <f>Rocof!$W216</f>
        <v>0.15235346168204858</v>
      </c>
      <c r="C211">
        <f>Rocof!$X216</f>
        <v>0.22170096336550149</v>
      </c>
    </row>
    <row xmlns:x14ac="http://schemas.microsoft.com/office/spreadsheetml/2009/9/ac" r="212" x14ac:dyDescent="0.45">
      <c r="A212">
        <f>Rocof!A217</f>
        <v>1.05</v>
      </c>
      <c r="B212">
        <f>Rocof!$W217</f>
        <v>0.15244147415908649</v>
      </c>
      <c r="C212">
        <f>Rocof!$X217</f>
        <v>0.22164260456725043</v>
      </c>
    </row>
    <row xmlns:x14ac="http://schemas.microsoft.com/office/spreadsheetml/2009/9/ac" r="213" x14ac:dyDescent="0.45">
      <c r="A213">
        <f>Rocof!A218</f>
        <v>1.0549999999999999</v>
      </c>
      <c r="B213">
        <f>Rocof!$W218</f>
        <v>0.15252904767206388</v>
      </c>
      <c r="C213">
        <f>Rocof!$X218</f>
        <v>0.2215845368347199</v>
      </c>
    </row>
    <row xmlns:x14ac="http://schemas.microsoft.com/office/spreadsheetml/2009/9/ac" r="214" x14ac:dyDescent="0.45">
      <c r="A214">
        <f>Rocof!A219</f>
        <v>1.06</v>
      </c>
      <c r="B214">
        <f>Rocof!$W219</f>
        <v>0.1526161844103231</v>
      </c>
      <c r="C214">
        <f>Rocof!$X219</f>
        <v>0.22152675871621358</v>
      </c>
    </row>
    <row xmlns:x14ac="http://schemas.microsoft.com/office/spreadsheetml/2009/9/ac" r="215" x14ac:dyDescent="0.45">
      <c r="A215">
        <f>Rocof!A220</f>
        <v>1.0649999999999999</v>
      </c>
      <c r="B215">
        <f>Rocof!$W220</f>
        <v>0.1527028865522872</v>
      </c>
      <c r="C215">
        <f>Rocof!$X220</f>
        <v>0.22146926876727552</v>
      </c>
    </row>
    <row xmlns:x14ac="http://schemas.microsoft.com/office/spreadsheetml/2009/9/ac" r="216" x14ac:dyDescent="0.45">
      <c r="A216">
        <f>Rocof!A221</f>
        <v>1.07</v>
      </c>
      <c r="B216">
        <f>Rocof!$W221</f>
        <v>0.1527891562655142</v>
      </c>
      <c r="C216">
        <f>Rocof!$X221</f>
        <v>0.22141206555065401</v>
      </c>
    </row>
    <row xmlns:x14ac="http://schemas.microsoft.com/office/spreadsheetml/2009/9/ac" r="217" x14ac:dyDescent="0.45">
      <c r="A217">
        <f>Rocof!A222</f>
        <v>1.075</v>
      </c>
      <c r="B217">
        <f>Rocof!$W222</f>
        <v>0.15287499570675145</v>
      </c>
      <c r="C217">
        <f>Rocof!$X222</f>
        <v>0.22135514763626568</v>
      </c>
    </row>
    <row xmlns:x14ac="http://schemas.microsoft.com/office/spreadsheetml/2009/9/ac" r="218" x14ac:dyDescent="0.45">
      <c r="A218">
        <f>Rocof!A223</f>
        <v>1.08</v>
      </c>
      <c r="B218">
        <f>Rocof!$W223</f>
        <v>0.15296040702198943</v>
      </c>
      <c r="C218">
        <f>Rocof!$X223</f>
        <v>0.22129851360115965</v>
      </c>
    </row>
    <row xmlns:x14ac="http://schemas.microsoft.com/office/spreadsheetml/2009/9/ac" r="219" x14ac:dyDescent="0.45">
      <c r="A219">
        <f>Rocof!A224</f>
        <v>1.085</v>
      </c>
      <c r="B219">
        <f>Rocof!$W224</f>
        <v>0.15304539234651549</v>
      </c>
      <c r="C219">
        <f>Rocof!$X224</f>
        <v>0.2212421620294821</v>
      </c>
    </row>
    <row xmlns:x14ac="http://schemas.microsoft.com/office/spreadsheetml/2009/9/ac" r="220" x14ac:dyDescent="0.45">
      <c r="A220">
        <f>Rocof!A225</f>
        <v>1.0900000000000001</v>
      </c>
      <c r="B220">
        <f>Rocof!$W225</f>
        <v>0.15312995380496713</v>
      </c>
      <c r="C220">
        <f>Rocof!$X225</f>
        <v>0.22118609151244079</v>
      </c>
    </row>
    <row xmlns:x14ac="http://schemas.microsoft.com/office/spreadsheetml/2009/9/ac" r="221" x14ac:dyDescent="0.45">
      <c r="A221">
        <f>Rocof!A226</f>
        <v>1.095</v>
      </c>
      <c r="B221">
        <f>Rocof!$W226</f>
        <v>0.15321409351138526</v>
      </c>
      <c r="C221">
        <f>Rocof!$X226</f>
        <v>0.22113030064826994</v>
      </c>
    </row>
    <row xmlns:x14ac="http://schemas.microsoft.com/office/spreadsheetml/2009/9/ac" r="222" x14ac:dyDescent="0.45">
      <c r="A222">
        <f>Rocof!A227</f>
        <v>1.1000000000000001</v>
      </c>
      <c r="B222">
        <f>Rocof!$W227</f>
        <v>0.15329781356926692</v>
      </c>
      <c r="C222">
        <f>Rocof!$X227</f>
        <v>0.22107478804219499</v>
      </c>
    </row>
    <row xmlns:x14ac="http://schemas.microsoft.com/office/spreadsheetml/2009/9/ac" r="223" x14ac:dyDescent="0.45">
      <c r="A223">
        <f>Rocof!A228</f>
        <v>1.105</v>
      </c>
      <c r="B223">
        <f>Rocof!$W228</f>
        <v>0.15338111607161792</v>
      </c>
      <c r="C223">
        <f>Rocof!$X228</f>
        <v>0.22101955230639792</v>
      </c>
    </row>
    <row xmlns:x14ac="http://schemas.microsoft.com/office/spreadsheetml/2009/9/ac" r="224" x14ac:dyDescent="0.45">
      <c r="A224">
        <f>Rocof!A229</f>
        <v>1.1100000000000001</v>
      </c>
      <c r="B224">
        <f>Rocof!$W229</f>
        <v>0.15346400310100511</v>
      </c>
      <c r="C224">
        <f>Rocof!$X229</f>
        <v>0.22096459205998242</v>
      </c>
    </row>
    <row xmlns:x14ac="http://schemas.microsoft.com/office/spreadsheetml/2009/9/ac" r="225" x14ac:dyDescent="0.45">
      <c r="A225">
        <f>Rocof!A230</f>
        <v>1.115</v>
      </c>
      <c r="B225">
        <f>Rocof!$W230</f>
        <v>0.15354647672960858</v>
      </c>
      <c r="C225">
        <f>Rocof!$X230</f>
        <v>0.2209099059289395</v>
      </c>
    </row>
    <row xmlns:x14ac="http://schemas.microsoft.com/office/spreadsheetml/2009/9/ac" r="226" x14ac:dyDescent="0.45">
      <c r="A226">
        <f>Rocof!A231</f>
        <v>1.1200000000000001</v>
      </c>
      <c r="B226">
        <f>Rocof!$W231</f>
        <v>0.15362853901927337</v>
      </c>
      <c r="C226">
        <f>Rocof!$X231</f>
        <v>0.22085549254611303</v>
      </c>
    </row>
    <row xmlns:x14ac="http://schemas.microsoft.com/office/spreadsheetml/2009/9/ac" r="227" x14ac:dyDescent="0.45">
      <c r="A227">
        <f>Rocof!A232</f>
        <v>1.125</v>
      </c>
      <c r="B227">
        <f>Rocof!$W232</f>
        <v>0.15371019202156092</v>
      </c>
      <c r="C227">
        <f>Rocof!$X232</f>
        <v>0.22080135055116562</v>
      </c>
    </row>
    <row xmlns:x14ac="http://schemas.microsoft.com/office/spreadsheetml/2009/9/ac" r="228" x14ac:dyDescent="0.45">
      <c r="A228">
        <f>Rocof!A233</f>
        <v>1.1299999999999999</v>
      </c>
      <c r="B228">
        <f>Rocof!$W233</f>
        <v>0.15379143777780058</v>
      </c>
      <c r="C228">
        <f>Rocof!$X233</f>
        <v>0.22074747859054455</v>
      </c>
    </row>
    <row xmlns:x14ac="http://schemas.microsoft.com/office/spreadsheetml/2009/9/ac" r="229" x14ac:dyDescent="0.45">
      <c r="A229">
        <f>Rocof!A234</f>
        <v>1.135</v>
      </c>
      <c r="B229">
        <f>Rocof!$W234</f>
        <v>0.15387227831914052</v>
      </c>
      <c r="C229">
        <f>Rocof!$X234</f>
        <v>0.220693875317448</v>
      </c>
    </row>
    <row xmlns:x14ac="http://schemas.microsoft.com/office/spreadsheetml/2009/9/ac" r="230" x14ac:dyDescent="0.45">
      <c r="A230">
        <f>Rocof!A235</f>
        <v>1.1399999999999999</v>
      </c>
      <c r="B230">
        <f>Rocof!$W235</f>
        <v>0.15395271566659843</v>
      </c>
      <c r="C230">
        <f>Rocof!$X235</f>
        <v>0.2206405393917914</v>
      </c>
    </row>
    <row xmlns:x14ac="http://schemas.microsoft.com/office/spreadsheetml/2009/9/ac" r="231" x14ac:dyDescent="0.45">
      <c r="A231">
        <f>Rocof!A236</f>
        <v>1.145</v>
      </c>
      <c r="B231">
        <f>Rocof!$W236</f>
        <v>0.1540327518311122</v>
      </c>
      <c r="C231">
        <f>Rocof!$X236</f>
        <v>0.22058746948017377</v>
      </c>
    </row>
    <row xmlns:x14ac="http://schemas.microsoft.com/office/spreadsheetml/2009/9/ac" r="232" x14ac:dyDescent="0.45">
      <c r="A232">
        <f>Rocof!A237</f>
        <v>1.1499999999999999</v>
      </c>
      <c r="B232">
        <f>Rocof!$W237</f>
        <v>0.15411238881359013</v>
      </c>
      <c r="C232">
        <f>Rocof!$X237</f>
        <v>0.22053466425584456</v>
      </c>
    </row>
    <row xmlns:x14ac="http://schemas.microsoft.com/office/spreadsheetml/2009/9/ac" r="233" x14ac:dyDescent="0.45">
      <c r="A233">
        <f>Rocof!A238</f>
        <v>1.155</v>
      </c>
      <c r="B233">
        <f>Rocof!$W238</f>
        <v>0.15419162860496094</v>
      </c>
      <c r="C233">
        <f>Rocof!$X238</f>
        <v>0.22048212239867043</v>
      </c>
    </row>
    <row xmlns:x14ac="http://schemas.microsoft.com/office/spreadsheetml/2009/9/ac" r="234" x14ac:dyDescent="0.45">
      <c r="A234">
        <f>Rocof!A239</f>
        <v>1.1599999999999999</v>
      </c>
      <c r="B234">
        <f>Rocof!$W239</f>
        <v>0.1542704731862235</v>
      </c>
      <c r="C234">
        <f>Rocof!$X239</f>
        <v>0.22042984259510218</v>
      </c>
    </row>
    <row xmlns:x14ac="http://schemas.microsoft.com/office/spreadsheetml/2009/9/ac" r="235" x14ac:dyDescent="0.45">
      <c r="A235">
        <f>Rocof!A240</f>
        <v>1.165</v>
      </c>
      <c r="B235">
        <f>Rocof!$W240</f>
        <v>0.15434892452849647</v>
      </c>
      <c r="C235">
        <f>Rocof!$X240</f>
        <v>0.22037782353814206</v>
      </c>
    </row>
    <row xmlns:x14ac="http://schemas.microsoft.com/office/spreadsheetml/2009/9/ac" r="236" x14ac:dyDescent="0.45">
      <c r="A236">
        <f>Rocof!A241</f>
        <v>1.17</v>
      </c>
      <c r="B236">
        <f>Rocof!$W241</f>
        <v>0.15442698459306747</v>
      </c>
      <c r="C236">
        <f>Rocof!$X241</f>
        <v>0.22032606392731091</v>
      </c>
    </row>
    <row xmlns:x14ac="http://schemas.microsoft.com/office/spreadsheetml/2009/9/ac" r="237" x14ac:dyDescent="0.45">
      <c r="A237">
        <f>Rocof!A242</f>
        <v>1.175</v>
      </c>
      <c r="B237">
        <f>Rocof!$W242</f>
        <v>0.15450465533144225</v>
      </c>
      <c r="C237">
        <f>Rocof!$X242</f>
        <v>0.22027456246861576</v>
      </c>
    </row>
    <row xmlns:x14ac="http://schemas.microsoft.com/office/spreadsheetml/2009/9/ac" r="238" x14ac:dyDescent="0.45">
      <c r="A238">
        <f>Rocof!A243</f>
        <v>1.18</v>
      </c>
      <c r="B238">
        <f>Rocof!$W243</f>
        <v>0.15458193868539322</v>
      </c>
      <c r="C238">
        <f>Rocof!$X243</f>
        <v>0.22022331787451743</v>
      </c>
    </row>
    <row xmlns:x14ac="http://schemas.microsoft.com/office/spreadsheetml/2009/9/ac" r="239" x14ac:dyDescent="0.45">
      <c r="A239">
        <f>Rocof!A244</f>
        <v>1.1850000000000001</v>
      </c>
      <c r="B239">
        <f>Rocof!$W244</f>
        <v>0.15465883658700835</v>
      </c>
      <c r="C239">
        <f>Rocof!$X244</f>
        <v>0.22017232886389848</v>
      </c>
    </row>
    <row xmlns:x14ac="http://schemas.microsoft.com/office/spreadsheetml/2009/9/ac" r="240" x14ac:dyDescent="0.45">
      <c r="A240">
        <f>Rocof!A245</f>
        <v>1.19</v>
      </c>
      <c r="B240">
        <f>Rocof!$W245</f>
        <v>0.15473535095873908</v>
      </c>
      <c r="C240">
        <f>Rocof!$X245</f>
        <v>0.22012159416203092</v>
      </c>
    </row>
    <row xmlns:x14ac="http://schemas.microsoft.com/office/spreadsheetml/2009/9/ac" r="241" x14ac:dyDescent="0.45">
      <c r="A241">
        <f>Rocof!A246</f>
        <v>1.1950000000000001</v>
      </c>
      <c r="B241">
        <f>Rocof!$W246</f>
        <v>0.15481148371344877</v>
      </c>
      <c r="C241">
        <f>Rocof!$X246</f>
        <v>0.22007111250054456</v>
      </c>
    </row>
    <row xmlns:x14ac="http://schemas.microsoft.com/office/spreadsheetml/2009/9/ac" r="242" x14ac:dyDescent="0.45">
      <c r="A242">
        <f>Rocof!A247</f>
        <v>1.2</v>
      </c>
      <c r="B242">
        <f>Rocof!$W247</f>
        <v>0.15488723675446026</v>
      </c>
      <c r="C242">
        <f>Rocof!$X247</f>
        <v>0.22002088261739522</v>
      </c>
    </row>
    <row xmlns:x14ac="http://schemas.microsoft.com/office/spreadsheetml/2009/9/ac" r="243" x14ac:dyDescent="0.45">
      <c r="A243">
        <f>Rocof!A248</f>
        <v>1.2050000000000001</v>
      </c>
      <c r="B243">
        <f>Rocof!$W248</f>
        <v>0.15496261197560346</v>
      </c>
      <c r="C243">
        <f>Rocof!$X248</f>
        <v>0.21997090325683327</v>
      </c>
    </row>
    <row xmlns:x14ac="http://schemas.microsoft.com/office/spreadsheetml/2009/9/ac" r="244" x14ac:dyDescent="0.45">
      <c r="A244">
        <f>Rocof!A249</f>
        <v>1.21</v>
      </c>
      <c r="B244">
        <f>Rocof!$W249</f>
        <v>0.15503761126126281</v>
      </c>
      <c r="C244">
        <f>Rocof!$X249</f>
        <v>0.2199211731693721</v>
      </c>
    </row>
    <row xmlns:x14ac="http://schemas.microsoft.com/office/spreadsheetml/2009/9/ac" r="245" x14ac:dyDescent="0.45">
      <c r="A245">
        <f>Rocof!A250</f>
        <v>1.2150000000000001</v>
      </c>
      <c r="B245">
        <f>Rocof!$W250</f>
        <v>0.15511223648642447</v>
      </c>
      <c r="C245">
        <f>Rocof!$X250</f>
        <v>0.21987169111175686</v>
      </c>
    </row>
    <row xmlns:x14ac="http://schemas.microsoft.com/office/spreadsheetml/2009/9/ac" r="246" x14ac:dyDescent="0.45">
      <c r="A246">
        <f>Rocof!A251</f>
        <v>1.22</v>
      </c>
      <c r="B246">
        <f>Rocof!$W251</f>
        <v>0.15518648951672284</v>
      </c>
      <c r="C246">
        <f>Rocof!$X251</f>
        <v>0.21982245584693355</v>
      </c>
    </row>
    <row xmlns:x14ac="http://schemas.microsoft.com/office/spreadsheetml/2009/9/ac" r="247" x14ac:dyDescent="0.45">
      <c r="A247">
        <f>Rocof!A252</f>
        <v>1.2250000000000001</v>
      </c>
      <c r="B247">
        <f>Rocof!$W252</f>
        <v>0.1552603722084876</v>
      </c>
      <c r="C247">
        <f>Rocof!$X252</f>
        <v>0.21977346614401799</v>
      </c>
    </row>
    <row xmlns:x14ac="http://schemas.microsoft.com/office/spreadsheetml/2009/9/ac" r="248" x14ac:dyDescent="0.45">
      <c r="A248">
        <f>Rocof!A253</f>
        <v>1.23</v>
      </c>
      <c r="B248">
        <f>Rocof!$W253</f>
        <v>0.15533388640878987</v>
      </c>
      <c r="C248">
        <f>Rocof!$X253</f>
        <v>0.2197247207782651</v>
      </c>
    </row>
    <row xmlns:x14ac="http://schemas.microsoft.com/office/spreadsheetml/2009/9/ac" r="249" x14ac:dyDescent="0.45">
      <c r="A249">
        <f>Rocof!A254</f>
        <v>1.2350000000000001</v>
      </c>
      <c r="B249">
        <f>Rocof!$W254</f>
        <v>0.15540703395548855</v>
      </c>
      <c r="C249">
        <f>Rocof!$X254</f>
        <v>0.21967621853103814</v>
      </c>
    </row>
    <row xmlns:x14ac="http://schemas.microsoft.com/office/spreadsheetml/2009/9/ac" r="250" x14ac:dyDescent="0.45">
      <c r="A250">
        <f>Rocof!A255</f>
        <v>1.24</v>
      </c>
      <c r="B250">
        <f>Rocof!$W255</f>
        <v>0.15547981667727601</v>
      </c>
      <c r="C250">
        <f>Rocof!$X255</f>
        <v>0.21962795818977843</v>
      </c>
    </row>
    <row xmlns:x14ac="http://schemas.microsoft.com/office/spreadsheetml/2009/9/ac" r="251" x14ac:dyDescent="0.45">
      <c r="A251">
        <f>Rocof!A256</f>
        <v>1.2450000000000001</v>
      </c>
      <c r="B251">
        <f>Rocof!$W256</f>
        <v>0.15555223639372417</v>
      </c>
      <c r="C251">
        <f>Rocof!$X256</f>
        <v>0.21957993854797492</v>
      </c>
    </row>
    <row xmlns:x14ac="http://schemas.microsoft.com/office/spreadsheetml/2009/9/ac" r="252" x14ac:dyDescent="0.45">
      <c r="A252">
        <f>Rocof!A257</f>
        <v>1.25</v>
      </c>
      <c r="B252">
        <f>Rocof!$W257</f>
        <v>0.15562429491532967</v>
      </c>
      <c r="C252">
        <f>Rocof!$X257</f>
        <v>0.21953215840513407</v>
      </c>
    </row>
    <row xmlns:x14ac="http://schemas.microsoft.com/office/spreadsheetml/2009/9/ac" r="253" x14ac:dyDescent="0.45">
      <c r="A253">
        <f>Rocof!A258</f>
        <v>1.2549999999999999</v>
      </c>
      <c r="B253">
        <f>Rocof!$W258</f>
        <v>0.15569599404355933</v>
      </c>
      <c r="C253">
        <f>Rocof!$X258</f>
        <v>0.21948461656674983</v>
      </c>
    </row>
    <row xmlns:x14ac="http://schemas.microsoft.com/office/spreadsheetml/2009/9/ac" r="254" x14ac:dyDescent="0.45">
      <c r="A254">
        <f>Rocof!A259</f>
        <v>1.26</v>
      </c>
      <c r="B254">
        <f>Rocof!$W259</f>
        <v>0.15576733557089506</v>
      </c>
      <c r="C254">
        <f>Rocof!$X259</f>
        <v>0.21943731184427373</v>
      </c>
    </row>
    <row xmlns:x14ac="http://schemas.microsoft.com/office/spreadsheetml/2009/9/ac" r="255" x14ac:dyDescent="0.45">
      <c r="A255">
        <f>Rocof!A260</f>
        <v>1.2649999999999999</v>
      </c>
      <c r="B255">
        <f>Rocof!$W260</f>
        <v>0.15583832128087882</v>
      </c>
      <c r="C255">
        <f>Rocof!$X260</f>
        <v>0.21939024305508525</v>
      </c>
    </row>
    <row xmlns:x14ac="http://schemas.microsoft.com/office/spreadsheetml/2009/9/ac" r="256" x14ac:dyDescent="0.45">
      <c r="A256">
        <f>Rocof!A261</f>
        <v>1.27</v>
      </c>
      <c r="B256">
        <f>Rocof!$W261</f>
        <v>0.15590895294815699</v>
      </c>
      <c r="C256">
        <f>Rocof!$X261</f>
        <v>0.21934340902246224</v>
      </c>
    </row>
    <row xmlns:x14ac="http://schemas.microsoft.com/office/spreadsheetml/2009/9/ac" r="257" x14ac:dyDescent="0.45">
      <c r="A257">
        <f>Rocof!A262</f>
        <v>1.2749999999999999</v>
      </c>
      <c r="B257">
        <f>Rocof!$W262</f>
        <v>0.15597923233852493</v>
      </c>
      <c r="C257">
        <f>Rocof!$X262</f>
        <v>0.21929680857555145</v>
      </c>
    </row>
    <row xmlns:x14ac="http://schemas.microsoft.com/office/spreadsheetml/2009/9/ac" r="258" x14ac:dyDescent="0.45">
      <c r="A258">
        <f>Rocof!A263</f>
        <v>1.28</v>
      </c>
      <c r="B258">
        <f>Rocof!$W263</f>
        <v>0.15604916120897111</v>
      </c>
      <c r="C258">
        <f>Rocof!$X263</f>
        <v>0.21925044054933923</v>
      </c>
    </row>
    <row xmlns:x14ac="http://schemas.microsoft.com/office/spreadsheetml/2009/9/ac" r="259" x14ac:dyDescent="0.45">
      <c r="A259">
        <f>Rocof!A264</f>
        <v>1.2849999999999999</v>
      </c>
      <c r="B259">
        <f>Rocof!$W264</f>
        <v>0.15611874130772091</v>
      </c>
      <c r="C259">
        <f>Rocof!$X264</f>
        <v>0.21920430378462258</v>
      </c>
    </row>
    <row xmlns:x14ac="http://schemas.microsoft.com/office/spreadsheetml/2009/9/ac" r="260" x14ac:dyDescent="0.45">
      <c r="A260">
        <f>Rocof!A265</f>
        <v>1.29</v>
      </c>
      <c r="B260">
        <f>Rocof!$W265</f>
        <v>0.15618797437428039</v>
      </c>
      <c r="C260">
        <f>Rocof!$X265</f>
        <v>0.21915839712797991</v>
      </c>
    </row>
    <row xmlns:x14ac="http://schemas.microsoft.com/office/spreadsheetml/2009/9/ac" r="261" x14ac:dyDescent="0.45">
      <c r="A261">
        <f>Rocof!A266</f>
        <v>1.2949999999999999</v>
      </c>
      <c r="B261">
        <f>Rocof!$W266</f>
        <v>0.15625686213947987</v>
      </c>
      <c r="C261">
        <f>Rocof!$X266</f>
        <v>0.21911271943174243</v>
      </c>
    </row>
    <row xmlns:x14ac="http://schemas.microsoft.com/office/spreadsheetml/2009/9/ac" r="262" x14ac:dyDescent="0.45">
      <c r="A262">
        <f>Rocof!A267</f>
        <v>1.3</v>
      </c>
      <c r="B262">
        <f>Rocof!$W267</f>
        <v>0.15632540632551706</v>
      </c>
      <c r="C262">
        <f>Rocof!$X267</f>
        <v>0.21906726955396533</v>
      </c>
    </row>
    <row xmlns:x14ac="http://schemas.microsoft.com/office/spreadsheetml/2009/9/ac" r="263" x14ac:dyDescent="0.45">
      <c r="A263">
        <f>Rocof!A268</f>
        <v>1.3049999999999999</v>
      </c>
      <c r="B263">
        <f>Rocof!$W268</f>
        <v>0.15639360864600016</v>
      </c>
      <c r="C263">
        <f>Rocof!$X268</f>
        <v>0.21902204635839939</v>
      </c>
    </row>
    <row xmlns:x14ac="http://schemas.microsoft.com/office/spreadsheetml/2009/9/ac" r="264" x14ac:dyDescent="0.45">
      <c r="A264">
        <f>Rocof!A269</f>
        <v>1.31</v>
      </c>
      <c r="B264">
        <f>Rocof!$W269</f>
        <v>0.15646147080599074</v>
      </c>
      <c r="C264">
        <f>Rocof!$X269</f>
        <v>0.21897704871446227</v>
      </c>
    </row>
    <row xmlns:x14ac="http://schemas.microsoft.com/office/spreadsheetml/2009/9/ac" r="265" x14ac:dyDescent="0.45">
      <c r="A265">
        <f>Rocof!A270</f>
        <v>1.3149999999999999</v>
      </c>
      <c r="B265">
        <f>Rocof!$W270</f>
        <v>0.15652899450204633</v>
      </c>
      <c r="C265">
        <f>Rocof!$X270</f>
        <v>0.21893227549721062</v>
      </c>
    </row>
  </sheetData>
  <pageMargins left="0.7" right="0.7" top="0.75" bottom="0.75" header="0.3" footer="0.3"/>
</worksheet>
</file>

<file path=customXml/_rels/item1.xml.rels><?xml version="1.0" encoding="UTF-8"?><Relationships xmlns="http://schemas.openxmlformats.org/package/2006/relationships"><Relationship Target="itemProps1.xml" Type="http://schemas.openxmlformats.org/officeDocument/2006/relationships/customXmlProps" Id="rId1"/></Relationships>
</file>

<file path=customXml/_rels/item2.xml.rels><?xml version="1.0" encoding="UTF-8"?><Relationships xmlns="http://schemas.openxmlformats.org/package/2006/relationships"><Relationship Target="itemProps2.xml" Type="http://schemas.openxmlformats.org/officeDocument/2006/relationships/customXmlProps" Id="rId1"/></Relationships>
</file>

<file path=customXml/_rels/item3.xml.rels><?xml version="1.0" encoding="UTF-8"?><Relationships xmlns="http://schemas.openxmlformats.org/package/2006/relationships"><Relationship Target="itemProps3.xml" Type="http://schemas.openxmlformats.org/officeDocument/2006/relationships/customXmlProps" Id="rId1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0efa537-de19-4a3d-ad17-7cd27164d04c" xsi:nil="true"/>
    <lcf76f155ced4ddcb4097134ff3c332f xmlns="9e6ba65f-8721-4074-b199-fd478b67dab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BE2F22448964A80482586689DB88E" ma:contentTypeVersion="11" ma:contentTypeDescription="Create a new document." ma:contentTypeScope="" ma:versionID="9c3490e2e09771db8de0696d0f72583b">
  <xsd:schema xmlns:xsd="http://www.w3.org/2001/XMLSchema" xmlns:xs="http://www.w3.org/2001/XMLSchema" xmlns:p="http://schemas.microsoft.com/office/2006/metadata/properties" xmlns:ns2="9e6ba65f-8721-4074-b199-fd478b67dab4" xmlns:ns3="20efa537-de19-4a3d-ad17-7cd27164d04c" targetNamespace="http://schemas.microsoft.com/office/2006/metadata/properties" ma:root="true" ma:fieldsID="0be447a2d940664075e122f07f1ca9c6" ns2:_="" ns3:_="">
    <xsd:import namespace="9e6ba65f-8721-4074-b199-fd478b67dab4"/>
    <xsd:import namespace="20efa537-de19-4a3d-ad17-7cd27164d0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ba65f-8721-4074-b199-fd478b67da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098e9ab0-fafa-442d-a8b4-a7f3d9cdd5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efa537-de19-4a3d-ad17-7cd27164d04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633c37-d626-4f08-8883-dec1b221df59}" ma:internalName="TaxCatchAll" ma:showField="CatchAllData" ma:web="20efa537-de19-4a3d-ad17-7cd27164d0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CADAB96-E296-4DBB-8235-49C2018DD01A}">
  <ds:schemaRefs>
    <ds:schemaRef ds:uri="http://purl.org/dc/elements/1.1/"/>
    <ds:schemaRef ds:uri="http://schemas.microsoft.com/office/infopath/2007/PartnerControls"/>
    <ds:schemaRef ds:uri="9e6ba65f-8721-4074-b199-fd478b67dab4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20efa537-de19-4a3d-ad17-7cd27164d04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32B0E87-96EE-4938-B7C0-2DBDFB357B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6ba65f-8721-4074-b199-fd478b67dab4"/>
    <ds:schemaRef ds:uri="20efa537-de19-4a3d-ad17-7cd27164d0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BA9874-AAA0-47F5-A279-01A23C9133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25</vt:i4>
      </vt:variant>
    </vt:vector>
  </HeadingPairs>
  <TitlesOfParts>
    <vt:vector size="27" baseType="lpstr">
      <vt:lpstr>Rocof</vt:lpstr>
      <vt:lpstr>csv_rocof</vt:lpstr>
      <vt:lpstr>A</vt:lpstr>
      <vt:lpstr>Alpha</vt:lpstr>
      <vt:lpstr>B</vt:lpstr>
      <vt:lpstr>Beta</vt:lpstr>
      <vt:lpstr>C_</vt:lpstr>
      <vt:lpstr>D</vt:lpstr>
      <vt:lpstr>Damp</vt:lpstr>
      <vt:lpstr>DeltaPExpect</vt:lpstr>
      <vt:lpstr>DeltaPexpected</vt:lpstr>
      <vt:lpstr>EMT_Simulation</vt:lpstr>
      <vt:lpstr>epsilon</vt:lpstr>
      <vt:lpstr>H</vt:lpstr>
      <vt:lpstr>marge_basse</vt:lpstr>
      <vt:lpstr>Marge_haute</vt:lpstr>
      <vt:lpstr>Num</vt:lpstr>
      <vt:lpstr>P0</vt:lpstr>
      <vt:lpstr>Ppeak</vt:lpstr>
      <vt:lpstr>Rocof</vt:lpstr>
      <vt:lpstr>Sigma</vt:lpstr>
      <vt:lpstr>Texpodecrease</vt:lpstr>
      <vt:lpstr>Tpll</vt:lpstr>
      <vt:lpstr>Tunnel</vt:lpstr>
      <vt:lpstr>Wd</vt:lpstr>
      <vt:lpstr>Wn</vt:lpstr>
      <vt:lpstr>Xi</vt:lpstr>
    </vt:vector>
  </TitlesOfParts>
  <Manager/>
  <Company>RTE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PREVOST Thibault</dc:creator>
  <cp:keywords/>
  <dc:description/>
  <cp:lastModifiedBy>Shan, Wei Wei</cp:lastModifiedBy>
  <cp:revision/>
  <dcterms:created xsi:type="dcterms:W3CDTF">2025-02-19T13:26:37Z</dcterms:created>
  <dcterms:modified xsi:type="dcterms:W3CDTF">2025-12-16T20:54:33Z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0x010100BD0BE2F22448964A80482586689DB88E</vt:lpwstr>
  </property>
  <property fmtid="{D5CDD505-2E9C-101B-9397-08002B2CF9AE}" pid="3" name="MediaServiceImageTags">
    <vt:lpwstr/>
  </property>
</Properties>
</file>