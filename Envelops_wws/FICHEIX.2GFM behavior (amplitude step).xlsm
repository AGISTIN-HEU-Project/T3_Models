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rtefrance.sharepoint.com/sites/MisejourCdC/Shared Documents/General/2025_Grid-forming/Gabarit/"/>
    </mc:Choice>
  </mc:AlternateContent>
  <xr:revisionPtr revIDLastSave="135" documentId="8_{84E599B0-8234-43C0-B376-7287A73D500C}" xr6:coauthVersionLast="47" xr6:coauthVersionMax="47" xr10:uidLastSave="{0B6AC58A-1F28-4031-80C4-B2B8AF89F8C7}"/>
  <bookViews>
    <workbookView xWindow="-120" yWindow="-120" windowWidth="29040" windowHeight="17790" tabRatio="796" firstSheet="4" activeTab="4" xr2:uid="{86530987-3862-4A1F-B6DF-52FFCF2610DB}"/>
  </bookViews>
  <sheets>
    <sheet name="Overdamped system" sheetId="1" state="hidden" r:id="rId1"/>
    <sheet name="Overdamped V2" sheetId="9" state="hidden" r:id="rId2"/>
    <sheet name="Second Order system" sheetId="2" state="hidden" r:id="rId3"/>
    <sheet name="Second Order V2" sheetId="4" state="hidden" r:id="rId4"/>
    <sheet name="Amplitude Jump" sheetId="7" r:id="rId5"/>
    <sheet name="csv_amplitude" sheetId="8" r:id="rId6"/>
  </sheets>
  <definedNames>
    <definedName name="DeltaIQ">'Amplitude Jump'!$K$5</definedName>
    <definedName name="deltaVinf">'Amplitude Jump'!$K$6</definedName>
    <definedName name="DetlaIQ">'Amplitude Jump'!$K$5</definedName>
    <definedName name="EMT_simulation">'Amplitude Jump'!$E$1</definedName>
    <definedName name="Marge_haute">'Amplitude Jump'!$H$10</definedName>
    <definedName name="Q0">'Amplitude Jump'!$H$5</definedName>
    <definedName name="t90pc">'Amplitude Jump'!$H$11</definedName>
    <definedName name="tau">'Amplitude Jump'!$K$4</definedName>
    <definedName name="ttunnel">'Amplitude Jump'!$H$12</definedName>
    <definedName name="tunnel">'Amplitude Jump'!$K$8</definedName>
    <definedName name="Vstep">'Amplitude Jump'!$H$3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7" l="1"/>
  <c r="K6" i="7" s="1"/>
  <c r="K5" i="7" s="1"/>
  <c r="B6" i="7"/>
  <c r="B5" i="7"/>
  <c r="E9" i="7" s="1"/>
  <c r="B6" i="8" s="1"/>
  <c r="K3" i="7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5" i="9"/>
  <c r="I8" i="4"/>
  <c r="I7" i="4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7" i="9"/>
  <c r="M12" i="9"/>
  <c r="M9" i="9" s="1"/>
  <c r="M7" i="9" s="1"/>
  <c r="M8" i="9" s="1"/>
  <c r="F6" i="9"/>
  <c r="G6" i="9" s="1"/>
  <c r="M5" i="9"/>
  <c r="F5" i="9"/>
  <c r="G5" i="9" s="1"/>
  <c r="A2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C1" i="8"/>
  <c r="B1" i="8"/>
  <c r="A1" i="8"/>
  <c r="K4" i="7"/>
  <c r="T14" i="4"/>
  <c r="T11" i="4" s="1"/>
  <c r="T12" i="4" s="1"/>
  <c r="V12" i="4" s="1"/>
  <c r="V13" i="4" s="1"/>
  <c r="T10" i="4"/>
  <c r="F30" i="4" s="1"/>
  <c r="M8" i="4"/>
  <c r="N8" i="4" s="1"/>
  <c r="H8" i="4"/>
  <c r="F8" i="4"/>
  <c r="T7" i="4"/>
  <c r="M7" i="4"/>
  <c r="N7" i="4" s="1"/>
  <c r="H7" i="4"/>
  <c r="F7" i="4"/>
  <c r="B7" i="2"/>
  <c r="M7" i="2"/>
  <c r="E8" i="2"/>
  <c r="E7" i="2"/>
  <c r="M10" i="2"/>
  <c r="M14" i="2"/>
  <c r="M11" i="2" s="1"/>
  <c r="F8" i="2"/>
  <c r="G8" i="2" s="1"/>
  <c r="D8" i="2"/>
  <c r="F7" i="2"/>
  <c r="G7" i="2" s="1"/>
  <c r="D7" i="2"/>
  <c r="E6" i="1"/>
  <c r="F6" i="1" s="1"/>
  <c r="E5" i="1"/>
  <c r="F5" i="1" s="1"/>
  <c r="L5" i="1"/>
  <c r="L12" i="1"/>
  <c r="D6" i="7" l="1"/>
  <c r="D5" i="7"/>
  <c r="E10" i="7"/>
  <c r="B7" i="8" s="1"/>
  <c r="E5" i="7"/>
  <c r="B2" i="8" s="1"/>
  <c r="E6" i="7"/>
  <c r="B3" i="8" s="1"/>
  <c r="E7" i="7"/>
  <c r="B4" i="8" s="1"/>
  <c r="E8" i="7"/>
  <c r="B5" i="8" s="1"/>
  <c r="K8" i="7"/>
  <c r="B213" i="7" s="1"/>
  <c r="D199" i="7"/>
  <c r="D71" i="7"/>
  <c r="D255" i="7"/>
  <c r="D191" i="7"/>
  <c r="D127" i="7"/>
  <c r="D63" i="7"/>
  <c r="D239" i="7"/>
  <c r="D263" i="7"/>
  <c r="D135" i="7"/>
  <c r="D25" i="7"/>
  <c r="D247" i="7"/>
  <c r="D183" i="7"/>
  <c r="D119" i="7"/>
  <c r="D55" i="7"/>
  <c r="D111" i="7"/>
  <c r="D39" i="7"/>
  <c r="D223" i="7"/>
  <c r="D159" i="7"/>
  <c r="D95" i="7"/>
  <c r="D31" i="7"/>
  <c r="D47" i="7"/>
  <c r="D231" i="7"/>
  <c r="D103" i="7"/>
  <c r="D17" i="7"/>
  <c r="D215" i="7"/>
  <c r="D151" i="7"/>
  <c r="D87" i="7"/>
  <c r="D23" i="7"/>
  <c r="D175" i="7"/>
  <c r="D167" i="7"/>
  <c r="D9" i="7"/>
  <c r="D207" i="7"/>
  <c r="D143" i="7"/>
  <c r="D79" i="7"/>
  <c r="D10" i="7"/>
  <c r="D264" i="7"/>
  <c r="D256" i="7"/>
  <c r="D248" i="7"/>
  <c r="D240" i="7"/>
  <c r="D232" i="7"/>
  <c r="D224" i="7"/>
  <c r="D216" i="7"/>
  <c r="D208" i="7"/>
  <c r="D200" i="7"/>
  <c r="D192" i="7"/>
  <c r="D184" i="7"/>
  <c r="D176" i="7"/>
  <c r="D168" i="7"/>
  <c r="D160" i="7"/>
  <c r="D152" i="7"/>
  <c r="D144" i="7"/>
  <c r="D136" i="7"/>
  <c r="D128" i="7"/>
  <c r="D120" i="7"/>
  <c r="D112" i="7"/>
  <c r="D104" i="7"/>
  <c r="D96" i="7"/>
  <c r="D88" i="7"/>
  <c r="D80" i="7"/>
  <c r="D72" i="7"/>
  <c r="D64" i="7"/>
  <c r="D56" i="7"/>
  <c r="D48" i="7"/>
  <c r="D40" i="7"/>
  <c r="D32" i="7"/>
  <c r="D24" i="7"/>
  <c r="D16" i="7"/>
  <c r="D8" i="7"/>
  <c r="D262" i="7"/>
  <c r="D254" i="7"/>
  <c r="D246" i="7"/>
  <c r="D238" i="7"/>
  <c r="D230" i="7"/>
  <c r="D222" i="7"/>
  <c r="D214" i="7"/>
  <c r="D206" i="7"/>
  <c r="D198" i="7"/>
  <c r="D190" i="7"/>
  <c r="D182" i="7"/>
  <c r="D174" i="7"/>
  <c r="D166" i="7"/>
  <c r="D158" i="7"/>
  <c r="D150" i="7"/>
  <c r="D142" i="7"/>
  <c r="D134" i="7"/>
  <c r="D126" i="7"/>
  <c r="D118" i="7"/>
  <c r="D110" i="7"/>
  <c r="D102" i="7"/>
  <c r="D94" i="7"/>
  <c r="D86" i="7"/>
  <c r="D78" i="7"/>
  <c r="D70" i="7"/>
  <c r="D62" i="7"/>
  <c r="D54" i="7"/>
  <c r="D46" i="7"/>
  <c r="D38" i="7"/>
  <c r="D30" i="7"/>
  <c r="D22" i="7"/>
  <c r="D15" i="7"/>
  <c r="D7" i="7"/>
  <c r="D261" i="7"/>
  <c r="D253" i="7"/>
  <c r="D245" i="7"/>
  <c r="D237" i="7"/>
  <c r="D229" i="7"/>
  <c r="D221" i="7"/>
  <c r="D213" i="7"/>
  <c r="D205" i="7"/>
  <c r="D197" i="7"/>
  <c r="D189" i="7"/>
  <c r="D181" i="7"/>
  <c r="D173" i="7"/>
  <c r="D165" i="7"/>
  <c r="D157" i="7"/>
  <c r="D149" i="7"/>
  <c r="D141" i="7"/>
  <c r="D133" i="7"/>
  <c r="D125" i="7"/>
  <c r="D117" i="7"/>
  <c r="D109" i="7"/>
  <c r="D101" i="7"/>
  <c r="D93" i="7"/>
  <c r="D85" i="7"/>
  <c r="D77" i="7"/>
  <c r="D69" i="7"/>
  <c r="D61" i="7"/>
  <c r="D53" i="7"/>
  <c r="D45" i="7"/>
  <c r="D37" i="7"/>
  <c r="D29" i="7"/>
  <c r="D21" i="7"/>
  <c r="D14" i="7"/>
  <c r="D268" i="7"/>
  <c r="D260" i="7"/>
  <c r="D252" i="7"/>
  <c r="D244" i="7"/>
  <c r="D236" i="7"/>
  <c r="D228" i="7"/>
  <c r="D220" i="7"/>
  <c r="D212" i="7"/>
  <c r="D204" i="7"/>
  <c r="D196" i="7"/>
  <c r="D188" i="7"/>
  <c r="D180" i="7"/>
  <c r="D172" i="7"/>
  <c r="D164" i="7"/>
  <c r="D156" i="7"/>
  <c r="D148" i="7"/>
  <c r="D140" i="7"/>
  <c r="D132" i="7"/>
  <c r="D124" i="7"/>
  <c r="D116" i="7"/>
  <c r="D108" i="7"/>
  <c r="D100" i="7"/>
  <c r="D92" i="7"/>
  <c r="D84" i="7"/>
  <c r="D76" i="7"/>
  <c r="D68" i="7"/>
  <c r="D60" i="7"/>
  <c r="D52" i="7"/>
  <c r="D44" i="7"/>
  <c r="D36" i="7"/>
  <c r="D28" i="7"/>
  <c r="D20" i="7"/>
  <c r="D13" i="7"/>
  <c r="D267" i="7"/>
  <c r="D259" i="7"/>
  <c r="D251" i="7"/>
  <c r="D243" i="7"/>
  <c r="D235" i="7"/>
  <c r="D227" i="7"/>
  <c r="D219" i="7"/>
  <c r="D211" i="7"/>
  <c r="D203" i="7"/>
  <c r="D195" i="7"/>
  <c r="D187" i="7"/>
  <c r="D179" i="7"/>
  <c r="D171" i="7"/>
  <c r="D163" i="7"/>
  <c r="D155" i="7"/>
  <c r="D147" i="7"/>
  <c r="D139" i="7"/>
  <c r="D131" i="7"/>
  <c r="D123" i="7"/>
  <c r="D115" i="7"/>
  <c r="D107" i="7"/>
  <c r="D99" i="7"/>
  <c r="D91" i="7"/>
  <c r="D83" i="7"/>
  <c r="D75" i="7"/>
  <c r="D67" i="7"/>
  <c r="D59" i="7"/>
  <c r="D51" i="7"/>
  <c r="D43" i="7"/>
  <c r="D35" i="7"/>
  <c r="D27" i="7"/>
  <c r="D19" i="7"/>
  <c r="D12" i="7"/>
  <c r="D266" i="7"/>
  <c r="D258" i="7"/>
  <c r="D250" i="7"/>
  <c r="D242" i="7"/>
  <c r="D234" i="7"/>
  <c r="D226" i="7"/>
  <c r="D218" i="7"/>
  <c r="D210" i="7"/>
  <c r="D202" i="7"/>
  <c r="D194" i="7"/>
  <c r="D186" i="7"/>
  <c r="D178" i="7"/>
  <c r="D170" i="7"/>
  <c r="D162" i="7"/>
  <c r="D154" i="7"/>
  <c r="D146" i="7"/>
  <c r="D138" i="7"/>
  <c r="D130" i="7"/>
  <c r="D122" i="7"/>
  <c r="D114" i="7"/>
  <c r="D106" i="7"/>
  <c r="D98" i="7"/>
  <c r="D90" i="7"/>
  <c r="D82" i="7"/>
  <c r="D74" i="7"/>
  <c r="D66" i="7"/>
  <c r="D58" i="7"/>
  <c r="D50" i="7"/>
  <c r="D42" i="7"/>
  <c r="D34" i="7"/>
  <c r="D26" i="7"/>
  <c r="D18" i="7"/>
  <c r="D11" i="7"/>
  <c r="D265" i="7"/>
  <c r="D257" i="7"/>
  <c r="D249" i="7"/>
  <c r="D241" i="7"/>
  <c r="D233" i="7"/>
  <c r="D225" i="7"/>
  <c r="D217" i="7"/>
  <c r="D209" i="7"/>
  <c r="D201" i="7"/>
  <c r="D193" i="7"/>
  <c r="D185" i="7"/>
  <c r="D177" i="7"/>
  <c r="D169" i="7"/>
  <c r="D161" i="7"/>
  <c r="D153" i="7"/>
  <c r="D145" i="7"/>
  <c r="D137" i="7"/>
  <c r="D129" i="7"/>
  <c r="D121" i="7"/>
  <c r="D113" i="7"/>
  <c r="D105" i="7"/>
  <c r="D97" i="7"/>
  <c r="D89" i="7"/>
  <c r="D81" i="7"/>
  <c r="D73" i="7"/>
  <c r="D65" i="7"/>
  <c r="D57" i="7"/>
  <c r="D49" i="7"/>
  <c r="D41" i="7"/>
  <c r="D33" i="7"/>
  <c r="F158" i="4"/>
  <c r="F135" i="4"/>
  <c r="F116" i="4"/>
  <c r="F263" i="4"/>
  <c r="F94" i="4"/>
  <c r="F180" i="4"/>
  <c r="F244" i="4"/>
  <c r="F71" i="4"/>
  <c r="F222" i="4"/>
  <c r="F52" i="4"/>
  <c r="F199" i="4"/>
  <c r="F16" i="4"/>
  <c r="F24" i="4"/>
  <c r="F32" i="4"/>
  <c r="F40" i="4"/>
  <c r="F48" i="4"/>
  <c r="F56" i="4"/>
  <c r="F64" i="4"/>
  <c r="F72" i="4"/>
  <c r="F80" i="4"/>
  <c r="F88" i="4"/>
  <c r="F96" i="4"/>
  <c r="F104" i="4"/>
  <c r="F112" i="4"/>
  <c r="F120" i="4"/>
  <c r="F128" i="4"/>
  <c r="F136" i="4"/>
  <c r="F144" i="4"/>
  <c r="F152" i="4"/>
  <c r="F160" i="4"/>
  <c r="F168" i="4"/>
  <c r="F176" i="4"/>
  <c r="F184" i="4"/>
  <c r="F192" i="4"/>
  <c r="F200" i="4"/>
  <c r="F208" i="4"/>
  <c r="F216" i="4"/>
  <c r="F224" i="4"/>
  <c r="F232" i="4"/>
  <c r="F240" i="4"/>
  <c r="F248" i="4"/>
  <c r="F256" i="4"/>
  <c r="F264" i="4"/>
  <c r="F17" i="4"/>
  <c r="F25" i="4"/>
  <c r="F33" i="4"/>
  <c r="F41" i="4"/>
  <c r="F49" i="4"/>
  <c r="F57" i="4"/>
  <c r="F65" i="4"/>
  <c r="F73" i="4"/>
  <c r="F81" i="4"/>
  <c r="F89" i="4"/>
  <c r="F97" i="4"/>
  <c r="F105" i="4"/>
  <c r="F113" i="4"/>
  <c r="F121" i="4"/>
  <c r="F129" i="4"/>
  <c r="F137" i="4"/>
  <c r="F145" i="4"/>
  <c r="F153" i="4"/>
  <c r="F161" i="4"/>
  <c r="F169" i="4"/>
  <c r="F177" i="4"/>
  <c r="F185" i="4"/>
  <c r="F193" i="4"/>
  <c r="F201" i="4"/>
  <c r="F209" i="4"/>
  <c r="F217" i="4"/>
  <c r="F225" i="4"/>
  <c r="F233" i="4"/>
  <c r="F241" i="4"/>
  <c r="F249" i="4"/>
  <c r="F257" i="4"/>
  <c r="F265" i="4"/>
  <c r="F10" i="4"/>
  <c r="F18" i="4"/>
  <c r="F26" i="4"/>
  <c r="F34" i="4"/>
  <c r="F42" i="4"/>
  <c r="F50" i="4"/>
  <c r="F58" i="4"/>
  <c r="F66" i="4"/>
  <c r="F74" i="4"/>
  <c r="F82" i="4"/>
  <c r="F90" i="4"/>
  <c r="F98" i="4"/>
  <c r="F106" i="4"/>
  <c r="F114" i="4"/>
  <c r="F122" i="4"/>
  <c r="F130" i="4"/>
  <c r="F138" i="4"/>
  <c r="F146" i="4"/>
  <c r="F154" i="4"/>
  <c r="F162" i="4"/>
  <c r="F170" i="4"/>
  <c r="F178" i="4"/>
  <c r="F186" i="4"/>
  <c r="F194" i="4"/>
  <c r="F202" i="4"/>
  <c r="F210" i="4"/>
  <c r="F218" i="4"/>
  <c r="F226" i="4"/>
  <c r="F234" i="4"/>
  <c r="F242" i="4"/>
  <c r="F250" i="4"/>
  <c r="F258" i="4"/>
  <c r="F266" i="4"/>
  <c r="F11" i="4"/>
  <c r="F19" i="4"/>
  <c r="F27" i="4"/>
  <c r="F35" i="4"/>
  <c r="F43" i="4"/>
  <c r="F51" i="4"/>
  <c r="F59" i="4"/>
  <c r="F67" i="4"/>
  <c r="F75" i="4"/>
  <c r="F83" i="4"/>
  <c r="F91" i="4"/>
  <c r="F99" i="4"/>
  <c r="F107" i="4"/>
  <c r="F115" i="4"/>
  <c r="F123" i="4"/>
  <c r="F131" i="4"/>
  <c r="F139" i="4"/>
  <c r="F147" i="4"/>
  <c r="F155" i="4"/>
  <c r="F163" i="4"/>
  <c r="F171" i="4"/>
  <c r="F179" i="4"/>
  <c r="F187" i="4"/>
  <c r="F195" i="4"/>
  <c r="F203" i="4"/>
  <c r="F211" i="4"/>
  <c r="F219" i="4"/>
  <c r="F227" i="4"/>
  <c r="F235" i="4"/>
  <c r="F243" i="4"/>
  <c r="F251" i="4"/>
  <c r="F259" i="4"/>
  <c r="F267" i="4"/>
  <c r="F13" i="4"/>
  <c r="F21" i="4"/>
  <c r="F29" i="4"/>
  <c r="F37" i="4"/>
  <c r="F45" i="4"/>
  <c r="F53" i="4"/>
  <c r="F61" i="4"/>
  <c r="F69" i="4"/>
  <c r="F77" i="4"/>
  <c r="F85" i="4"/>
  <c r="F93" i="4"/>
  <c r="F101" i="4"/>
  <c r="F109" i="4"/>
  <c r="F117" i="4"/>
  <c r="F125" i="4"/>
  <c r="F133" i="4"/>
  <c r="F141" i="4"/>
  <c r="F149" i="4"/>
  <c r="F157" i="4"/>
  <c r="F165" i="4"/>
  <c r="F173" i="4"/>
  <c r="F181" i="4"/>
  <c r="F189" i="4"/>
  <c r="F197" i="4"/>
  <c r="F205" i="4"/>
  <c r="F213" i="4"/>
  <c r="F221" i="4"/>
  <c r="F229" i="4"/>
  <c r="F237" i="4"/>
  <c r="F245" i="4"/>
  <c r="F253" i="4"/>
  <c r="F261" i="4"/>
  <c r="F269" i="4"/>
  <c r="F262" i="4"/>
  <c r="F239" i="4"/>
  <c r="F220" i="4"/>
  <c r="F198" i="4"/>
  <c r="F175" i="4"/>
  <c r="F156" i="4"/>
  <c r="F134" i="4"/>
  <c r="F111" i="4"/>
  <c r="F92" i="4"/>
  <c r="F70" i="4"/>
  <c r="F47" i="4"/>
  <c r="F28" i="4"/>
  <c r="F260" i="4"/>
  <c r="F238" i="4"/>
  <c r="F215" i="4"/>
  <c r="F196" i="4"/>
  <c r="F174" i="4"/>
  <c r="F151" i="4"/>
  <c r="F132" i="4"/>
  <c r="F110" i="4"/>
  <c r="F87" i="4"/>
  <c r="F68" i="4"/>
  <c r="F46" i="4"/>
  <c r="F23" i="4"/>
  <c r="F191" i="4"/>
  <c r="F86" i="4"/>
  <c r="F254" i="4"/>
  <c r="F231" i="4"/>
  <c r="F212" i="4"/>
  <c r="F190" i="4"/>
  <c r="F167" i="4"/>
  <c r="F148" i="4"/>
  <c r="F126" i="4"/>
  <c r="F103" i="4"/>
  <c r="F84" i="4"/>
  <c r="F62" i="4"/>
  <c r="F39" i="4"/>
  <c r="F20" i="4"/>
  <c r="F255" i="4"/>
  <c r="F214" i="4"/>
  <c r="F127" i="4"/>
  <c r="F108" i="4"/>
  <c r="F22" i="4"/>
  <c r="F9" i="4"/>
  <c r="F252" i="4"/>
  <c r="F230" i="4"/>
  <c r="F207" i="4"/>
  <c r="F188" i="4"/>
  <c r="F166" i="4"/>
  <c r="F143" i="4"/>
  <c r="F124" i="4"/>
  <c r="F102" i="4"/>
  <c r="F79" i="4"/>
  <c r="F60" i="4"/>
  <c r="F38" i="4"/>
  <c r="F15" i="4"/>
  <c r="F236" i="4"/>
  <c r="F150" i="4"/>
  <c r="F63" i="4"/>
  <c r="F270" i="4"/>
  <c r="F247" i="4"/>
  <c r="F228" i="4"/>
  <c r="F206" i="4"/>
  <c r="F183" i="4"/>
  <c r="F164" i="4"/>
  <c r="F142" i="4"/>
  <c r="F119" i="4"/>
  <c r="F100" i="4"/>
  <c r="F78" i="4"/>
  <c r="F55" i="4"/>
  <c r="F36" i="4"/>
  <c r="F14" i="4"/>
  <c r="F172" i="4"/>
  <c r="F44" i="4"/>
  <c r="F268" i="4"/>
  <c r="F246" i="4"/>
  <c r="F223" i="4"/>
  <c r="F204" i="4"/>
  <c r="F182" i="4"/>
  <c r="F159" i="4"/>
  <c r="F140" i="4"/>
  <c r="F118" i="4"/>
  <c r="F95" i="4"/>
  <c r="F76" i="4"/>
  <c r="F54" i="4"/>
  <c r="F31" i="4"/>
  <c r="F12" i="4"/>
  <c r="T8" i="4"/>
  <c r="T6" i="4"/>
  <c r="T9" i="4"/>
  <c r="T15" i="4"/>
  <c r="M19" i="9"/>
  <c r="M10" i="9"/>
  <c r="M14" i="9"/>
  <c r="M6" i="9"/>
  <c r="G45" i="9"/>
  <c r="G37" i="9"/>
  <c r="G32" i="9"/>
  <c r="G9" i="9"/>
  <c r="G19" i="9"/>
  <c r="G21" i="9"/>
  <c r="G10" i="9"/>
  <c r="G14" i="9"/>
  <c r="G18" i="9"/>
  <c r="G13" i="9"/>
  <c r="G38" i="9"/>
  <c r="G23" i="9"/>
  <c r="G15" i="9"/>
  <c r="G8" i="9"/>
  <c r="G28" i="9"/>
  <c r="G20" i="9"/>
  <c r="G11" i="9"/>
  <c r="G30" i="9"/>
  <c r="G12" i="9"/>
  <c r="G33" i="9"/>
  <c r="G35" i="9"/>
  <c r="G27" i="9"/>
  <c r="B49" i="4"/>
  <c r="B53" i="4"/>
  <c r="B50" i="4"/>
  <c r="D269" i="4"/>
  <c r="D261" i="4"/>
  <c r="D259" i="4"/>
  <c r="D253" i="4"/>
  <c r="D251" i="4"/>
  <c r="D250" i="4"/>
  <c r="D242" i="4"/>
  <c r="D237" i="4"/>
  <c r="D234" i="4"/>
  <c r="D229" i="4"/>
  <c r="D227" i="4"/>
  <c r="D219" i="4"/>
  <c r="D218" i="4"/>
  <c r="D211" i="4"/>
  <c r="D210" i="4"/>
  <c r="B250" i="4"/>
  <c r="B218" i="4"/>
  <c r="B210" i="4"/>
  <c r="B196" i="4"/>
  <c r="B192" i="4"/>
  <c r="D193" i="4"/>
  <c r="B249" i="4"/>
  <c r="B237" i="4"/>
  <c r="B217" i="4"/>
  <c r="B209" i="4"/>
  <c r="B267" i="4"/>
  <c r="D194" i="4"/>
  <c r="B258" i="4"/>
  <c r="B252" i="4"/>
  <c r="B244" i="4"/>
  <c r="B228" i="4"/>
  <c r="B224" i="4"/>
  <c r="B216" i="4"/>
  <c r="B212" i="4"/>
  <c r="D208" i="4"/>
  <c r="B198" i="4"/>
  <c r="B194" i="4"/>
  <c r="B190" i="4"/>
  <c r="D185" i="4"/>
  <c r="D184" i="4"/>
  <c r="D182" i="4"/>
  <c r="D181" i="4"/>
  <c r="D180" i="4"/>
  <c r="D177" i="4"/>
  <c r="D176" i="4"/>
  <c r="D174" i="4"/>
  <c r="D173" i="4"/>
  <c r="D172" i="4"/>
  <c r="D169" i="4"/>
  <c r="D168" i="4"/>
  <c r="D166" i="4"/>
  <c r="D165" i="4"/>
  <c r="D164" i="4"/>
  <c r="D161" i="4"/>
  <c r="D160" i="4"/>
  <c r="D158" i="4"/>
  <c r="D157" i="4"/>
  <c r="D156" i="4"/>
  <c r="B257" i="4"/>
  <c r="B208" i="4"/>
  <c r="B203" i="4"/>
  <c r="B201" i="4"/>
  <c r="D199" i="4"/>
  <c r="D187" i="4"/>
  <c r="B186" i="4"/>
  <c r="B184" i="4"/>
  <c r="B183" i="4"/>
  <c r="B182" i="4"/>
  <c r="B179" i="4"/>
  <c r="B178" i="4"/>
  <c r="B176" i="4"/>
  <c r="B175" i="4"/>
  <c r="B174" i="4"/>
  <c r="B171" i="4"/>
  <c r="B170" i="4"/>
  <c r="B168" i="4"/>
  <c r="B167" i="4"/>
  <c r="B166" i="4"/>
  <c r="B163" i="4"/>
  <c r="B162" i="4"/>
  <c r="B160" i="4"/>
  <c r="B159" i="4"/>
  <c r="B158" i="4"/>
  <c r="B263" i="4"/>
  <c r="B255" i="4"/>
  <c r="D196" i="4"/>
  <c r="B264" i="4"/>
  <c r="B227" i="4"/>
  <c r="D152" i="4"/>
  <c r="D150" i="4"/>
  <c r="D148" i="4"/>
  <c r="D142" i="4"/>
  <c r="B141" i="4"/>
  <c r="D134" i="4"/>
  <c r="B133" i="4"/>
  <c r="B256" i="4"/>
  <c r="B154" i="4"/>
  <c r="B150" i="4"/>
  <c r="B148" i="4"/>
  <c r="D135" i="4"/>
  <c r="B251" i="4"/>
  <c r="B219" i="4"/>
  <c r="B187" i="4"/>
  <c r="B143" i="4"/>
  <c r="D136" i="4"/>
  <c r="B247" i="4"/>
  <c r="B146" i="4"/>
  <c r="D137" i="4"/>
  <c r="B136" i="4"/>
  <c r="D128" i="4"/>
  <c r="D127" i="4"/>
  <c r="D126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B243" i="4"/>
  <c r="B211" i="4"/>
  <c r="B195" i="4"/>
  <c r="D153" i="4"/>
  <c r="D151" i="4"/>
  <c r="D149" i="4"/>
  <c r="D144" i="4"/>
  <c r="D138" i="4"/>
  <c r="B137" i="4"/>
  <c r="D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239" i="4"/>
  <c r="B155" i="4"/>
  <c r="B153" i="4"/>
  <c r="B151" i="4"/>
  <c r="B149" i="4"/>
  <c r="D147" i="4"/>
  <c r="B144" i="4"/>
  <c r="D139" i="4"/>
  <c r="B138" i="4"/>
  <c r="D131" i="4"/>
  <c r="B130" i="4"/>
  <c r="B235" i="4"/>
  <c r="B205" i="4"/>
  <c r="B147" i="4"/>
  <c r="D140" i="4"/>
  <c r="B139" i="4"/>
  <c r="D132" i="4"/>
  <c r="B131" i="4"/>
  <c r="B231" i="4"/>
  <c r="D133" i="4"/>
  <c r="D74" i="4"/>
  <c r="B70" i="4"/>
  <c r="D65" i="4"/>
  <c r="B64" i="4"/>
  <c r="D16" i="4"/>
  <c r="B15" i="4"/>
  <c r="B14" i="4"/>
  <c r="D13" i="4"/>
  <c r="B9" i="4"/>
  <c r="B7" i="4"/>
  <c r="T13" i="4" s="1"/>
  <c r="D19" i="4"/>
  <c r="D141" i="4"/>
  <c r="B132" i="4"/>
  <c r="B74" i="4"/>
  <c r="D71" i="4"/>
  <c r="D66" i="4"/>
  <c r="B65" i="4"/>
  <c r="D17" i="4"/>
  <c r="B16" i="4"/>
  <c r="B13" i="4"/>
  <c r="D12" i="4"/>
  <c r="D11" i="4"/>
  <c r="D10" i="4"/>
  <c r="D9" i="4"/>
  <c r="D8" i="4"/>
  <c r="D7" i="4"/>
  <c r="B10" i="4"/>
  <c r="B18" i="4"/>
  <c r="B191" i="4"/>
  <c r="B140" i="4"/>
  <c r="B79" i="4"/>
  <c r="B77" i="4"/>
  <c r="B71" i="4"/>
  <c r="D67" i="4"/>
  <c r="B66" i="4"/>
  <c r="D18" i="4"/>
  <c r="B17" i="4"/>
  <c r="B12" i="4"/>
  <c r="B11" i="4"/>
  <c r="B8" i="4"/>
  <c r="D75" i="4"/>
  <c r="D72" i="4"/>
  <c r="D68" i="4"/>
  <c r="B67" i="4"/>
  <c r="B75" i="4"/>
  <c r="B72" i="4"/>
  <c r="B68" i="4"/>
  <c r="D20" i="4"/>
  <c r="B19" i="4"/>
  <c r="D73" i="4"/>
  <c r="D69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B20" i="4"/>
  <c r="D145" i="4"/>
  <c r="B78" i="4"/>
  <c r="D76" i="4"/>
  <c r="B26" i="4"/>
  <c r="B34" i="4"/>
  <c r="B46" i="4"/>
  <c r="B54" i="4"/>
  <c r="B58" i="4"/>
  <c r="B62" i="4"/>
  <c r="B80" i="4"/>
  <c r="B23" i="4"/>
  <c r="B27" i="4"/>
  <c r="B31" i="4"/>
  <c r="B35" i="4"/>
  <c r="B39" i="4"/>
  <c r="B43" i="4"/>
  <c r="B47" i="4"/>
  <c r="B51" i="4"/>
  <c r="B55" i="4"/>
  <c r="B59" i="4"/>
  <c r="D63" i="4"/>
  <c r="B73" i="4"/>
  <c r="B22" i="4"/>
  <c r="B42" i="4"/>
  <c r="D64" i="4"/>
  <c r="B38" i="4"/>
  <c r="D15" i="4"/>
  <c r="B24" i="4"/>
  <c r="B28" i="4"/>
  <c r="B32" i="4"/>
  <c r="B36" i="4"/>
  <c r="B40" i="4"/>
  <c r="B44" i="4"/>
  <c r="B48" i="4"/>
  <c r="B52" i="4"/>
  <c r="B56" i="4"/>
  <c r="B60" i="4"/>
  <c r="B69" i="4"/>
  <c r="L9" i="1"/>
  <c r="L10" i="1" s="1"/>
  <c r="M8" i="2"/>
  <c r="M12" i="2"/>
  <c r="B39" i="7" l="1"/>
  <c r="B12" i="7"/>
  <c r="B156" i="7"/>
  <c r="B32" i="7"/>
  <c r="E36" i="7" s="1"/>
  <c r="B33" i="8" s="1"/>
  <c r="B83" i="7"/>
  <c r="B209" i="7"/>
  <c r="B147" i="7"/>
  <c r="B248" i="7"/>
  <c r="E252" i="7" s="1"/>
  <c r="B249" i="8" s="1"/>
  <c r="B214" i="7"/>
  <c r="B19" i="7"/>
  <c r="E23" i="7" s="1"/>
  <c r="B20" i="8" s="1"/>
  <c r="B145" i="7"/>
  <c r="E149" i="7" s="1"/>
  <c r="B146" i="8" s="1"/>
  <c r="B266" i="7"/>
  <c r="B40" i="7"/>
  <c r="E44" i="7" s="1"/>
  <c r="B41" i="8" s="1"/>
  <c r="B86" i="7"/>
  <c r="B202" i="7"/>
  <c r="E206" i="7" s="1"/>
  <c r="B203" i="8" s="1"/>
  <c r="B17" i="7"/>
  <c r="E21" i="7" s="1"/>
  <c r="B18" i="8" s="1"/>
  <c r="B81" i="7"/>
  <c r="E85" i="7" s="1"/>
  <c r="B82" i="8" s="1"/>
  <c r="B231" i="7"/>
  <c r="E235" i="7" s="1"/>
  <c r="B232" i="8" s="1"/>
  <c r="B22" i="7"/>
  <c r="B138" i="7"/>
  <c r="E142" i="7" s="1"/>
  <c r="B139" i="8" s="1"/>
  <c r="B181" i="7"/>
  <c r="B150" i="7"/>
  <c r="B167" i="7"/>
  <c r="E171" i="7" s="1"/>
  <c r="B168" i="8" s="1"/>
  <c r="C10" i="7"/>
  <c r="B74" i="7"/>
  <c r="B88" i="7"/>
  <c r="E92" i="7" s="1"/>
  <c r="B89" i="8" s="1"/>
  <c r="B221" i="7"/>
  <c r="E225" i="7" s="1"/>
  <c r="B222" i="8" s="1"/>
  <c r="B103" i="7"/>
  <c r="E107" i="7" s="1"/>
  <c r="B104" i="8" s="1"/>
  <c r="B211" i="7"/>
  <c r="E215" i="7" s="1"/>
  <c r="B212" i="8" s="1"/>
  <c r="B10" i="7"/>
  <c r="B53" i="7"/>
  <c r="B176" i="7"/>
  <c r="E180" i="7" s="1"/>
  <c r="B177" i="8" s="1"/>
  <c r="B13" i="7"/>
  <c r="E17" i="7" s="1"/>
  <c r="B14" i="8" s="1"/>
  <c r="B244" i="7"/>
  <c r="B24" i="7"/>
  <c r="E28" i="7" s="1"/>
  <c r="B25" i="8" s="1"/>
  <c r="B223" i="7"/>
  <c r="E227" i="7" s="1"/>
  <c r="B224" i="8" s="1"/>
  <c r="B159" i="7"/>
  <c r="E163" i="7" s="1"/>
  <c r="B160" i="8" s="1"/>
  <c r="B95" i="7"/>
  <c r="E99" i="7" s="1"/>
  <c r="B96" i="8" s="1"/>
  <c r="B31" i="7"/>
  <c r="B8" i="7"/>
  <c r="E12" i="7" s="1"/>
  <c r="B9" i="8" s="1"/>
  <c r="B206" i="7"/>
  <c r="B142" i="7"/>
  <c r="B78" i="7"/>
  <c r="B14" i="7"/>
  <c r="E18" i="7" s="1"/>
  <c r="B15" i="8" s="1"/>
  <c r="B267" i="7"/>
  <c r="B203" i="7"/>
  <c r="E207" i="7" s="1"/>
  <c r="B204" i="8" s="1"/>
  <c r="B139" i="7"/>
  <c r="B75" i="7"/>
  <c r="E79" i="7" s="1"/>
  <c r="B76" i="8" s="1"/>
  <c r="B11" i="7"/>
  <c r="E15" i="7" s="1"/>
  <c r="B12" i="8" s="1"/>
  <c r="B258" i="7"/>
  <c r="B194" i="7"/>
  <c r="B130" i="7"/>
  <c r="E134" i="7" s="1"/>
  <c r="B131" i="8" s="1"/>
  <c r="B66" i="7"/>
  <c r="E70" i="7" s="1"/>
  <c r="B67" i="8" s="1"/>
  <c r="C16" i="7"/>
  <c r="F20" i="7" s="1"/>
  <c r="C17" i="8" s="1"/>
  <c r="B265" i="7"/>
  <c r="B201" i="7"/>
  <c r="E205" i="7" s="1"/>
  <c r="B202" i="8" s="1"/>
  <c r="B137" i="7"/>
  <c r="E141" i="7" s="1"/>
  <c r="B138" i="8" s="1"/>
  <c r="B73" i="7"/>
  <c r="B9" i="7"/>
  <c r="E13" i="7" s="1"/>
  <c r="B10" i="8" s="1"/>
  <c r="B204" i="7"/>
  <c r="B120" i="7"/>
  <c r="B93" i="7"/>
  <c r="E97" i="7" s="1"/>
  <c r="B94" i="8" s="1"/>
  <c r="B197" i="7"/>
  <c r="E201" i="7" s="1"/>
  <c r="B198" i="8" s="1"/>
  <c r="B72" i="7"/>
  <c r="B264" i="7"/>
  <c r="B16" i="7"/>
  <c r="E20" i="7" s="1"/>
  <c r="B17" i="8" s="1"/>
  <c r="B215" i="7"/>
  <c r="E219" i="7" s="1"/>
  <c r="B216" i="8" s="1"/>
  <c r="B151" i="7"/>
  <c r="B87" i="7"/>
  <c r="E91" i="7" s="1"/>
  <c r="B88" i="8" s="1"/>
  <c r="B23" i="7"/>
  <c r="E27" i="7" s="1"/>
  <c r="B24" i="8" s="1"/>
  <c r="B262" i="7"/>
  <c r="E266" i="7" s="1"/>
  <c r="B263" i="8" s="1"/>
  <c r="B198" i="7"/>
  <c r="B134" i="7"/>
  <c r="E138" i="7" s="1"/>
  <c r="B135" i="8" s="1"/>
  <c r="B70" i="7"/>
  <c r="C12" i="7"/>
  <c r="F16" i="7" s="1"/>
  <c r="C13" i="8" s="1"/>
  <c r="B259" i="7"/>
  <c r="B195" i="7"/>
  <c r="B131" i="7"/>
  <c r="E135" i="7" s="1"/>
  <c r="B132" i="8" s="1"/>
  <c r="B67" i="7"/>
  <c r="C9" i="7"/>
  <c r="B250" i="7"/>
  <c r="B186" i="7"/>
  <c r="B122" i="7"/>
  <c r="B58" i="7"/>
  <c r="C8" i="7"/>
  <c r="F12" i="7" s="1"/>
  <c r="C9" i="8" s="1"/>
  <c r="B257" i="7"/>
  <c r="E261" i="7" s="1"/>
  <c r="B258" i="8" s="1"/>
  <c r="B193" i="7"/>
  <c r="E197" i="7" s="1"/>
  <c r="B194" i="8" s="1"/>
  <c r="B129" i="7"/>
  <c r="B65" i="7"/>
  <c r="C15" i="7"/>
  <c r="F19" i="7" s="1"/>
  <c r="C16" i="8" s="1"/>
  <c r="B224" i="7"/>
  <c r="E228" i="7" s="1"/>
  <c r="B225" i="8" s="1"/>
  <c r="B148" i="7"/>
  <c r="E152" i="7" s="1"/>
  <c r="B149" i="8" s="1"/>
  <c r="B125" i="7"/>
  <c r="E129" i="7" s="1"/>
  <c r="B126" i="8" s="1"/>
  <c r="B220" i="7"/>
  <c r="C14" i="7"/>
  <c r="F18" i="7" s="1"/>
  <c r="C15" i="8" s="1"/>
  <c r="B79" i="7"/>
  <c r="B190" i="7"/>
  <c r="E194" i="7" s="1"/>
  <c r="B191" i="8" s="1"/>
  <c r="B116" i="7"/>
  <c r="E120" i="7" s="1"/>
  <c r="B117" i="8" s="1"/>
  <c r="B123" i="7"/>
  <c r="E127" i="7" s="1"/>
  <c r="B124" i="8" s="1"/>
  <c r="B242" i="7"/>
  <c r="E246" i="7" s="1"/>
  <c r="B243" i="8" s="1"/>
  <c r="B114" i="7"/>
  <c r="E118" i="7" s="1"/>
  <c r="B115" i="8" s="1"/>
  <c r="B249" i="7"/>
  <c r="E253" i="7" s="1"/>
  <c r="B250" i="8" s="1"/>
  <c r="B57" i="7"/>
  <c r="C7" i="7"/>
  <c r="F11" i="7" s="1"/>
  <c r="C8" i="8" s="1"/>
  <c r="B149" i="7"/>
  <c r="B240" i="7"/>
  <c r="B263" i="7"/>
  <c r="E267" i="7" s="1"/>
  <c r="B264" i="8" s="1"/>
  <c r="B135" i="7"/>
  <c r="E139" i="7" s="1"/>
  <c r="B136" i="8" s="1"/>
  <c r="B246" i="7"/>
  <c r="E250" i="7" s="1"/>
  <c r="B247" i="8" s="1"/>
  <c r="B54" i="7"/>
  <c r="B179" i="7"/>
  <c r="B100" i="7"/>
  <c r="E104" i="7" s="1"/>
  <c r="B101" i="8" s="1"/>
  <c r="B106" i="7"/>
  <c r="E110" i="7" s="1"/>
  <c r="B107" i="8" s="1"/>
  <c r="B241" i="7"/>
  <c r="B49" i="7"/>
  <c r="B77" i="7"/>
  <c r="B172" i="7"/>
  <c r="B69" i="7"/>
  <c r="E73" i="7" s="1"/>
  <c r="B70" i="8" s="1"/>
  <c r="B261" i="7"/>
  <c r="B157" i="7"/>
  <c r="E161" i="7" s="1"/>
  <c r="B158" i="8" s="1"/>
  <c r="B184" i="7"/>
  <c r="B255" i="7"/>
  <c r="B191" i="7"/>
  <c r="B127" i="7"/>
  <c r="B63" i="7"/>
  <c r="C13" i="7"/>
  <c r="F17" i="7" s="1"/>
  <c r="C14" i="8" s="1"/>
  <c r="B238" i="7"/>
  <c r="B174" i="7"/>
  <c r="B110" i="7"/>
  <c r="B46" i="7"/>
  <c r="E50" i="7" s="1"/>
  <c r="B47" i="8" s="1"/>
  <c r="B68" i="7"/>
  <c r="B235" i="7"/>
  <c r="E239" i="7" s="1"/>
  <c r="B236" i="8" s="1"/>
  <c r="B171" i="7"/>
  <c r="E175" i="7" s="1"/>
  <c r="B172" i="8" s="1"/>
  <c r="B107" i="7"/>
  <c r="E111" i="7" s="1"/>
  <c r="B108" i="8" s="1"/>
  <c r="B43" i="7"/>
  <c r="B76" i="7"/>
  <c r="E80" i="7" s="1"/>
  <c r="B77" i="8" s="1"/>
  <c r="B226" i="7"/>
  <c r="E230" i="7" s="1"/>
  <c r="B227" i="8" s="1"/>
  <c r="B162" i="7"/>
  <c r="E166" i="7" s="1"/>
  <c r="B163" i="8" s="1"/>
  <c r="B98" i="7"/>
  <c r="E102" i="7" s="1"/>
  <c r="B99" i="8" s="1"/>
  <c r="B34" i="7"/>
  <c r="E38" i="7" s="1"/>
  <c r="B35" i="8" s="1"/>
  <c r="B84" i="7"/>
  <c r="B233" i="7"/>
  <c r="E237" i="7" s="1"/>
  <c r="B234" i="8" s="1"/>
  <c r="B169" i="7"/>
  <c r="E173" i="7" s="1"/>
  <c r="B170" i="8" s="1"/>
  <c r="B105" i="7"/>
  <c r="E109" i="7" s="1"/>
  <c r="B106" i="8" s="1"/>
  <c r="B41" i="7"/>
  <c r="B109" i="7"/>
  <c r="B112" i="7"/>
  <c r="E116" i="7" s="1"/>
  <c r="B113" i="8" s="1"/>
  <c r="B212" i="7"/>
  <c r="B192" i="7"/>
  <c r="E196" i="7" s="1"/>
  <c r="B193" i="8" s="1"/>
  <c r="B104" i="7"/>
  <c r="E108" i="7" s="1"/>
  <c r="B105" i="8" s="1"/>
  <c r="B207" i="7"/>
  <c r="E211" i="7" s="1"/>
  <c r="B208" i="8" s="1"/>
  <c r="B15" i="7"/>
  <c r="B126" i="7"/>
  <c r="E130" i="7" s="1"/>
  <c r="B127" i="8" s="1"/>
  <c r="B251" i="7"/>
  <c r="E255" i="7" s="1"/>
  <c r="B252" i="8" s="1"/>
  <c r="B124" i="7"/>
  <c r="B50" i="7"/>
  <c r="E54" i="7" s="1"/>
  <c r="B51" i="8" s="1"/>
  <c r="B185" i="7"/>
  <c r="E189" i="7" s="1"/>
  <c r="B186" i="8" s="1"/>
  <c r="B168" i="7"/>
  <c r="C11" i="7"/>
  <c r="B136" i="7"/>
  <c r="E140" i="7" s="1"/>
  <c r="B137" i="8" s="1"/>
  <c r="B199" i="7"/>
  <c r="B7" i="7"/>
  <c r="B118" i="7"/>
  <c r="B243" i="7"/>
  <c r="E247" i="7" s="1"/>
  <c r="B244" i="8" s="1"/>
  <c r="B51" i="7"/>
  <c r="B170" i="7"/>
  <c r="B108" i="7"/>
  <c r="E112" i="7" s="1"/>
  <c r="B109" i="8" s="1"/>
  <c r="B113" i="7"/>
  <c r="E117" i="7" s="1"/>
  <c r="B114" i="8" s="1"/>
  <c r="B189" i="7"/>
  <c r="E193" i="7" s="1"/>
  <c r="B190" i="8" s="1"/>
  <c r="B101" i="7"/>
  <c r="B29" i="7"/>
  <c r="E33" i="7" s="1"/>
  <c r="B30" i="8" s="1"/>
  <c r="B180" i="7"/>
  <c r="E184" i="7" s="1"/>
  <c r="B181" i="8" s="1"/>
  <c r="B228" i="7"/>
  <c r="B247" i="7"/>
  <c r="B183" i="7"/>
  <c r="E187" i="7" s="1"/>
  <c r="B184" i="8" s="1"/>
  <c r="B119" i="7"/>
  <c r="E123" i="7" s="1"/>
  <c r="B120" i="8" s="1"/>
  <c r="B55" i="7"/>
  <c r="E59" i="7" s="1"/>
  <c r="B56" i="8" s="1"/>
  <c r="B64" i="7"/>
  <c r="E68" i="7" s="1"/>
  <c r="B65" i="8" s="1"/>
  <c r="B230" i="7"/>
  <c r="E234" i="7" s="1"/>
  <c r="B231" i="8" s="1"/>
  <c r="B166" i="7"/>
  <c r="E170" i="7" s="1"/>
  <c r="B167" i="8" s="1"/>
  <c r="B102" i="7"/>
  <c r="B38" i="7"/>
  <c r="E42" i="7" s="1"/>
  <c r="B39" i="8" s="1"/>
  <c r="B44" i="7"/>
  <c r="E48" i="7" s="1"/>
  <c r="B45" i="8" s="1"/>
  <c r="B227" i="7"/>
  <c r="E231" i="7" s="1"/>
  <c r="B228" i="8" s="1"/>
  <c r="B163" i="7"/>
  <c r="B99" i="7"/>
  <c r="B35" i="7"/>
  <c r="E39" i="7" s="1"/>
  <c r="B36" i="8" s="1"/>
  <c r="B52" i="7"/>
  <c r="E56" i="7" s="1"/>
  <c r="B53" i="8" s="1"/>
  <c r="B218" i="7"/>
  <c r="E222" i="7" s="1"/>
  <c r="B219" i="8" s="1"/>
  <c r="B154" i="7"/>
  <c r="B90" i="7"/>
  <c r="B26" i="7"/>
  <c r="E30" i="7" s="1"/>
  <c r="B27" i="8" s="1"/>
  <c r="B60" i="7"/>
  <c r="E64" i="7" s="1"/>
  <c r="B61" i="8" s="1"/>
  <c r="B225" i="7"/>
  <c r="B161" i="7"/>
  <c r="E165" i="7" s="1"/>
  <c r="B162" i="8" s="1"/>
  <c r="B97" i="7"/>
  <c r="E101" i="7" s="1"/>
  <c r="B98" i="8" s="1"/>
  <c r="B33" i="7"/>
  <c r="E37" i="7" s="1"/>
  <c r="B34" i="8" s="1"/>
  <c r="B140" i="7"/>
  <c r="B205" i="7"/>
  <c r="E209" i="7" s="1"/>
  <c r="B206" i="8" s="1"/>
  <c r="B232" i="7"/>
  <c r="E236" i="7" s="1"/>
  <c r="B233" i="8" s="1"/>
  <c r="C23" i="7"/>
  <c r="C31" i="7"/>
  <c r="C39" i="7"/>
  <c r="C47" i="7"/>
  <c r="F51" i="7" s="1"/>
  <c r="C48" i="8" s="1"/>
  <c r="C55" i="7"/>
  <c r="F59" i="7" s="1"/>
  <c r="C56" i="8" s="1"/>
  <c r="C63" i="7"/>
  <c r="F67" i="7" s="1"/>
  <c r="C64" i="8" s="1"/>
  <c r="C71" i="7"/>
  <c r="F75" i="7" s="1"/>
  <c r="C72" i="8" s="1"/>
  <c r="C79" i="7"/>
  <c r="C87" i="7"/>
  <c r="F91" i="7" s="1"/>
  <c r="C88" i="8" s="1"/>
  <c r="C95" i="7"/>
  <c r="C103" i="7"/>
  <c r="F107" i="7" s="1"/>
  <c r="C104" i="8" s="1"/>
  <c r="C111" i="7"/>
  <c r="F115" i="7" s="1"/>
  <c r="C112" i="8" s="1"/>
  <c r="C119" i="7"/>
  <c r="F123" i="7" s="1"/>
  <c r="C120" i="8" s="1"/>
  <c r="C127" i="7"/>
  <c r="F131" i="7" s="1"/>
  <c r="C128" i="8" s="1"/>
  <c r="C135" i="7"/>
  <c r="F139" i="7" s="1"/>
  <c r="C136" i="8" s="1"/>
  <c r="C143" i="7"/>
  <c r="F147" i="7" s="1"/>
  <c r="C144" i="8" s="1"/>
  <c r="C151" i="7"/>
  <c r="F155" i="7" s="1"/>
  <c r="C152" i="8" s="1"/>
  <c r="C159" i="7"/>
  <c r="F163" i="7" s="1"/>
  <c r="C160" i="8" s="1"/>
  <c r="C167" i="7"/>
  <c r="F171" i="7" s="1"/>
  <c r="C168" i="8" s="1"/>
  <c r="C175" i="7"/>
  <c r="F179" i="7" s="1"/>
  <c r="C176" i="8" s="1"/>
  <c r="C183" i="7"/>
  <c r="C191" i="7"/>
  <c r="F195" i="7" s="1"/>
  <c r="C192" i="8" s="1"/>
  <c r="C199" i="7"/>
  <c r="F203" i="7" s="1"/>
  <c r="C200" i="8" s="1"/>
  <c r="C207" i="7"/>
  <c r="F211" i="7" s="1"/>
  <c r="C208" i="8" s="1"/>
  <c r="C215" i="7"/>
  <c r="C223" i="7"/>
  <c r="C231" i="7"/>
  <c r="C239" i="7"/>
  <c r="F243" i="7" s="1"/>
  <c r="C240" i="8" s="1"/>
  <c r="C247" i="7"/>
  <c r="F251" i="7" s="1"/>
  <c r="C248" i="8" s="1"/>
  <c r="C255" i="7"/>
  <c r="F259" i="7" s="1"/>
  <c r="C256" i="8" s="1"/>
  <c r="C263" i="7"/>
  <c r="C26" i="7"/>
  <c r="C66" i="7"/>
  <c r="C106" i="7"/>
  <c r="C130" i="7"/>
  <c r="F134" i="7" s="1"/>
  <c r="C131" i="8" s="1"/>
  <c r="C154" i="7"/>
  <c r="C178" i="7"/>
  <c r="F182" i="7" s="1"/>
  <c r="C179" i="8" s="1"/>
  <c r="C202" i="7"/>
  <c r="F206" i="7" s="1"/>
  <c r="C203" i="8" s="1"/>
  <c r="C226" i="7"/>
  <c r="F230" i="7" s="1"/>
  <c r="C227" i="8" s="1"/>
  <c r="C250" i="7"/>
  <c r="F254" i="7" s="1"/>
  <c r="C251" i="8" s="1"/>
  <c r="C24" i="7"/>
  <c r="C32" i="7"/>
  <c r="C40" i="7"/>
  <c r="F44" i="7" s="1"/>
  <c r="C41" i="8" s="1"/>
  <c r="C48" i="7"/>
  <c r="F52" i="7" s="1"/>
  <c r="C49" i="8" s="1"/>
  <c r="C56" i="7"/>
  <c r="F60" i="7" s="1"/>
  <c r="C57" i="8" s="1"/>
  <c r="C64" i="7"/>
  <c r="F68" i="7" s="1"/>
  <c r="C65" i="8" s="1"/>
  <c r="C72" i="7"/>
  <c r="C80" i="7"/>
  <c r="F84" i="7" s="1"/>
  <c r="C81" i="8" s="1"/>
  <c r="C88" i="7"/>
  <c r="C96" i="7"/>
  <c r="C104" i="7"/>
  <c r="F108" i="7" s="1"/>
  <c r="C105" i="8" s="1"/>
  <c r="C112" i="7"/>
  <c r="F116" i="7" s="1"/>
  <c r="C113" i="8" s="1"/>
  <c r="C120" i="7"/>
  <c r="F124" i="7" s="1"/>
  <c r="C121" i="8" s="1"/>
  <c r="C128" i="7"/>
  <c r="F132" i="7" s="1"/>
  <c r="C129" i="8" s="1"/>
  <c r="C136" i="7"/>
  <c r="F140" i="7" s="1"/>
  <c r="C137" i="8" s="1"/>
  <c r="C144" i="7"/>
  <c r="F148" i="7" s="1"/>
  <c r="C145" i="8" s="1"/>
  <c r="C152" i="7"/>
  <c r="F156" i="7" s="1"/>
  <c r="C153" i="8" s="1"/>
  <c r="C160" i="7"/>
  <c r="F164" i="7" s="1"/>
  <c r="C161" i="8" s="1"/>
  <c r="C168" i="7"/>
  <c r="F172" i="7" s="1"/>
  <c r="C169" i="8" s="1"/>
  <c r="C176" i="7"/>
  <c r="F180" i="7" s="1"/>
  <c r="C177" i="8" s="1"/>
  <c r="C184" i="7"/>
  <c r="F188" i="7" s="1"/>
  <c r="C185" i="8" s="1"/>
  <c r="C192" i="7"/>
  <c r="F196" i="7" s="1"/>
  <c r="C193" i="8" s="1"/>
  <c r="C200" i="7"/>
  <c r="F204" i="7" s="1"/>
  <c r="C201" i="8" s="1"/>
  <c r="C208" i="7"/>
  <c r="C216" i="7"/>
  <c r="C224" i="7"/>
  <c r="C232" i="7"/>
  <c r="C240" i="7"/>
  <c r="F244" i="7" s="1"/>
  <c r="C241" i="8" s="1"/>
  <c r="C248" i="7"/>
  <c r="F252" i="7" s="1"/>
  <c r="C249" i="8" s="1"/>
  <c r="C256" i="7"/>
  <c r="F260" i="7" s="1"/>
  <c r="C257" i="8" s="1"/>
  <c r="C264" i="7"/>
  <c r="F268" i="7" s="1"/>
  <c r="C265" i="8" s="1"/>
  <c r="C18" i="7"/>
  <c r="C42" i="7"/>
  <c r="C50" i="7"/>
  <c r="F54" i="7" s="1"/>
  <c r="C51" i="8" s="1"/>
  <c r="C74" i="7"/>
  <c r="F78" i="7" s="1"/>
  <c r="C75" i="8" s="1"/>
  <c r="C98" i="7"/>
  <c r="F102" i="7" s="1"/>
  <c r="C99" i="8" s="1"/>
  <c r="C122" i="7"/>
  <c r="C138" i="7"/>
  <c r="F142" i="7" s="1"/>
  <c r="C139" i="8" s="1"/>
  <c r="C162" i="7"/>
  <c r="F166" i="7" s="1"/>
  <c r="C163" i="8" s="1"/>
  <c r="C186" i="7"/>
  <c r="F190" i="7" s="1"/>
  <c r="C187" i="8" s="1"/>
  <c r="C210" i="7"/>
  <c r="C234" i="7"/>
  <c r="C258" i="7"/>
  <c r="C17" i="7"/>
  <c r="F21" i="7" s="1"/>
  <c r="C18" i="8" s="1"/>
  <c r="C25" i="7"/>
  <c r="F29" i="7" s="1"/>
  <c r="C26" i="8" s="1"/>
  <c r="C33" i="7"/>
  <c r="F37" i="7" s="1"/>
  <c r="C34" i="8" s="1"/>
  <c r="C41" i="7"/>
  <c r="F45" i="7" s="1"/>
  <c r="C42" i="8" s="1"/>
  <c r="C49" i="7"/>
  <c r="C57" i="7"/>
  <c r="F61" i="7" s="1"/>
  <c r="C58" i="8" s="1"/>
  <c r="C65" i="7"/>
  <c r="C73" i="7"/>
  <c r="C81" i="7"/>
  <c r="F85" i="7" s="1"/>
  <c r="C82" i="8" s="1"/>
  <c r="C89" i="7"/>
  <c r="F93" i="7" s="1"/>
  <c r="C90" i="8" s="1"/>
  <c r="C97" i="7"/>
  <c r="F101" i="7" s="1"/>
  <c r="C98" i="8" s="1"/>
  <c r="C105" i="7"/>
  <c r="C113" i="7"/>
  <c r="F117" i="7" s="1"/>
  <c r="C114" i="8" s="1"/>
  <c r="C121" i="7"/>
  <c r="F125" i="7" s="1"/>
  <c r="C122" i="8" s="1"/>
  <c r="C129" i="7"/>
  <c r="F133" i="7" s="1"/>
  <c r="C130" i="8" s="1"/>
  <c r="C137" i="7"/>
  <c r="F141" i="7" s="1"/>
  <c r="C138" i="8" s="1"/>
  <c r="C145" i="7"/>
  <c r="F149" i="7" s="1"/>
  <c r="C146" i="8" s="1"/>
  <c r="C153" i="7"/>
  <c r="C161" i="7"/>
  <c r="C169" i="7"/>
  <c r="C177" i="7"/>
  <c r="C185" i="7"/>
  <c r="C193" i="7"/>
  <c r="C201" i="7"/>
  <c r="F205" i="7" s="1"/>
  <c r="C202" i="8" s="1"/>
  <c r="C209" i="7"/>
  <c r="F213" i="7" s="1"/>
  <c r="C210" i="8" s="1"/>
  <c r="C217" i="7"/>
  <c r="F221" i="7" s="1"/>
  <c r="C218" i="8" s="1"/>
  <c r="C225" i="7"/>
  <c r="F229" i="7" s="1"/>
  <c r="C226" i="8" s="1"/>
  <c r="C233" i="7"/>
  <c r="F237" i="7" s="1"/>
  <c r="C234" i="8" s="1"/>
  <c r="C241" i="7"/>
  <c r="F245" i="7" s="1"/>
  <c r="C242" i="8" s="1"/>
  <c r="C249" i="7"/>
  <c r="F253" i="7" s="1"/>
  <c r="C250" i="8" s="1"/>
  <c r="C257" i="7"/>
  <c r="F261" i="7" s="1"/>
  <c r="C258" i="8" s="1"/>
  <c r="C265" i="7"/>
  <c r="C34" i="7"/>
  <c r="F38" i="7" s="1"/>
  <c r="C35" i="8" s="1"/>
  <c r="C58" i="7"/>
  <c r="F62" i="7" s="1"/>
  <c r="C59" i="8" s="1"/>
  <c r="C82" i="7"/>
  <c r="F86" i="7" s="1"/>
  <c r="C83" i="8" s="1"/>
  <c r="C90" i="7"/>
  <c r="C114" i="7"/>
  <c r="F118" i="7" s="1"/>
  <c r="C115" i="8" s="1"/>
  <c r="C146" i="7"/>
  <c r="C170" i="7"/>
  <c r="C194" i="7"/>
  <c r="F198" i="7" s="1"/>
  <c r="C195" i="8" s="1"/>
  <c r="C218" i="7"/>
  <c r="F222" i="7" s="1"/>
  <c r="C219" i="8" s="1"/>
  <c r="C242" i="7"/>
  <c r="C266" i="7"/>
  <c r="C20" i="7"/>
  <c r="F24" i="7" s="1"/>
  <c r="C21" i="8" s="1"/>
  <c r="C28" i="7"/>
  <c r="F32" i="7" s="1"/>
  <c r="C29" i="8" s="1"/>
  <c r="C36" i="7"/>
  <c r="F40" i="7" s="1"/>
  <c r="C37" i="8" s="1"/>
  <c r="C44" i="7"/>
  <c r="F48" i="7" s="1"/>
  <c r="C45" i="8" s="1"/>
  <c r="C52" i="7"/>
  <c r="F56" i="7" s="1"/>
  <c r="C53" i="8" s="1"/>
  <c r="C60" i="7"/>
  <c r="F64" i="7" s="1"/>
  <c r="C61" i="8" s="1"/>
  <c r="C68" i="7"/>
  <c r="F72" i="7" s="1"/>
  <c r="C69" i="8" s="1"/>
  <c r="C76" i="7"/>
  <c r="F80" i="7" s="1"/>
  <c r="C77" i="8" s="1"/>
  <c r="C84" i="7"/>
  <c r="F88" i="7" s="1"/>
  <c r="C85" i="8" s="1"/>
  <c r="C92" i="7"/>
  <c r="C100" i="7"/>
  <c r="F104" i="7" s="1"/>
  <c r="C101" i="8" s="1"/>
  <c r="C108" i="7"/>
  <c r="F112" i="7" s="1"/>
  <c r="C109" i="8" s="1"/>
  <c r="C116" i="7"/>
  <c r="F120" i="7" s="1"/>
  <c r="C117" i="8" s="1"/>
  <c r="C124" i="7"/>
  <c r="C132" i="7"/>
  <c r="C140" i="7"/>
  <c r="F144" i="7" s="1"/>
  <c r="C141" i="8" s="1"/>
  <c r="C148" i="7"/>
  <c r="F152" i="7" s="1"/>
  <c r="C149" i="8" s="1"/>
  <c r="C156" i="7"/>
  <c r="C164" i="7"/>
  <c r="C172" i="7"/>
  <c r="F176" i="7" s="1"/>
  <c r="C173" i="8" s="1"/>
  <c r="C180" i="7"/>
  <c r="C188" i="7"/>
  <c r="F192" i="7" s="1"/>
  <c r="C189" i="8" s="1"/>
  <c r="C196" i="7"/>
  <c r="C204" i="7"/>
  <c r="C212" i="7"/>
  <c r="C220" i="7"/>
  <c r="F224" i="7" s="1"/>
  <c r="C221" i="8" s="1"/>
  <c r="C228" i="7"/>
  <c r="C236" i="7"/>
  <c r="F240" i="7" s="1"/>
  <c r="C237" i="8" s="1"/>
  <c r="C244" i="7"/>
  <c r="F248" i="7" s="1"/>
  <c r="C245" i="8" s="1"/>
  <c r="C252" i="7"/>
  <c r="F256" i="7" s="1"/>
  <c r="C253" i="8" s="1"/>
  <c r="C260" i="7"/>
  <c r="F264" i="7" s="1"/>
  <c r="C261" i="8" s="1"/>
  <c r="C268" i="7"/>
  <c r="C22" i="7"/>
  <c r="F26" i="7" s="1"/>
  <c r="C23" i="8" s="1"/>
  <c r="C38" i="7"/>
  <c r="F42" i="7" s="1"/>
  <c r="C39" i="8" s="1"/>
  <c r="C46" i="7"/>
  <c r="F50" i="7" s="1"/>
  <c r="C47" i="8" s="1"/>
  <c r="C62" i="7"/>
  <c r="F66" i="7" s="1"/>
  <c r="C63" i="8" s="1"/>
  <c r="C78" i="7"/>
  <c r="F82" i="7" s="1"/>
  <c r="C79" i="8" s="1"/>
  <c r="C94" i="7"/>
  <c r="F98" i="7" s="1"/>
  <c r="C95" i="8" s="1"/>
  <c r="C110" i="7"/>
  <c r="F114" i="7" s="1"/>
  <c r="C111" i="8" s="1"/>
  <c r="C126" i="7"/>
  <c r="F130" i="7" s="1"/>
  <c r="C127" i="8" s="1"/>
  <c r="C142" i="7"/>
  <c r="F146" i="7" s="1"/>
  <c r="C143" i="8" s="1"/>
  <c r="C158" i="7"/>
  <c r="F162" i="7" s="1"/>
  <c r="C159" i="8" s="1"/>
  <c r="C174" i="7"/>
  <c r="C190" i="7"/>
  <c r="F194" i="7" s="1"/>
  <c r="C191" i="8" s="1"/>
  <c r="C206" i="7"/>
  <c r="F210" i="7" s="1"/>
  <c r="C207" i="8" s="1"/>
  <c r="C222" i="7"/>
  <c r="F226" i="7" s="1"/>
  <c r="C223" i="8" s="1"/>
  <c r="C238" i="7"/>
  <c r="F242" i="7" s="1"/>
  <c r="C239" i="8" s="1"/>
  <c r="C254" i="7"/>
  <c r="C21" i="7"/>
  <c r="C29" i="7"/>
  <c r="F33" i="7" s="1"/>
  <c r="C30" i="8" s="1"/>
  <c r="C37" i="7"/>
  <c r="F41" i="7" s="1"/>
  <c r="C38" i="8" s="1"/>
  <c r="C45" i="7"/>
  <c r="F49" i="7" s="1"/>
  <c r="C46" i="8" s="1"/>
  <c r="C53" i="7"/>
  <c r="F57" i="7" s="1"/>
  <c r="C54" i="8" s="1"/>
  <c r="C61" i="7"/>
  <c r="C69" i="7"/>
  <c r="F73" i="7" s="1"/>
  <c r="C70" i="8" s="1"/>
  <c r="C77" i="7"/>
  <c r="F81" i="7" s="1"/>
  <c r="C78" i="8" s="1"/>
  <c r="C85" i="7"/>
  <c r="F89" i="7" s="1"/>
  <c r="C86" i="8" s="1"/>
  <c r="C93" i="7"/>
  <c r="C101" i="7"/>
  <c r="F105" i="7" s="1"/>
  <c r="C102" i="8" s="1"/>
  <c r="C109" i="7"/>
  <c r="C117" i="7"/>
  <c r="F121" i="7" s="1"/>
  <c r="C118" i="8" s="1"/>
  <c r="C125" i="7"/>
  <c r="F129" i="7" s="1"/>
  <c r="C126" i="8" s="1"/>
  <c r="C133" i="7"/>
  <c r="F137" i="7" s="1"/>
  <c r="C134" i="8" s="1"/>
  <c r="C141" i="7"/>
  <c r="C149" i="7"/>
  <c r="F153" i="7" s="1"/>
  <c r="C150" i="8" s="1"/>
  <c r="C157" i="7"/>
  <c r="F161" i="7" s="1"/>
  <c r="C158" i="8" s="1"/>
  <c r="C165" i="7"/>
  <c r="C173" i="7"/>
  <c r="F177" i="7" s="1"/>
  <c r="C174" i="8" s="1"/>
  <c r="C181" i="7"/>
  <c r="F185" i="7" s="1"/>
  <c r="C182" i="8" s="1"/>
  <c r="C189" i="7"/>
  <c r="F193" i="7" s="1"/>
  <c r="C190" i="8" s="1"/>
  <c r="C197" i="7"/>
  <c r="F201" i="7" s="1"/>
  <c r="C198" i="8" s="1"/>
  <c r="C205" i="7"/>
  <c r="C213" i="7"/>
  <c r="F217" i="7" s="1"/>
  <c r="C214" i="8" s="1"/>
  <c r="C221" i="7"/>
  <c r="C229" i="7"/>
  <c r="F233" i="7" s="1"/>
  <c r="C230" i="8" s="1"/>
  <c r="C237" i="7"/>
  <c r="C245" i="7"/>
  <c r="F249" i="7" s="1"/>
  <c r="C246" i="8" s="1"/>
  <c r="C253" i="7"/>
  <c r="C261" i="7"/>
  <c r="F265" i="7" s="1"/>
  <c r="C262" i="8" s="1"/>
  <c r="C30" i="7"/>
  <c r="F34" i="7" s="1"/>
  <c r="C31" i="8" s="1"/>
  <c r="C54" i="7"/>
  <c r="F58" i="7" s="1"/>
  <c r="C55" i="8" s="1"/>
  <c r="C70" i="7"/>
  <c r="C86" i="7"/>
  <c r="C102" i="7"/>
  <c r="C118" i="7"/>
  <c r="F122" i="7" s="1"/>
  <c r="C119" i="8" s="1"/>
  <c r="C134" i="7"/>
  <c r="F138" i="7" s="1"/>
  <c r="C135" i="8" s="1"/>
  <c r="C150" i="7"/>
  <c r="F154" i="7" s="1"/>
  <c r="C151" i="8" s="1"/>
  <c r="C166" i="7"/>
  <c r="C182" i="7"/>
  <c r="C198" i="7"/>
  <c r="F202" i="7" s="1"/>
  <c r="C199" i="8" s="1"/>
  <c r="C214" i="7"/>
  <c r="F218" i="7" s="1"/>
  <c r="C215" i="8" s="1"/>
  <c r="C230" i="7"/>
  <c r="C246" i="7"/>
  <c r="F250" i="7" s="1"/>
  <c r="C247" i="8" s="1"/>
  <c r="C262" i="7"/>
  <c r="F266" i="7" s="1"/>
  <c r="C263" i="8" s="1"/>
  <c r="C75" i="7"/>
  <c r="F79" i="7" s="1"/>
  <c r="C76" i="8" s="1"/>
  <c r="C139" i="7"/>
  <c r="F143" i="7" s="1"/>
  <c r="C140" i="8" s="1"/>
  <c r="C203" i="7"/>
  <c r="F207" i="7" s="1"/>
  <c r="C204" i="8" s="1"/>
  <c r="C267" i="7"/>
  <c r="C163" i="7"/>
  <c r="C43" i="7"/>
  <c r="C235" i="7"/>
  <c r="F239" i="7" s="1"/>
  <c r="C236" i="8" s="1"/>
  <c r="B37" i="7"/>
  <c r="E41" i="7" s="1"/>
  <c r="B38" i="8" s="1"/>
  <c r="B165" i="7"/>
  <c r="E169" i="7" s="1"/>
  <c r="B166" i="8" s="1"/>
  <c r="B229" i="7"/>
  <c r="E233" i="7" s="1"/>
  <c r="B230" i="8" s="1"/>
  <c r="B196" i="7"/>
  <c r="C19" i="7"/>
  <c r="F23" i="7" s="1"/>
  <c r="C20" i="8" s="1"/>
  <c r="C83" i="7"/>
  <c r="F87" i="7" s="1"/>
  <c r="C84" i="8" s="1"/>
  <c r="C147" i="7"/>
  <c r="F151" i="7" s="1"/>
  <c r="C148" i="8" s="1"/>
  <c r="C211" i="7"/>
  <c r="C99" i="7"/>
  <c r="F103" i="7" s="1"/>
  <c r="C100" i="8" s="1"/>
  <c r="C227" i="7"/>
  <c r="C107" i="7"/>
  <c r="B85" i="7"/>
  <c r="E89" i="7" s="1"/>
  <c r="B86" i="8" s="1"/>
  <c r="B144" i="7"/>
  <c r="E148" i="7" s="1"/>
  <c r="B145" i="8" s="1"/>
  <c r="B188" i="7"/>
  <c r="B252" i="7"/>
  <c r="B152" i="7"/>
  <c r="E156" i="7" s="1"/>
  <c r="B153" i="8" s="1"/>
  <c r="C27" i="7"/>
  <c r="C91" i="7"/>
  <c r="F95" i="7" s="1"/>
  <c r="C92" i="8" s="1"/>
  <c r="C155" i="7"/>
  <c r="F159" i="7" s="1"/>
  <c r="C156" i="8" s="1"/>
  <c r="C219" i="7"/>
  <c r="F223" i="7" s="1"/>
  <c r="C220" i="8" s="1"/>
  <c r="C35" i="7"/>
  <c r="F39" i="7" s="1"/>
  <c r="C36" i="8" s="1"/>
  <c r="C171" i="7"/>
  <c r="B117" i="7"/>
  <c r="B208" i="7"/>
  <c r="E212" i="7" s="1"/>
  <c r="B209" i="8" s="1"/>
  <c r="B173" i="7"/>
  <c r="E177" i="7" s="1"/>
  <c r="B174" i="8" s="1"/>
  <c r="C51" i="7"/>
  <c r="F55" i="7" s="1"/>
  <c r="C52" i="8" s="1"/>
  <c r="C115" i="7"/>
  <c r="F119" i="7" s="1"/>
  <c r="C116" i="8" s="1"/>
  <c r="C179" i="7"/>
  <c r="F183" i="7" s="1"/>
  <c r="C180" i="8" s="1"/>
  <c r="C243" i="7"/>
  <c r="F247" i="7" s="1"/>
  <c r="C244" i="8" s="1"/>
  <c r="C59" i="7"/>
  <c r="F63" i="7" s="1"/>
  <c r="C60" i="8" s="1"/>
  <c r="C123" i="7"/>
  <c r="F127" i="7" s="1"/>
  <c r="C124" i="8" s="1"/>
  <c r="C187" i="7"/>
  <c r="F191" i="7" s="1"/>
  <c r="C188" i="8" s="1"/>
  <c r="C251" i="7"/>
  <c r="F255" i="7" s="1"/>
  <c r="C252" i="8" s="1"/>
  <c r="B236" i="7"/>
  <c r="E240" i="7" s="1"/>
  <c r="B237" i="8" s="1"/>
  <c r="B256" i="7"/>
  <c r="E260" i="7" s="1"/>
  <c r="B257" i="8" s="1"/>
  <c r="C67" i="7"/>
  <c r="F71" i="7" s="1"/>
  <c r="C68" i="8" s="1"/>
  <c r="C131" i="7"/>
  <c r="F135" i="7" s="1"/>
  <c r="C132" i="8" s="1"/>
  <c r="C195" i="7"/>
  <c r="F199" i="7" s="1"/>
  <c r="C196" i="8" s="1"/>
  <c r="C259" i="7"/>
  <c r="B61" i="7"/>
  <c r="E65" i="7" s="1"/>
  <c r="B62" i="8" s="1"/>
  <c r="B96" i="7"/>
  <c r="E100" i="7" s="1"/>
  <c r="B97" i="8" s="1"/>
  <c r="B128" i="7"/>
  <c r="B216" i="7"/>
  <c r="B237" i="7"/>
  <c r="E241" i="7" s="1"/>
  <c r="B238" i="8" s="1"/>
  <c r="B260" i="7"/>
  <c r="B80" i="7"/>
  <c r="E84" i="7" s="1"/>
  <c r="B81" i="8" s="1"/>
  <c r="B143" i="7"/>
  <c r="E147" i="7" s="1"/>
  <c r="B144" i="8" s="1"/>
  <c r="B254" i="7"/>
  <c r="B62" i="7"/>
  <c r="E66" i="7" s="1"/>
  <c r="B63" i="8" s="1"/>
  <c r="B187" i="7"/>
  <c r="B59" i="7"/>
  <c r="B178" i="7"/>
  <c r="E182" i="7" s="1"/>
  <c r="B179" i="8" s="1"/>
  <c r="B132" i="7"/>
  <c r="B121" i="7"/>
  <c r="E125" i="7" s="1"/>
  <c r="B122" i="8" s="1"/>
  <c r="B245" i="7"/>
  <c r="B141" i="7"/>
  <c r="E145" i="7" s="1"/>
  <c r="B142" i="8" s="1"/>
  <c r="B71" i="7"/>
  <c r="B182" i="7"/>
  <c r="E186" i="7" s="1"/>
  <c r="B183" i="8" s="1"/>
  <c r="B92" i="7"/>
  <c r="E96" i="7" s="1"/>
  <c r="B93" i="8" s="1"/>
  <c r="B115" i="7"/>
  <c r="E119" i="7" s="1"/>
  <c r="B116" i="8" s="1"/>
  <c r="B234" i="7"/>
  <c r="B42" i="7"/>
  <c r="E46" i="7" s="1"/>
  <c r="B43" i="8" s="1"/>
  <c r="B177" i="7"/>
  <c r="B268" i="7"/>
  <c r="B133" i="7"/>
  <c r="E137" i="7" s="1"/>
  <c r="B134" i="8" s="1"/>
  <c r="B164" i="7"/>
  <c r="B200" i="7"/>
  <c r="B56" i="7"/>
  <c r="E60" i="7" s="1"/>
  <c r="B57" i="8" s="1"/>
  <c r="B239" i="7"/>
  <c r="E243" i="7" s="1"/>
  <c r="B240" i="8" s="1"/>
  <c r="B175" i="7"/>
  <c r="E179" i="7" s="1"/>
  <c r="B176" i="8" s="1"/>
  <c r="B111" i="7"/>
  <c r="E115" i="7" s="1"/>
  <c r="B112" i="8" s="1"/>
  <c r="B47" i="7"/>
  <c r="E51" i="7" s="1"/>
  <c r="B48" i="8" s="1"/>
  <c r="B48" i="7"/>
  <c r="E52" i="7" s="1"/>
  <c r="B49" i="8" s="1"/>
  <c r="B222" i="7"/>
  <c r="B158" i="7"/>
  <c r="B94" i="7"/>
  <c r="E98" i="7" s="1"/>
  <c r="B95" i="8" s="1"/>
  <c r="B30" i="7"/>
  <c r="E34" i="7" s="1"/>
  <c r="B31" i="8" s="1"/>
  <c r="B20" i="7"/>
  <c r="E24" i="7" s="1"/>
  <c r="B21" i="8" s="1"/>
  <c r="B219" i="7"/>
  <c r="E223" i="7" s="1"/>
  <c r="B220" i="8" s="1"/>
  <c r="B155" i="7"/>
  <c r="E159" i="7" s="1"/>
  <c r="B156" i="8" s="1"/>
  <c r="B91" i="7"/>
  <c r="B27" i="7"/>
  <c r="E31" i="7" s="1"/>
  <c r="B28" i="8" s="1"/>
  <c r="B28" i="7"/>
  <c r="E32" i="7" s="1"/>
  <c r="B29" i="8" s="1"/>
  <c r="B210" i="7"/>
  <c r="B146" i="7"/>
  <c r="E150" i="7" s="1"/>
  <c r="B147" i="8" s="1"/>
  <c r="B82" i="7"/>
  <c r="E86" i="7" s="1"/>
  <c r="B83" i="8" s="1"/>
  <c r="B18" i="7"/>
  <c r="B36" i="7"/>
  <c r="E40" i="7" s="1"/>
  <c r="B37" i="8" s="1"/>
  <c r="B217" i="7"/>
  <c r="E221" i="7" s="1"/>
  <c r="B218" i="8" s="1"/>
  <c r="B153" i="7"/>
  <c r="B89" i="7"/>
  <c r="B25" i="7"/>
  <c r="E29" i="7" s="1"/>
  <c r="B26" i="8" s="1"/>
  <c r="B160" i="7"/>
  <c r="E164" i="7" s="1"/>
  <c r="B161" i="8" s="1"/>
  <c r="B45" i="7"/>
  <c r="B253" i="7"/>
  <c r="B21" i="7"/>
  <c r="E25" i="7" s="1"/>
  <c r="B22" i="8" s="1"/>
  <c r="F168" i="7"/>
  <c r="C165" i="8" s="1"/>
  <c r="F189" i="7"/>
  <c r="C186" i="8" s="1"/>
  <c r="F174" i="7"/>
  <c r="C171" i="8" s="1"/>
  <c r="F47" i="7"/>
  <c r="C44" i="8" s="1"/>
  <c r="F175" i="7"/>
  <c r="C172" i="8" s="1"/>
  <c r="E244" i="7"/>
  <c r="B241" i="8" s="1"/>
  <c r="F35" i="7"/>
  <c r="C32" i="8" s="1"/>
  <c r="F43" i="7"/>
  <c r="C40" i="8" s="1"/>
  <c r="F110" i="7"/>
  <c r="C107" i="8" s="1"/>
  <c r="F99" i="7"/>
  <c r="C96" i="8" s="1"/>
  <c r="E249" i="7"/>
  <c r="B246" i="8" s="1"/>
  <c r="F46" i="7"/>
  <c r="C43" i="8" s="1"/>
  <c r="F232" i="7"/>
  <c r="C229" i="8" s="1"/>
  <c r="F178" i="7"/>
  <c r="C175" i="8" s="1"/>
  <c r="E11" i="7"/>
  <c r="B8" i="8" s="1"/>
  <c r="F238" i="7"/>
  <c r="C235" i="8" s="1"/>
  <c r="F227" i="7"/>
  <c r="C224" i="8" s="1"/>
  <c r="F167" i="7"/>
  <c r="C164" i="8" s="1"/>
  <c r="F235" i="7"/>
  <c r="C232" i="8" s="1"/>
  <c r="F150" i="7"/>
  <c r="C147" i="8" s="1"/>
  <c r="F214" i="7"/>
  <c r="C211" i="8" s="1"/>
  <c r="E14" i="7"/>
  <c r="B11" i="8" s="1"/>
  <c r="F263" i="7"/>
  <c r="C260" i="8" s="1"/>
  <c r="E16" i="7"/>
  <c r="B13" i="8" s="1"/>
  <c r="F106" i="7"/>
  <c r="C103" i="8" s="1"/>
  <c r="F234" i="7"/>
  <c r="C231" i="8" s="1"/>
  <c r="F27" i="7"/>
  <c r="C24" i="8" s="1"/>
  <c r="F219" i="7"/>
  <c r="C216" i="8" s="1"/>
  <c r="E122" i="7"/>
  <c r="B119" i="8" s="1"/>
  <c r="E217" i="7"/>
  <c r="B214" i="8" s="1"/>
  <c r="C6" i="7"/>
  <c r="F10" i="7" s="1"/>
  <c r="C7" i="8" s="1"/>
  <c r="F113" i="7"/>
  <c r="C110" i="8" s="1"/>
  <c r="F241" i="7"/>
  <c r="C238" i="8" s="1"/>
  <c r="F169" i="7"/>
  <c r="C166" i="8" s="1"/>
  <c r="C5" i="7"/>
  <c r="F8" i="7" s="1"/>
  <c r="C5" i="8" s="1"/>
  <c r="F100" i="7"/>
  <c r="C97" i="8" s="1"/>
  <c r="E248" i="7"/>
  <c r="B245" i="8" s="1"/>
  <c r="E259" i="7"/>
  <c r="B256" i="8" s="1"/>
  <c r="F28" i="7"/>
  <c r="C25" i="8" s="1"/>
  <c r="F92" i="7"/>
  <c r="C89" i="8" s="1"/>
  <c r="F36" i="7"/>
  <c r="C33" i="8" s="1"/>
  <c r="F220" i="7"/>
  <c r="C217" i="8" s="1"/>
  <c r="F228" i="7"/>
  <c r="C225" i="8" s="1"/>
  <c r="F236" i="7"/>
  <c r="C233" i="8" s="1"/>
  <c r="F69" i="7"/>
  <c r="C66" i="8" s="1"/>
  <c r="F197" i="7"/>
  <c r="C194" i="8" s="1"/>
  <c r="F70" i="7"/>
  <c r="C67" i="8" s="1"/>
  <c r="F262" i="7"/>
  <c r="C259" i="8" s="1"/>
  <c r="E126" i="7"/>
  <c r="B123" i="8" s="1"/>
  <c r="F90" i="7"/>
  <c r="C87" i="8" s="1"/>
  <c r="E82" i="7"/>
  <c r="B79" i="8" s="1"/>
  <c r="E146" i="7"/>
  <c r="B143" i="8" s="1"/>
  <c r="E210" i="7"/>
  <c r="B207" i="8" s="1"/>
  <c r="E198" i="7"/>
  <c r="B195" i="8" s="1"/>
  <c r="E262" i="7"/>
  <c r="B259" i="8" s="1"/>
  <c r="F184" i="7"/>
  <c r="C181" i="8" s="1"/>
  <c r="E105" i="7"/>
  <c r="B102" i="8" s="1"/>
  <c r="E154" i="7"/>
  <c r="B151" i="8" s="1"/>
  <c r="E188" i="7"/>
  <c r="B185" i="8" s="1"/>
  <c r="E268" i="7"/>
  <c r="B265" i="8" s="1"/>
  <c r="E45" i="7"/>
  <c r="B42" i="8" s="1"/>
  <c r="E69" i="7"/>
  <c r="B66" i="8" s="1"/>
  <c r="E181" i="7"/>
  <c r="B178" i="8" s="1"/>
  <c r="E213" i="7"/>
  <c r="B210" i="8" s="1"/>
  <c r="E229" i="7"/>
  <c r="B226" i="8" s="1"/>
  <c r="E245" i="7"/>
  <c r="B242" i="8" s="1"/>
  <c r="E90" i="7"/>
  <c r="B87" i="8" s="1"/>
  <c r="E22" i="7"/>
  <c r="B19" i="8" s="1"/>
  <c r="E78" i="7"/>
  <c r="B75" i="8" s="1"/>
  <c r="E190" i="7"/>
  <c r="B187" i="8" s="1"/>
  <c r="E254" i="7"/>
  <c r="B251" i="8" s="1"/>
  <c r="E114" i="7"/>
  <c r="B111" i="8" s="1"/>
  <c r="E103" i="7"/>
  <c r="B100" i="8" s="1"/>
  <c r="E167" i="7"/>
  <c r="B164" i="8" s="1"/>
  <c r="E72" i="7"/>
  <c r="B69" i="8" s="1"/>
  <c r="E160" i="7"/>
  <c r="B157" i="8" s="1"/>
  <c r="E192" i="7"/>
  <c r="B189" i="8" s="1"/>
  <c r="E49" i="7"/>
  <c r="B46" i="8" s="1"/>
  <c r="E113" i="7"/>
  <c r="B110" i="8" s="1"/>
  <c r="E121" i="7"/>
  <c r="B118" i="8" s="1"/>
  <c r="E153" i="7"/>
  <c r="B150" i="8" s="1"/>
  <c r="E257" i="7"/>
  <c r="B254" i="8" s="1"/>
  <c r="E203" i="7"/>
  <c r="B200" i="8" s="1"/>
  <c r="E43" i="7"/>
  <c r="B40" i="8" s="1"/>
  <c r="E195" i="7"/>
  <c r="B192" i="8" s="1"/>
  <c r="B76" i="4"/>
  <c r="E11" i="4"/>
  <c r="E19" i="4"/>
  <c r="E27" i="4"/>
  <c r="E35" i="4"/>
  <c r="E43" i="4"/>
  <c r="E51" i="4"/>
  <c r="E59" i="4"/>
  <c r="E67" i="4"/>
  <c r="E75" i="4"/>
  <c r="E83" i="4"/>
  <c r="E91" i="4"/>
  <c r="E99" i="4"/>
  <c r="E107" i="4"/>
  <c r="E115" i="4"/>
  <c r="E123" i="4"/>
  <c r="E131" i="4"/>
  <c r="E139" i="4"/>
  <c r="E147" i="4"/>
  <c r="E155" i="4"/>
  <c r="E163" i="4"/>
  <c r="E171" i="4"/>
  <c r="E179" i="4"/>
  <c r="E187" i="4"/>
  <c r="E195" i="4"/>
  <c r="E203" i="4"/>
  <c r="E211" i="4"/>
  <c r="E219" i="4"/>
  <c r="E227" i="4"/>
  <c r="E235" i="4"/>
  <c r="E243" i="4"/>
  <c r="E251" i="4"/>
  <c r="E259" i="4"/>
  <c r="E267" i="4"/>
  <c r="C12" i="4"/>
  <c r="O12" i="4" s="1"/>
  <c r="C20" i="4"/>
  <c r="O20" i="4" s="1"/>
  <c r="C28" i="4"/>
  <c r="O28" i="4" s="1"/>
  <c r="C36" i="4"/>
  <c r="O36" i="4" s="1"/>
  <c r="C44" i="4"/>
  <c r="O44" i="4" s="1"/>
  <c r="C52" i="4"/>
  <c r="O52" i="4" s="1"/>
  <c r="C60" i="4"/>
  <c r="O60" i="4" s="1"/>
  <c r="C68" i="4"/>
  <c r="O68" i="4" s="1"/>
  <c r="C76" i="4"/>
  <c r="O76" i="4" s="1"/>
  <c r="C84" i="4"/>
  <c r="O84" i="4" s="1"/>
  <c r="C92" i="4"/>
  <c r="O92" i="4" s="1"/>
  <c r="C100" i="4"/>
  <c r="O100" i="4" s="1"/>
  <c r="C108" i="4"/>
  <c r="O108" i="4" s="1"/>
  <c r="C116" i="4"/>
  <c r="O116" i="4" s="1"/>
  <c r="C124" i="4"/>
  <c r="O124" i="4" s="1"/>
  <c r="C132" i="4"/>
  <c r="O132" i="4" s="1"/>
  <c r="C140" i="4"/>
  <c r="O140" i="4" s="1"/>
  <c r="C148" i="4"/>
  <c r="O148" i="4" s="1"/>
  <c r="C156" i="4"/>
  <c r="O156" i="4" s="1"/>
  <c r="C164" i="4"/>
  <c r="O164" i="4" s="1"/>
  <c r="C172" i="4"/>
  <c r="O172" i="4" s="1"/>
  <c r="C180" i="4"/>
  <c r="O180" i="4" s="1"/>
  <c r="C188" i="4"/>
  <c r="O188" i="4" s="1"/>
  <c r="C196" i="4"/>
  <c r="O196" i="4" s="1"/>
  <c r="C204" i="4"/>
  <c r="O204" i="4" s="1"/>
  <c r="C212" i="4"/>
  <c r="O212" i="4" s="1"/>
  <c r="C220" i="4"/>
  <c r="O220" i="4" s="1"/>
  <c r="C228" i="4"/>
  <c r="O228" i="4" s="1"/>
  <c r="C236" i="4"/>
  <c r="O236" i="4" s="1"/>
  <c r="C244" i="4"/>
  <c r="O244" i="4" s="1"/>
  <c r="C252" i="4"/>
  <c r="O252" i="4" s="1"/>
  <c r="C260" i="4"/>
  <c r="O260" i="4" s="1"/>
  <c r="C268" i="4"/>
  <c r="O268" i="4" s="1"/>
  <c r="E12" i="4"/>
  <c r="E20" i="4"/>
  <c r="E28" i="4"/>
  <c r="E36" i="4"/>
  <c r="E44" i="4"/>
  <c r="E52" i="4"/>
  <c r="E60" i="4"/>
  <c r="E68" i="4"/>
  <c r="E76" i="4"/>
  <c r="E84" i="4"/>
  <c r="E92" i="4"/>
  <c r="E100" i="4"/>
  <c r="E108" i="4"/>
  <c r="E116" i="4"/>
  <c r="E124" i="4"/>
  <c r="E132" i="4"/>
  <c r="E140" i="4"/>
  <c r="E148" i="4"/>
  <c r="E156" i="4"/>
  <c r="E164" i="4"/>
  <c r="E172" i="4"/>
  <c r="E180" i="4"/>
  <c r="E188" i="4"/>
  <c r="E196" i="4"/>
  <c r="E204" i="4"/>
  <c r="E212" i="4"/>
  <c r="E220" i="4"/>
  <c r="E228" i="4"/>
  <c r="E236" i="4"/>
  <c r="E244" i="4"/>
  <c r="E252" i="4"/>
  <c r="E260" i="4"/>
  <c r="E268" i="4"/>
  <c r="C13" i="4"/>
  <c r="O13" i="4" s="1"/>
  <c r="C21" i="4"/>
  <c r="O21" i="4" s="1"/>
  <c r="C29" i="4"/>
  <c r="O29" i="4" s="1"/>
  <c r="C37" i="4"/>
  <c r="O37" i="4" s="1"/>
  <c r="C45" i="4"/>
  <c r="O45" i="4" s="1"/>
  <c r="C53" i="4"/>
  <c r="O53" i="4" s="1"/>
  <c r="C61" i="4"/>
  <c r="O61" i="4" s="1"/>
  <c r="C69" i="4"/>
  <c r="O69" i="4" s="1"/>
  <c r="C77" i="4"/>
  <c r="O77" i="4" s="1"/>
  <c r="C85" i="4"/>
  <c r="O85" i="4" s="1"/>
  <c r="C93" i="4"/>
  <c r="O93" i="4" s="1"/>
  <c r="C101" i="4"/>
  <c r="O101" i="4" s="1"/>
  <c r="C109" i="4"/>
  <c r="O109" i="4" s="1"/>
  <c r="C117" i="4"/>
  <c r="O117" i="4" s="1"/>
  <c r="C125" i="4"/>
  <c r="O125" i="4" s="1"/>
  <c r="C133" i="4"/>
  <c r="O133" i="4" s="1"/>
  <c r="C141" i="4"/>
  <c r="O141" i="4" s="1"/>
  <c r="C149" i="4"/>
  <c r="O149" i="4" s="1"/>
  <c r="C157" i="4"/>
  <c r="O157" i="4" s="1"/>
  <c r="C165" i="4"/>
  <c r="O165" i="4" s="1"/>
  <c r="C173" i="4"/>
  <c r="O173" i="4" s="1"/>
  <c r="C181" i="4"/>
  <c r="O181" i="4" s="1"/>
  <c r="C189" i="4"/>
  <c r="O189" i="4" s="1"/>
  <c r="C197" i="4"/>
  <c r="O197" i="4" s="1"/>
  <c r="C205" i="4"/>
  <c r="O205" i="4" s="1"/>
  <c r="C213" i="4"/>
  <c r="O213" i="4" s="1"/>
  <c r="C221" i="4"/>
  <c r="O221" i="4" s="1"/>
  <c r="C229" i="4"/>
  <c r="O229" i="4" s="1"/>
  <c r="C237" i="4"/>
  <c r="O237" i="4" s="1"/>
  <c r="C245" i="4"/>
  <c r="O245" i="4" s="1"/>
  <c r="C253" i="4"/>
  <c r="O253" i="4" s="1"/>
  <c r="C261" i="4"/>
  <c r="O261" i="4" s="1"/>
  <c r="C269" i="4"/>
  <c r="O269" i="4" s="1"/>
  <c r="E13" i="4"/>
  <c r="E21" i="4"/>
  <c r="E29" i="4"/>
  <c r="E37" i="4"/>
  <c r="E45" i="4"/>
  <c r="E53" i="4"/>
  <c r="E61" i="4"/>
  <c r="E69" i="4"/>
  <c r="E77" i="4"/>
  <c r="E85" i="4"/>
  <c r="E93" i="4"/>
  <c r="E101" i="4"/>
  <c r="E109" i="4"/>
  <c r="E117" i="4"/>
  <c r="E125" i="4"/>
  <c r="E133" i="4"/>
  <c r="E141" i="4"/>
  <c r="E149" i="4"/>
  <c r="E157" i="4"/>
  <c r="E165" i="4"/>
  <c r="E173" i="4"/>
  <c r="E181" i="4"/>
  <c r="E189" i="4"/>
  <c r="E197" i="4"/>
  <c r="E205" i="4"/>
  <c r="E213" i="4"/>
  <c r="E221" i="4"/>
  <c r="E229" i="4"/>
  <c r="E237" i="4"/>
  <c r="E245" i="4"/>
  <c r="E253" i="4"/>
  <c r="E261" i="4"/>
  <c r="E269" i="4"/>
  <c r="C14" i="4"/>
  <c r="O14" i="4" s="1"/>
  <c r="C22" i="4"/>
  <c r="O22" i="4" s="1"/>
  <c r="C30" i="4"/>
  <c r="O30" i="4" s="1"/>
  <c r="C38" i="4"/>
  <c r="O38" i="4" s="1"/>
  <c r="C46" i="4"/>
  <c r="O46" i="4" s="1"/>
  <c r="C54" i="4"/>
  <c r="O54" i="4" s="1"/>
  <c r="C62" i="4"/>
  <c r="O62" i="4" s="1"/>
  <c r="C70" i="4"/>
  <c r="O70" i="4" s="1"/>
  <c r="C78" i="4"/>
  <c r="O78" i="4" s="1"/>
  <c r="C86" i="4"/>
  <c r="O86" i="4" s="1"/>
  <c r="C94" i="4"/>
  <c r="O94" i="4" s="1"/>
  <c r="C102" i="4"/>
  <c r="O102" i="4" s="1"/>
  <c r="C110" i="4"/>
  <c r="O110" i="4" s="1"/>
  <c r="C118" i="4"/>
  <c r="O118" i="4" s="1"/>
  <c r="C126" i="4"/>
  <c r="O126" i="4" s="1"/>
  <c r="C134" i="4"/>
  <c r="O134" i="4" s="1"/>
  <c r="C142" i="4"/>
  <c r="O142" i="4" s="1"/>
  <c r="C150" i="4"/>
  <c r="O150" i="4" s="1"/>
  <c r="C158" i="4"/>
  <c r="O158" i="4" s="1"/>
  <c r="C166" i="4"/>
  <c r="O166" i="4" s="1"/>
  <c r="C174" i="4"/>
  <c r="O174" i="4" s="1"/>
  <c r="C182" i="4"/>
  <c r="O182" i="4" s="1"/>
  <c r="C190" i="4"/>
  <c r="O190" i="4" s="1"/>
  <c r="C198" i="4"/>
  <c r="O198" i="4" s="1"/>
  <c r="C206" i="4"/>
  <c r="O206" i="4" s="1"/>
  <c r="C214" i="4"/>
  <c r="O214" i="4" s="1"/>
  <c r="C222" i="4"/>
  <c r="O222" i="4" s="1"/>
  <c r="C230" i="4"/>
  <c r="O230" i="4" s="1"/>
  <c r="C238" i="4"/>
  <c r="O238" i="4" s="1"/>
  <c r="C246" i="4"/>
  <c r="O246" i="4" s="1"/>
  <c r="C254" i="4"/>
  <c r="O254" i="4" s="1"/>
  <c r="C262" i="4"/>
  <c r="O262" i="4" s="1"/>
  <c r="C270" i="4"/>
  <c r="O270" i="4" s="1"/>
  <c r="E14" i="4"/>
  <c r="E22" i="4"/>
  <c r="E30" i="4"/>
  <c r="E38" i="4"/>
  <c r="E46" i="4"/>
  <c r="E54" i="4"/>
  <c r="E62" i="4"/>
  <c r="E70" i="4"/>
  <c r="E78" i="4"/>
  <c r="E86" i="4"/>
  <c r="E94" i="4"/>
  <c r="E102" i="4"/>
  <c r="E110" i="4"/>
  <c r="E118" i="4"/>
  <c r="E126" i="4"/>
  <c r="E134" i="4"/>
  <c r="E142" i="4"/>
  <c r="E150" i="4"/>
  <c r="E158" i="4"/>
  <c r="E166" i="4"/>
  <c r="E174" i="4"/>
  <c r="E182" i="4"/>
  <c r="E190" i="4"/>
  <c r="E198" i="4"/>
  <c r="E206" i="4"/>
  <c r="E214" i="4"/>
  <c r="E222" i="4"/>
  <c r="E230" i="4"/>
  <c r="E238" i="4"/>
  <c r="E246" i="4"/>
  <c r="E254" i="4"/>
  <c r="E262" i="4"/>
  <c r="E270" i="4"/>
  <c r="C15" i="4"/>
  <c r="O15" i="4" s="1"/>
  <c r="C23" i="4"/>
  <c r="O23" i="4" s="1"/>
  <c r="C31" i="4"/>
  <c r="O31" i="4" s="1"/>
  <c r="C39" i="4"/>
  <c r="O39" i="4" s="1"/>
  <c r="C47" i="4"/>
  <c r="O47" i="4" s="1"/>
  <c r="C55" i="4"/>
  <c r="O55" i="4" s="1"/>
  <c r="C63" i="4"/>
  <c r="O63" i="4" s="1"/>
  <c r="C71" i="4"/>
  <c r="O71" i="4" s="1"/>
  <c r="C79" i="4"/>
  <c r="O79" i="4" s="1"/>
  <c r="C87" i="4"/>
  <c r="O87" i="4" s="1"/>
  <c r="C95" i="4"/>
  <c r="O95" i="4" s="1"/>
  <c r="C103" i="4"/>
  <c r="O103" i="4" s="1"/>
  <c r="C111" i="4"/>
  <c r="O111" i="4" s="1"/>
  <c r="C119" i="4"/>
  <c r="O119" i="4" s="1"/>
  <c r="C127" i="4"/>
  <c r="O127" i="4" s="1"/>
  <c r="C135" i="4"/>
  <c r="O135" i="4" s="1"/>
  <c r="C143" i="4"/>
  <c r="O143" i="4" s="1"/>
  <c r="C151" i="4"/>
  <c r="O151" i="4" s="1"/>
  <c r="C159" i="4"/>
  <c r="O159" i="4" s="1"/>
  <c r="C167" i="4"/>
  <c r="O167" i="4" s="1"/>
  <c r="C175" i="4"/>
  <c r="O175" i="4" s="1"/>
  <c r="C183" i="4"/>
  <c r="O183" i="4" s="1"/>
  <c r="C191" i="4"/>
  <c r="O191" i="4" s="1"/>
  <c r="C199" i="4"/>
  <c r="O199" i="4" s="1"/>
  <c r="C207" i="4"/>
  <c r="O207" i="4" s="1"/>
  <c r="C215" i="4"/>
  <c r="O215" i="4" s="1"/>
  <c r="C223" i="4"/>
  <c r="O223" i="4" s="1"/>
  <c r="C231" i="4"/>
  <c r="O231" i="4" s="1"/>
  <c r="C239" i="4"/>
  <c r="O239" i="4" s="1"/>
  <c r="C247" i="4"/>
  <c r="O247" i="4" s="1"/>
  <c r="C255" i="4"/>
  <c r="O255" i="4" s="1"/>
  <c r="C263" i="4"/>
  <c r="O263" i="4" s="1"/>
  <c r="C9" i="4"/>
  <c r="E15" i="4"/>
  <c r="E23" i="4"/>
  <c r="E31" i="4"/>
  <c r="E39" i="4"/>
  <c r="E47" i="4"/>
  <c r="E55" i="4"/>
  <c r="E63" i="4"/>
  <c r="E71" i="4"/>
  <c r="E79" i="4"/>
  <c r="E87" i="4"/>
  <c r="E95" i="4"/>
  <c r="E103" i="4"/>
  <c r="E111" i="4"/>
  <c r="E119" i="4"/>
  <c r="E127" i="4"/>
  <c r="E135" i="4"/>
  <c r="E143" i="4"/>
  <c r="E151" i="4"/>
  <c r="E159" i="4"/>
  <c r="E167" i="4"/>
  <c r="E175" i="4"/>
  <c r="E183" i="4"/>
  <c r="E191" i="4"/>
  <c r="E199" i="4"/>
  <c r="E207" i="4"/>
  <c r="E215" i="4"/>
  <c r="E223" i="4"/>
  <c r="E231" i="4"/>
  <c r="E239" i="4"/>
  <c r="E247" i="4"/>
  <c r="E255" i="4"/>
  <c r="E263" i="4"/>
  <c r="E10" i="4"/>
  <c r="C16" i="4"/>
  <c r="O16" i="4" s="1"/>
  <c r="C24" i="4"/>
  <c r="O24" i="4" s="1"/>
  <c r="C32" i="4"/>
  <c r="O32" i="4" s="1"/>
  <c r="C40" i="4"/>
  <c r="O40" i="4" s="1"/>
  <c r="C48" i="4"/>
  <c r="O48" i="4" s="1"/>
  <c r="C56" i="4"/>
  <c r="O56" i="4" s="1"/>
  <c r="C64" i="4"/>
  <c r="O64" i="4" s="1"/>
  <c r="C72" i="4"/>
  <c r="O72" i="4" s="1"/>
  <c r="C80" i="4"/>
  <c r="O80" i="4" s="1"/>
  <c r="C88" i="4"/>
  <c r="O88" i="4" s="1"/>
  <c r="C96" i="4"/>
  <c r="O96" i="4" s="1"/>
  <c r="C104" i="4"/>
  <c r="O104" i="4" s="1"/>
  <c r="C112" i="4"/>
  <c r="O112" i="4" s="1"/>
  <c r="C120" i="4"/>
  <c r="O120" i="4" s="1"/>
  <c r="C128" i="4"/>
  <c r="O128" i="4" s="1"/>
  <c r="C136" i="4"/>
  <c r="O136" i="4" s="1"/>
  <c r="C144" i="4"/>
  <c r="O144" i="4" s="1"/>
  <c r="C152" i="4"/>
  <c r="O152" i="4" s="1"/>
  <c r="C160" i="4"/>
  <c r="O160" i="4" s="1"/>
  <c r="C168" i="4"/>
  <c r="O168" i="4" s="1"/>
  <c r="C176" i="4"/>
  <c r="O176" i="4" s="1"/>
  <c r="C184" i="4"/>
  <c r="O184" i="4" s="1"/>
  <c r="C192" i="4"/>
  <c r="O192" i="4" s="1"/>
  <c r="C200" i="4"/>
  <c r="O200" i="4" s="1"/>
  <c r="C208" i="4"/>
  <c r="O208" i="4" s="1"/>
  <c r="C216" i="4"/>
  <c r="O216" i="4" s="1"/>
  <c r="C224" i="4"/>
  <c r="O224" i="4" s="1"/>
  <c r="C232" i="4"/>
  <c r="O232" i="4" s="1"/>
  <c r="C240" i="4"/>
  <c r="O240" i="4" s="1"/>
  <c r="C248" i="4"/>
  <c r="O248" i="4" s="1"/>
  <c r="C256" i="4"/>
  <c r="C264" i="4"/>
  <c r="O264" i="4" s="1"/>
  <c r="E16" i="4"/>
  <c r="E24" i="4"/>
  <c r="E32" i="4"/>
  <c r="E40" i="4"/>
  <c r="E48" i="4"/>
  <c r="E56" i="4"/>
  <c r="E64" i="4"/>
  <c r="E72" i="4"/>
  <c r="E80" i="4"/>
  <c r="E88" i="4"/>
  <c r="E96" i="4"/>
  <c r="E104" i="4"/>
  <c r="E112" i="4"/>
  <c r="E120" i="4"/>
  <c r="E128" i="4"/>
  <c r="E136" i="4"/>
  <c r="E144" i="4"/>
  <c r="E152" i="4"/>
  <c r="E160" i="4"/>
  <c r="E168" i="4"/>
  <c r="E176" i="4"/>
  <c r="E184" i="4"/>
  <c r="E192" i="4"/>
  <c r="E200" i="4"/>
  <c r="E208" i="4"/>
  <c r="E216" i="4"/>
  <c r="E224" i="4"/>
  <c r="E232" i="4"/>
  <c r="E240" i="4"/>
  <c r="E248" i="4"/>
  <c r="E256" i="4"/>
  <c r="E264" i="4"/>
  <c r="C17" i="4"/>
  <c r="O17" i="4" s="1"/>
  <c r="C25" i="4"/>
  <c r="O25" i="4" s="1"/>
  <c r="C33" i="4"/>
  <c r="O33" i="4" s="1"/>
  <c r="C41" i="4"/>
  <c r="O41" i="4" s="1"/>
  <c r="C49" i="4"/>
  <c r="O49" i="4" s="1"/>
  <c r="C57" i="4"/>
  <c r="O57" i="4" s="1"/>
  <c r="C65" i="4"/>
  <c r="O65" i="4" s="1"/>
  <c r="C73" i="4"/>
  <c r="O73" i="4" s="1"/>
  <c r="C81" i="4"/>
  <c r="O81" i="4" s="1"/>
  <c r="C89" i="4"/>
  <c r="O89" i="4" s="1"/>
  <c r="C97" i="4"/>
  <c r="O97" i="4" s="1"/>
  <c r="C105" i="4"/>
  <c r="O105" i="4" s="1"/>
  <c r="C113" i="4"/>
  <c r="O113" i="4" s="1"/>
  <c r="C121" i="4"/>
  <c r="O121" i="4" s="1"/>
  <c r="C129" i="4"/>
  <c r="O129" i="4" s="1"/>
  <c r="C137" i="4"/>
  <c r="O137" i="4" s="1"/>
  <c r="C145" i="4"/>
  <c r="O145" i="4" s="1"/>
  <c r="C153" i="4"/>
  <c r="O153" i="4" s="1"/>
  <c r="C161" i="4"/>
  <c r="O161" i="4" s="1"/>
  <c r="C169" i="4"/>
  <c r="O169" i="4" s="1"/>
  <c r="C177" i="4"/>
  <c r="O177" i="4" s="1"/>
  <c r="C185" i="4"/>
  <c r="O185" i="4" s="1"/>
  <c r="C193" i="4"/>
  <c r="O193" i="4" s="1"/>
  <c r="C201" i="4"/>
  <c r="O201" i="4" s="1"/>
  <c r="C209" i="4"/>
  <c r="O209" i="4" s="1"/>
  <c r="C217" i="4"/>
  <c r="O217" i="4" s="1"/>
  <c r="C225" i="4"/>
  <c r="O225" i="4" s="1"/>
  <c r="C233" i="4"/>
  <c r="O233" i="4" s="1"/>
  <c r="C241" i="4"/>
  <c r="O241" i="4" s="1"/>
  <c r="C249" i="4"/>
  <c r="O249" i="4" s="1"/>
  <c r="C257" i="4"/>
  <c r="O257" i="4" s="1"/>
  <c r="C265" i="4"/>
  <c r="O265" i="4" s="1"/>
  <c r="E17" i="4"/>
  <c r="E49" i="4"/>
  <c r="E81" i="4"/>
  <c r="E113" i="4"/>
  <c r="E145" i="4"/>
  <c r="E177" i="4"/>
  <c r="E209" i="4"/>
  <c r="E241" i="4"/>
  <c r="C10" i="4"/>
  <c r="O10" i="4" s="1"/>
  <c r="C42" i="4"/>
  <c r="O42" i="4" s="1"/>
  <c r="C74" i="4"/>
  <c r="O74" i="4" s="1"/>
  <c r="C106" i="4"/>
  <c r="O106" i="4" s="1"/>
  <c r="C138" i="4"/>
  <c r="O138" i="4" s="1"/>
  <c r="C170" i="4"/>
  <c r="O170" i="4" s="1"/>
  <c r="C202" i="4"/>
  <c r="O202" i="4" s="1"/>
  <c r="C234" i="4"/>
  <c r="O234" i="4" s="1"/>
  <c r="C266" i="4"/>
  <c r="O266" i="4" s="1"/>
  <c r="E137" i="4"/>
  <c r="E42" i="4"/>
  <c r="C195" i="4"/>
  <c r="O195" i="4" s="1"/>
  <c r="E18" i="4"/>
  <c r="E50" i="4"/>
  <c r="E82" i="4"/>
  <c r="E114" i="4"/>
  <c r="E146" i="4"/>
  <c r="E178" i="4"/>
  <c r="E210" i="4"/>
  <c r="E242" i="4"/>
  <c r="C11" i="4"/>
  <c r="O11" i="4" s="1"/>
  <c r="C43" i="4"/>
  <c r="O43" i="4" s="1"/>
  <c r="C75" i="4"/>
  <c r="O75" i="4" s="1"/>
  <c r="C107" i="4"/>
  <c r="O107" i="4" s="1"/>
  <c r="C139" i="4"/>
  <c r="O139" i="4" s="1"/>
  <c r="C171" i="4"/>
  <c r="O171" i="4" s="1"/>
  <c r="C203" i="4"/>
  <c r="O203" i="4" s="1"/>
  <c r="C235" i="4"/>
  <c r="O235" i="4" s="1"/>
  <c r="C267" i="4"/>
  <c r="O267" i="4" s="1"/>
  <c r="E201" i="4"/>
  <c r="E170" i="4"/>
  <c r="C131" i="4"/>
  <c r="O131" i="4" s="1"/>
  <c r="E25" i="4"/>
  <c r="E57" i="4"/>
  <c r="E89" i="4"/>
  <c r="E121" i="4"/>
  <c r="E153" i="4"/>
  <c r="E185" i="4"/>
  <c r="E217" i="4"/>
  <c r="E249" i="4"/>
  <c r="C18" i="4"/>
  <c r="O18" i="4" s="1"/>
  <c r="C50" i="4"/>
  <c r="O50" i="4" s="1"/>
  <c r="C82" i="4"/>
  <c r="O82" i="4" s="1"/>
  <c r="C114" i="4"/>
  <c r="O114" i="4" s="1"/>
  <c r="C146" i="4"/>
  <c r="O146" i="4" s="1"/>
  <c r="C178" i="4"/>
  <c r="O178" i="4" s="1"/>
  <c r="C210" i="4"/>
  <c r="O210" i="4" s="1"/>
  <c r="C242" i="4"/>
  <c r="O242" i="4" s="1"/>
  <c r="E169" i="4"/>
  <c r="E202" i="4"/>
  <c r="E26" i="4"/>
  <c r="E58" i="4"/>
  <c r="E90" i="4"/>
  <c r="E122" i="4"/>
  <c r="E154" i="4"/>
  <c r="E186" i="4"/>
  <c r="E218" i="4"/>
  <c r="E250" i="4"/>
  <c r="C19" i="4"/>
  <c r="O19" i="4" s="1"/>
  <c r="C51" i="4"/>
  <c r="O51" i="4" s="1"/>
  <c r="C83" i="4"/>
  <c r="O83" i="4" s="1"/>
  <c r="C115" i="4"/>
  <c r="O115" i="4" s="1"/>
  <c r="C147" i="4"/>
  <c r="O147" i="4" s="1"/>
  <c r="C179" i="4"/>
  <c r="O179" i="4" s="1"/>
  <c r="C211" i="4"/>
  <c r="O211" i="4" s="1"/>
  <c r="C243" i="4"/>
  <c r="O243" i="4" s="1"/>
  <c r="E73" i="4"/>
  <c r="E138" i="4"/>
  <c r="E234" i="4"/>
  <c r="E266" i="4"/>
  <c r="C67" i="4"/>
  <c r="O67" i="4" s="1"/>
  <c r="C163" i="4"/>
  <c r="O163" i="4" s="1"/>
  <c r="C259" i="4"/>
  <c r="O259" i="4" s="1"/>
  <c r="E33" i="4"/>
  <c r="E65" i="4"/>
  <c r="E97" i="4"/>
  <c r="E129" i="4"/>
  <c r="E161" i="4"/>
  <c r="E193" i="4"/>
  <c r="E225" i="4"/>
  <c r="E257" i="4"/>
  <c r="C26" i="4"/>
  <c r="O26" i="4" s="1"/>
  <c r="C58" i="4"/>
  <c r="O58" i="4" s="1"/>
  <c r="C90" i="4"/>
  <c r="O90" i="4" s="1"/>
  <c r="C122" i="4"/>
  <c r="O122" i="4" s="1"/>
  <c r="C154" i="4"/>
  <c r="O154" i="4" s="1"/>
  <c r="C186" i="4"/>
  <c r="O186" i="4" s="1"/>
  <c r="C218" i="4"/>
  <c r="O218" i="4" s="1"/>
  <c r="C250" i="4"/>
  <c r="O250" i="4" s="1"/>
  <c r="E105" i="4"/>
  <c r="E74" i="4"/>
  <c r="C35" i="4"/>
  <c r="O35" i="4" s="1"/>
  <c r="C99" i="4"/>
  <c r="O99" i="4" s="1"/>
  <c r="C227" i="4"/>
  <c r="O227" i="4" s="1"/>
  <c r="E34" i="4"/>
  <c r="E66" i="4"/>
  <c r="E98" i="4"/>
  <c r="E130" i="4"/>
  <c r="E162" i="4"/>
  <c r="E194" i="4"/>
  <c r="E226" i="4"/>
  <c r="E258" i="4"/>
  <c r="C27" i="4"/>
  <c r="O27" i="4" s="1"/>
  <c r="C59" i="4"/>
  <c r="O59" i="4" s="1"/>
  <c r="C91" i="4"/>
  <c r="O91" i="4" s="1"/>
  <c r="C123" i="4"/>
  <c r="O123" i="4" s="1"/>
  <c r="C155" i="4"/>
  <c r="O155" i="4" s="1"/>
  <c r="C187" i="4"/>
  <c r="O187" i="4" s="1"/>
  <c r="C219" i="4"/>
  <c r="O219" i="4" s="1"/>
  <c r="C251" i="4"/>
  <c r="O251" i="4" s="1"/>
  <c r="E41" i="4"/>
  <c r="E233" i="4"/>
  <c r="E265" i="4"/>
  <c r="C34" i="4"/>
  <c r="O34" i="4" s="1"/>
  <c r="C66" i="4"/>
  <c r="O66" i="4" s="1"/>
  <c r="C98" i="4"/>
  <c r="O98" i="4" s="1"/>
  <c r="C130" i="4"/>
  <c r="O130" i="4" s="1"/>
  <c r="C162" i="4"/>
  <c r="O162" i="4" s="1"/>
  <c r="C194" i="4"/>
  <c r="O194" i="4" s="1"/>
  <c r="C226" i="4"/>
  <c r="O226" i="4" s="1"/>
  <c r="C258" i="4"/>
  <c r="O258" i="4" s="1"/>
  <c r="E106" i="4"/>
  <c r="O256" i="4"/>
  <c r="D129" i="4"/>
  <c r="B215" i="4"/>
  <c r="B135" i="4"/>
  <c r="B134" i="4"/>
  <c r="B152" i="4"/>
  <c r="D154" i="4"/>
  <c r="D207" i="4"/>
  <c r="B161" i="4"/>
  <c r="B169" i="4"/>
  <c r="B177" i="4"/>
  <c r="B185" i="4"/>
  <c r="D205" i="4"/>
  <c r="D159" i="4"/>
  <c r="D167" i="4"/>
  <c r="D175" i="4"/>
  <c r="D183" i="4"/>
  <c r="B220" i="4"/>
  <c r="B266" i="4"/>
  <c r="B259" i="4"/>
  <c r="B241" i="4"/>
  <c r="B207" i="4"/>
  <c r="D213" i="4"/>
  <c r="D235" i="4"/>
  <c r="D258" i="4"/>
  <c r="D14" i="4"/>
  <c r="B142" i="4"/>
  <c r="B199" i="4"/>
  <c r="D188" i="4"/>
  <c r="B156" i="4"/>
  <c r="B164" i="4"/>
  <c r="B172" i="4"/>
  <c r="B180" i="4"/>
  <c r="D191" i="4"/>
  <c r="B265" i="4"/>
  <c r="D162" i="4"/>
  <c r="D170" i="4"/>
  <c r="D178" i="4"/>
  <c r="D186" i="4"/>
  <c r="D201" i="4"/>
  <c r="B232" i="4"/>
  <c r="D197" i="4"/>
  <c r="B238" i="4"/>
  <c r="D221" i="4"/>
  <c r="D243" i="4"/>
  <c r="D266" i="4"/>
  <c r="B41" i="4"/>
  <c r="D125" i="4"/>
  <c r="D146" i="4"/>
  <c r="D143" i="4"/>
  <c r="B223" i="4"/>
  <c r="B145" i="4"/>
  <c r="D192" i="4"/>
  <c r="B157" i="4"/>
  <c r="B165" i="4"/>
  <c r="B173" i="4"/>
  <c r="B181" i="4"/>
  <c r="D195" i="4"/>
  <c r="D155" i="4"/>
  <c r="D163" i="4"/>
  <c r="D171" i="4"/>
  <c r="D179" i="4"/>
  <c r="D203" i="4"/>
  <c r="B240" i="4"/>
  <c r="D206" i="4"/>
  <c r="B202" i="4"/>
  <c r="B242" i="4"/>
  <c r="D226" i="4"/>
  <c r="D245" i="4"/>
  <c r="D267" i="4"/>
  <c r="E9" i="4"/>
  <c r="E7" i="4" s="1"/>
  <c r="T5" i="4"/>
  <c r="I180" i="4" s="1"/>
  <c r="B21" i="4"/>
  <c r="D190" i="4"/>
  <c r="B189" i="4"/>
  <c r="B213" i="4"/>
  <c r="B245" i="4"/>
  <c r="B200" i="4"/>
  <c r="B214" i="4"/>
  <c r="B246" i="4"/>
  <c r="D212" i="4"/>
  <c r="D220" i="4"/>
  <c r="D228" i="4"/>
  <c r="D236" i="4"/>
  <c r="D244" i="4"/>
  <c r="D252" i="4"/>
  <c r="D260" i="4"/>
  <c r="D268" i="4"/>
  <c r="B30" i="4"/>
  <c r="B45" i="4"/>
  <c r="B236" i="4"/>
  <c r="D198" i="4"/>
  <c r="B193" i="4"/>
  <c r="B221" i="4"/>
  <c r="B253" i="4"/>
  <c r="B204" i="4"/>
  <c r="B222" i="4"/>
  <c r="B254" i="4"/>
  <c r="D214" i="4"/>
  <c r="D222" i="4"/>
  <c r="D230" i="4"/>
  <c r="D238" i="4"/>
  <c r="D246" i="4"/>
  <c r="D254" i="4"/>
  <c r="D262" i="4"/>
  <c r="D270" i="4"/>
  <c r="B25" i="4"/>
  <c r="B37" i="4"/>
  <c r="B225" i="4"/>
  <c r="B260" i="4"/>
  <c r="B261" i="4"/>
  <c r="D200" i="4"/>
  <c r="B226" i="4"/>
  <c r="B262" i="4"/>
  <c r="D215" i="4"/>
  <c r="D223" i="4"/>
  <c r="D231" i="4"/>
  <c r="D239" i="4"/>
  <c r="D247" i="4"/>
  <c r="D255" i="4"/>
  <c r="D263" i="4"/>
  <c r="B33" i="4"/>
  <c r="B197" i="4"/>
  <c r="B229" i="4"/>
  <c r="B268" i="4"/>
  <c r="B269" i="4"/>
  <c r="D202" i="4"/>
  <c r="B230" i="4"/>
  <c r="B270" i="4"/>
  <c r="D216" i="4"/>
  <c r="D224" i="4"/>
  <c r="D232" i="4"/>
  <c r="D240" i="4"/>
  <c r="D248" i="4"/>
  <c r="D256" i="4"/>
  <c r="D264" i="4"/>
  <c r="B61" i="4"/>
  <c r="B29" i="4"/>
  <c r="B248" i="4"/>
  <c r="B206" i="4"/>
  <c r="B233" i="4"/>
  <c r="D189" i="4"/>
  <c r="B188" i="4"/>
  <c r="D204" i="4"/>
  <c r="B234" i="4"/>
  <c r="D209" i="4"/>
  <c r="D217" i="4"/>
  <c r="D225" i="4"/>
  <c r="D233" i="4"/>
  <c r="D241" i="4"/>
  <c r="D249" i="4"/>
  <c r="D257" i="4"/>
  <c r="D265" i="4"/>
  <c r="B57" i="4"/>
  <c r="B63" i="4"/>
  <c r="D70" i="4"/>
  <c r="G42" i="9"/>
  <c r="G31" i="9"/>
  <c r="G29" i="9"/>
  <c r="G39" i="9"/>
  <c r="G17" i="9"/>
  <c r="G40" i="9"/>
  <c r="G34" i="9"/>
  <c r="G16" i="9"/>
  <c r="G41" i="9"/>
  <c r="G174" i="9"/>
  <c r="G36" i="9"/>
  <c r="G26" i="9"/>
  <c r="G7" i="9"/>
  <c r="G25" i="9"/>
  <c r="G22" i="9"/>
  <c r="G44" i="9"/>
  <c r="G24" i="9"/>
  <c r="G43" i="9"/>
  <c r="G211" i="9"/>
  <c r="B5" i="9"/>
  <c r="M11" i="9" s="1"/>
  <c r="G46" i="9" s="1"/>
  <c r="B13" i="9"/>
  <c r="B21" i="9"/>
  <c r="B29" i="9"/>
  <c r="B37" i="9"/>
  <c r="B45" i="9"/>
  <c r="B53" i="9"/>
  <c r="B61" i="9"/>
  <c r="B69" i="9"/>
  <c r="B77" i="9"/>
  <c r="B85" i="9"/>
  <c r="B93" i="9"/>
  <c r="B101" i="9"/>
  <c r="B109" i="9"/>
  <c r="B117" i="9"/>
  <c r="B125" i="9"/>
  <c r="B133" i="9"/>
  <c r="B141" i="9"/>
  <c r="B149" i="9"/>
  <c r="B157" i="9"/>
  <c r="B165" i="9"/>
  <c r="B173" i="9"/>
  <c r="B181" i="9"/>
  <c r="B189" i="9"/>
  <c r="B197" i="9"/>
  <c r="B205" i="9"/>
  <c r="B213" i="9"/>
  <c r="B221" i="9"/>
  <c r="B229" i="9"/>
  <c r="B237" i="9"/>
  <c r="B245" i="9"/>
  <c r="B253" i="9"/>
  <c r="B261" i="9"/>
  <c r="B52" i="9"/>
  <c r="B6" i="9"/>
  <c r="B14" i="9"/>
  <c r="B22" i="9"/>
  <c r="B30" i="9"/>
  <c r="B38" i="9"/>
  <c r="B46" i="9"/>
  <c r="B54" i="9"/>
  <c r="B62" i="9"/>
  <c r="B70" i="9"/>
  <c r="B78" i="9"/>
  <c r="B86" i="9"/>
  <c r="B94" i="9"/>
  <c r="B102" i="9"/>
  <c r="B110" i="9"/>
  <c r="B118" i="9"/>
  <c r="B126" i="9"/>
  <c r="B134" i="9"/>
  <c r="B142" i="9"/>
  <c r="B150" i="9"/>
  <c r="B158" i="9"/>
  <c r="B166" i="9"/>
  <c r="B174" i="9"/>
  <c r="B182" i="9"/>
  <c r="B190" i="9"/>
  <c r="B198" i="9"/>
  <c r="B206" i="9"/>
  <c r="B214" i="9"/>
  <c r="B222" i="9"/>
  <c r="B230" i="9"/>
  <c r="B238" i="9"/>
  <c r="B246" i="9"/>
  <c r="B254" i="9"/>
  <c r="B262" i="9"/>
  <c r="B36" i="9"/>
  <c r="B7" i="9"/>
  <c r="B15" i="9"/>
  <c r="B23" i="9"/>
  <c r="B31" i="9"/>
  <c r="B39" i="9"/>
  <c r="B47" i="9"/>
  <c r="B55" i="9"/>
  <c r="B63" i="9"/>
  <c r="B71" i="9"/>
  <c r="B79" i="9"/>
  <c r="B87" i="9"/>
  <c r="B95" i="9"/>
  <c r="B103" i="9"/>
  <c r="B111" i="9"/>
  <c r="B119" i="9"/>
  <c r="B127" i="9"/>
  <c r="B135" i="9"/>
  <c r="B143" i="9"/>
  <c r="B151" i="9"/>
  <c r="B159" i="9"/>
  <c r="B167" i="9"/>
  <c r="B175" i="9"/>
  <c r="B183" i="9"/>
  <c r="B191" i="9"/>
  <c r="B199" i="9"/>
  <c r="B207" i="9"/>
  <c r="B215" i="9"/>
  <c r="B223" i="9"/>
  <c r="B231" i="9"/>
  <c r="B239" i="9"/>
  <c r="B247" i="9"/>
  <c r="B255" i="9"/>
  <c r="B263" i="9"/>
  <c r="B84" i="9"/>
  <c r="B8" i="9"/>
  <c r="B16" i="9"/>
  <c r="B24" i="9"/>
  <c r="B32" i="9"/>
  <c r="B40" i="9"/>
  <c r="B48" i="9"/>
  <c r="B56" i="9"/>
  <c r="B64" i="9"/>
  <c r="B72" i="9"/>
  <c r="B80" i="9"/>
  <c r="B88" i="9"/>
  <c r="B96" i="9"/>
  <c r="B104" i="9"/>
  <c r="B112" i="9"/>
  <c r="B120" i="9"/>
  <c r="B128" i="9"/>
  <c r="B136" i="9"/>
  <c r="B144" i="9"/>
  <c r="B152" i="9"/>
  <c r="B160" i="9"/>
  <c r="B168" i="9"/>
  <c r="B176" i="9"/>
  <c r="B184" i="9"/>
  <c r="B192" i="9"/>
  <c r="B200" i="9"/>
  <c r="B208" i="9"/>
  <c r="B216" i="9"/>
  <c r="B224" i="9"/>
  <c r="B232" i="9"/>
  <c r="B240" i="9"/>
  <c r="B248" i="9"/>
  <c r="B256" i="9"/>
  <c r="B264" i="9"/>
  <c r="B28" i="9"/>
  <c r="B9" i="9"/>
  <c r="B17" i="9"/>
  <c r="B25" i="9"/>
  <c r="B33" i="9"/>
  <c r="B41" i="9"/>
  <c r="B49" i="9"/>
  <c r="B57" i="9"/>
  <c r="B65" i="9"/>
  <c r="B73" i="9"/>
  <c r="B81" i="9"/>
  <c r="B89" i="9"/>
  <c r="B97" i="9"/>
  <c r="B105" i="9"/>
  <c r="B113" i="9"/>
  <c r="B121" i="9"/>
  <c r="B129" i="9"/>
  <c r="B137" i="9"/>
  <c r="B145" i="9"/>
  <c r="B153" i="9"/>
  <c r="B161" i="9"/>
  <c r="B169" i="9"/>
  <c r="B177" i="9"/>
  <c r="B185" i="9"/>
  <c r="B193" i="9"/>
  <c r="B201" i="9"/>
  <c r="B209" i="9"/>
  <c r="B217" i="9"/>
  <c r="B225" i="9"/>
  <c r="B233" i="9"/>
  <c r="B241" i="9"/>
  <c r="B249" i="9"/>
  <c r="B257" i="9"/>
  <c r="B265" i="9"/>
  <c r="B44" i="9"/>
  <c r="B10" i="9"/>
  <c r="B18" i="9"/>
  <c r="B26" i="9"/>
  <c r="B34" i="9"/>
  <c r="B42" i="9"/>
  <c r="B50" i="9"/>
  <c r="B58" i="9"/>
  <c r="B66" i="9"/>
  <c r="B74" i="9"/>
  <c r="B82" i="9"/>
  <c r="B90" i="9"/>
  <c r="B98" i="9"/>
  <c r="B106" i="9"/>
  <c r="B114" i="9"/>
  <c r="B122" i="9"/>
  <c r="B130" i="9"/>
  <c r="B138" i="9"/>
  <c r="B146" i="9"/>
  <c r="B154" i="9"/>
  <c r="B162" i="9"/>
  <c r="B170" i="9"/>
  <c r="B178" i="9"/>
  <c r="B186" i="9"/>
  <c r="B194" i="9"/>
  <c r="B202" i="9"/>
  <c r="B210" i="9"/>
  <c r="B218" i="9"/>
  <c r="B226" i="9"/>
  <c r="B234" i="9"/>
  <c r="B242" i="9"/>
  <c r="B250" i="9"/>
  <c r="B258" i="9"/>
  <c r="B266" i="9"/>
  <c r="B20" i="9"/>
  <c r="B11" i="9"/>
  <c r="B19" i="9"/>
  <c r="B27" i="9"/>
  <c r="B35" i="9"/>
  <c r="B43" i="9"/>
  <c r="B51" i="9"/>
  <c r="B59" i="9"/>
  <c r="B67" i="9"/>
  <c r="B75" i="9"/>
  <c r="B83" i="9"/>
  <c r="B91" i="9"/>
  <c r="B99" i="9"/>
  <c r="B107" i="9"/>
  <c r="B115" i="9"/>
  <c r="B123" i="9"/>
  <c r="B131" i="9"/>
  <c r="B139" i="9"/>
  <c r="B147" i="9"/>
  <c r="B155" i="9"/>
  <c r="B163" i="9"/>
  <c r="B171" i="9"/>
  <c r="B179" i="9"/>
  <c r="B187" i="9"/>
  <c r="B195" i="9"/>
  <c r="B203" i="9"/>
  <c r="B211" i="9"/>
  <c r="B219" i="9"/>
  <c r="B227" i="9"/>
  <c r="B235" i="9"/>
  <c r="B243" i="9"/>
  <c r="B251" i="9"/>
  <c r="B259" i="9"/>
  <c r="B267" i="9"/>
  <c r="B12" i="9"/>
  <c r="B60" i="9"/>
  <c r="B68" i="9"/>
  <c r="B76" i="9"/>
  <c r="B92" i="9"/>
  <c r="B100" i="9"/>
  <c r="B108" i="9"/>
  <c r="B116" i="9"/>
  <c r="B124" i="9"/>
  <c r="B132" i="9"/>
  <c r="B140" i="9"/>
  <c r="B148" i="9"/>
  <c r="B156" i="9"/>
  <c r="B164" i="9"/>
  <c r="B172" i="9"/>
  <c r="B180" i="9"/>
  <c r="B188" i="9"/>
  <c r="B196" i="9"/>
  <c r="B204" i="9"/>
  <c r="B212" i="9"/>
  <c r="B220" i="9"/>
  <c r="B228" i="9"/>
  <c r="B236" i="9"/>
  <c r="B244" i="9"/>
  <c r="B252" i="9"/>
  <c r="B260" i="9"/>
  <c r="B268" i="9"/>
  <c r="G133" i="9"/>
  <c r="G239" i="9"/>
  <c r="G94" i="9"/>
  <c r="G182" i="9"/>
  <c r="G198" i="9"/>
  <c r="G52" i="9"/>
  <c r="G68" i="9"/>
  <c r="G100" i="9"/>
  <c r="G140" i="9"/>
  <c r="G173" i="9"/>
  <c r="G231" i="9"/>
  <c r="G205" i="9"/>
  <c r="G78" i="9"/>
  <c r="G215" i="9"/>
  <c r="G151" i="9"/>
  <c r="G47" i="9"/>
  <c r="G159" i="9"/>
  <c r="G129" i="9"/>
  <c r="G110" i="9"/>
  <c r="G142" i="9"/>
  <c r="G206" i="9"/>
  <c r="G222" i="9"/>
  <c r="G238" i="9"/>
  <c r="G183" i="9"/>
  <c r="M13" i="9"/>
  <c r="M16" i="9"/>
  <c r="M15" i="9"/>
  <c r="G195" i="9"/>
  <c r="G259" i="9"/>
  <c r="G221" i="9"/>
  <c r="G97" i="9"/>
  <c r="G153" i="9"/>
  <c r="G209" i="9"/>
  <c r="G104" i="9"/>
  <c r="G249" i="9"/>
  <c r="G171" i="9"/>
  <c r="G235" i="9"/>
  <c r="G116" i="9"/>
  <c r="G148" i="9"/>
  <c r="G196" i="9"/>
  <c r="G212" i="9"/>
  <c r="G228" i="9"/>
  <c r="G244" i="9"/>
  <c r="G125" i="9"/>
  <c r="G118" i="9"/>
  <c r="G134" i="9"/>
  <c r="G150" i="9"/>
  <c r="G166" i="9"/>
  <c r="G214" i="9"/>
  <c r="G230" i="9"/>
  <c r="G102" i="9"/>
  <c r="G123" i="9"/>
  <c r="G181" i="9"/>
  <c r="G245" i="9"/>
  <c r="G54" i="9"/>
  <c r="G70" i="9"/>
  <c r="G167" i="9"/>
  <c r="G189" i="9"/>
  <c r="G143" i="9"/>
  <c r="G135" i="9"/>
  <c r="G57" i="9"/>
  <c r="G73" i="9"/>
  <c r="G177" i="9"/>
  <c r="G241" i="9"/>
  <c r="G59" i="9"/>
  <c r="G75" i="9"/>
  <c r="G91" i="9"/>
  <c r="G223" i="9"/>
  <c r="G169" i="9"/>
  <c r="G233" i="9"/>
  <c r="G207" i="9"/>
  <c r="G115" i="9"/>
  <c r="G48" i="9"/>
  <c r="G64" i="9"/>
  <c r="G145" i="9"/>
  <c r="G112" i="9"/>
  <c r="G128" i="9"/>
  <c r="G144" i="9"/>
  <c r="G160" i="9"/>
  <c r="G176" i="9"/>
  <c r="G224" i="9"/>
  <c r="G240" i="9"/>
  <c r="G256" i="9"/>
  <c r="G199" i="9"/>
  <c r="G127" i="9"/>
  <c r="G61" i="9"/>
  <c r="G141" i="9"/>
  <c r="G139" i="9"/>
  <c r="G165" i="9"/>
  <c r="G229" i="9"/>
  <c r="G50" i="9"/>
  <c r="G66" i="9"/>
  <c r="G219" i="9"/>
  <c r="G105" i="9"/>
  <c r="G193" i="9"/>
  <c r="G257" i="9"/>
  <c r="G114" i="9"/>
  <c r="G130" i="9"/>
  <c r="G178" i="9"/>
  <c r="G194" i="9"/>
  <c r="G210" i="9"/>
  <c r="G226" i="9"/>
  <c r="G242" i="9"/>
  <c r="G258" i="9"/>
  <c r="G83" i="9"/>
  <c r="G99" i="9"/>
  <c r="G163" i="9"/>
  <c r="G227" i="9"/>
  <c r="G149" i="9"/>
  <c r="G201" i="9"/>
  <c r="G56" i="9"/>
  <c r="G72" i="9"/>
  <c r="G88" i="9"/>
  <c r="G157" i="9"/>
  <c r="G120" i="9"/>
  <c r="G168" i="9"/>
  <c r="G184" i="9"/>
  <c r="G200" i="9"/>
  <c r="G216" i="9"/>
  <c r="G232" i="9"/>
  <c r="G248" i="9"/>
  <c r="G264" i="9"/>
  <c r="G119" i="9"/>
  <c r="G53" i="9"/>
  <c r="G69" i="9"/>
  <c r="G85" i="9"/>
  <c r="G109" i="9"/>
  <c r="G107" i="9"/>
  <c r="G197" i="9"/>
  <c r="G261" i="9"/>
  <c r="G58" i="9"/>
  <c r="G74" i="9"/>
  <c r="G90" i="9"/>
  <c r="G187" i="9"/>
  <c r="G251" i="9"/>
  <c r="G137" i="9"/>
  <c r="G161" i="9"/>
  <c r="G225" i="9"/>
  <c r="G106" i="9"/>
  <c r="G122" i="9"/>
  <c r="G138" i="9"/>
  <c r="G154" i="9"/>
  <c r="G170" i="9"/>
  <c r="G186" i="9"/>
  <c r="G202" i="9"/>
  <c r="G218" i="9"/>
  <c r="G234" i="9"/>
  <c r="G250" i="9"/>
  <c r="G266" i="9"/>
  <c r="G111" i="9"/>
  <c r="G55" i="9"/>
  <c r="G71" i="9"/>
  <c r="G87" i="9"/>
  <c r="G179" i="9"/>
  <c r="G243" i="9"/>
  <c r="G155" i="9"/>
  <c r="G217" i="9"/>
  <c r="G191" i="9"/>
  <c r="G255" i="9"/>
  <c r="G131" i="9"/>
  <c r="G60" i="9"/>
  <c r="G76" i="9"/>
  <c r="G92" i="9"/>
  <c r="G124" i="9"/>
  <c r="G156" i="9"/>
  <c r="G188" i="9"/>
  <c r="G220" i="9"/>
  <c r="G252" i="9"/>
  <c r="G268" i="9"/>
  <c r="B8" i="2"/>
  <c r="B16" i="2"/>
  <c r="B24" i="2"/>
  <c r="B32" i="2"/>
  <c r="B40" i="2"/>
  <c r="B48" i="2"/>
  <c r="B56" i="2"/>
  <c r="B64" i="2"/>
  <c r="B72" i="2"/>
  <c r="B80" i="2"/>
  <c r="B88" i="2"/>
  <c r="B96" i="2"/>
  <c r="B104" i="2"/>
  <c r="B112" i="2"/>
  <c r="B120" i="2"/>
  <c r="B128" i="2"/>
  <c r="B136" i="2"/>
  <c r="B144" i="2"/>
  <c r="B152" i="2"/>
  <c r="B160" i="2"/>
  <c r="B168" i="2"/>
  <c r="B176" i="2"/>
  <c r="B184" i="2"/>
  <c r="B192" i="2"/>
  <c r="B200" i="2"/>
  <c r="B208" i="2"/>
  <c r="B216" i="2"/>
  <c r="B224" i="2"/>
  <c r="B232" i="2"/>
  <c r="B240" i="2"/>
  <c r="B248" i="2"/>
  <c r="B256" i="2"/>
  <c r="B264" i="2"/>
  <c r="B36" i="2"/>
  <c r="B44" i="2"/>
  <c r="B60" i="2"/>
  <c r="B84" i="2"/>
  <c r="B108" i="2"/>
  <c r="B140" i="2"/>
  <c r="B180" i="2"/>
  <c r="B204" i="2"/>
  <c r="B228" i="2"/>
  <c r="B252" i="2"/>
  <c r="B247" i="2"/>
  <c r="B9" i="2"/>
  <c r="B17" i="2"/>
  <c r="B25" i="2"/>
  <c r="B33" i="2"/>
  <c r="B41" i="2"/>
  <c r="B49" i="2"/>
  <c r="B57" i="2"/>
  <c r="B65" i="2"/>
  <c r="B73" i="2"/>
  <c r="B81" i="2"/>
  <c r="B89" i="2"/>
  <c r="B97" i="2"/>
  <c r="B105" i="2"/>
  <c r="B113" i="2"/>
  <c r="B121" i="2"/>
  <c r="B129" i="2"/>
  <c r="B137" i="2"/>
  <c r="B145" i="2"/>
  <c r="B153" i="2"/>
  <c r="B161" i="2"/>
  <c r="B169" i="2"/>
  <c r="B177" i="2"/>
  <c r="B185" i="2"/>
  <c r="B193" i="2"/>
  <c r="B201" i="2"/>
  <c r="B209" i="2"/>
  <c r="B217" i="2"/>
  <c r="B225" i="2"/>
  <c r="B233" i="2"/>
  <c r="B241" i="2"/>
  <c r="B249" i="2"/>
  <c r="B257" i="2"/>
  <c r="B265" i="2"/>
  <c r="B28" i="2"/>
  <c r="B76" i="2"/>
  <c r="B100" i="2"/>
  <c r="B132" i="2"/>
  <c r="B156" i="2"/>
  <c r="B188" i="2"/>
  <c r="B220" i="2"/>
  <c r="B244" i="2"/>
  <c r="B255" i="2"/>
  <c r="B10" i="2"/>
  <c r="B18" i="2"/>
  <c r="B26" i="2"/>
  <c r="B34" i="2"/>
  <c r="B42" i="2"/>
  <c r="B50" i="2"/>
  <c r="B58" i="2"/>
  <c r="B66" i="2"/>
  <c r="B74" i="2"/>
  <c r="B82" i="2"/>
  <c r="B90" i="2"/>
  <c r="B98" i="2"/>
  <c r="B106" i="2"/>
  <c r="B114" i="2"/>
  <c r="B122" i="2"/>
  <c r="B130" i="2"/>
  <c r="B138" i="2"/>
  <c r="B146" i="2"/>
  <c r="B154" i="2"/>
  <c r="B162" i="2"/>
  <c r="B170" i="2"/>
  <c r="B178" i="2"/>
  <c r="B186" i="2"/>
  <c r="B194" i="2"/>
  <c r="B202" i="2"/>
  <c r="B210" i="2"/>
  <c r="B218" i="2"/>
  <c r="B226" i="2"/>
  <c r="B234" i="2"/>
  <c r="B242" i="2"/>
  <c r="B250" i="2"/>
  <c r="B258" i="2"/>
  <c r="B266" i="2"/>
  <c r="B20" i="2"/>
  <c r="B52" i="2"/>
  <c r="B92" i="2"/>
  <c r="B124" i="2"/>
  <c r="B148" i="2"/>
  <c r="B172" i="2"/>
  <c r="B196" i="2"/>
  <c r="B236" i="2"/>
  <c r="B268" i="2"/>
  <c r="B11" i="2"/>
  <c r="B19" i="2"/>
  <c r="B27" i="2"/>
  <c r="B35" i="2"/>
  <c r="B43" i="2"/>
  <c r="B51" i="2"/>
  <c r="B59" i="2"/>
  <c r="B67" i="2"/>
  <c r="B75" i="2"/>
  <c r="B83" i="2"/>
  <c r="B91" i="2"/>
  <c r="B99" i="2"/>
  <c r="B107" i="2"/>
  <c r="B115" i="2"/>
  <c r="B123" i="2"/>
  <c r="B131" i="2"/>
  <c r="B139" i="2"/>
  <c r="B147" i="2"/>
  <c r="B155" i="2"/>
  <c r="B163" i="2"/>
  <c r="B171" i="2"/>
  <c r="B179" i="2"/>
  <c r="B187" i="2"/>
  <c r="B195" i="2"/>
  <c r="B203" i="2"/>
  <c r="B211" i="2"/>
  <c r="B219" i="2"/>
  <c r="B227" i="2"/>
  <c r="B235" i="2"/>
  <c r="B243" i="2"/>
  <c r="B251" i="2"/>
  <c r="B259" i="2"/>
  <c r="B267" i="2"/>
  <c r="B12" i="2"/>
  <c r="B68" i="2"/>
  <c r="B116" i="2"/>
  <c r="B164" i="2"/>
  <c r="B212" i="2"/>
  <c r="B260" i="2"/>
  <c r="B13" i="2"/>
  <c r="B21" i="2"/>
  <c r="B29" i="2"/>
  <c r="B37" i="2"/>
  <c r="B45" i="2"/>
  <c r="B53" i="2"/>
  <c r="B61" i="2"/>
  <c r="B69" i="2"/>
  <c r="B77" i="2"/>
  <c r="B85" i="2"/>
  <c r="B93" i="2"/>
  <c r="B101" i="2"/>
  <c r="B109" i="2"/>
  <c r="B117" i="2"/>
  <c r="B125" i="2"/>
  <c r="B133" i="2"/>
  <c r="B141" i="2"/>
  <c r="B149" i="2"/>
  <c r="B157" i="2"/>
  <c r="B165" i="2"/>
  <c r="B173" i="2"/>
  <c r="B181" i="2"/>
  <c r="B189" i="2"/>
  <c r="B197" i="2"/>
  <c r="B205" i="2"/>
  <c r="B213" i="2"/>
  <c r="B221" i="2"/>
  <c r="B229" i="2"/>
  <c r="B237" i="2"/>
  <c r="B245" i="2"/>
  <c r="B253" i="2"/>
  <c r="B261" i="2"/>
  <c r="B269" i="2"/>
  <c r="B23" i="2"/>
  <c r="B31" i="2"/>
  <c r="B47" i="2"/>
  <c r="B63" i="2"/>
  <c r="B79" i="2"/>
  <c r="B95" i="2"/>
  <c r="B111" i="2"/>
  <c r="B127" i="2"/>
  <c r="B143" i="2"/>
  <c r="B159" i="2"/>
  <c r="B175" i="2"/>
  <c r="B191" i="2"/>
  <c r="B207" i="2"/>
  <c r="B223" i="2"/>
  <c r="B239" i="2"/>
  <c r="B14" i="2"/>
  <c r="B22" i="2"/>
  <c r="B30" i="2"/>
  <c r="B38" i="2"/>
  <c r="B46" i="2"/>
  <c r="B54" i="2"/>
  <c r="B62" i="2"/>
  <c r="B70" i="2"/>
  <c r="B78" i="2"/>
  <c r="B86" i="2"/>
  <c r="B94" i="2"/>
  <c r="B102" i="2"/>
  <c r="B110" i="2"/>
  <c r="B118" i="2"/>
  <c r="B126" i="2"/>
  <c r="B134" i="2"/>
  <c r="B142" i="2"/>
  <c r="B150" i="2"/>
  <c r="B158" i="2"/>
  <c r="B166" i="2"/>
  <c r="B174" i="2"/>
  <c r="B182" i="2"/>
  <c r="B190" i="2"/>
  <c r="B198" i="2"/>
  <c r="B206" i="2"/>
  <c r="B214" i="2"/>
  <c r="B222" i="2"/>
  <c r="B230" i="2"/>
  <c r="B238" i="2"/>
  <c r="B246" i="2"/>
  <c r="B254" i="2"/>
  <c r="B262" i="2"/>
  <c r="B270" i="2"/>
  <c r="B15" i="2"/>
  <c r="B39" i="2"/>
  <c r="B55" i="2"/>
  <c r="B71" i="2"/>
  <c r="B87" i="2"/>
  <c r="B103" i="2"/>
  <c r="B119" i="2"/>
  <c r="B135" i="2"/>
  <c r="B151" i="2"/>
  <c r="B167" i="2"/>
  <c r="B183" i="2"/>
  <c r="B199" i="2"/>
  <c r="B215" i="2"/>
  <c r="B231" i="2"/>
  <c r="B263" i="2"/>
  <c r="C45" i="2"/>
  <c r="D53" i="2"/>
  <c r="C41" i="2"/>
  <c r="C35" i="2"/>
  <c r="C127" i="2"/>
  <c r="C97" i="2"/>
  <c r="C25" i="2"/>
  <c r="C159" i="2"/>
  <c r="D159" i="2"/>
  <c r="C75" i="2"/>
  <c r="D103" i="2"/>
  <c r="C11" i="2"/>
  <c r="C8" i="2"/>
  <c r="D22" i="2"/>
  <c r="C10" i="2"/>
  <c r="D35" i="2"/>
  <c r="D13" i="2"/>
  <c r="E244" i="2"/>
  <c r="C110" i="2"/>
  <c r="C19" i="2"/>
  <c r="C99" i="2"/>
  <c r="C51" i="2"/>
  <c r="D137" i="2"/>
  <c r="C77" i="2"/>
  <c r="D105" i="2"/>
  <c r="D55" i="2"/>
  <c r="C137" i="2"/>
  <c r="C91" i="2"/>
  <c r="D19" i="2"/>
  <c r="C129" i="2"/>
  <c r="C121" i="2"/>
  <c r="D111" i="2"/>
  <c r="C69" i="2"/>
  <c r="C158" i="2"/>
  <c r="C12" i="2"/>
  <c r="C103" i="2"/>
  <c r="D73" i="2"/>
  <c r="D9" i="2"/>
  <c r="D51" i="2"/>
  <c r="D33" i="2"/>
  <c r="C7" i="2"/>
  <c r="C22" i="2"/>
  <c r="D45" i="2"/>
  <c r="C173" i="2"/>
  <c r="C29" i="2"/>
  <c r="D129" i="2"/>
  <c r="C14" i="2"/>
  <c r="C191" i="2"/>
  <c r="D63" i="2"/>
  <c r="D81" i="2"/>
  <c r="D171" i="2"/>
  <c r="C249" i="2"/>
  <c r="C267" i="2"/>
  <c r="C133" i="2"/>
  <c r="C73" i="2"/>
  <c r="C53" i="2"/>
  <c r="C116" i="2"/>
  <c r="C74" i="2"/>
  <c r="D14" i="2"/>
  <c r="D43" i="2"/>
  <c r="C71" i="2"/>
  <c r="D61" i="2"/>
  <c r="D121" i="2"/>
  <c r="C89" i="2"/>
  <c r="C31" i="2"/>
  <c r="D153" i="2"/>
  <c r="D39" i="2"/>
  <c r="D169" i="2"/>
  <c r="D97" i="2"/>
  <c r="C171" i="2"/>
  <c r="C67" i="2"/>
  <c r="D16" i="2"/>
  <c r="C93" i="2"/>
  <c r="D161" i="2"/>
  <c r="C18" i="2"/>
  <c r="D25" i="2"/>
  <c r="C113" i="2"/>
  <c r="C39" i="2"/>
  <c r="C108" i="2"/>
  <c r="D135" i="2"/>
  <c r="C241" i="2"/>
  <c r="C43" i="2"/>
  <c r="D27" i="2"/>
  <c r="D145" i="2"/>
  <c r="C83" i="2"/>
  <c r="D29" i="2"/>
  <c r="C118" i="2"/>
  <c r="C79" i="2"/>
  <c r="C27" i="2"/>
  <c r="C101" i="2"/>
  <c r="D65" i="2"/>
  <c r="C148" i="2"/>
  <c r="C150" i="2"/>
  <c r="D75" i="2"/>
  <c r="D177" i="2"/>
  <c r="F10" i="2"/>
  <c r="F18" i="2"/>
  <c r="F26" i="2"/>
  <c r="F34" i="2"/>
  <c r="F42" i="2"/>
  <c r="F50" i="2"/>
  <c r="F58" i="2"/>
  <c r="F66" i="2"/>
  <c r="F74" i="2"/>
  <c r="F82" i="2"/>
  <c r="F90" i="2"/>
  <c r="F98" i="2"/>
  <c r="F106" i="2"/>
  <c r="F114" i="2"/>
  <c r="F122" i="2"/>
  <c r="F130" i="2"/>
  <c r="F138" i="2"/>
  <c r="F146" i="2"/>
  <c r="F154" i="2"/>
  <c r="F162" i="2"/>
  <c r="F170" i="2"/>
  <c r="F178" i="2"/>
  <c r="F186" i="2"/>
  <c r="F194" i="2"/>
  <c r="F202" i="2"/>
  <c r="F210" i="2"/>
  <c r="F218" i="2"/>
  <c r="F226" i="2"/>
  <c r="F234" i="2"/>
  <c r="F242" i="2"/>
  <c r="F250" i="2"/>
  <c r="F258" i="2"/>
  <c r="F266" i="2"/>
  <c r="F12" i="2"/>
  <c r="F28" i="2"/>
  <c r="F44" i="2"/>
  <c r="F60" i="2"/>
  <c r="F76" i="2"/>
  <c r="F92" i="2"/>
  <c r="F108" i="2"/>
  <c r="F124" i="2"/>
  <c r="F132" i="2"/>
  <c r="F148" i="2"/>
  <c r="F164" i="2"/>
  <c r="F180" i="2"/>
  <c r="F196" i="2"/>
  <c r="F212" i="2"/>
  <c r="F228" i="2"/>
  <c r="F244" i="2"/>
  <c r="F260" i="2"/>
  <c r="F13" i="2"/>
  <c r="G13" i="2" s="1"/>
  <c r="F29" i="2"/>
  <c r="F37" i="2"/>
  <c r="F53" i="2"/>
  <c r="F61" i="2"/>
  <c r="F77" i="2"/>
  <c r="F93" i="2"/>
  <c r="F109" i="2"/>
  <c r="F117" i="2"/>
  <c r="F133" i="2"/>
  <c r="F149" i="2"/>
  <c r="F157" i="2"/>
  <c r="F173" i="2"/>
  <c r="F189" i="2"/>
  <c r="F205" i="2"/>
  <c r="F221" i="2"/>
  <c r="F229" i="2"/>
  <c r="F245" i="2"/>
  <c r="F253" i="2"/>
  <c r="F269" i="2"/>
  <c r="F198" i="2"/>
  <c r="F222" i="2"/>
  <c r="F246" i="2"/>
  <c r="F270" i="2"/>
  <c r="F25" i="2"/>
  <c r="F41" i="2"/>
  <c r="F65" i="2"/>
  <c r="F81" i="2"/>
  <c r="F105" i="2"/>
  <c r="F121" i="2"/>
  <c r="F153" i="2"/>
  <c r="F177" i="2"/>
  <c r="F201" i="2"/>
  <c r="F233" i="2"/>
  <c r="F249" i="2"/>
  <c r="F11" i="2"/>
  <c r="G11" i="2" s="1"/>
  <c r="F19" i="2"/>
  <c r="G19" i="2" s="1"/>
  <c r="F27" i="2"/>
  <c r="F35" i="2"/>
  <c r="F43" i="2"/>
  <c r="F51" i="2"/>
  <c r="F59" i="2"/>
  <c r="F67" i="2"/>
  <c r="F75" i="2"/>
  <c r="F83" i="2"/>
  <c r="F91" i="2"/>
  <c r="F99" i="2"/>
  <c r="F107" i="2"/>
  <c r="F115" i="2"/>
  <c r="F123" i="2"/>
  <c r="F131" i="2"/>
  <c r="F139" i="2"/>
  <c r="F147" i="2"/>
  <c r="F155" i="2"/>
  <c r="F163" i="2"/>
  <c r="F171" i="2"/>
  <c r="F179" i="2"/>
  <c r="F187" i="2"/>
  <c r="F195" i="2"/>
  <c r="F203" i="2"/>
  <c r="F211" i="2"/>
  <c r="F219" i="2"/>
  <c r="F227" i="2"/>
  <c r="F235" i="2"/>
  <c r="F243" i="2"/>
  <c r="F251" i="2"/>
  <c r="F259" i="2"/>
  <c r="F267" i="2"/>
  <c r="F20" i="2"/>
  <c r="G20" i="2" s="1"/>
  <c r="F36" i="2"/>
  <c r="F52" i="2"/>
  <c r="F68" i="2"/>
  <c r="F84" i="2"/>
  <c r="F100" i="2"/>
  <c r="F116" i="2"/>
  <c r="F140" i="2"/>
  <c r="F156" i="2"/>
  <c r="F172" i="2"/>
  <c r="F188" i="2"/>
  <c r="F204" i="2"/>
  <c r="F220" i="2"/>
  <c r="F236" i="2"/>
  <c r="F252" i="2"/>
  <c r="F268" i="2"/>
  <c r="F21" i="2"/>
  <c r="G21" i="2" s="1"/>
  <c r="F45" i="2"/>
  <c r="F69" i="2"/>
  <c r="F85" i="2"/>
  <c r="F101" i="2"/>
  <c r="F125" i="2"/>
  <c r="F141" i="2"/>
  <c r="F165" i="2"/>
  <c r="F181" i="2"/>
  <c r="F197" i="2"/>
  <c r="F213" i="2"/>
  <c r="F237" i="2"/>
  <c r="F261" i="2"/>
  <c r="F206" i="2"/>
  <c r="F230" i="2"/>
  <c r="F254" i="2"/>
  <c r="F17" i="2"/>
  <c r="G17" i="2" s="1"/>
  <c r="F49" i="2"/>
  <c r="F97" i="2"/>
  <c r="F137" i="2"/>
  <c r="F185" i="2"/>
  <c r="F217" i="2"/>
  <c r="F265" i="2"/>
  <c r="F14" i="2"/>
  <c r="G14" i="2" s="1"/>
  <c r="F22" i="2"/>
  <c r="G22" i="2" s="1"/>
  <c r="F30" i="2"/>
  <c r="F38" i="2"/>
  <c r="F46" i="2"/>
  <c r="F54" i="2"/>
  <c r="F62" i="2"/>
  <c r="F70" i="2"/>
  <c r="F78" i="2"/>
  <c r="F86" i="2"/>
  <c r="F94" i="2"/>
  <c r="F102" i="2"/>
  <c r="F110" i="2"/>
  <c r="F118" i="2"/>
  <c r="F126" i="2"/>
  <c r="F134" i="2"/>
  <c r="F142" i="2"/>
  <c r="F150" i="2"/>
  <c r="F158" i="2"/>
  <c r="F166" i="2"/>
  <c r="F174" i="2"/>
  <c r="F182" i="2"/>
  <c r="F190" i="2"/>
  <c r="F214" i="2"/>
  <c r="F238" i="2"/>
  <c r="F262" i="2"/>
  <c r="F33" i="2"/>
  <c r="F57" i="2"/>
  <c r="F89" i="2"/>
  <c r="F129" i="2"/>
  <c r="F169" i="2"/>
  <c r="F209" i="2"/>
  <c r="F241" i="2"/>
  <c r="F15" i="2"/>
  <c r="G15" i="2" s="1"/>
  <c r="F23" i="2"/>
  <c r="G23" i="2" s="1"/>
  <c r="F31" i="2"/>
  <c r="F39" i="2"/>
  <c r="F47" i="2"/>
  <c r="F55" i="2"/>
  <c r="F63" i="2"/>
  <c r="F71" i="2"/>
  <c r="F79" i="2"/>
  <c r="F87" i="2"/>
  <c r="F95" i="2"/>
  <c r="F103" i="2"/>
  <c r="F111" i="2"/>
  <c r="F119" i="2"/>
  <c r="F127" i="2"/>
  <c r="F135" i="2"/>
  <c r="F143" i="2"/>
  <c r="F151" i="2"/>
  <c r="F159" i="2"/>
  <c r="F167" i="2"/>
  <c r="F175" i="2"/>
  <c r="F183" i="2"/>
  <c r="F191" i="2"/>
  <c r="F199" i="2"/>
  <c r="F207" i="2"/>
  <c r="F215" i="2"/>
  <c r="F223" i="2"/>
  <c r="F231" i="2"/>
  <c r="F239" i="2"/>
  <c r="F247" i="2"/>
  <c r="F255" i="2"/>
  <c r="F263" i="2"/>
  <c r="F9" i="2"/>
  <c r="G9" i="2" s="1"/>
  <c r="F16" i="2"/>
  <c r="G16" i="2" s="1"/>
  <c r="F24" i="2"/>
  <c r="F32" i="2"/>
  <c r="F40" i="2"/>
  <c r="F48" i="2"/>
  <c r="F56" i="2"/>
  <c r="F64" i="2"/>
  <c r="F72" i="2"/>
  <c r="F80" i="2"/>
  <c r="F88" i="2"/>
  <c r="F96" i="2"/>
  <c r="F104" i="2"/>
  <c r="F112" i="2"/>
  <c r="F120" i="2"/>
  <c r="F128" i="2"/>
  <c r="F136" i="2"/>
  <c r="F144" i="2"/>
  <c r="F152" i="2"/>
  <c r="F160" i="2"/>
  <c r="F168" i="2"/>
  <c r="F176" i="2"/>
  <c r="F184" i="2"/>
  <c r="F192" i="2"/>
  <c r="F200" i="2"/>
  <c r="F208" i="2"/>
  <c r="F216" i="2"/>
  <c r="F224" i="2"/>
  <c r="F232" i="2"/>
  <c r="F240" i="2"/>
  <c r="F248" i="2"/>
  <c r="F256" i="2"/>
  <c r="F264" i="2"/>
  <c r="F73" i="2"/>
  <c r="F113" i="2"/>
  <c r="F145" i="2"/>
  <c r="F161" i="2"/>
  <c r="F193" i="2"/>
  <c r="F225" i="2"/>
  <c r="F257" i="2"/>
  <c r="C215" i="2"/>
  <c r="D40" i="2"/>
  <c r="D193" i="2"/>
  <c r="C36" i="2"/>
  <c r="D91" i="2"/>
  <c r="C64" i="2"/>
  <c r="L7" i="1"/>
  <c r="L8" i="1" s="1"/>
  <c r="L6" i="1"/>
  <c r="E192" i="1" s="1"/>
  <c r="E64" i="1"/>
  <c r="E120" i="1"/>
  <c r="E33" i="1"/>
  <c r="F33" i="1" s="1"/>
  <c r="E89" i="1"/>
  <c r="E237" i="1"/>
  <c r="E58" i="1"/>
  <c r="E258" i="1"/>
  <c r="E229" i="1"/>
  <c r="E195" i="1"/>
  <c r="E251" i="1"/>
  <c r="E164" i="1"/>
  <c r="E220" i="1"/>
  <c r="E46" i="1"/>
  <c r="E38" i="1"/>
  <c r="F38" i="1" s="1"/>
  <c r="E23" i="1"/>
  <c r="F23" i="1" s="1"/>
  <c r="E247" i="1"/>
  <c r="E127" i="2"/>
  <c r="E179" i="2"/>
  <c r="E46" i="2"/>
  <c r="E167" i="2"/>
  <c r="E227" i="2"/>
  <c r="E182" i="2"/>
  <c r="E175" i="2"/>
  <c r="E168" i="2"/>
  <c r="E99" i="2"/>
  <c r="E70" i="2"/>
  <c r="E198" i="2"/>
  <c r="E63" i="2"/>
  <c r="E191" i="2"/>
  <c r="E56" i="2"/>
  <c r="E184" i="2"/>
  <c r="E107" i="2"/>
  <c r="E28" i="2"/>
  <c r="E172" i="2"/>
  <c r="E134" i="2"/>
  <c r="E262" i="2"/>
  <c r="E35" i="2"/>
  <c r="E235" i="2"/>
  <c r="E62" i="2"/>
  <c r="E190" i="2"/>
  <c r="E55" i="2"/>
  <c r="E176" i="2"/>
  <c r="E243" i="2"/>
  <c r="E164" i="2"/>
  <c r="E110" i="2"/>
  <c r="E238" i="2"/>
  <c r="E103" i="2"/>
  <c r="E231" i="2"/>
  <c r="E96" i="2"/>
  <c r="E232" i="2"/>
  <c r="E115" i="2"/>
  <c r="E36" i="2"/>
  <c r="E220" i="2"/>
  <c r="E120" i="2"/>
  <c r="E51" i="2"/>
  <c r="E183" i="2"/>
  <c r="E118" i="2"/>
  <c r="E246" i="2"/>
  <c r="E111" i="2"/>
  <c r="E239" i="2"/>
  <c r="E104" i="2"/>
  <c r="E240" i="2"/>
  <c r="E163" i="2"/>
  <c r="E44" i="2"/>
  <c r="E228" i="2"/>
  <c r="E255" i="2"/>
  <c r="E100" i="2"/>
  <c r="E174" i="2"/>
  <c r="E39" i="2"/>
  <c r="E32" i="2"/>
  <c r="E160" i="2"/>
  <c r="E43" i="2"/>
  <c r="E108" i="2"/>
  <c r="E54" i="2"/>
  <c r="E47" i="2"/>
  <c r="E40" i="2"/>
  <c r="E156" i="2"/>
  <c r="E48" i="2"/>
  <c r="E126" i="2"/>
  <c r="E254" i="2"/>
  <c r="E119" i="2"/>
  <c r="E247" i="2"/>
  <c r="E112" i="2"/>
  <c r="E248" i="2"/>
  <c r="E171" i="2"/>
  <c r="E92" i="2"/>
  <c r="E236" i="2"/>
  <c r="E142" i="2"/>
  <c r="E206" i="2"/>
  <c r="E270" i="2"/>
  <c r="E71" i="2"/>
  <c r="E135" i="2"/>
  <c r="E199" i="2"/>
  <c r="E263" i="2"/>
  <c r="E64" i="2"/>
  <c r="E128" i="2"/>
  <c r="E192" i="2"/>
  <c r="E256" i="2"/>
  <c r="E59" i="2"/>
  <c r="E123" i="2"/>
  <c r="E187" i="2"/>
  <c r="E251" i="2"/>
  <c r="E52" i="2"/>
  <c r="E116" i="2"/>
  <c r="E180" i="2"/>
  <c r="E17" i="2"/>
  <c r="E25" i="2"/>
  <c r="E33" i="2"/>
  <c r="E41" i="2"/>
  <c r="E49" i="2"/>
  <c r="E57" i="2"/>
  <c r="E65" i="2"/>
  <c r="E73" i="2"/>
  <c r="E81" i="2"/>
  <c r="E89" i="2"/>
  <c r="E97" i="2"/>
  <c r="E105" i="2"/>
  <c r="E113" i="2"/>
  <c r="E121" i="2"/>
  <c r="E129" i="2"/>
  <c r="E137" i="2"/>
  <c r="E145" i="2"/>
  <c r="E153" i="2"/>
  <c r="E161" i="2"/>
  <c r="E169" i="2"/>
  <c r="E177" i="2"/>
  <c r="E185" i="2"/>
  <c r="E193" i="2"/>
  <c r="E201" i="2"/>
  <c r="E209" i="2"/>
  <c r="E217" i="2"/>
  <c r="E225" i="2"/>
  <c r="E233" i="2"/>
  <c r="E241" i="2"/>
  <c r="E249" i="2"/>
  <c r="E257" i="2"/>
  <c r="E265" i="2"/>
  <c r="E13" i="2"/>
  <c r="E45" i="2"/>
  <c r="E77" i="2"/>
  <c r="E109" i="2"/>
  <c r="E141" i="2"/>
  <c r="E173" i="2"/>
  <c r="E205" i="2"/>
  <c r="E237" i="2"/>
  <c r="E269" i="2"/>
  <c r="E189" i="2"/>
  <c r="E18" i="2"/>
  <c r="E50" i="2"/>
  <c r="E82" i="2"/>
  <c r="E114" i="2"/>
  <c r="E146" i="2"/>
  <c r="E178" i="2"/>
  <c r="E210" i="2"/>
  <c r="E242" i="2"/>
  <c r="E29" i="2"/>
  <c r="E61" i="2"/>
  <c r="E93" i="2"/>
  <c r="E157" i="2"/>
  <c r="E221" i="2"/>
  <c r="E21" i="2"/>
  <c r="E53" i="2"/>
  <c r="E85" i="2"/>
  <c r="E117" i="2"/>
  <c r="E149" i="2"/>
  <c r="E181" i="2"/>
  <c r="E213" i="2"/>
  <c r="E245" i="2"/>
  <c r="E125" i="2"/>
  <c r="E253" i="2"/>
  <c r="E26" i="2"/>
  <c r="E58" i="2"/>
  <c r="E90" i="2"/>
  <c r="E122" i="2"/>
  <c r="E154" i="2"/>
  <c r="E186" i="2"/>
  <c r="E218" i="2"/>
  <c r="E250" i="2"/>
  <c r="E34" i="2"/>
  <c r="E66" i="2"/>
  <c r="E98" i="2"/>
  <c r="E130" i="2"/>
  <c r="E162" i="2"/>
  <c r="E194" i="2"/>
  <c r="E226" i="2"/>
  <c r="E258" i="2"/>
  <c r="E37" i="2"/>
  <c r="E69" i="2"/>
  <c r="E101" i="2"/>
  <c r="E133" i="2"/>
  <c r="E165" i="2"/>
  <c r="E197" i="2"/>
  <c r="E229" i="2"/>
  <c r="E261" i="2"/>
  <c r="E10" i="2"/>
  <c r="E42" i="2"/>
  <c r="E74" i="2"/>
  <c r="E106" i="2"/>
  <c r="E138" i="2"/>
  <c r="E170" i="2"/>
  <c r="E202" i="2"/>
  <c r="E234" i="2"/>
  <c r="E266" i="2"/>
  <c r="E22" i="2"/>
  <c r="E86" i="2"/>
  <c r="E150" i="2"/>
  <c r="E214" i="2"/>
  <c r="E15" i="2"/>
  <c r="E79" i="2"/>
  <c r="E143" i="2"/>
  <c r="E207" i="2"/>
  <c r="E9" i="2"/>
  <c r="E72" i="2"/>
  <c r="E136" i="2"/>
  <c r="E200" i="2"/>
  <c r="E264" i="2"/>
  <c r="E67" i="2"/>
  <c r="E131" i="2"/>
  <c r="E195" i="2"/>
  <c r="E259" i="2"/>
  <c r="E60" i="2"/>
  <c r="E124" i="2"/>
  <c r="E188" i="2"/>
  <c r="E252" i="2"/>
  <c r="E30" i="2"/>
  <c r="E94" i="2"/>
  <c r="E158" i="2"/>
  <c r="E222" i="2"/>
  <c r="E23" i="2"/>
  <c r="E87" i="2"/>
  <c r="E151" i="2"/>
  <c r="E215" i="2"/>
  <c r="E16" i="2"/>
  <c r="E80" i="2"/>
  <c r="E144" i="2"/>
  <c r="E208" i="2"/>
  <c r="E11" i="2"/>
  <c r="E75" i="2"/>
  <c r="E139" i="2"/>
  <c r="E203" i="2"/>
  <c r="E267" i="2"/>
  <c r="E68" i="2"/>
  <c r="E132" i="2"/>
  <c r="E196" i="2"/>
  <c r="E260" i="2"/>
  <c r="E78" i="2"/>
  <c r="E38" i="2"/>
  <c r="E102" i="2"/>
  <c r="E166" i="2"/>
  <c r="E230" i="2"/>
  <c r="E31" i="2"/>
  <c r="E95" i="2"/>
  <c r="E159" i="2"/>
  <c r="E223" i="2"/>
  <c r="E24" i="2"/>
  <c r="E88" i="2"/>
  <c r="E152" i="2"/>
  <c r="E216" i="2"/>
  <c r="E19" i="2"/>
  <c r="E83" i="2"/>
  <c r="E147" i="2"/>
  <c r="E211" i="2"/>
  <c r="E12" i="2"/>
  <c r="E76" i="2"/>
  <c r="E140" i="2"/>
  <c r="E204" i="2"/>
  <c r="E268" i="2"/>
  <c r="E224" i="2"/>
  <c r="E27" i="2"/>
  <c r="E91" i="2"/>
  <c r="E155" i="2"/>
  <c r="E219" i="2"/>
  <c r="E20" i="2"/>
  <c r="E84" i="2"/>
  <c r="E148" i="2"/>
  <c r="E212" i="2"/>
  <c r="E14" i="2"/>
  <c r="C85" i="2"/>
  <c r="C185" i="2"/>
  <c r="D89" i="2"/>
  <c r="C151" i="2"/>
  <c r="C60" i="2"/>
  <c r="O12" i="2"/>
  <c r="O13" i="2" s="1"/>
  <c r="D214" i="2"/>
  <c r="G10" i="2"/>
  <c r="G18" i="2"/>
  <c r="G12" i="2"/>
  <c r="D31" i="2"/>
  <c r="C177" i="2"/>
  <c r="C90" i="2"/>
  <c r="M9" i="2"/>
  <c r="C84" i="2"/>
  <c r="D98" i="2"/>
  <c r="D149" i="2"/>
  <c r="C240" i="2"/>
  <c r="C34" i="2"/>
  <c r="C98" i="2"/>
  <c r="D38" i="2"/>
  <c r="C219" i="2"/>
  <c r="C141" i="2"/>
  <c r="C48" i="2"/>
  <c r="D117" i="2"/>
  <c r="D56" i="2"/>
  <c r="C256" i="2"/>
  <c r="D82" i="2"/>
  <c r="D198" i="2"/>
  <c r="D41" i="2"/>
  <c r="C65" i="2"/>
  <c r="C47" i="2"/>
  <c r="C16" i="2"/>
  <c r="D10" i="2"/>
  <c r="D47" i="2"/>
  <c r="C126" i="2"/>
  <c r="C145" i="2"/>
  <c r="C166" i="2"/>
  <c r="C201" i="2"/>
  <c r="D71" i="2"/>
  <c r="D87" i="2"/>
  <c r="C124" i="2"/>
  <c r="C167" i="2"/>
  <c r="C261" i="2"/>
  <c r="C187" i="2"/>
  <c r="C235" i="2"/>
  <c r="C130" i="2"/>
  <c r="C165" i="2"/>
  <c r="C32" i="2"/>
  <c r="C58" i="2"/>
  <c r="C82" i="2"/>
  <c r="D109" i="2"/>
  <c r="D141" i="2"/>
  <c r="D34" i="2"/>
  <c r="D72" i="2"/>
  <c r="C224" i="2"/>
  <c r="D182" i="2"/>
  <c r="D49" i="2"/>
  <c r="C134" i="2"/>
  <c r="C20" i="2"/>
  <c r="C15" i="2"/>
  <c r="C57" i="2"/>
  <c r="D15" i="2"/>
  <c r="C153" i="2"/>
  <c r="C217" i="2"/>
  <c r="D77" i="2"/>
  <c r="D93" i="2"/>
  <c r="C111" i="2"/>
  <c r="C132" i="2"/>
  <c r="C181" i="2"/>
  <c r="C229" i="2"/>
  <c r="C203" i="2"/>
  <c r="C109" i="2"/>
  <c r="C42" i="2"/>
  <c r="C66" i="2"/>
  <c r="C92" i="2"/>
  <c r="D157" i="2"/>
  <c r="D50" i="2"/>
  <c r="D209" i="2"/>
  <c r="D102" i="2"/>
  <c r="D230" i="2"/>
  <c r="C49" i="2"/>
  <c r="D37" i="2"/>
  <c r="D11" i="2"/>
  <c r="C13" i="2"/>
  <c r="C17" i="2"/>
  <c r="C59" i="2"/>
  <c r="C95" i="2"/>
  <c r="D17" i="2"/>
  <c r="D59" i="2"/>
  <c r="C223" i="2"/>
  <c r="C265" i="2"/>
  <c r="D79" i="2"/>
  <c r="D95" i="2"/>
  <c r="C135" i="2"/>
  <c r="C156" i="2"/>
  <c r="D119" i="2"/>
  <c r="D143" i="2"/>
  <c r="D167" i="2"/>
  <c r="C149" i="2"/>
  <c r="C193" i="2"/>
  <c r="C257" i="2"/>
  <c r="C44" i="2"/>
  <c r="C68" i="2"/>
  <c r="C96" i="2"/>
  <c r="C231" i="2"/>
  <c r="D54" i="2"/>
  <c r="C139" i="2"/>
  <c r="D225" i="2"/>
  <c r="D118" i="2"/>
  <c r="D246" i="2"/>
  <c r="C160" i="2"/>
  <c r="D241" i="2"/>
  <c r="C176" i="2"/>
  <c r="D134" i="2"/>
  <c r="D262" i="2"/>
  <c r="D258" i="2"/>
  <c r="D242" i="2"/>
  <c r="D226" i="2"/>
  <c r="D210" i="2"/>
  <c r="D194" i="2"/>
  <c r="D178" i="2"/>
  <c r="D162" i="2"/>
  <c r="D146" i="2"/>
  <c r="D130" i="2"/>
  <c r="D114" i="2"/>
  <c r="C268" i="2"/>
  <c r="C252" i="2"/>
  <c r="C236" i="2"/>
  <c r="C220" i="2"/>
  <c r="C204" i="2"/>
  <c r="C188" i="2"/>
  <c r="C172" i="2"/>
  <c r="D269" i="2"/>
  <c r="D253" i="2"/>
  <c r="D237" i="2"/>
  <c r="D221" i="2"/>
  <c r="D205" i="2"/>
  <c r="D189" i="2"/>
  <c r="C227" i="2"/>
  <c r="D115" i="2"/>
  <c r="C221" i="2"/>
  <c r="C179" i="2"/>
  <c r="C155" i="2"/>
  <c r="C112" i="2"/>
  <c r="D94" i="2"/>
  <c r="D78" i="2"/>
  <c r="D62" i="2"/>
  <c r="D46" i="2"/>
  <c r="D30" i="2"/>
  <c r="C247" i="2"/>
  <c r="D125" i="2"/>
  <c r="C88" i="2"/>
  <c r="C72" i="2"/>
  <c r="C56" i="2"/>
  <c r="C40" i="2"/>
  <c r="C24" i="2"/>
  <c r="C138" i="2"/>
  <c r="C117" i="2"/>
  <c r="C251" i="2"/>
  <c r="D127" i="2"/>
  <c r="C213" i="2"/>
  <c r="D173" i="2"/>
  <c r="D256" i="2"/>
  <c r="D240" i="2"/>
  <c r="D224" i="2"/>
  <c r="D208" i="2"/>
  <c r="D192" i="2"/>
  <c r="D176" i="2"/>
  <c r="D160" i="2"/>
  <c r="D144" i="2"/>
  <c r="D128" i="2"/>
  <c r="D112" i="2"/>
  <c r="C266" i="2"/>
  <c r="C250" i="2"/>
  <c r="C234" i="2"/>
  <c r="C218" i="2"/>
  <c r="C202" i="2"/>
  <c r="C186" i="2"/>
  <c r="C170" i="2"/>
  <c r="D267" i="2"/>
  <c r="D251" i="2"/>
  <c r="D235" i="2"/>
  <c r="D219" i="2"/>
  <c r="D203" i="2"/>
  <c r="D187" i="2"/>
  <c r="D155" i="2"/>
  <c r="C175" i="2"/>
  <c r="C152" i="2"/>
  <c r="C131" i="2"/>
  <c r="D92" i="2"/>
  <c r="D76" i="2"/>
  <c r="D60" i="2"/>
  <c r="D44" i="2"/>
  <c r="D28" i="2"/>
  <c r="C199" i="2"/>
  <c r="D165" i="2"/>
  <c r="C102" i="2"/>
  <c r="C86" i="2"/>
  <c r="C70" i="2"/>
  <c r="C54" i="2"/>
  <c r="C38" i="2"/>
  <c r="C225" i="2"/>
  <c r="C157" i="2"/>
  <c r="C114" i="2"/>
  <c r="D270" i="2"/>
  <c r="D254" i="2"/>
  <c r="D238" i="2"/>
  <c r="D222" i="2"/>
  <c r="D206" i="2"/>
  <c r="D190" i="2"/>
  <c r="D174" i="2"/>
  <c r="D158" i="2"/>
  <c r="D142" i="2"/>
  <c r="D126" i="2"/>
  <c r="D110" i="2"/>
  <c r="C264" i="2"/>
  <c r="C248" i="2"/>
  <c r="C232" i="2"/>
  <c r="C216" i="2"/>
  <c r="C200" i="2"/>
  <c r="C184" i="2"/>
  <c r="C168" i="2"/>
  <c r="D265" i="2"/>
  <c r="D249" i="2"/>
  <c r="D233" i="2"/>
  <c r="D217" i="2"/>
  <c r="D201" i="2"/>
  <c r="D185" i="2"/>
  <c r="C259" i="2"/>
  <c r="D131" i="2"/>
  <c r="C253" i="2"/>
  <c r="C128" i="2"/>
  <c r="C107" i="2"/>
  <c r="D90" i="2"/>
  <c r="D74" i="2"/>
  <c r="D58" i="2"/>
  <c r="D42" i="2"/>
  <c r="D26" i="2"/>
  <c r="D268" i="2"/>
  <c r="D252" i="2"/>
  <c r="D236" i="2"/>
  <c r="D220" i="2"/>
  <c r="D204" i="2"/>
  <c r="D188" i="2"/>
  <c r="D172" i="2"/>
  <c r="D156" i="2"/>
  <c r="D140" i="2"/>
  <c r="D124" i="2"/>
  <c r="D108" i="2"/>
  <c r="C262" i="2"/>
  <c r="C246" i="2"/>
  <c r="C230" i="2"/>
  <c r="C214" i="2"/>
  <c r="C198" i="2"/>
  <c r="C182" i="2"/>
  <c r="D263" i="2"/>
  <c r="D247" i="2"/>
  <c r="D231" i="2"/>
  <c r="D215" i="2"/>
  <c r="D199" i="2"/>
  <c r="D183" i="2"/>
  <c r="C211" i="2"/>
  <c r="D107" i="2"/>
  <c r="C205" i="2"/>
  <c r="C147" i="2"/>
  <c r="D88" i="2"/>
  <c r="D266" i="2"/>
  <c r="D250" i="2"/>
  <c r="D234" i="2"/>
  <c r="D218" i="2"/>
  <c r="D202" i="2"/>
  <c r="D186" i="2"/>
  <c r="D170" i="2"/>
  <c r="D154" i="2"/>
  <c r="D138" i="2"/>
  <c r="D122" i="2"/>
  <c r="D106" i="2"/>
  <c r="C260" i="2"/>
  <c r="C244" i="2"/>
  <c r="C228" i="2"/>
  <c r="C212" i="2"/>
  <c r="C196" i="2"/>
  <c r="C180" i="2"/>
  <c r="D261" i="2"/>
  <c r="D245" i="2"/>
  <c r="D229" i="2"/>
  <c r="D213" i="2"/>
  <c r="D197" i="2"/>
  <c r="D181" i="2"/>
  <c r="C169" i="2"/>
  <c r="D147" i="2"/>
  <c r="C105" i="2"/>
  <c r="C144" i="2"/>
  <c r="C123" i="2"/>
  <c r="D86" i="2"/>
  <c r="D264" i="2"/>
  <c r="D248" i="2"/>
  <c r="D232" i="2"/>
  <c r="D216" i="2"/>
  <c r="D200" i="2"/>
  <c r="D184" i="2"/>
  <c r="D168" i="2"/>
  <c r="D152" i="2"/>
  <c r="D136" i="2"/>
  <c r="D120" i="2"/>
  <c r="D104" i="2"/>
  <c r="C258" i="2"/>
  <c r="C242" i="2"/>
  <c r="C226" i="2"/>
  <c r="C210" i="2"/>
  <c r="C194" i="2"/>
  <c r="C178" i="2"/>
  <c r="D259" i="2"/>
  <c r="D243" i="2"/>
  <c r="D227" i="2"/>
  <c r="D211" i="2"/>
  <c r="D195" i="2"/>
  <c r="D179" i="2"/>
  <c r="C243" i="2"/>
  <c r="D123" i="2"/>
  <c r="C237" i="2"/>
  <c r="C163" i="2"/>
  <c r="C120" i="2"/>
  <c r="D100" i="2"/>
  <c r="D84" i="2"/>
  <c r="D68" i="2"/>
  <c r="D52" i="2"/>
  <c r="D36" i="2"/>
  <c r="C263" i="2"/>
  <c r="D133" i="2"/>
  <c r="C94" i="2"/>
  <c r="C78" i="2"/>
  <c r="C62" i="2"/>
  <c r="C46" i="2"/>
  <c r="C30" i="2"/>
  <c r="C146" i="2"/>
  <c r="C125" i="2"/>
  <c r="C104" i="2"/>
  <c r="D260" i="2"/>
  <c r="D244" i="2"/>
  <c r="D228" i="2"/>
  <c r="D212" i="2"/>
  <c r="D196" i="2"/>
  <c r="D180" i="2"/>
  <c r="D164" i="2"/>
  <c r="D148" i="2"/>
  <c r="D132" i="2"/>
  <c r="D116" i="2"/>
  <c r="C270" i="2"/>
  <c r="C254" i="2"/>
  <c r="C238" i="2"/>
  <c r="C222" i="2"/>
  <c r="C206" i="2"/>
  <c r="C190" i="2"/>
  <c r="C174" i="2"/>
  <c r="D255" i="2"/>
  <c r="D239" i="2"/>
  <c r="D223" i="2"/>
  <c r="D207" i="2"/>
  <c r="D191" i="2"/>
  <c r="D175" i="2"/>
  <c r="D139" i="2"/>
  <c r="C269" i="2"/>
  <c r="C136" i="2"/>
  <c r="C115" i="2"/>
  <c r="D96" i="2"/>
  <c r="D80" i="2"/>
  <c r="D64" i="2"/>
  <c r="D48" i="2"/>
  <c r="D32" i="2"/>
  <c r="C37" i="2"/>
  <c r="D18" i="2"/>
  <c r="C61" i="2"/>
  <c r="D57" i="2"/>
  <c r="C55" i="2"/>
  <c r="C21" i="2"/>
  <c r="C106" i="2"/>
  <c r="D12" i="2"/>
  <c r="C239" i="2"/>
  <c r="D21" i="2"/>
  <c r="C161" i="2"/>
  <c r="C233" i="2"/>
  <c r="D67" i="2"/>
  <c r="D83" i="2"/>
  <c r="D99" i="2"/>
  <c r="C119" i="2"/>
  <c r="C140" i="2"/>
  <c r="C197" i="2"/>
  <c r="C245" i="2"/>
  <c r="D151" i="2"/>
  <c r="C122" i="2"/>
  <c r="C154" i="2"/>
  <c r="C209" i="2"/>
  <c r="C26" i="2"/>
  <c r="C50" i="2"/>
  <c r="C76" i="2"/>
  <c r="C100" i="2"/>
  <c r="D66" i="2"/>
  <c r="C189" i="2"/>
  <c r="D163" i="2"/>
  <c r="D257" i="2"/>
  <c r="C192" i="2"/>
  <c r="D150" i="2"/>
  <c r="C63" i="2"/>
  <c r="D20" i="2"/>
  <c r="C9" i="2"/>
  <c r="C33" i="2"/>
  <c r="C207" i="2"/>
  <c r="C81" i="2"/>
  <c r="C255" i="2"/>
  <c r="C87" i="2"/>
  <c r="C23" i="2"/>
  <c r="D113" i="2"/>
  <c r="M13" i="2"/>
  <c r="D23" i="2"/>
  <c r="C142" i="2"/>
  <c r="D69" i="2"/>
  <c r="D85" i="2"/>
  <c r="D101" i="2"/>
  <c r="C143" i="2"/>
  <c r="C164" i="2"/>
  <c r="C162" i="2"/>
  <c r="C28" i="2"/>
  <c r="C52" i="2"/>
  <c r="C80" i="2"/>
  <c r="C183" i="2"/>
  <c r="D24" i="2"/>
  <c r="D70" i="2"/>
  <c r="C195" i="2"/>
  <c r="C208" i="2"/>
  <c r="D166" i="2"/>
  <c r="B96" i="1"/>
  <c r="B112" i="1"/>
  <c r="B128" i="1"/>
  <c r="B176" i="1"/>
  <c r="B196" i="1"/>
  <c r="B208" i="1"/>
  <c r="B65" i="1"/>
  <c r="B93" i="1"/>
  <c r="B97" i="1"/>
  <c r="B157" i="1"/>
  <c r="B173" i="1"/>
  <c r="B189" i="1"/>
  <c r="B237" i="1"/>
  <c r="B257" i="1"/>
  <c r="B66" i="1"/>
  <c r="B118" i="1"/>
  <c r="B146" i="1"/>
  <c r="B150" i="1"/>
  <c r="B210" i="1"/>
  <c r="B226" i="1"/>
  <c r="B242" i="1"/>
  <c r="B87" i="1"/>
  <c r="B107" i="1"/>
  <c r="B119" i="1"/>
  <c r="B171" i="1"/>
  <c r="B199" i="1"/>
  <c r="B203" i="1"/>
  <c r="B43" i="1"/>
  <c r="B6" i="1"/>
  <c r="B38" i="1"/>
  <c r="B39" i="1"/>
  <c r="B239" i="1"/>
  <c r="B255" i="1"/>
  <c r="B41" i="1"/>
  <c r="B19" i="1"/>
  <c r="B35" i="1"/>
  <c r="E157" i="7" l="1"/>
  <c r="B154" i="8" s="1"/>
  <c r="E155" i="7"/>
  <c r="B152" i="8" s="1"/>
  <c r="E263" i="7"/>
  <c r="B260" i="8" s="1"/>
  <c r="F77" i="7"/>
  <c r="C74" i="8" s="1"/>
  <c r="E81" i="7"/>
  <c r="B78" i="8" s="1"/>
  <c r="F257" i="7"/>
  <c r="C254" i="8" s="1"/>
  <c r="E199" i="7"/>
  <c r="B196" i="8" s="1"/>
  <c r="E232" i="7"/>
  <c r="B229" i="8" s="1"/>
  <c r="F158" i="7"/>
  <c r="C155" i="8" s="1"/>
  <c r="F215" i="7"/>
  <c r="C212" i="8" s="1"/>
  <c r="E88" i="7"/>
  <c r="B85" i="8" s="1"/>
  <c r="F181" i="7"/>
  <c r="C178" i="8" s="1"/>
  <c r="F97" i="7"/>
  <c r="C94" i="8" s="1"/>
  <c r="F14" i="7"/>
  <c r="C11" i="8" s="1"/>
  <c r="E83" i="7"/>
  <c r="B80" i="8" s="1"/>
  <c r="E238" i="7"/>
  <c r="B235" i="8" s="1"/>
  <c r="E132" i="7"/>
  <c r="B129" i="8" s="1"/>
  <c r="F231" i="7"/>
  <c r="C228" i="8" s="1"/>
  <c r="E106" i="7"/>
  <c r="B103" i="8" s="1"/>
  <c r="E124" i="7"/>
  <c r="B121" i="8" s="1"/>
  <c r="E19" i="7"/>
  <c r="B16" i="8" s="1"/>
  <c r="F225" i="7"/>
  <c r="C222" i="8" s="1"/>
  <c r="F22" i="7"/>
  <c r="C19" i="8" s="1"/>
  <c r="F157" i="7"/>
  <c r="C154" i="8" s="1"/>
  <c r="E133" i="7"/>
  <c r="B130" i="8" s="1"/>
  <c r="F136" i="7"/>
  <c r="C133" i="8" s="1"/>
  <c r="F13" i="7"/>
  <c r="C10" i="8" s="1"/>
  <c r="F83" i="7"/>
  <c r="C80" i="8" s="1"/>
  <c r="F212" i="7"/>
  <c r="C209" i="8" s="1"/>
  <c r="F187" i="7"/>
  <c r="C184" i="8" s="1"/>
  <c r="F30" i="7"/>
  <c r="C27" i="8" s="1"/>
  <c r="F200" i="7"/>
  <c r="C197" i="8" s="1"/>
  <c r="F53" i="7"/>
  <c r="C50" i="8" s="1"/>
  <c r="E185" i="7"/>
  <c r="B182" i="8" s="1"/>
  <c r="E168" i="7"/>
  <c r="B165" i="8" s="1"/>
  <c r="F246" i="7"/>
  <c r="C243" i="8" s="1"/>
  <c r="F74" i="7"/>
  <c r="C71" i="8" s="1"/>
  <c r="F126" i="7"/>
  <c r="C123" i="8" s="1"/>
  <c r="F96" i="7"/>
  <c r="C93" i="8" s="1"/>
  <c r="F160" i="7"/>
  <c r="C157" i="8" s="1"/>
  <c r="E144" i="7"/>
  <c r="B141" i="8" s="1"/>
  <c r="E71" i="7"/>
  <c r="B68" i="8" s="1"/>
  <c r="E63" i="7"/>
  <c r="B60" i="8" s="1"/>
  <c r="F7" i="7"/>
  <c r="C4" i="8" s="1"/>
  <c r="E35" i="7"/>
  <c r="B32" i="8" s="1"/>
  <c r="E204" i="7"/>
  <c r="B201" i="8" s="1"/>
  <c r="E162" i="7"/>
  <c r="B159" i="8" s="1"/>
  <c r="E251" i="7"/>
  <c r="B248" i="8" s="1"/>
  <c r="F165" i="7"/>
  <c r="C162" i="8" s="1"/>
  <c r="F208" i="7"/>
  <c r="C205" i="8" s="1"/>
  <c r="F258" i="7"/>
  <c r="C255" i="8" s="1"/>
  <c r="E58" i="7"/>
  <c r="B55" i="8" s="1"/>
  <c r="F25" i="7"/>
  <c r="C22" i="8" s="1"/>
  <c r="F109" i="7"/>
  <c r="C106" i="8" s="1"/>
  <c r="F76" i="7"/>
  <c r="C73" i="8" s="1"/>
  <c r="F216" i="7"/>
  <c r="C213" i="8" s="1"/>
  <c r="F15" i="7"/>
  <c r="C12" i="8" s="1"/>
  <c r="E94" i="7"/>
  <c r="B91" i="8" s="1"/>
  <c r="E131" i="7"/>
  <c r="B128" i="8" s="1"/>
  <c r="E265" i="7"/>
  <c r="B262" i="8" s="1"/>
  <c r="E224" i="7"/>
  <c r="B221" i="8" s="1"/>
  <c r="E172" i="7"/>
  <c r="B169" i="8" s="1"/>
  <c r="F31" i="7"/>
  <c r="C28" i="8" s="1"/>
  <c r="F170" i="7"/>
  <c r="C167" i="8" s="1"/>
  <c r="F128" i="7"/>
  <c r="C125" i="8" s="1"/>
  <c r="F186" i="7"/>
  <c r="C183" i="8" s="1"/>
  <c r="F94" i="7"/>
  <c r="C91" i="8" s="1"/>
  <c r="E183" i="7"/>
  <c r="B180" i="8" s="1"/>
  <c r="E214" i="7"/>
  <c r="B211" i="8" s="1"/>
  <c r="E93" i="7"/>
  <c r="B90" i="8" s="1"/>
  <c r="E200" i="7"/>
  <c r="B197" i="8" s="1"/>
  <c r="F267" i="7"/>
  <c r="C264" i="8" s="1"/>
  <c r="F209" i="7"/>
  <c r="C206" i="8" s="1"/>
  <c r="F173" i="7"/>
  <c r="C170" i="8" s="1"/>
  <c r="F145" i="7"/>
  <c r="C142" i="8" s="1"/>
  <c r="F65" i="7"/>
  <c r="C62" i="8" s="1"/>
  <c r="E158" i="7"/>
  <c r="B155" i="8" s="1"/>
  <c r="F111" i="7"/>
  <c r="C108" i="8" s="1"/>
  <c r="E191" i="7"/>
  <c r="B188" i="8" s="1"/>
  <c r="F6" i="7"/>
  <c r="C3" i="8" s="1"/>
  <c r="E218" i="7"/>
  <c r="B215" i="8" s="1"/>
  <c r="E53" i="7"/>
  <c r="B50" i="8" s="1"/>
  <c r="E67" i="7"/>
  <c r="B64" i="8" s="1"/>
  <c r="E128" i="7"/>
  <c r="B125" i="8" s="1"/>
  <c r="E178" i="7"/>
  <c r="B175" i="8" s="1"/>
  <c r="F5" i="7"/>
  <c r="C2" i="8" s="1"/>
  <c r="E57" i="7"/>
  <c r="B54" i="8" s="1"/>
  <c r="E47" i="7"/>
  <c r="B44" i="8" s="1"/>
  <c r="E176" i="7"/>
  <c r="B173" i="8" s="1"/>
  <c r="E143" i="7"/>
  <c r="B140" i="8" s="1"/>
  <c r="E202" i="7"/>
  <c r="B199" i="8" s="1"/>
  <c r="E242" i="7"/>
  <c r="B239" i="8" s="1"/>
  <c r="F9" i="7"/>
  <c r="C6" i="8" s="1"/>
  <c r="E216" i="7"/>
  <c r="B213" i="8" s="1"/>
  <c r="E95" i="7"/>
  <c r="B92" i="8" s="1"/>
  <c r="E174" i="7"/>
  <c r="B171" i="8" s="1"/>
  <c r="E74" i="7"/>
  <c r="B71" i="8" s="1"/>
  <c r="E220" i="7"/>
  <c r="B217" i="8" s="1"/>
  <c r="E208" i="7"/>
  <c r="B205" i="8" s="1"/>
  <c r="E151" i="7"/>
  <c r="B148" i="8" s="1"/>
  <c r="E87" i="7"/>
  <c r="B84" i="8" s="1"/>
  <c r="E136" i="7"/>
  <c r="B133" i="8" s="1"/>
  <c r="E258" i="7"/>
  <c r="B255" i="8" s="1"/>
  <c r="E77" i="7"/>
  <c r="B74" i="8" s="1"/>
  <c r="E26" i="7"/>
  <c r="B23" i="8" s="1"/>
  <c r="E55" i="7"/>
  <c r="B52" i="8" s="1"/>
  <c r="E75" i="7"/>
  <c r="B72" i="8" s="1"/>
  <c r="E256" i="7"/>
  <c r="B253" i="8" s="1"/>
  <c r="E264" i="7"/>
  <c r="B261" i="8" s="1"/>
  <c r="E62" i="7"/>
  <c r="B59" i="8" s="1"/>
  <c r="E76" i="7"/>
  <c r="B73" i="8" s="1"/>
  <c r="E226" i="7"/>
  <c r="B223" i="8" s="1"/>
  <c r="E61" i="7"/>
  <c r="B58" i="8" s="1"/>
  <c r="H89" i="4"/>
  <c r="M64" i="4"/>
  <c r="M32" i="4"/>
  <c r="H265" i="4"/>
  <c r="M126" i="4"/>
  <c r="M17" i="4"/>
  <c r="N17" i="4" s="1"/>
  <c r="M238" i="4"/>
  <c r="H144" i="4"/>
  <c r="M144" i="4"/>
  <c r="M36" i="4"/>
  <c r="M130" i="4"/>
  <c r="M125" i="4"/>
  <c r="M123" i="4"/>
  <c r="M168" i="4"/>
  <c r="H10" i="4"/>
  <c r="H34" i="4"/>
  <c r="J201" i="4"/>
  <c r="M104" i="4"/>
  <c r="M167" i="4"/>
  <c r="H199" i="4"/>
  <c r="J238" i="4"/>
  <c r="H250" i="4"/>
  <c r="H251" i="4"/>
  <c r="H47" i="4"/>
  <c r="J51" i="4"/>
  <c r="M268" i="4"/>
  <c r="H67" i="4"/>
  <c r="H182" i="4"/>
  <c r="J193" i="4"/>
  <c r="J187" i="4"/>
  <c r="J138" i="4"/>
  <c r="M46" i="4"/>
  <c r="M109" i="4"/>
  <c r="M255" i="4"/>
  <c r="H266" i="4"/>
  <c r="M261" i="4"/>
  <c r="M72" i="4"/>
  <c r="H205" i="4"/>
  <c r="M228" i="4"/>
  <c r="H236" i="4"/>
  <c r="M89" i="4"/>
  <c r="M49" i="4"/>
  <c r="M154" i="4"/>
  <c r="M112" i="4"/>
  <c r="M127" i="4"/>
  <c r="H235" i="4"/>
  <c r="H59" i="4"/>
  <c r="H225" i="4"/>
  <c r="H73" i="4"/>
  <c r="M28" i="4"/>
  <c r="H104" i="4"/>
  <c r="M107" i="4"/>
  <c r="H191" i="4"/>
  <c r="M50" i="4"/>
  <c r="H166" i="4"/>
  <c r="J76" i="4"/>
  <c r="K76" i="4" s="1"/>
  <c r="J163" i="4"/>
  <c r="L163" i="4" s="1"/>
  <c r="J105" i="4"/>
  <c r="H228" i="4"/>
  <c r="M94" i="4"/>
  <c r="M215" i="4"/>
  <c r="H221" i="4"/>
  <c r="M253" i="4"/>
  <c r="H237" i="4"/>
  <c r="H36" i="4"/>
  <c r="M220" i="4"/>
  <c r="H130" i="4"/>
  <c r="M267" i="4"/>
  <c r="M30" i="4"/>
  <c r="M266" i="4"/>
  <c r="M81" i="4"/>
  <c r="M119" i="4"/>
  <c r="H195" i="4"/>
  <c r="H43" i="4"/>
  <c r="H217" i="4"/>
  <c r="H33" i="4"/>
  <c r="M12" i="4"/>
  <c r="H96" i="4"/>
  <c r="M67" i="4"/>
  <c r="H175" i="4"/>
  <c r="M42" i="4"/>
  <c r="H126" i="4"/>
  <c r="J168" i="4"/>
  <c r="K168" i="4" s="1"/>
  <c r="H118" i="4"/>
  <c r="J160" i="4"/>
  <c r="J54" i="4"/>
  <c r="J33" i="4"/>
  <c r="K33" i="4" s="1"/>
  <c r="M248" i="4"/>
  <c r="H226" i="4"/>
  <c r="M191" i="4"/>
  <c r="H93" i="4"/>
  <c r="M197" i="4"/>
  <c r="H173" i="4"/>
  <c r="M57" i="4"/>
  <c r="M162" i="4"/>
  <c r="H66" i="4"/>
  <c r="M219" i="4"/>
  <c r="H125" i="4"/>
  <c r="M242" i="4"/>
  <c r="H210" i="4"/>
  <c r="M63" i="4"/>
  <c r="H171" i="4"/>
  <c r="M85" i="4"/>
  <c r="H161" i="4"/>
  <c r="M140" i="4"/>
  <c r="H224" i="4"/>
  <c r="H40" i="4"/>
  <c r="M43" i="4"/>
  <c r="H127" i="4"/>
  <c r="H254" i="4"/>
  <c r="H102" i="4"/>
  <c r="J97" i="4"/>
  <c r="K97" i="4" s="1"/>
  <c r="M62" i="4"/>
  <c r="H116" i="4"/>
  <c r="H218" i="4"/>
  <c r="M204" i="4"/>
  <c r="M227" i="4"/>
  <c r="H234" i="4"/>
  <c r="H229" i="4"/>
  <c r="M93" i="4"/>
  <c r="H25" i="4"/>
  <c r="H80" i="4"/>
  <c r="M26" i="4"/>
  <c r="J210" i="4"/>
  <c r="K210" i="4" s="1"/>
  <c r="J188" i="4"/>
  <c r="J46" i="4"/>
  <c r="M249" i="4"/>
  <c r="M232" i="4"/>
  <c r="H204" i="4"/>
  <c r="M145" i="4"/>
  <c r="H52" i="4"/>
  <c r="M189" i="4"/>
  <c r="H68" i="4"/>
  <c r="H242" i="4"/>
  <c r="M152" i="4"/>
  <c r="M193" i="4"/>
  <c r="M203" i="4"/>
  <c r="H106" i="4"/>
  <c r="M202" i="4"/>
  <c r="H165" i="4"/>
  <c r="M55" i="4"/>
  <c r="H131" i="4"/>
  <c r="M69" i="4"/>
  <c r="H153" i="4"/>
  <c r="M100" i="4"/>
  <c r="H208" i="4"/>
  <c r="H32" i="4"/>
  <c r="H263" i="4"/>
  <c r="H111" i="4"/>
  <c r="H246" i="4"/>
  <c r="H62" i="4"/>
  <c r="J221" i="4"/>
  <c r="K221" i="4" s="1"/>
  <c r="M256" i="4"/>
  <c r="M207" i="4"/>
  <c r="M237" i="4"/>
  <c r="M118" i="4"/>
  <c r="H108" i="4"/>
  <c r="M258" i="4"/>
  <c r="M103" i="4"/>
  <c r="H187" i="4"/>
  <c r="H201" i="4"/>
  <c r="H232" i="4"/>
  <c r="H135" i="4"/>
  <c r="J202" i="4"/>
  <c r="L202" i="4" s="1"/>
  <c r="J127" i="4"/>
  <c r="J93" i="4"/>
  <c r="M225" i="4"/>
  <c r="M192" i="4"/>
  <c r="H162" i="4"/>
  <c r="M133" i="4"/>
  <c r="M230" i="4"/>
  <c r="M173" i="4"/>
  <c r="H45" i="4"/>
  <c r="H133" i="4"/>
  <c r="M128" i="4"/>
  <c r="M158" i="4"/>
  <c r="M161" i="4"/>
  <c r="H61" i="4"/>
  <c r="M194" i="4"/>
  <c r="H60" i="4"/>
  <c r="M39" i="4"/>
  <c r="H123" i="4"/>
  <c r="M29" i="4"/>
  <c r="H137" i="4"/>
  <c r="M92" i="4"/>
  <c r="H168" i="4"/>
  <c r="H16" i="4"/>
  <c r="H255" i="4"/>
  <c r="H71" i="4"/>
  <c r="H230" i="4"/>
  <c r="H54" i="4"/>
  <c r="M59" i="4"/>
  <c r="J111" i="4"/>
  <c r="K111" i="4" s="1"/>
  <c r="J100" i="4"/>
  <c r="J59" i="4"/>
  <c r="K59" i="4" s="1"/>
  <c r="M177" i="4"/>
  <c r="M184" i="4"/>
  <c r="H53" i="4"/>
  <c r="M106" i="4"/>
  <c r="M206" i="4"/>
  <c r="M117" i="4"/>
  <c r="M257" i="4"/>
  <c r="H114" i="4"/>
  <c r="M54" i="4"/>
  <c r="M24" i="4"/>
  <c r="M150" i="4"/>
  <c r="M270" i="4"/>
  <c r="M178" i="4"/>
  <c r="H37" i="4"/>
  <c r="H259" i="4"/>
  <c r="H107" i="4"/>
  <c r="M21" i="4"/>
  <c r="H97" i="4"/>
  <c r="M76" i="4"/>
  <c r="H160" i="4"/>
  <c r="M131" i="4"/>
  <c r="H239" i="4"/>
  <c r="H63" i="4"/>
  <c r="H190" i="4"/>
  <c r="H38" i="4"/>
  <c r="J134" i="4"/>
  <c r="J108" i="4"/>
  <c r="J236" i="4"/>
  <c r="K236" i="4" s="1"/>
  <c r="J246" i="4"/>
  <c r="K246" i="4" s="1"/>
  <c r="J229" i="4"/>
  <c r="K229" i="4" s="1"/>
  <c r="J101" i="4"/>
  <c r="J146" i="4"/>
  <c r="K146" i="4" s="1"/>
  <c r="J41" i="4"/>
  <c r="K41" i="4" s="1"/>
  <c r="M209" i="4"/>
  <c r="H269" i="4"/>
  <c r="M240" i="4"/>
  <c r="M176" i="4"/>
  <c r="M78" i="4"/>
  <c r="H181" i="4"/>
  <c r="M263" i="4"/>
  <c r="M199" i="4"/>
  <c r="M120" i="4"/>
  <c r="H244" i="4"/>
  <c r="H74" i="4"/>
  <c r="M174" i="4"/>
  <c r="M245" i="4"/>
  <c r="M181" i="4"/>
  <c r="M88" i="4"/>
  <c r="H196" i="4"/>
  <c r="H26" i="4"/>
  <c r="H164" i="4"/>
  <c r="H261" i="4"/>
  <c r="H50" i="4"/>
  <c r="M212" i="4"/>
  <c r="M141" i="4"/>
  <c r="H258" i="4"/>
  <c r="H85" i="4"/>
  <c r="M110" i="4"/>
  <c r="H69" i="4"/>
  <c r="M211" i="4"/>
  <c r="M138" i="4"/>
  <c r="H253" i="4"/>
  <c r="H84" i="4"/>
  <c r="M198" i="4"/>
  <c r="M250" i="4"/>
  <c r="M186" i="4"/>
  <c r="M97" i="4"/>
  <c r="H188" i="4"/>
  <c r="H18" i="4"/>
  <c r="M111" i="4"/>
  <c r="M47" i="4"/>
  <c r="H243" i="4"/>
  <c r="H179" i="4"/>
  <c r="H115" i="4"/>
  <c r="H51" i="4"/>
  <c r="M77" i="4"/>
  <c r="M13" i="4"/>
  <c r="N13" i="4" s="1"/>
  <c r="H209" i="4"/>
  <c r="H145" i="4"/>
  <c r="H81" i="4"/>
  <c r="H17" i="4"/>
  <c r="M84" i="4"/>
  <c r="M20" i="4"/>
  <c r="H216" i="4"/>
  <c r="H152" i="4"/>
  <c r="H88" i="4"/>
  <c r="H24" i="4"/>
  <c r="M115" i="4"/>
  <c r="M51" i="4"/>
  <c r="H247" i="4"/>
  <c r="H183" i="4"/>
  <c r="H119" i="4"/>
  <c r="H55" i="4"/>
  <c r="M34" i="4"/>
  <c r="H238" i="4"/>
  <c r="H174" i="4"/>
  <c r="H110" i="4"/>
  <c r="H46" i="4"/>
  <c r="J164" i="4"/>
  <c r="J55" i="4"/>
  <c r="L55" i="4" s="1"/>
  <c r="J7" i="4"/>
  <c r="K7" i="4" s="1"/>
  <c r="J182" i="4"/>
  <c r="L182" i="4" s="1"/>
  <c r="J165" i="4"/>
  <c r="J37" i="4"/>
  <c r="K37" i="4" s="1"/>
  <c r="J82" i="4"/>
  <c r="K82" i="4" s="1"/>
  <c r="J128" i="4"/>
  <c r="M148" i="4"/>
  <c r="H186" i="4"/>
  <c r="M224" i="4"/>
  <c r="M157" i="4"/>
  <c r="M41" i="4"/>
  <c r="H140" i="4"/>
  <c r="M247" i="4"/>
  <c r="M183" i="4"/>
  <c r="M90" i="4"/>
  <c r="H202" i="4"/>
  <c r="H29" i="4"/>
  <c r="M73" i="4"/>
  <c r="M229" i="4"/>
  <c r="M164" i="4"/>
  <c r="M56" i="4"/>
  <c r="H154" i="4"/>
  <c r="M217" i="4"/>
  <c r="M254" i="4"/>
  <c r="H220" i="4"/>
  <c r="M260" i="4"/>
  <c r="M196" i="4"/>
  <c r="M114" i="4"/>
  <c r="H213" i="4"/>
  <c r="H44" i="4"/>
  <c r="H100" i="4"/>
  <c r="M259" i="4"/>
  <c r="M195" i="4"/>
  <c r="M113" i="4"/>
  <c r="H212" i="4"/>
  <c r="H42" i="4"/>
  <c r="M105" i="4"/>
  <c r="M234" i="4"/>
  <c r="M170" i="4"/>
  <c r="M65" i="4"/>
  <c r="H146" i="4"/>
  <c r="M159" i="4"/>
  <c r="M95" i="4"/>
  <c r="M31" i="4"/>
  <c r="H227" i="4"/>
  <c r="H163" i="4"/>
  <c r="H99" i="4"/>
  <c r="H35" i="4"/>
  <c r="M61" i="4"/>
  <c r="H257" i="4"/>
  <c r="H193" i="4"/>
  <c r="H129" i="4"/>
  <c r="H65" i="4"/>
  <c r="M132" i="4"/>
  <c r="M68" i="4"/>
  <c r="H264" i="4"/>
  <c r="H200" i="4"/>
  <c r="H136" i="4"/>
  <c r="H72" i="4"/>
  <c r="M163" i="4"/>
  <c r="M99" i="4"/>
  <c r="M35" i="4"/>
  <c r="H231" i="4"/>
  <c r="H167" i="4"/>
  <c r="H103" i="4"/>
  <c r="H39" i="4"/>
  <c r="M18" i="4"/>
  <c r="H222" i="4"/>
  <c r="H158" i="4"/>
  <c r="H94" i="4"/>
  <c r="H30" i="4"/>
  <c r="J23" i="4"/>
  <c r="K23" i="4" s="1"/>
  <c r="J227" i="4"/>
  <c r="L227" i="4" s="1"/>
  <c r="J263" i="4"/>
  <c r="K263" i="4" s="1"/>
  <c r="J174" i="4"/>
  <c r="J157" i="4"/>
  <c r="K157" i="4" s="1"/>
  <c r="J29" i="4"/>
  <c r="K29" i="4" s="1"/>
  <c r="J74" i="4"/>
  <c r="J120" i="4"/>
  <c r="M136" i="4"/>
  <c r="H141" i="4"/>
  <c r="M216" i="4"/>
  <c r="M146" i="4"/>
  <c r="M22" i="4"/>
  <c r="H117" i="4"/>
  <c r="M239" i="4"/>
  <c r="M175" i="4"/>
  <c r="M74" i="4"/>
  <c r="H180" i="4"/>
  <c r="M241" i="4"/>
  <c r="M16" i="4"/>
  <c r="N16" i="4" s="1"/>
  <c r="M221" i="4"/>
  <c r="M153" i="4"/>
  <c r="M33" i="4"/>
  <c r="H132" i="4"/>
  <c r="M201" i="4"/>
  <c r="M222" i="4"/>
  <c r="H197" i="4"/>
  <c r="M252" i="4"/>
  <c r="M188" i="4"/>
  <c r="M102" i="4"/>
  <c r="H194" i="4"/>
  <c r="H21" i="4"/>
  <c r="M246" i="4"/>
  <c r="M251" i="4"/>
  <c r="M187" i="4"/>
  <c r="M98" i="4"/>
  <c r="H189" i="4"/>
  <c r="H20" i="4"/>
  <c r="M38" i="4"/>
  <c r="M226" i="4"/>
  <c r="M160" i="4"/>
  <c r="M48" i="4"/>
  <c r="H124" i="4"/>
  <c r="M151" i="4"/>
  <c r="M87" i="4"/>
  <c r="M23" i="4"/>
  <c r="H219" i="4"/>
  <c r="H155" i="4"/>
  <c r="H91" i="4"/>
  <c r="H27" i="4"/>
  <c r="M53" i="4"/>
  <c r="H249" i="4"/>
  <c r="H185" i="4"/>
  <c r="H121" i="4"/>
  <c r="H57" i="4"/>
  <c r="M124" i="4"/>
  <c r="M60" i="4"/>
  <c r="H256" i="4"/>
  <c r="H192" i="4"/>
  <c r="H128" i="4"/>
  <c r="H64" i="4"/>
  <c r="M155" i="4"/>
  <c r="M91" i="4"/>
  <c r="M27" i="4"/>
  <c r="H223" i="4"/>
  <c r="H159" i="4"/>
  <c r="H95" i="4"/>
  <c r="H31" i="4"/>
  <c r="M10" i="4"/>
  <c r="H214" i="4"/>
  <c r="H150" i="4"/>
  <c r="H86" i="4"/>
  <c r="H22" i="4"/>
  <c r="J220" i="4"/>
  <c r="K220" i="4" s="1"/>
  <c r="J265" i="4"/>
  <c r="K265" i="4" s="1"/>
  <c r="J232" i="4"/>
  <c r="J207" i="4"/>
  <c r="L207" i="4" s="1"/>
  <c r="J31" i="4"/>
  <c r="K31" i="4" s="1"/>
  <c r="J118" i="4"/>
  <c r="J123" i="4"/>
  <c r="J18" i="4"/>
  <c r="K18" i="4" s="1"/>
  <c r="J64" i="4"/>
  <c r="K64" i="4" s="1"/>
  <c r="M96" i="4"/>
  <c r="H58" i="4"/>
  <c r="M208" i="4"/>
  <c r="M134" i="4"/>
  <c r="H268" i="4"/>
  <c r="H98" i="4"/>
  <c r="M231" i="4"/>
  <c r="M166" i="4"/>
  <c r="M58" i="4"/>
  <c r="H157" i="4"/>
  <c r="H122" i="4"/>
  <c r="H28" i="4"/>
  <c r="M213" i="4"/>
  <c r="M142" i="4"/>
  <c r="M14" i="4"/>
  <c r="N14" i="4" s="1"/>
  <c r="H109" i="4"/>
  <c r="M169" i="4"/>
  <c r="M190" i="4"/>
  <c r="H178" i="4"/>
  <c r="M244" i="4"/>
  <c r="M180" i="4"/>
  <c r="M86" i="4"/>
  <c r="H172" i="4"/>
  <c r="M265" i="4"/>
  <c r="M214" i="4"/>
  <c r="M243" i="4"/>
  <c r="M179" i="4"/>
  <c r="M82" i="4"/>
  <c r="H170" i="4"/>
  <c r="M185" i="4"/>
  <c r="H92" i="4"/>
  <c r="M218" i="4"/>
  <c r="M149" i="4"/>
  <c r="M25" i="4"/>
  <c r="H101" i="4"/>
  <c r="M143" i="4"/>
  <c r="M79" i="4"/>
  <c r="M15" i="4"/>
  <c r="H211" i="4"/>
  <c r="H147" i="4"/>
  <c r="H83" i="4"/>
  <c r="H19" i="4"/>
  <c r="M45" i="4"/>
  <c r="H241" i="4"/>
  <c r="H177" i="4"/>
  <c r="H113" i="4"/>
  <c r="H49" i="4"/>
  <c r="M116" i="4"/>
  <c r="M52" i="4"/>
  <c r="H248" i="4"/>
  <c r="H184" i="4"/>
  <c r="H120" i="4"/>
  <c r="H56" i="4"/>
  <c r="M147" i="4"/>
  <c r="M83" i="4"/>
  <c r="M19" i="4"/>
  <c r="H215" i="4"/>
  <c r="H151" i="4"/>
  <c r="H87" i="4"/>
  <c r="H23" i="4"/>
  <c r="H270" i="4"/>
  <c r="H206" i="4"/>
  <c r="H142" i="4"/>
  <c r="H78" i="4"/>
  <c r="H14" i="4"/>
  <c r="J266" i="4"/>
  <c r="K266" i="4" s="1"/>
  <c r="J257" i="4"/>
  <c r="J224" i="4"/>
  <c r="K224" i="4" s="1"/>
  <c r="J199" i="4"/>
  <c r="L199" i="4" s="1"/>
  <c r="J252" i="4"/>
  <c r="J110" i="4"/>
  <c r="L110" i="4" s="1"/>
  <c r="J115" i="4"/>
  <c r="K115" i="4" s="1"/>
  <c r="J10" i="4"/>
  <c r="K10" i="4" s="1"/>
  <c r="J56" i="4"/>
  <c r="M80" i="4"/>
  <c r="M264" i="4"/>
  <c r="M200" i="4"/>
  <c r="M121" i="4"/>
  <c r="H245" i="4"/>
  <c r="H76" i="4"/>
  <c r="M223" i="4"/>
  <c r="M156" i="4"/>
  <c r="M40" i="4"/>
  <c r="H138" i="4"/>
  <c r="M262" i="4"/>
  <c r="M269" i="4"/>
  <c r="M205" i="4"/>
  <c r="M129" i="4"/>
  <c r="H260" i="4"/>
  <c r="H90" i="4"/>
  <c r="M122" i="4"/>
  <c r="M165" i="4"/>
  <c r="H156" i="4"/>
  <c r="M236" i="4"/>
  <c r="M172" i="4"/>
  <c r="M70" i="4"/>
  <c r="H149" i="4"/>
  <c r="M233" i="4"/>
  <c r="M182" i="4"/>
  <c r="M235" i="4"/>
  <c r="M171" i="4"/>
  <c r="M66" i="4"/>
  <c r="H148" i="4"/>
  <c r="H77" i="4"/>
  <c r="J14" i="4"/>
  <c r="M210" i="4"/>
  <c r="M137" i="4"/>
  <c r="H252" i="4"/>
  <c r="H82" i="4"/>
  <c r="M135" i="4"/>
  <c r="M71" i="4"/>
  <c r="H267" i="4"/>
  <c r="H203" i="4"/>
  <c r="H139" i="4"/>
  <c r="H75" i="4"/>
  <c r="M101" i="4"/>
  <c r="M37" i="4"/>
  <c r="H233" i="4"/>
  <c r="H169" i="4"/>
  <c r="H105" i="4"/>
  <c r="H41" i="4"/>
  <c r="M108" i="4"/>
  <c r="M44" i="4"/>
  <c r="H240" i="4"/>
  <c r="H176" i="4"/>
  <c r="H112" i="4"/>
  <c r="H48" i="4"/>
  <c r="M139" i="4"/>
  <c r="M75" i="4"/>
  <c r="M11" i="4"/>
  <c r="H207" i="4"/>
  <c r="H143" i="4"/>
  <c r="H79" i="4"/>
  <c r="H15" i="4"/>
  <c r="H262" i="4"/>
  <c r="H198" i="4"/>
  <c r="H134" i="4"/>
  <c r="H70" i="4"/>
  <c r="L127" i="4"/>
  <c r="K127" i="4"/>
  <c r="K118" i="4"/>
  <c r="L118" i="4"/>
  <c r="K238" i="4"/>
  <c r="L238" i="4"/>
  <c r="L51" i="4"/>
  <c r="K51" i="4"/>
  <c r="K138" i="4"/>
  <c r="L138" i="4"/>
  <c r="K201" i="4"/>
  <c r="L201" i="4"/>
  <c r="L111" i="4"/>
  <c r="K199" i="4"/>
  <c r="K110" i="4"/>
  <c r="J258" i="4"/>
  <c r="J194" i="4"/>
  <c r="J79" i="4"/>
  <c r="J267" i="4"/>
  <c r="J249" i="4"/>
  <c r="J185" i="4"/>
  <c r="J44" i="4"/>
  <c r="J195" i="4"/>
  <c r="J216" i="4"/>
  <c r="J148" i="4"/>
  <c r="J119" i="4"/>
  <c r="J255" i="4"/>
  <c r="J191" i="4"/>
  <c r="J68" i="4"/>
  <c r="J230" i="4"/>
  <c r="J166" i="4"/>
  <c r="J212" i="4"/>
  <c r="J20" i="4"/>
  <c r="J213" i="4"/>
  <c r="J141" i="4"/>
  <c r="J102" i="4"/>
  <c r="J38" i="4"/>
  <c r="J85" i="4"/>
  <c r="J21" i="4"/>
  <c r="J107" i="4"/>
  <c r="J43" i="4"/>
  <c r="J130" i="4"/>
  <c r="J66" i="4"/>
  <c r="J153" i="4"/>
  <c r="J89" i="4"/>
  <c r="J25" i="4"/>
  <c r="J112" i="4"/>
  <c r="J48" i="4"/>
  <c r="K164" i="4"/>
  <c r="L164" i="4"/>
  <c r="L123" i="4"/>
  <c r="K123" i="4"/>
  <c r="K128" i="4"/>
  <c r="L128" i="4"/>
  <c r="K100" i="4"/>
  <c r="L100" i="4"/>
  <c r="L221" i="4"/>
  <c r="J250" i="4"/>
  <c r="J186" i="4"/>
  <c r="J47" i="4"/>
  <c r="J235" i="4"/>
  <c r="J241" i="4"/>
  <c r="J177" i="4"/>
  <c r="J12" i="4"/>
  <c r="J151" i="4"/>
  <c r="J208" i="4"/>
  <c r="J132" i="4"/>
  <c r="J243" i="4"/>
  <c r="J247" i="4"/>
  <c r="J183" i="4"/>
  <c r="J36" i="4"/>
  <c r="J222" i="4"/>
  <c r="J158" i="4"/>
  <c r="J180" i="4"/>
  <c r="J269" i="4"/>
  <c r="J205" i="4"/>
  <c r="J124" i="4"/>
  <c r="J94" i="4"/>
  <c r="J30" i="4"/>
  <c r="J77" i="4"/>
  <c r="J13" i="4"/>
  <c r="J99" i="4"/>
  <c r="J35" i="4"/>
  <c r="J122" i="4"/>
  <c r="J58" i="4"/>
  <c r="J145" i="4"/>
  <c r="J81" i="4"/>
  <c r="J17" i="4"/>
  <c r="J104" i="4"/>
  <c r="J40" i="4"/>
  <c r="L210" i="4"/>
  <c r="K232" i="4"/>
  <c r="L232" i="4"/>
  <c r="K54" i="4"/>
  <c r="L54" i="4"/>
  <c r="K193" i="4"/>
  <c r="L193" i="4"/>
  <c r="L263" i="4"/>
  <c r="K46" i="4"/>
  <c r="L46" i="4"/>
  <c r="K56" i="4"/>
  <c r="L56" i="4"/>
  <c r="J242" i="4"/>
  <c r="J178" i="4"/>
  <c r="J15" i="4"/>
  <c r="K15" i="4" s="1"/>
  <c r="J203" i="4"/>
  <c r="J233" i="4"/>
  <c r="J169" i="4"/>
  <c r="J244" i="4"/>
  <c r="J264" i="4"/>
  <c r="J200" i="4"/>
  <c r="J103" i="4"/>
  <c r="J211" i="4"/>
  <c r="J239" i="4"/>
  <c r="J175" i="4"/>
  <c r="J251" i="4"/>
  <c r="J214" i="4"/>
  <c r="J142" i="4"/>
  <c r="J156" i="4"/>
  <c r="J261" i="4"/>
  <c r="J197" i="4"/>
  <c r="J92" i="4"/>
  <c r="J86" i="4"/>
  <c r="J22" i="4"/>
  <c r="J69" i="4"/>
  <c r="J155" i="4"/>
  <c r="J91" i="4"/>
  <c r="J27" i="4"/>
  <c r="J114" i="4"/>
  <c r="J50" i="4"/>
  <c r="J137" i="4"/>
  <c r="J73" i="4"/>
  <c r="J9" i="4"/>
  <c r="J96" i="4"/>
  <c r="J32" i="4"/>
  <c r="K134" i="4"/>
  <c r="L134" i="4"/>
  <c r="K101" i="4"/>
  <c r="L101" i="4"/>
  <c r="K105" i="4"/>
  <c r="L105" i="4"/>
  <c r="L23" i="4"/>
  <c r="K188" i="4"/>
  <c r="L188" i="4"/>
  <c r="K174" i="4"/>
  <c r="L174" i="4"/>
  <c r="K93" i="4"/>
  <c r="L93" i="4"/>
  <c r="K120" i="4"/>
  <c r="L120" i="4"/>
  <c r="J234" i="4"/>
  <c r="J170" i="4"/>
  <c r="J260" i="4"/>
  <c r="J171" i="4"/>
  <c r="J225" i="4"/>
  <c r="J161" i="4"/>
  <c r="J204" i="4"/>
  <c r="J256" i="4"/>
  <c r="J192" i="4"/>
  <c r="J71" i="4"/>
  <c r="J179" i="4"/>
  <c r="J231" i="4"/>
  <c r="J167" i="4"/>
  <c r="J270" i="4"/>
  <c r="J206" i="4"/>
  <c r="J125" i="4"/>
  <c r="J87" i="4"/>
  <c r="J253" i="4"/>
  <c r="J189" i="4"/>
  <c r="J60" i="4"/>
  <c r="J78" i="4"/>
  <c r="J61" i="4"/>
  <c r="J147" i="4"/>
  <c r="J83" i="4"/>
  <c r="J19" i="4"/>
  <c r="J106" i="4"/>
  <c r="J42" i="4"/>
  <c r="J129" i="4"/>
  <c r="J65" i="4"/>
  <c r="J152" i="4"/>
  <c r="J88" i="4"/>
  <c r="J24" i="4"/>
  <c r="K108" i="4"/>
  <c r="L108" i="4"/>
  <c r="K207" i="4"/>
  <c r="K165" i="4"/>
  <c r="L165" i="4"/>
  <c r="L59" i="4"/>
  <c r="K74" i="4"/>
  <c r="L74" i="4"/>
  <c r="J226" i="4"/>
  <c r="J162" i="4"/>
  <c r="J228" i="4"/>
  <c r="J116" i="4"/>
  <c r="J217" i="4"/>
  <c r="J149" i="4"/>
  <c r="J172" i="4"/>
  <c r="J248" i="4"/>
  <c r="J184" i="4"/>
  <c r="J39" i="4"/>
  <c r="J135" i="4"/>
  <c r="J223" i="4"/>
  <c r="J159" i="4"/>
  <c r="J262" i="4"/>
  <c r="J198" i="4"/>
  <c r="J95" i="4"/>
  <c r="J259" i="4"/>
  <c r="J245" i="4"/>
  <c r="J181" i="4"/>
  <c r="J28" i="4"/>
  <c r="J70" i="4"/>
  <c r="J117" i="4"/>
  <c r="J53" i="4"/>
  <c r="J139" i="4"/>
  <c r="J75" i="4"/>
  <c r="J11" i="4"/>
  <c r="J98" i="4"/>
  <c r="J34" i="4"/>
  <c r="J121" i="4"/>
  <c r="J57" i="4"/>
  <c r="J144" i="4"/>
  <c r="J80" i="4"/>
  <c r="J16" i="4"/>
  <c r="L187" i="4"/>
  <c r="K187" i="4"/>
  <c r="L37" i="4"/>
  <c r="K257" i="4"/>
  <c r="L257" i="4"/>
  <c r="K160" i="4"/>
  <c r="L160" i="4"/>
  <c r="K252" i="4"/>
  <c r="L252" i="4"/>
  <c r="L33" i="4"/>
  <c r="J218" i="4"/>
  <c r="J150" i="4"/>
  <c r="J196" i="4"/>
  <c r="J84" i="4"/>
  <c r="J209" i="4"/>
  <c r="J133" i="4"/>
  <c r="J140" i="4"/>
  <c r="J240" i="4"/>
  <c r="J176" i="4"/>
  <c r="J268" i="4"/>
  <c r="J52" i="4"/>
  <c r="J215" i="4"/>
  <c r="J143" i="4"/>
  <c r="J254" i="4"/>
  <c r="J190" i="4"/>
  <c r="J63" i="4"/>
  <c r="J219" i="4"/>
  <c r="J237" i="4"/>
  <c r="J173" i="4"/>
  <c r="J126" i="4"/>
  <c r="J62" i="4"/>
  <c r="J109" i="4"/>
  <c r="J45" i="4"/>
  <c r="J131" i="4"/>
  <c r="J67" i="4"/>
  <c r="J154" i="4"/>
  <c r="J90" i="4"/>
  <c r="J26" i="4"/>
  <c r="J113" i="4"/>
  <c r="J49" i="4"/>
  <c r="J136" i="4"/>
  <c r="J72" i="4"/>
  <c r="J8" i="4"/>
  <c r="I233" i="4"/>
  <c r="I66" i="4"/>
  <c r="I269" i="4"/>
  <c r="G90" i="4"/>
  <c r="G100" i="4"/>
  <c r="G45" i="4"/>
  <c r="N10" i="4"/>
  <c r="G143" i="4"/>
  <c r="G64" i="4"/>
  <c r="G62" i="4"/>
  <c r="G33" i="4"/>
  <c r="G257" i="4"/>
  <c r="G134" i="4"/>
  <c r="G235" i="4"/>
  <c r="G197" i="4"/>
  <c r="G238" i="4"/>
  <c r="I21" i="4"/>
  <c r="I117" i="4"/>
  <c r="I30" i="4"/>
  <c r="I118" i="4"/>
  <c r="I39" i="4"/>
  <c r="I119" i="4"/>
  <c r="I40" i="4"/>
  <c r="I128" i="4"/>
  <c r="I67" i="4"/>
  <c r="I211" i="4"/>
  <c r="I199" i="4"/>
  <c r="I20" i="4"/>
  <c r="I188" i="4"/>
  <c r="I11" i="4"/>
  <c r="I41" i="4"/>
  <c r="I197" i="4"/>
  <c r="I75" i="4"/>
  <c r="I226" i="4"/>
  <c r="I138" i="4"/>
  <c r="I246" i="4"/>
  <c r="I130" i="4"/>
  <c r="I140" i="4"/>
  <c r="I248" i="4"/>
  <c r="I129" i="4"/>
  <c r="I241" i="4"/>
  <c r="G98" i="4"/>
  <c r="G43" i="4"/>
  <c r="G140" i="4"/>
  <c r="G61" i="4"/>
  <c r="G159" i="4"/>
  <c r="G72" i="4"/>
  <c r="G126" i="4"/>
  <c r="G65" i="4"/>
  <c r="G265" i="4"/>
  <c r="G153" i="4"/>
  <c r="G162" i="4"/>
  <c r="G46" i="4"/>
  <c r="G243" i="4"/>
  <c r="G205" i="4"/>
  <c r="G246" i="4"/>
  <c r="I37" i="4"/>
  <c r="I125" i="4"/>
  <c r="I46" i="4"/>
  <c r="I126" i="4"/>
  <c r="I47" i="4"/>
  <c r="I135" i="4"/>
  <c r="I48" i="4"/>
  <c r="I136" i="4"/>
  <c r="I99" i="4"/>
  <c r="I219" i="4"/>
  <c r="I215" i="4"/>
  <c r="I52" i="4"/>
  <c r="I196" i="4"/>
  <c r="I123" i="4"/>
  <c r="I73" i="4"/>
  <c r="I205" i="4"/>
  <c r="I139" i="4"/>
  <c r="I266" i="4"/>
  <c r="I154" i="4"/>
  <c r="I254" i="4"/>
  <c r="I234" i="4"/>
  <c r="I156" i="4"/>
  <c r="I256" i="4"/>
  <c r="I161" i="4"/>
  <c r="I249" i="4"/>
  <c r="G138" i="4"/>
  <c r="G59" i="4"/>
  <c r="G156" i="4"/>
  <c r="G69" i="4"/>
  <c r="G15" i="4"/>
  <c r="G112" i="4"/>
  <c r="G158" i="4"/>
  <c r="G183" i="4"/>
  <c r="G161" i="4"/>
  <c r="G186" i="4"/>
  <c r="G180" i="4"/>
  <c r="G73" i="4"/>
  <c r="G267" i="4"/>
  <c r="G229" i="4"/>
  <c r="G86" i="4"/>
  <c r="G270" i="4"/>
  <c r="I53" i="4"/>
  <c r="I133" i="4"/>
  <c r="I54" i="4"/>
  <c r="I142" i="4"/>
  <c r="I55" i="4"/>
  <c r="I143" i="4"/>
  <c r="I64" i="4"/>
  <c r="I144" i="4"/>
  <c r="I115" i="4"/>
  <c r="I235" i="4"/>
  <c r="I247" i="4"/>
  <c r="I68" i="4"/>
  <c r="I212" i="4"/>
  <c r="I183" i="4"/>
  <c r="I89" i="4"/>
  <c r="I221" i="4"/>
  <c r="I191" i="4"/>
  <c r="I10" i="4"/>
  <c r="I182" i="4"/>
  <c r="I262" i="4"/>
  <c r="I12" i="4"/>
  <c r="I184" i="4"/>
  <c r="I264" i="4"/>
  <c r="I177" i="4"/>
  <c r="I265" i="4"/>
  <c r="H11" i="4"/>
  <c r="G154" i="4"/>
  <c r="G67" i="4"/>
  <c r="G12" i="4"/>
  <c r="G109" i="4"/>
  <c r="G31" i="4"/>
  <c r="G128" i="4"/>
  <c r="G200" i="4"/>
  <c r="G231" i="4"/>
  <c r="G177" i="4"/>
  <c r="G14" i="4"/>
  <c r="G202" i="4"/>
  <c r="G212" i="4"/>
  <c r="G137" i="4"/>
  <c r="G245" i="4"/>
  <c r="G150" i="4"/>
  <c r="I61" i="4"/>
  <c r="I149" i="4"/>
  <c r="I62" i="4"/>
  <c r="I150" i="4"/>
  <c r="I71" i="4"/>
  <c r="I151" i="4"/>
  <c r="I72" i="4"/>
  <c r="I160" i="4"/>
  <c r="I131" i="4"/>
  <c r="I243" i="4"/>
  <c r="I34" i="4"/>
  <c r="I84" i="4"/>
  <c r="I220" i="4"/>
  <c r="I18" i="4"/>
  <c r="I105" i="4"/>
  <c r="I229" i="4"/>
  <c r="I239" i="4"/>
  <c r="I26" i="4"/>
  <c r="I190" i="4"/>
  <c r="I27" i="4"/>
  <c r="I28" i="4"/>
  <c r="I192" i="4"/>
  <c r="I33" i="4"/>
  <c r="I185" i="4"/>
  <c r="G10" i="4"/>
  <c r="G107" i="4"/>
  <c r="G28" i="4"/>
  <c r="G125" i="4"/>
  <c r="G39" i="4"/>
  <c r="G136" i="4"/>
  <c r="G216" i="4"/>
  <c r="G193" i="4"/>
  <c r="G142" i="4"/>
  <c r="G218" i="4"/>
  <c r="G244" i="4"/>
  <c r="G171" i="4"/>
  <c r="G25" i="4"/>
  <c r="G49" i="4"/>
  <c r="G261" i="4"/>
  <c r="G174" i="4"/>
  <c r="G57" i="4"/>
  <c r="I69" i="4"/>
  <c r="I157" i="4"/>
  <c r="I78" i="4"/>
  <c r="I158" i="4"/>
  <c r="I79" i="4"/>
  <c r="I167" i="4"/>
  <c r="I80" i="4"/>
  <c r="I168" i="4"/>
  <c r="I163" i="4"/>
  <c r="I251" i="4"/>
  <c r="I114" i="4"/>
  <c r="I116" i="4"/>
  <c r="I228" i="4"/>
  <c r="I82" i="4"/>
  <c r="I137" i="4"/>
  <c r="I237" i="4"/>
  <c r="I255" i="4"/>
  <c r="I58" i="4"/>
  <c r="I198" i="4"/>
  <c r="I107" i="4"/>
  <c r="I60" i="4"/>
  <c r="I200" i="4"/>
  <c r="I49" i="4"/>
  <c r="I201" i="4"/>
  <c r="G26" i="4"/>
  <c r="G123" i="4"/>
  <c r="G36" i="4"/>
  <c r="G133" i="4"/>
  <c r="G79" i="4"/>
  <c r="G224" i="4"/>
  <c r="G201" i="4"/>
  <c r="G172" i="4"/>
  <c r="G226" i="4"/>
  <c r="G260" i="4"/>
  <c r="G179" i="4"/>
  <c r="G121" i="4"/>
  <c r="G81" i="4"/>
  <c r="G269" i="4"/>
  <c r="G182" i="4"/>
  <c r="G167" i="4"/>
  <c r="I85" i="4"/>
  <c r="I165" i="4"/>
  <c r="I86" i="4"/>
  <c r="I174" i="4"/>
  <c r="I87" i="4"/>
  <c r="I175" i="4"/>
  <c r="I96" i="4"/>
  <c r="I176" i="4"/>
  <c r="I179" i="4"/>
  <c r="I267" i="4"/>
  <c r="I178" i="4"/>
  <c r="I132" i="4"/>
  <c r="I244" i="4"/>
  <c r="I146" i="4"/>
  <c r="I153" i="4"/>
  <c r="I253" i="4"/>
  <c r="I50" i="4"/>
  <c r="I74" i="4"/>
  <c r="I214" i="4"/>
  <c r="I171" i="4"/>
  <c r="I76" i="4"/>
  <c r="I216" i="4"/>
  <c r="I65" i="4"/>
  <c r="I209" i="4"/>
  <c r="H13" i="4"/>
  <c r="I217" i="4"/>
  <c r="I35" i="4"/>
  <c r="I23" i="4"/>
  <c r="I261" i="4"/>
  <c r="G248" i="4"/>
  <c r="I113" i="4"/>
  <c r="I230" i="4"/>
  <c r="I189" i="4"/>
  <c r="I258" i="4"/>
  <c r="I112" i="4"/>
  <c r="I110" i="4"/>
  <c r="G222" i="4"/>
  <c r="G219" i="4"/>
  <c r="G252" i="4"/>
  <c r="G92" i="4"/>
  <c r="G70" i="4"/>
  <c r="I9" i="4"/>
  <c r="I148" i="4"/>
  <c r="I15" i="4"/>
  <c r="G223" i="4"/>
  <c r="G95" i="4"/>
  <c r="I97" i="4"/>
  <c r="I222" i="4"/>
  <c r="I169" i="4"/>
  <c r="I218" i="4"/>
  <c r="I104" i="4"/>
  <c r="I94" i="4"/>
  <c r="G206" i="4"/>
  <c r="G203" i="4"/>
  <c r="G220" i="4"/>
  <c r="G76" i="4"/>
  <c r="G7" i="4"/>
  <c r="I232" i="4"/>
  <c r="I91" i="4"/>
  <c r="G48" i="4"/>
  <c r="G74" i="4"/>
  <c r="I224" i="4"/>
  <c r="I90" i="4"/>
  <c r="I242" i="4"/>
  <c r="I43" i="4"/>
  <c r="I16" i="4"/>
  <c r="I14" i="4"/>
  <c r="G225" i="4"/>
  <c r="G8" i="4"/>
  <c r="G34" i="4"/>
  <c r="G264" i="4"/>
  <c r="I122" i="4"/>
  <c r="I32" i="4"/>
  <c r="H12" i="4"/>
  <c r="I124" i="4"/>
  <c r="I210" i="4"/>
  <c r="I260" i="4"/>
  <c r="I203" i="4"/>
  <c r="I111" i="4"/>
  <c r="I101" i="4"/>
  <c r="G181" i="4"/>
  <c r="G266" i="4"/>
  <c r="I51" i="4"/>
  <c r="G103" i="4"/>
  <c r="I25" i="4"/>
  <c r="I22" i="4"/>
  <c r="G241" i="4"/>
  <c r="I92" i="4"/>
  <c r="I162" i="4"/>
  <c r="I252" i="4"/>
  <c r="I187" i="4"/>
  <c r="I103" i="4"/>
  <c r="I93" i="4"/>
  <c r="G165" i="4"/>
  <c r="G250" i="4"/>
  <c r="G131" i="4"/>
  <c r="O9" i="4"/>
  <c r="C7" i="4"/>
  <c r="O7" i="4" s="1"/>
  <c r="C8" i="4"/>
  <c r="O8" i="4" s="1"/>
  <c r="I257" i="4"/>
  <c r="I193" i="4"/>
  <c r="I81" i="4"/>
  <c r="I240" i="4"/>
  <c r="I172" i="4"/>
  <c r="I44" i="4"/>
  <c r="I231" i="4"/>
  <c r="I238" i="4"/>
  <c r="I170" i="4"/>
  <c r="I42" i="4"/>
  <c r="I98" i="4"/>
  <c r="I59" i="4"/>
  <c r="I213" i="4"/>
  <c r="I121" i="4"/>
  <c r="I194" i="4"/>
  <c r="I268" i="4"/>
  <c r="I204" i="4"/>
  <c r="I100" i="4"/>
  <c r="I202" i="4"/>
  <c r="I155" i="4"/>
  <c r="I227" i="4"/>
  <c r="I147" i="4"/>
  <c r="I19" i="4"/>
  <c r="I120" i="4"/>
  <c r="I56" i="4"/>
  <c r="I159" i="4"/>
  <c r="I95" i="4"/>
  <c r="I31" i="4"/>
  <c r="I134" i="4"/>
  <c r="I70" i="4"/>
  <c r="I173" i="4"/>
  <c r="I109" i="4"/>
  <c r="I45" i="4"/>
  <c r="G230" i="4"/>
  <c r="G166" i="4"/>
  <c r="G253" i="4"/>
  <c r="G189" i="4"/>
  <c r="G17" i="4"/>
  <c r="G227" i="4"/>
  <c r="G163" i="4"/>
  <c r="G228" i="4"/>
  <c r="G210" i="4"/>
  <c r="G102" i="4"/>
  <c r="G268" i="4"/>
  <c r="G78" i="4"/>
  <c r="G249" i="4"/>
  <c r="G185" i="4"/>
  <c r="G263" i="4"/>
  <c r="H9" i="4"/>
  <c r="G208" i="4"/>
  <c r="G94" i="4"/>
  <c r="G120" i="4"/>
  <c r="G56" i="4"/>
  <c r="G151" i="4"/>
  <c r="G87" i="4"/>
  <c r="G23" i="4"/>
  <c r="N11" i="4"/>
  <c r="G117" i="4"/>
  <c r="G53" i="4"/>
  <c r="G148" i="4"/>
  <c r="G84" i="4"/>
  <c r="G20" i="4"/>
  <c r="G115" i="4"/>
  <c r="G51" i="4"/>
  <c r="G146" i="4"/>
  <c r="G82" i="4"/>
  <c r="G18" i="4"/>
  <c r="I29" i="4"/>
  <c r="G214" i="4"/>
  <c r="G118" i="4"/>
  <c r="G237" i="4"/>
  <c r="G173" i="4"/>
  <c r="G255" i="4"/>
  <c r="G211" i="4"/>
  <c r="G105" i="4"/>
  <c r="G196" i="4"/>
  <c r="G258" i="4"/>
  <c r="G194" i="4"/>
  <c r="G38" i="4"/>
  <c r="G236" i="4"/>
  <c r="G233" i="4"/>
  <c r="G169" i="4"/>
  <c r="G215" i="4"/>
  <c r="G256" i="4"/>
  <c r="G192" i="4"/>
  <c r="G30" i="4"/>
  <c r="G104" i="4"/>
  <c r="G40" i="4"/>
  <c r="G135" i="4"/>
  <c r="G71" i="4"/>
  <c r="M9" i="4"/>
  <c r="N9" i="4" s="1"/>
  <c r="G101" i="4"/>
  <c r="G37" i="4"/>
  <c r="G132" i="4"/>
  <c r="G68" i="4"/>
  <c r="G99" i="4"/>
  <c r="G35" i="4"/>
  <c r="G130" i="4"/>
  <c r="G66" i="4"/>
  <c r="G184" i="4"/>
  <c r="G160" i="4"/>
  <c r="G96" i="4"/>
  <c r="G32" i="4"/>
  <c r="G127" i="4"/>
  <c r="G63" i="4"/>
  <c r="G157" i="4"/>
  <c r="G93" i="4"/>
  <c r="G29" i="4"/>
  <c r="G124" i="4"/>
  <c r="G60" i="4"/>
  <c r="G155" i="4"/>
  <c r="G91" i="4"/>
  <c r="G27" i="4"/>
  <c r="N15" i="4"/>
  <c r="G122" i="4"/>
  <c r="G58" i="4"/>
  <c r="E8" i="4"/>
  <c r="I225" i="4"/>
  <c r="I145" i="4"/>
  <c r="I17" i="4"/>
  <c r="I208" i="4"/>
  <c r="I108" i="4"/>
  <c r="I186" i="4"/>
  <c r="I270" i="4"/>
  <c r="I206" i="4"/>
  <c r="I106" i="4"/>
  <c r="I250" i="4"/>
  <c r="I207" i="4"/>
  <c r="I245" i="4"/>
  <c r="I181" i="4"/>
  <c r="I57" i="4"/>
  <c r="I223" i="4"/>
  <c r="I236" i="4"/>
  <c r="I164" i="4"/>
  <c r="I36" i="4"/>
  <c r="I263" i="4"/>
  <c r="I259" i="4"/>
  <c r="I195" i="4"/>
  <c r="I83" i="4"/>
  <c r="I152" i="4"/>
  <c r="I88" i="4"/>
  <c r="I24" i="4"/>
  <c r="I127" i="4"/>
  <c r="I63" i="4"/>
  <c r="I166" i="4"/>
  <c r="I102" i="4"/>
  <c r="I38" i="4"/>
  <c r="I141" i="4"/>
  <c r="I77" i="4"/>
  <c r="I13" i="4"/>
  <c r="G247" i="4"/>
  <c r="G262" i="4"/>
  <c r="G198" i="4"/>
  <c r="G54" i="4"/>
  <c r="G221" i="4"/>
  <c r="G145" i="4"/>
  <c r="G191" i="4"/>
  <c r="G259" i="4"/>
  <c r="G195" i="4"/>
  <c r="G41" i="4"/>
  <c r="G164" i="4"/>
  <c r="G242" i="4"/>
  <c r="G178" i="4"/>
  <c r="G239" i="4"/>
  <c r="G204" i="4"/>
  <c r="G217" i="4"/>
  <c r="G129" i="4"/>
  <c r="G89" i="4"/>
  <c r="G240" i="4"/>
  <c r="G176" i="4"/>
  <c r="G152" i="4"/>
  <c r="G88" i="4"/>
  <c r="G24" i="4"/>
  <c r="N12" i="4"/>
  <c r="G119" i="4"/>
  <c r="G55" i="4"/>
  <c r="G149" i="4"/>
  <c r="G85" i="4"/>
  <c r="G21" i="4"/>
  <c r="G116" i="4"/>
  <c r="G52" i="4"/>
  <c r="G147" i="4"/>
  <c r="G83" i="4"/>
  <c r="G19" i="4"/>
  <c r="G114" i="4"/>
  <c r="G50" i="4"/>
  <c r="G199" i="4"/>
  <c r="G254" i="4"/>
  <c r="G190" i="4"/>
  <c r="G22" i="4"/>
  <c r="G213" i="4"/>
  <c r="G113" i="4"/>
  <c r="G175" i="4"/>
  <c r="G251" i="4"/>
  <c r="G187" i="4"/>
  <c r="G9" i="4"/>
  <c r="G110" i="4"/>
  <c r="G234" i="4"/>
  <c r="G170" i="4"/>
  <c r="G207" i="4"/>
  <c r="G188" i="4"/>
  <c r="G209" i="4"/>
  <c r="G97" i="4"/>
  <c r="G232" i="4"/>
  <c r="G168" i="4"/>
  <c r="G144" i="4"/>
  <c r="G80" i="4"/>
  <c r="G16" i="4"/>
  <c r="G111" i="4"/>
  <c r="G47" i="4"/>
  <c r="G141" i="4"/>
  <c r="G77" i="4"/>
  <c r="G13" i="4"/>
  <c r="G108" i="4"/>
  <c r="G44" i="4"/>
  <c r="G139" i="4"/>
  <c r="G75" i="4"/>
  <c r="G11" i="4"/>
  <c r="G106" i="4"/>
  <c r="G42" i="4"/>
  <c r="G152" i="9"/>
  <c r="G175" i="9"/>
  <c r="G67" i="9"/>
  <c r="G162" i="9"/>
  <c r="G98" i="9"/>
  <c r="G93" i="9"/>
  <c r="G208" i="9"/>
  <c r="G96" i="9"/>
  <c r="G267" i="9"/>
  <c r="G121" i="9"/>
  <c r="G247" i="9"/>
  <c r="G262" i="9"/>
  <c r="G180" i="9"/>
  <c r="G185" i="9"/>
  <c r="G65" i="9"/>
  <c r="G79" i="9"/>
  <c r="G213" i="9"/>
  <c r="G136" i="9"/>
  <c r="G265" i="9"/>
  <c r="G51" i="9"/>
  <c r="G146" i="9"/>
  <c r="G82" i="9"/>
  <c r="G77" i="9"/>
  <c r="G192" i="9"/>
  <c r="G80" i="9"/>
  <c r="G203" i="9"/>
  <c r="G89" i="9"/>
  <c r="G86" i="9"/>
  <c r="G246" i="9"/>
  <c r="G84" i="9"/>
  <c r="G164" i="9"/>
  <c r="G49" i="9"/>
  <c r="G117" i="9"/>
  <c r="G158" i="9"/>
  <c r="G63" i="9"/>
  <c r="G101" i="9"/>
  <c r="G204" i="9"/>
  <c r="G113" i="9"/>
  <c r="G147" i="9"/>
  <c r="G260" i="9"/>
  <c r="G132" i="9"/>
  <c r="G103" i="9"/>
  <c r="G237" i="9"/>
  <c r="G254" i="9"/>
  <c r="G126" i="9"/>
  <c r="G263" i="9"/>
  <c r="G253" i="9"/>
  <c r="G172" i="9"/>
  <c r="G81" i="9"/>
  <c r="G190" i="9"/>
  <c r="G95" i="9"/>
  <c r="G236" i="9"/>
  <c r="G108" i="9"/>
  <c r="G62" i="9"/>
  <c r="M17" i="9"/>
  <c r="B235" i="1"/>
  <c r="B5" i="1"/>
  <c r="L11" i="1" s="1"/>
  <c r="C126" i="1" s="1"/>
  <c r="B59" i="1"/>
  <c r="B183" i="1"/>
  <c r="B103" i="1"/>
  <c r="B214" i="1"/>
  <c r="B130" i="1"/>
  <c r="B253" i="1"/>
  <c r="B161" i="1"/>
  <c r="B77" i="1"/>
  <c r="B192" i="1"/>
  <c r="B100" i="1"/>
  <c r="E246" i="1"/>
  <c r="E14" i="1"/>
  <c r="F14" i="1" s="1"/>
  <c r="E156" i="1"/>
  <c r="F156" i="1" s="1"/>
  <c r="E187" i="1"/>
  <c r="E250" i="1"/>
  <c r="E157" i="1"/>
  <c r="E25" i="1"/>
  <c r="F25" i="1" s="1"/>
  <c r="E56" i="1"/>
  <c r="E159" i="1"/>
  <c r="E22" i="1"/>
  <c r="F22" i="1" s="1"/>
  <c r="E133" i="1"/>
  <c r="E100" i="1"/>
  <c r="E131" i="1"/>
  <c r="E194" i="1"/>
  <c r="B15" i="1"/>
  <c r="B167" i="1"/>
  <c r="B194" i="1"/>
  <c r="B114" i="1"/>
  <c r="B225" i="1"/>
  <c r="B141" i="1"/>
  <c r="B256" i="1"/>
  <c r="B80" i="1"/>
  <c r="E127" i="1"/>
  <c r="E231" i="1"/>
  <c r="E117" i="1"/>
  <c r="E92" i="1"/>
  <c r="E123" i="1"/>
  <c r="E186" i="1"/>
  <c r="E217" i="1"/>
  <c r="E248" i="1"/>
  <c r="C38" i="1"/>
  <c r="E225" i="1"/>
  <c r="B33" i="1"/>
  <c r="B75" i="1"/>
  <c r="B164" i="1"/>
  <c r="B42" i="1"/>
  <c r="B56" i="1"/>
  <c r="B7" i="1"/>
  <c r="B29" i="1"/>
  <c r="B151" i="1"/>
  <c r="B71" i="1"/>
  <c r="B182" i="1"/>
  <c r="B98" i="1"/>
  <c r="B221" i="1"/>
  <c r="B129" i="1"/>
  <c r="B240" i="1"/>
  <c r="B160" i="1"/>
  <c r="B68" i="1"/>
  <c r="E158" i="1"/>
  <c r="E143" i="1"/>
  <c r="E29" i="1"/>
  <c r="F29" i="1" s="1"/>
  <c r="E36" i="1"/>
  <c r="F36" i="1" s="1"/>
  <c r="E67" i="1"/>
  <c r="E130" i="1"/>
  <c r="E161" i="1"/>
  <c r="E32" i="1"/>
  <c r="F32" i="1" s="1"/>
  <c r="E96" i="1"/>
  <c r="E160" i="1"/>
  <c r="E224" i="1"/>
  <c r="F224" i="1" s="1"/>
  <c r="E221" i="1"/>
  <c r="E65" i="1"/>
  <c r="E129" i="1"/>
  <c r="E193" i="1"/>
  <c r="E257" i="1"/>
  <c r="E34" i="1"/>
  <c r="F34" i="1" s="1"/>
  <c r="E98" i="1"/>
  <c r="E162" i="1"/>
  <c r="E226" i="1"/>
  <c r="E149" i="1"/>
  <c r="E35" i="1"/>
  <c r="F35" i="1" s="1"/>
  <c r="E99" i="1"/>
  <c r="E163" i="1"/>
  <c r="E227" i="1"/>
  <c r="E245" i="1"/>
  <c r="E68" i="1"/>
  <c r="E132" i="1"/>
  <c r="E196" i="1"/>
  <c r="E260" i="1"/>
  <c r="E93" i="1"/>
  <c r="E213" i="1"/>
  <c r="E174" i="1"/>
  <c r="E15" i="1"/>
  <c r="F15" i="1" s="1"/>
  <c r="E255" i="1"/>
  <c r="F255" i="1" s="1"/>
  <c r="E150" i="1"/>
  <c r="E151" i="1"/>
  <c r="E30" i="1"/>
  <c r="F30" i="1" s="1"/>
  <c r="E31" i="1"/>
  <c r="F31" i="1" s="1"/>
  <c r="E230" i="1"/>
  <c r="B84" i="1"/>
  <c r="B116" i="1"/>
  <c r="B148" i="1"/>
  <c r="B180" i="1"/>
  <c r="B212" i="1"/>
  <c r="B244" i="1"/>
  <c r="B81" i="1"/>
  <c r="B113" i="1"/>
  <c r="B145" i="1"/>
  <c r="B177" i="1"/>
  <c r="B209" i="1"/>
  <c r="B241" i="1"/>
  <c r="B70" i="1"/>
  <c r="B102" i="1"/>
  <c r="B134" i="1"/>
  <c r="B166" i="1"/>
  <c r="B198" i="1"/>
  <c r="B230" i="1"/>
  <c r="B262" i="1"/>
  <c r="B91" i="1"/>
  <c r="B123" i="1"/>
  <c r="B155" i="1"/>
  <c r="B187" i="1"/>
  <c r="B219" i="1"/>
  <c r="B61" i="1"/>
  <c r="B14" i="1"/>
  <c r="B12" i="1"/>
  <c r="B47" i="1"/>
  <c r="B264" i="1"/>
  <c r="B9" i="1"/>
  <c r="B50" i="1"/>
  <c r="B10" i="1"/>
  <c r="B268" i="1"/>
  <c r="E40" i="1"/>
  <c r="F40" i="1" s="1"/>
  <c r="E104" i="1"/>
  <c r="E168" i="1"/>
  <c r="E232" i="1"/>
  <c r="E9" i="1"/>
  <c r="F9" i="1" s="1"/>
  <c r="E73" i="1"/>
  <c r="E137" i="1"/>
  <c r="E201" i="1"/>
  <c r="E265" i="1"/>
  <c r="E42" i="1"/>
  <c r="F42" i="1" s="1"/>
  <c r="E106" i="1"/>
  <c r="E170" i="1"/>
  <c r="E234" i="1"/>
  <c r="E189" i="1"/>
  <c r="E43" i="1"/>
  <c r="F43" i="1" s="1"/>
  <c r="E107" i="1"/>
  <c r="E171" i="1"/>
  <c r="E235" i="1"/>
  <c r="F235" i="1" s="1"/>
  <c r="E12" i="1"/>
  <c r="F12" i="1" s="1"/>
  <c r="E76" i="1"/>
  <c r="E140" i="1"/>
  <c r="E204" i="1"/>
  <c r="E268" i="1"/>
  <c r="E101" i="1"/>
  <c r="E253" i="1"/>
  <c r="E206" i="1"/>
  <c r="E47" i="1"/>
  <c r="E134" i="1"/>
  <c r="E182" i="1"/>
  <c r="E183" i="1"/>
  <c r="E62" i="1"/>
  <c r="E63" i="1"/>
  <c r="E135" i="1"/>
  <c r="B88" i="1"/>
  <c r="B120" i="1"/>
  <c r="B152" i="1"/>
  <c r="B184" i="1"/>
  <c r="B216" i="1"/>
  <c r="B248" i="1"/>
  <c r="B85" i="1"/>
  <c r="B117" i="1"/>
  <c r="B149" i="1"/>
  <c r="B181" i="1"/>
  <c r="B213" i="1"/>
  <c r="B245" i="1"/>
  <c r="B74" i="1"/>
  <c r="B106" i="1"/>
  <c r="B138" i="1"/>
  <c r="B170" i="1"/>
  <c r="B202" i="1"/>
  <c r="B234" i="1"/>
  <c r="B266" i="1"/>
  <c r="B95" i="1"/>
  <c r="B127" i="1"/>
  <c r="B159" i="1"/>
  <c r="B191" i="1"/>
  <c r="B251" i="1"/>
  <c r="B11" i="1"/>
  <c r="B22" i="1"/>
  <c r="B243" i="1"/>
  <c r="B55" i="1"/>
  <c r="B8" i="1"/>
  <c r="B17" i="1"/>
  <c r="B58" i="1"/>
  <c r="B18" i="1"/>
  <c r="B20" i="1"/>
  <c r="E48" i="1"/>
  <c r="E112" i="1"/>
  <c r="E176" i="1"/>
  <c r="E240" i="1"/>
  <c r="E17" i="1"/>
  <c r="F17" i="1" s="1"/>
  <c r="E81" i="1"/>
  <c r="E145" i="1"/>
  <c r="E209" i="1"/>
  <c r="E69" i="1"/>
  <c r="E50" i="1"/>
  <c r="E114" i="1"/>
  <c r="E178" i="1"/>
  <c r="E242" i="1"/>
  <c r="E205" i="1"/>
  <c r="E51" i="1"/>
  <c r="E115" i="1"/>
  <c r="E179" i="1"/>
  <c r="E243" i="1"/>
  <c r="E20" i="1"/>
  <c r="F20" i="1" s="1"/>
  <c r="E84" i="1"/>
  <c r="E148" i="1"/>
  <c r="E212" i="1"/>
  <c r="E13" i="1"/>
  <c r="F13" i="1" s="1"/>
  <c r="E109" i="1"/>
  <c r="E7" i="1"/>
  <c r="F7" i="1" s="1"/>
  <c r="E238" i="1"/>
  <c r="E79" i="1"/>
  <c r="E103" i="1"/>
  <c r="E214" i="1"/>
  <c r="E215" i="1"/>
  <c r="E94" i="1"/>
  <c r="E95" i="1"/>
  <c r="F95" i="1" s="1"/>
  <c r="E263" i="1"/>
  <c r="B92" i="1"/>
  <c r="B124" i="1"/>
  <c r="B156" i="1"/>
  <c r="B188" i="1"/>
  <c r="B220" i="1"/>
  <c r="B252" i="1"/>
  <c r="B89" i="1"/>
  <c r="B121" i="1"/>
  <c r="B153" i="1"/>
  <c r="B185" i="1"/>
  <c r="B217" i="1"/>
  <c r="B249" i="1"/>
  <c r="B78" i="1"/>
  <c r="B110" i="1"/>
  <c r="B142" i="1"/>
  <c r="B174" i="1"/>
  <c r="B206" i="1"/>
  <c r="B238" i="1"/>
  <c r="B67" i="1"/>
  <c r="B99" i="1"/>
  <c r="B131" i="1"/>
  <c r="B163" i="1"/>
  <c r="B195" i="1"/>
  <c r="B13" i="1"/>
  <c r="B27" i="1"/>
  <c r="B30" i="1"/>
  <c r="B263" i="1"/>
  <c r="B63" i="1"/>
  <c r="B16" i="1"/>
  <c r="B25" i="1"/>
  <c r="B267" i="1"/>
  <c r="B26" i="1"/>
  <c r="B60" i="1"/>
  <c r="E8" i="1"/>
  <c r="F8" i="1" s="1"/>
  <c r="E72" i="1"/>
  <c r="E136" i="1"/>
  <c r="E200" i="1"/>
  <c r="E264" i="1"/>
  <c r="E41" i="1"/>
  <c r="F41" i="1" s="1"/>
  <c r="E105" i="1"/>
  <c r="E169" i="1"/>
  <c r="E233" i="1"/>
  <c r="E10" i="1"/>
  <c r="F10" i="1" s="1"/>
  <c r="E74" i="1"/>
  <c r="E138" i="1"/>
  <c r="E202" i="1"/>
  <c r="E266" i="1"/>
  <c r="E11" i="1"/>
  <c r="F11" i="1" s="1"/>
  <c r="E75" i="1"/>
  <c r="E139" i="1"/>
  <c r="E203" i="1"/>
  <c r="E267" i="1"/>
  <c r="E44" i="1"/>
  <c r="F44" i="1" s="1"/>
  <c r="E108" i="1"/>
  <c r="E172" i="1"/>
  <c r="E236" i="1"/>
  <c r="E37" i="1"/>
  <c r="F37" i="1" s="1"/>
  <c r="E141" i="1"/>
  <c r="E78" i="1"/>
  <c r="E262" i="1"/>
  <c r="E175" i="1"/>
  <c r="E54" i="1"/>
  <c r="E55" i="1"/>
  <c r="E166" i="1"/>
  <c r="E190" i="1"/>
  <c r="E191" i="1"/>
  <c r="B72" i="1"/>
  <c r="B104" i="1"/>
  <c r="B136" i="1"/>
  <c r="B168" i="1"/>
  <c r="B200" i="1"/>
  <c r="B232" i="1"/>
  <c r="B69" i="1"/>
  <c r="B101" i="1"/>
  <c r="B133" i="1"/>
  <c r="B165" i="1"/>
  <c r="B197" i="1"/>
  <c r="B229" i="1"/>
  <c r="B261" i="1"/>
  <c r="B90" i="1"/>
  <c r="B122" i="1"/>
  <c r="B154" i="1"/>
  <c r="B186" i="1"/>
  <c r="B218" i="1"/>
  <c r="B250" i="1"/>
  <c r="B79" i="1"/>
  <c r="B111" i="1"/>
  <c r="B143" i="1"/>
  <c r="B175" i="1"/>
  <c r="B207" i="1"/>
  <c r="B37" i="1"/>
  <c r="B44" i="1"/>
  <c r="B54" i="1"/>
  <c r="B23" i="1"/>
  <c r="B28" i="1"/>
  <c r="B40" i="1"/>
  <c r="B49" i="1"/>
  <c r="B51" i="1"/>
  <c r="B36" i="1"/>
  <c r="E24" i="1"/>
  <c r="F24" i="1" s="1"/>
  <c r="E152" i="1"/>
  <c r="E165" i="1"/>
  <c r="E121" i="1"/>
  <c r="F121" i="1" s="1"/>
  <c r="E249" i="1"/>
  <c r="E90" i="1"/>
  <c r="E218" i="1"/>
  <c r="E27" i="1"/>
  <c r="F27" i="1" s="1"/>
  <c r="E155" i="1"/>
  <c r="E181" i="1"/>
  <c r="E124" i="1"/>
  <c r="E252" i="1"/>
  <c r="F252" i="1" s="1"/>
  <c r="E197" i="1"/>
  <c r="E199" i="1"/>
  <c r="E118" i="1"/>
  <c r="E167" i="1"/>
  <c r="E102" i="1"/>
  <c r="E16" i="1"/>
  <c r="F16" i="1" s="1"/>
  <c r="E80" i="1"/>
  <c r="E144" i="1"/>
  <c r="E208" i="1"/>
  <c r="E61" i="1"/>
  <c r="E49" i="1"/>
  <c r="E113" i="1"/>
  <c r="E177" i="1"/>
  <c r="E241" i="1"/>
  <c r="E18" i="1"/>
  <c r="F18" i="1" s="1"/>
  <c r="E82" i="1"/>
  <c r="F82" i="1" s="1"/>
  <c r="E146" i="1"/>
  <c r="E210" i="1"/>
  <c r="E85" i="1"/>
  <c r="E19" i="1"/>
  <c r="F19" i="1" s="1"/>
  <c r="E83" i="1"/>
  <c r="E147" i="1"/>
  <c r="E211" i="1"/>
  <c r="E53" i="1"/>
  <c r="E52" i="1"/>
  <c r="E116" i="1"/>
  <c r="E180" i="1"/>
  <c r="E244" i="1"/>
  <c r="E45" i="1"/>
  <c r="F45" i="1" s="1"/>
  <c r="E173" i="1"/>
  <c r="E110" i="1"/>
  <c r="E39" i="1"/>
  <c r="F39" i="1" s="1"/>
  <c r="E207" i="1"/>
  <c r="E86" i="1"/>
  <c r="E87" i="1"/>
  <c r="E71" i="1"/>
  <c r="E222" i="1"/>
  <c r="E223" i="1"/>
  <c r="B76" i="1"/>
  <c r="B108" i="1"/>
  <c r="B140" i="1"/>
  <c r="B172" i="1"/>
  <c r="B204" i="1"/>
  <c r="B236" i="1"/>
  <c r="B73" i="1"/>
  <c r="B105" i="1"/>
  <c r="B137" i="1"/>
  <c r="B169" i="1"/>
  <c r="B201" i="1"/>
  <c r="B233" i="1"/>
  <c r="B265" i="1"/>
  <c r="B94" i="1"/>
  <c r="B126" i="1"/>
  <c r="B158" i="1"/>
  <c r="B190" i="1"/>
  <c r="B222" i="1"/>
  <c r="B254" i="1"/>
  <c r="B83" i="1"/>
  <c r="B115" i="1"/>
  <c r="B147" i="1"/>
  <c r="B179" i="1"/>
  <c r="B211" i="1"/>
  <c r="B45" i="1"/>
  <c r="B231" i="1"/>
  <c r="B62" i="1"/>
  <c r="B31" i="1"/>
  <c r="B223" i="1"/>
  <c r="B48" i="1"/>
  <c r="B57" i="1"/>
  <c r="B52" i="1"/>
  <c r="B227" i="1"/>
  <c r="E88" i="1"/>
  <c r="F88" i="1" s="1"/>
  <c r="E216" i="1"/>
  <c r="E57" i="1"/>
  <c r="E185" i="1"/>
  <c r="E26" i="1"/>
  <c r="F26" i="1" s="1"/>
  <c r="E154" i="1"/>
  <c r="E125" i="1"/>
  <c r="E91" i="1"/>
  <c r="E219" i="1"/>
  <c r="E60" i="1"/>
  <c r="E188" i="1"/>
  <c r="E77" i="1"/>
  <c r="E142" i="1"/>
  <c r="E239" i="1"/>
  <c r="E119" i="1"/>
  <c r="E254" i="1"/>
  <c r="B259" i="1"/>
  <c r="B34" i="1"/>
  <c r="B260" i="1"/>
  <c r="B21" i="1"/>
  <c r="B139" i="1"/>
  <c r="B258" i="1"/>
  <c r="B178" i="1"/>
  <c r="B86" i="1"/>
  <c r="B205" i="1"/>
  <c r="B125" i="1"/>
  <c r="B228" i="1"/>
  <c r="B144" i="1"/>
  <c r="B64" i="1"/>
  <c r="E126" i="1"/>
  <c r="E111" i="1"/>
  <c r="E21" i="1"/>
  <c r="F21" i="1" s="1"/>
  <c r="E28" i="1"/>
  <c r="F28" i="1" s="1"/>
  <c r="E59" i="1"/>
  <c r="E122" i="1"/>
  <c r="E153" i="1"/>
  <c r="E184" i="1"/>
  <c r="E256" i="1"/>
  <c r="B53" i="1"/>
  <c r="B32" i="1"/>
  <c r="B247" i="1"/>
  <c r="B24" i="1"/>
  <c r="B46" i="1"/>
  <c r="B215" i="1"/>
  <c r="B135" i="1"/>
  <c r="B246" i="1"/>
  <c r="B162" i="1"/>
  <c r="B82" i="1"/>
  <c r="B193" i="1"/>
  <c r="B109" i="1"/>
  <c r="B224" i="1"/>
  <c r="B132" i="1"/>
  <c r="E70" i="1"/>
  <c r="E198" i="1"/>
  <c r="E228" i="1"/>
  <c r="E259" i="1"/>
  <c r="E261" i="1"/>
  <c r="F261" i="1" s="1"/>
  <c r="E66" i="1"/>
  <c r="E97" i="1"/>
  <c r="E128" i="1"/>
  <c r="H14" i="2"/>
  <c r="H22" i="2"/>
  <c r="H30" i="2"/>
  <c r="H38" i="2"/>
  <c r="H46" i="2"/>
  <c r="H54" i="2"/>
  <c r="H62" i="2"/>
  <c r="H70" i="2"/>
  <c r="H78" i="2"/>
  <c r="H86" i="2"/>
  <c r="H94" i="2"/>
  <c r="H102" i="2"/>
  <c r="H110" i="2"/>
  <c r="H118" i="2"/>
  <c r="H126" i="2"/>
  <c r="H134" i="2"/>
  <c r="H142" i="2"/>
  <c r="H150" i="2"/>
  <c r="H158" i="2"/>
  <c r="H166" i="2"/>
  <c r="H174" i="2"/>
  <c r="H182" i="2"/>
  <c r="H190" i="2"/>
  <c r="H198" i="2"/>
  <c r="H206" i="2"/>
  <c r="H214" i="2"/>
  <c r="H222" i="2"/>
  <c r="H254" i="2"/>
  <c r="H7" i="2"/>
  <c r="H15" i="2"/>
  <c r="H23" i="2"/>
  <c r="H31" i="2"/>
  <c r="H39" i="2"/>
  <c r="H47" i="2"/>
  <c r="H55" i="2"/>
  <c r="H63" i="2"/>
  <c r="H71" i="2"/>
  <c r="H79" i="2"/>
  <c r="H87" i="2"/>
  <c r="H95" i="2"/>
  <c r="H103" i="2"/>
  <c r="H111" i="2"/>
  <c r="H119" i="2"/>
  <c r="H127" i="2"/>
  <c r="H135" i="2"/>
  <c r="H143" i="2"/>
  <c r="H151" i="2"/>
  <c r="H159" i="2"/>
  <c r="H167" i="2"/>
  <c r="H175" i="2"/>
  <c r="H183" i="2"/>
  <c r="H191" i="2"/>
  <c r="H199" i="2"/>
  <c r="H207" i="2"/>
  <c r="H215" i="2"/>
  <c r="H223" i="2"/>
  <c r="H231" i="2"/>
  <c r="H239" i="2"/>
  <c r="H247" i="2"/>
  <c r="H255" i="2"/>
  <c r="H263" i="2"/>
  <c r="H176" i="2"/>
  <c r="H208" i="2"/>
  <c r="H232" i="2"/>
  <c r="H248" i="2"/>
  <c r="H264" i="2"/>
  <c r="H44" i="2"/>
  <c r="H140" i="2"/>
  <c r="H188" i="2"/>
  <c r="H236" i="2"/>
  <c r="H205" i="2"/>
  <c r="H229" i="2"/>
  <c r="H261" i="2"/>
  <c r="H246" i="2"/>
  <c r="H8" i="2"/>
  <c r="H16" i="2"/>
  <c r="H24" i="2"/>
  <c r="H32" i="2"/>
  <c r="H40" i="2"/>
  <c r="H48" i="2"/>
  <c r="H56" i="2"/>
  <c r="H64" i="2"/>
  <c r="H72" i="2"/>
  <c r="H80" i="2"/>
  <c r="H88" i="2"/>
  <c r="H96" i="2"/>
  <c r="H104" i="2"/>
  <c r="H112" i="2"/>
  <c r="H120" i="2"/>
  <c r="H128" i="2"/>
  <c r="H136" i="2"/>
  <c r="H144" i="2"/>
  <c r="H152" i="2"/>
  <c r="H160" i="2"/>
  <c r="H168" i="2"/>
  <c r="H184" i="2"/>
  <c r="H192" i="2"/>
  <c r="H200" i="2"/>
  <c r="H216" i="2"/>
  <c r="H224" i="2"/>
  <c r="H240" i="2"/>
  <c r="H256" i="2"/>
  <c r="H36" i="2"/>
  <c r="H52" i="2"/>
  <c r="H68" i="2"/>
  <c r="H92" i="2"/>
  <c r="H108" i="2"/>
  <c r="H148" i="2"/>
  <c r="H172" i="2"/>
  <c r="H220" i="2"/>
  <c r="H252" i="2"/>
  <c r="H189" i="2"/>
  <c r="H237" i="2"/>
  <c r="H269" i="2"/>
  <c r="H262" i="2"/>
  <c r="H9" i="2"/>
  <c r="H17" i="2"/>
  <c r="H25" i="2"/>
  <c r="H33" i="2"/>
  <c r="H41" i="2"/>
  <c r="H49" i="2"/>
  <c r="H57" i="2"/>
  <c r="H65" i="2"/>
  <c r="H73" i="2"/>
  <c r="H81" i="2"/>
  <c r="H89" i="2"/>
  <c r="H97" i="2"/>
  <c r="H105" i="2"/>
  <c r="H113" i="2"/>
  <c r="H121" i="2"/>
  <c r="H129" i="2"/>
  <c r="H137" i="2"/>
  <c r="H145" i="2"/>
  <c r="H153" i="2"/>
  <c r="H161" i="2"/>
  <c r="H169" i="2"/>
  <c r="H177" i="2"/>
  <c r="H185" i="2"/>
  <c r="H193" i="2"/>
  <c r="H201" i="2"/>
  <c r="H209" i="2"/>
  <c r="H217" i="2"/>
  <c r="H225" i="2"/>
  <c r="H233" i="2"/>
  <c r="H241" i="2"/>
  <c r="H249" i="2"/>
  <c r="H257" i="2"/>
  <c r="H265" i="2"/>
  <c r="H195" i="2"/>
  <c r="H227" i="2"/>
  <c r="H251" i="2"/>
  <c r="H20" i="2"/>
  <c r="H132" i="2"/>
  <c r="H204" i="2"/>
  <c r="H260" i="2"/>
  <c r="H10" i="2"/>
  <c r="H18" i="2"/>
  <c r="H26" i="2"/>
  <c r="H34" i="2"/>
  <c r="H42" i="2"/>
  <c r="H50" i="2"/>
  <c r="H58" i="2"/>
  <c r="H66" i="2"/>
  <c r="H74" i="2"/>
  <c r="H82" i="2"/>
  <c r="H90" i="2"/>
  <c r="H98" i="2"/>
  <c r="H106" i="2"/>
  <c r="H114" i="2"/>
  <c r="H122" i="2"/>
  <c r="H130" i="2"/>
  <c r="H138" i="2"/>
  <c r="H146" i="2"/>
  <c r="H154" i="2"/>
  <c r="H162" i="2"/>
  <c r="H170" i="2"/>
  <c r="H178" i="2"/>
  <c r="H186" i="2"/>
  <c r="H194" i="2"/>
  <c r="H202" i="2"/>
  <c r="H210" i="2"/>
  <c r="H218" i="2"/>
  <c r="H226" i="2"/>
  <c r="H234" i="2"/>
  <c r="H242" i="2"/>
  <c r="H250" i="2"/>
  <c r="H258" i="2"/>
  <c r="H266" i="2"/>
  <c r="H171" i="2"/>
  <c r="H211" i="2"/>
  <c r="H243" i="2"/>
  <c r="H267" i="2"/>
  <c r="H12" i="2"/>
  <c r="H84" i="2"/>
  <c r="H124" i="2"/>
  <c r="H164" i="2"/>
  <c r="H196" i="2"/>
  <c r="H228" i="2"/>
  <c r="H268" i="2"/>
  <c r="H213" i="2"/>
  <c r="H245" i="2"/>
  <c r="H230" i="2"/>
  <c r="H11" i="2"/>
  <c r="H19" i="2"/>
  <c r="H27" i="2"/>
  <c r="H35" i="2"/>
  <c r="H43" i="2"/>
  <c r="H51" i="2"/>
  <c r="H59" i="2"/>
  <c r="H67" i="2"/>
  <c r="H75" i="2"/>
  <c r="H83" i="2"/>
  <c r="H91" i="2"/>
  <c r="H99" i="2"/>
  <c r="H107" i="2"/>
  <c r="H115" i="2"/>
  <c r="H123" i="2"/>
  <c r="H131" i="2"/>
  <c r="H139" i="2"/>
  <c r="H147" i="2"/>
  <c r="H155" i="2"/>
  <c r="H163" i="2"/>
  <c r="H179" i="2"/>
  <c r="H187" i="2"/>
  <c r="H203" i="2"/>
  <c r="H219" i="2"/>
  <c r="H235" i="2"/>
  <c r="H259" i="2"/>
  <c r="H28" i="2"/>
  <c r="H60" i="2"/>
  <c r="H76" i="2"/>
  <c r="H100" i="2"/>
  <c r="H116" i="2"/>
  <c r="H156" i="2"/>
  <c r="H180" i="2"/>
  <c r="H212" i="2"/>
  <c r="H244" i="2"/>
  <c r="H197" i="2"/>
  <c r="H221" i="2"/>
  <c r="H253" i="2"/>
  <c r="H238" i="2"/>
  <c r="H270" i="2"/>
  <c r="H13" i="2"/>
  <c r="H21" i="2"/>
  <c r="H29" i="2"/>
  <c r="H37" i="2"/>
  <c r="H45" i="2"/>
  <c r="H53" i="2"/>
  <c r="H61" i="2"/>
  <c r="H69" i="2"/>
  <c r="H77" i="2"/>
  <c r="H85" i="2"/>
  <c r="H93" i="2"/>
  <c r="H101" i="2"/>
  <c r="H109" i="2"/>
  <c r="H117" i="2"/>
  <c r="H125" i="2"/>
  <c r="H133" i="2"/>
  <c r="H141" i="2"/>
  <c r="H149" i="2"/>
  <c r="H157" i="2"/>
  <c r="H165" i="2"/>
  <c r="H173" i="2"/>
  <c r="H181" i="2"/>
  <c r="I21" i="2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C165" i="1"/>
  <c r="C236" i="1"/>
  <c r="C52" i="1"/>
  <c r="C163" i="1"/>
  <c r="C133" i="1"/>
  <c r="C217" i="1"/>
  <c r="C224" i="1"/>
  <c r="C48" i="1"/>
  <c r="C73" i="1"/>
  <c r="C143" i="1"/>
  <c r="C138" i="1"/>
  <c r="C6" i="1"/>
  <c r="C109" i="1"/>
  <c r="C220" i="1"/>
  <c r="C44" i="1"/>
  <c r="C123" i="1"/>
  <c r="C242" i="1"/>
  <c r="C201" i="1"/>
  <c r="C184" i="1"/>
  <c r="C32" i="1"/>
  <c r="C49" i="1"/>
  <c r="C103" i="1"/>
  <c r="C225" i="1"/>
  <c r="C118" i="1"/>
  <c r="C101" i="1"/>
  <c r="C180" i="1"/>
  <c r="C28" i="1"/>
  <c r="C115" i="1"/>
  <c r="C146" i="1"/>
  <c r="C161" i="1"/>
  <c r="C176" i="1"/>
  <c r="C266" i="1"/>
  <c r="C9" i="1"/>
  <c r="C95" i="1"/>
  <c r="C254" i="1"/>
  <c r="C102" i="1"/>
  <c r="C253" i="1"/>
  <c r="C85" i="1"/>
  <c r="C172" i="1"/>
  <c r="C251" i="1"/>
  <c r="C99" i="1"/>
  <c r="C122" i="1"/>
  <c r="C81" i="1"/>
  <c r="C160" i="1"/>
  <c r="C234" i="1"/>
  <c r="C231" i="1"/>
  <c r="C79" i="1"/>
  <c r="C246" i="1"/>
  <c r="C62" i="1"/>
  <c r="C213" i="1"/>
  <c r="C45" i="1"/>
  <c r="C156" i="1"/>
  <c r="C243" i="1"/>
  <c r="C59" i="1"/>
  <c r="C98" i="1"/>
  <c r="C65" i="1"/>
  <c r="C120" i="1"/>
  <c r="C178" i="1"/>
  <c r="C223" i="1"/>
  <c r="C39" i="1"/>
  <c r="C230" i="1"/>
  <c r="C54" i="1"/>
  <c r="C229" i="1"/>
  <c r="C37" i="1"/>
  <c r="C116" i="1"/>
  <c r="C227" i="1"/>
  <c r="C51" i="1"/>
  <c r="C42" i="1"/>
  <c r="C41" i="1"/>
  <c r="C112" i="1"/>
  <c r="C257" i="1"/>
  <c r="C207" i="1"/>
  <c r="C31" i="1"/>
  <c r="C190" i="1"/>
  <c r="C261" i="1"/>
  <c r="C21" i="1"/>
  <c r="C108" i="1"/>
  <c r="C187" i="1"/>
  <c r="C35" i="1"/>
  <c r="C34" i="1"/>
  <c r="C248" i="1"/>
  <c r="C96" i="1"/>
  <c r="C233" i="1"/>
  <c r="C167" i="1"/>
  <c r="C15" i="1"/>
  <c r="C182" i="1"/>
  <c r="C189" i="1"/>
  <c r="C244" i="1"/>
  <c r="C92" i="1"/>
  <c r="C179" i="1"/>
  <c r="C173" i="1"/>
  <c r="C18" i="1"/>
  <c r="C240" i="1"/>
  <c r="C56" i="1"/>
  <c r="C185" i="1"/>
  <c r="C159" i="1"/>
  <c r="C170" i="1"/>
  <c r="C166" i="1"/>
  <c r="C245" i="1"/>
  <c r="C181" i="1"/>
  <c r="C93" i="1"/>
  <c r="C29" i="1"/>
  <c r="C228" i="1"/>
  <c r="C164" i="1"/>
  <c r="C100" i="1"/>
  <c r="C36" i="1"/>
  <c r="C235" i="1"/>
  <c r="C171" i="1"/>
  <c r="C107" i="1"/>
  <c r="C43" i="1"/>
  <c r="C258" i="1"/>
  <c r="C114" i="1"/>
  <c r="C26" i="1"/>
  <c r="C177" i="1"/>
  <c r="C57" i="1"/>
  <c r="C232" i="1"/>
  <c r="C168" i="1"/>
  <c r="C104" i="1"/>
  <c r="C40" i="1"/>
  <c r="C210" i="1"/>
  <c r="C209" i="1"/>
  <c r="C33" i="1"/>
  <c r="C215" i="1"/>
  <c r="C151" i="1"/>
  <c r="C87" i="1"/>
  <c r="C23" i="1"/>
  <c r="C90" i="1"/>
  <c r="C238" i="1"/>
  <c r="C174" i="1"/>
  <c r="C110" i="1"/>
  <c r="C46" i="1"/>
  <c r="C221" i="1"/>
  <c r="C157" i="1"/>
  <c r="C77" i="1"/>
  <c r="C13" i="1"/>
  <c r="C212" i="1"/>
  <c r="C148" i="1"/>
  <c r="C84" i="1"/>
  <c r="C20" i="1"/>
  <c r="C219" i="1"/>
  <c r="C155" i="1"/>
  <c r="C91" i="1"/>
  <c r="C27" i="1"/>
  <c r="C218" i="1"/>
  <c r="C82" i="1"/>
  <c r="C10" i="1"/>
  <c r="C145" i="1"/>
  <c r="C25" i="1"/>
  <c r="C216" i="1"/>
  <c r="C152" i="1"/>
  <c r="C88" i="1"/>
  <c r="C24" i="1"/>
  <c r="C154" i="1"/>
  <c r="C153" i="1"/>
  <c r="C263" i="1"/>
  <c r="C199" i="1"/>
  <c r="C135" i="1"/>
  <c r="C71" i="1"/>
  <c r="C7" i="1"/>
  <c r="C193" i="1"/>
  <c r="C222" i="1"/>
  <c r="C158" i="1"/>
  <c r="C94" i="1"/>
  <c r="C30" i="1"/>
  <c r="C205" i="1"/>
  <c r="C141" i="1"/>
  <c r="C69" i="1"/>
  <c r="C268" i="1"/>
  <c r="C204" i="1"/>
  <c r="C140" i="1"/>
  <c r="C76" i="1"/>
  <c r="C12" i="1"/>
  <c r="C211" i="1"/>
  <c r="C147" i="1"/>
  <c r="C83" i="1"/>
  <c r="C19" i="1"/>
  <c r="C202" i="1"/>
  <c r="C74" i="1"/>
  <c r="C265" i="1"/>
  <c r="C137" i="1"/>
  <c r="C17" i="1"/>
  <c r="C208" i="1"/>
  <c r="C144" i="1"/>
  <c r="C80" i="1"/>
  <c r="C16" i="1"/>
  <c r="C130" i="1"/>
  <c r="C129" i="1"/>
  <c r="C255" i="1"/>
  <c r="C191" i="1"/>
  <c r="C127" i="1"/>
  <c r="C63" i="1"/>
  <c r="C250" i="1"/>
  <c r="C169" i="1"/>
  <c r="C214" i="1"/>
  <c r="C150" i="1"/>
  <c r="C86" i="1"/>
  <c r="C22" i="1"/>
  <c r="C237" i="1"/>
  <c r="C125" i="1"/>
  <c r="C61" i="1"/>
  <c r="C260" i="1"/>
  <c r="C196" i="1"/>
  <c r="C132" i="1"/>
  <c r="C68" i="1"/>
  <c r="C267" i="1"/>
  <c r="C203" i="1"/>
  <c r="C139" i="1"/>
  <c r="C75" i="1"/>
  <c r="C11" i="1"/>
  <c r="C186" i="1"/>
  <c r="C66" i="1"/>
  <c r="C249" i="1"/>
  <c r="C113" i="1"/>
  <c r="C264" i="1"/>
  <c r="C200" i="1"/>
  <c r="C136" i="1"/>
  <c r="C72" i="1"/>
  <c r="C8" i="1"/>
  <c r="C106" i="1"/>
  <c r="C105" i="1"/>
  <c r="C247" i="1"/>
  <c r="C183" i="1"/>
  <c r="C119" i="1"/>
  <c r="C55" i="1"/>
  <c r="C226" i="1"/>
  <c r="C121" i="1"/>
  <c r="C206" i="1"/>
  <c r="C142" i="1"/>
  <c r="C78" i="1"/>
  <c r="C14" i="1"/>
  <c r="C5" i="1"/>
  <c r="C117" i="1"/>
  <c r="C53" i="1"/>
  <c r="C252" i="1"/>
  <c r="C188" i="1"/>
  <c r="C124" i="1"/>
  <c r="C60" i="1"/>
  <c r="C259" i="1"/>
  <c r="C195" i="1"/>
  <c r="C131" i="1"/>
  <c r="C67" i="1"/>
  <c r="C197" i="1"/>
  <c r="C162" i="1"/>
  <c r="C58" i="1"/>
  <c r="C241" i="1"/>
  <c r="C97" i="1"/>
  <c r="C256" i="1"/>
  <c r="C192" i="1"/>
  <c r="C128" i="1"/>
  <c r="C64" i="1"/>
  <c r="C149" i="1"/>
  <c r="C50" i="1"/>
  <c r="C89" i="1"/>
  <c r="C239" i="1"/>
  <c r="C175" i="1"/>
  <c r="C111" i="1"/>
  <c r="C47" i="1"/>
  <c r="C194" i="1"/>
  <c r="C262" i="1"/>
  <c r="C198" i="1"/>
  <c r="C134" i="1"/>
  <c r="C70" i="1"/>
  <c r="F223" i="1"/>
  <c r="F70" i="1"/>
  <c r="F123" i="1"/>
  <c r="F190" i="1"/>
  <c r="F58" i="1"/>
  <c r="F133" i="1"/>
  <c r="F145" i="1"/>
  <c r="F134" i="1"/>
  <c r="F147" i="1"/>
  <c r="F220" i="1"/>
  <c r="F172" i="1"/>
  <c r="F227" i="1"/>
  <c r="F141" i="1"/>
  <c r="F50" i="1"/>
  <c r="F163" i="1"/>
  <c r="F226" i="1"/>
  <c r="F161" i="1"/>
  <c r="F75" i="1"/>
  <c r="F257" i="1"/>
  <c r="F193" i="1"/>
  <c r="F117" i="1"/>
  <c r="F108" i="1"/>
  <c r="F128" i="1"/>
  <c r="F64" i="1"/>
  <c r="F71" i="1"/>
  <c r="F197" i="1"/>
  <c r="F207" i="1"/>
  <c r="F229" i="1"/>
  <c r="F174" i="1"/>
  <c r="F214" i="1"/>
  <c r="F253" i="1"/>
  <c r="F111" i="1"/>
  <c r="F54" i="1"/>
  <c r="F264" i="1"/>
  <c r="F126" i="1"/>
  <c r="F153" i="1"/>
  <c r="F142" i="1"/>
  <c r="F211" i="1"/>
  <c r="F130" i="1"/>
  <c r="F131" i="1"/>
  <c r="F219" i="1"/>
  <c r="F218" i="1"/>
  <c r="F150" i="1"/>
  <c r="F62" i="1"/>
  <c r="F249" i="1"/>
  <c r="F185" i="1"/>
  <c r="F106" i="1"/>
  <c r="F164" i="1"/>
  <c r="F100" i="1"/>
  <c r="F120" i="1"/>
  <c r="F56" i="1"/>
  <c r="F63" i="1"/>
  <c r="F215" i="1"/>
  <c r="F122" i="1"/>
  <c r="F191" i="1"/>
  <c r="F263" i="1"/>
  <c r="F165" i="1"/>
  <c r="F113" i="1"/>
  <c r="F166" i="1"/>
  <c r="F158" i="1"/>
  <c r="F237" i="1"/>
  <c r="F90" i="1"/>
  <c r="F181" i="1"/>
  <c r="F248" i="1"/>
  <c r="F105" i="1"/>
  <c r="F51" i="1"/>
  <c r="F203" i="1"/>
  <c r="F119" i="1"/>
  <c r="F110" i="1"/>
  <c r="F195" i="1"/>
  <c r="F210" i="1"/>
  <c r="F139" i="1"/>
  <c r="F46" i="1"/>
  <c r="F241" i="1"/>
  <c r="F177" i="1"/>
  <c r="F92" i="1"/>
  <c r="F112" i="1"/>
  <c r="F48" i="1"/>
  <c r="F55" i="1"/>
  <c r="F125" i="1"/>
  <c r="F256" i="1"/>
  <c r="F175" i="1"/>
  <c r="F231" i="1"/>
  <c r="F101" i="1"/>
  <c r="F91" i="1"/>
  <c r="F102" i="1"/>
  <c r="F94" i="1"/>
  <c r="F221" i="1"/>
  <c r="F67" i="1"/>
  <c r="F79" i="1"/>
  <c r="F232" i="1"/>
  <c r="F83" i="1"/>
  <c r="F99" i="1"/>
  <c r="F187" i="1"/>
  <c r="F109" i="1"/>
  <c r="F89" i="1"/>
  <c r="F266" i="1"/>
  <c r="F202" i="1"/>
  <c r="F129" i="1"/>
  <c r="F233" i="1"/>
  <c r="F169" i="1"/>
  <c r="F85" i="1"/>
  <c r="F148" i="1"/>
  <c r="F84" i="1"/>
  <c r="F104" i="1"/>
  <c r="F47" i="1"/>
  <c r="F192" i="1"/>
  <c r="F157" i="1"/>
  <c r="F167" i="1"/>
  <c r="F240" i="1"/>
  <c r="F69" i="1"/>
  <c r="F254" i="1"/>
  <c r="F205" i="1"/>
  <c r="F208" i="1"/>
  <c r="F216" i="1"/>
  <c r="F59" i="1"/>
  <c r="F244" i="1"/>
  <c r="F78" i="1"/>
  <c r="F179" i="1"/>
  <c r="F98" i="1"/>
  <c r="F260" i="1"/>
  <c r="F66" i="1"/>
  <c r="F258" i="1"/>
  <c r="F194" i="1"/>
  <c r="F118" i="1"/>
  <c r="F225" i="1"/>
  <c r="F159" i="1"/>
  <c r="F74" i="1"/>
  <c r="F140" i="1"/>
  <c r="F76" i="1"/>
  <c r="F160" i="1"/>
  <c r="F96" i="1"/>
  <c r="F246" i="1"/>
  <c r="F115" i="1"/>
  <c r="F135" i="1"/>
  <c r="F176" i="1"/>
  <c r="F247" i="1"/>
  <c r="F245" i="1"/>
  <c r="F206" i="1"/>
  <c r="F189" i="1"/>
  <c r="F183" i="1"/>
  <c r="F137" i="1"/>
  <c r="F200" i="1"/>
  <c r="F228" i="1"/>
  <c r="F171" i="1"/>
  <c r="F87" i="1"/>
  <c r="F236" i="1"/>
  <c r="F250" i="1"/>
  <c r="F186" i="1"/>
  <c r="F107" i="1"/>
  <c r="F217" i="1"/>
  <c r="F149" i="1"/>
  <c r="F61" i="1"/>
  <c r="F132" i="1"/>
  <c r="F68" i="1"/>
  <c r="F57" i="1"/>
  <c r="F152" i="1"/>
  <c r="F182" i="1"/>
  <c r="F114" i="1"/>
  <c r="F262" i="1"/>
  <c r="F73" i="1"/>
  <c r="F199" i="1"/>
  <c r="F213" i="1"/>
  <c r="F155" i="1"/>
  <c r="F173" i="1"/>
  <c r="F103" i="1"/>
  <c r="F184" i="1"/>
  <c r="F53" i="1"/>
  <c r="F204" i="1"/>
  <c r="F259" i="1"/>
  <c r="F162" i="1"/>
  <c r="F77" i="1"/>
  <c r="F212" i="1"/>
  <c r="F267" i="1"/>
  <c r="F242" i="1"/>
  <c r="F178" i="1"/>
  <c r="F97" i="1"/>
  <c r="F196" i="1"/>
  <c r="F209" i="1"/>
  <c r="F138" i="1"/>
  <c r="F124" i="1"/>
  <c r="F60" i="1"/>
  <c r="F49" i="1"/>
  <c r="F144" i="1"/>
  <c r="F80" i="1"/>
  <c r="F81" i="1"/>
  <c r="F239" i="1"/>
  <c r="F93" i="1"/>
  <c r="F198" i="1"/>
  <c r="F222" i="1"/>
  <c r="F146" i="1"/>
  <c r="F143" i="1"/>
  <c r="F154" i="1"/>
  <c r="F230" i="1"/>
  <c r="F238" i="1"/>
  <c r="F168" i="1"/>
  <c r="F268" i="1"/>
  <c r="F180" i="1"/>
  <c r="F243" i="1"/>
  <c r="F151" i="1"/>
  <c r="F65" i="1"/>
  <c r="F188" i="1"/>
  <c r="F251" i="1"/>
  <c r="F234" i="1"/>
  <c r="F170" i="1"/>
  <c r="F86" i="1"/>
  <c r="F265" i="1"/>
  <c r="F201" i="1"/>
  <c r="F127" i="1"/>
  <c r="F116" i="1"/>
  <c r="F52" i="1"/>
  <c r="F136" i="1"/>
  <c r="F72" i="1"/>
  <c r="L236" i="4" l="1"/>
  <c r="L64" i="4"/>
  <c r="L266" i="4"/>
  <c r="L18" i="4"/>
  <c r="K55" i="4"/>
  <c r="P20" i="4"/>
  <c r="N20" i="4" s="1"/>
  <c r="L7" i="4"/>
  <c r="L97" i="4"/>
  <c r="L76" i="4"/>
  <c r="L115" i="4"/>
  <c r="L29" i="4"/>
  <c r="K202" i="4"/>
  <c r="P18" i="4"/>
  <c r="N18" i="4" s="1"/>
  <c r="L82" i="4"/>
  <c r="L146" i="4"/>
  <c r="L168" i="4"/>
  <c r="K182" i="4"/>
  <c r="L157" i="4"/>
  <c r="K163" i="4"/>
  <c r="L31" i="4"/>
  <c r="L265" i="4"/>
  <c r="L10" i="4"/>
  <c r="L220" i="4"/>
  <c r="L224" i="4"/>
  <c r="K227" i="4"/>
  <c r="L229" i="4"/>
  <c r="P19" i="4"/>
  <c r="L246" i="4"/>
  <c r="L41" i="4"/>
  <c r="K140" i="4"/>
  <c r="L140" i="4"/>
  <c r="K34" i="4"/>
  <c r="L34" i="4"/>
  <c r="K129" i="4"/>
  <c r="L129" i="4"/>
  <c r="K178" i="4"/>
  <c r="L178" i="4"/>
  <c r="K77" i="4"/>
  <c r="L77" i="4"/>
  <c r="K68" i="4"/>
  <c r="L68" i="4"/>
  <c r="K49" i="4"/>
  <c r="L49" i="4"/>
  <c r="K109" i="4"/>
  <c r="L109" i="4"/>
  <c r="K254" i="4"/>
  <c r="L254" i="4"/>
  <c r="K133" i="4"/>
  <c r="L133" i="4"/>
  <c r="K98" i="4"/>
  <c r="L98" i="4"/>
  <c r="K181" i="4"/>
  <c r="L181" i="4"/>
  <c r="L135" i="4"/>
  <c r="K135" i="4"/>
  <c r="K228" i="4"/>
  <c r="L228" i="4"/>
  <c r="K42" i="4"/>
  <c r="L42" i="4"/>
  <c r="K60" i="4"/>
  <c r="L60" i="4"/>
  <c r="L231" i="4"/>
  <c r="K231" i="4"/>
  <c r="L171" i="4"/>
  <c r="K171" i="4"/>
  <c r="K32" i="4"/>
  <c r="L32" i="4"/>
  <c r="L91" i="4"/>
  <c r="K91" i="4"/>
  <c r="K156" i="4"/>
  <c r="L156" i="4"/>
  <c r="K200" i="4"/>
  <c r="L200" i="4"/>
  <c r="K242" i="4"/>
  <c r="L242" i="4"/>
  <c r="K81" i="4"/>
  <c r="L81" i="4"/>
  <c r="K30" i="4"/>
  <c r="L30" i="4"/>
  <c r="K36" i="4"/>
  <c r="L36" i="4"/>
  <c r="K177" i="4"/>
  <c r="L177" i="4"/>
  <c r="K153" i="4"/>
  <c r="L153" i="4"/>
  <c r="K102" i="4"/>
  <c r="L102" i="4"/>
  <c r="L191" i="4"/>
  <c r="K191" i="4"/>
  <c r="K249" i="4"/>
  <c r="L249" i="4"/>
  <c r="K136" i="4"/>
  <c r="L136" i="4"/>
  <c r="L223" i="4"/>
  <c r="K223" i="4"/>
  <c r="K78" i="4"/>
  <c r="L78" i="4"/>
  <c r="L103" i="4"/>
  <c r="K103" i="4"/>
  <c r="K17" i="4"/>
  <c r="L17" i="4"/>
  <c r="K38" i="4"/>
  <c r="L38" i="4"/>
  <c r="K113" i="4"/>
  <c r="L113" i="4"/>
  <c r="K62" i="4"/>
  <c r="L62" i="4"/>
  <c r="L143" i="4"/>
  <c r="K143" i="4"/>
  <c r="K209" i="4"/>
  <c r="L209" i="4"/>
  <c r="L11" i="4"/>
  <c r="K11" i="4"/>
  <c r="K245" i="4"/>
  <c r="L245" i="4"/>
  <c r="L39" i="4"/>
  <c r="K39" i="4"/>
  <c r="K162" i="4"/>
  <c r="L162" i="4"/>
  <c r="K106" i="4"/>
  <c r="L106" i="4"/>
  <c r="K189" i="4"/>
  <c r="L189" i="4"/>
  <c r="L179" i="4"/>
  <c r="K179" i="4"/>
  <c r="K260" i="4"/>
  <c r="L260" i="4"/>
  <c r="K96" i="4"/>
  <c r="L96" i="4"/>
  <c r="L155" i="4"/>
  <c r="K155" i="4"/>
  <c r="K142" i="4"/>
  <c r="L142" i="4"/>
  <c r="K264" i="4"/>
  <c r="L264" i="4"/>
  <c r="K145" i="4"/>
  <c r="L145" i="4"/>
  <c r="K94" i="4"/>
  <c r="L94" i="4"/>
  <c r="L183" i="4"/>
  <c r="K183" i="4"/>
  <c r="K241" i="4"/>
  <c r="L241" i="4"/>
  <c r="K66" i="4"/>
  <c r="L66" i="4"/>
  <c r="K141" i="4"/>
  <c r="L141" i="4"/>
  <c r="L255" i="4"/>
  <c r="K255" i="4"/>
  <c r="L267" i="4"/>
  <c r="K267" i="4"/>
  <c r="K45" i="4"/>
  <c r="L45" i="4"/>
  <c r="K28" i="4"/>
  <c r="L28" i="4"/>
  <c r="K225" i="4"/>
  <c r="L225" i="4"/>
  <c r="L27" i="4"/>
  <c r="K27" i="4"/>
  <c r="K222" i="4"/>
  <c r="L222" i="4"/>
  <c r="K185" i="4"/>
  <c r="L185" i="4"/>
  <c r="K26" i="4"/>
  <c r="L26" i="4"/>
  <c r="K126" i="4"/>
  <c r="L126" i="4"/>
  <c r="L215" i="4"/>
  <c r="K215" i="4"/>
  <c r="K84" i="4"/>
  <c r="L84" i="4"/>
  <c r="K16" i="4"/>
  <c r="L16" i="4"/>
  <c r="L75" i="4"/>
  <c r="K75" i="4"/>
  <c r="L259" i="4"/>
  <c r="K259" i="4"/>
  <c r="K184" i="4"/>
  <c r="L184" i="4"/>
  <c r="K226" i="4"/>
  <c r="L226" i="4"/>
  <c r="L19" i="4"/>
  <c r="K19" i="4"/>
  <c r="K253" i="4"/>
  <c r="L253" i="4"/>
  <c r="L71" i="4"/>
  <c r="K71" i="4"/>
  <c r="K170" i="4"/>
  <c r="L170" i="4"/>
  <c r="K9" i="4"/>
  <c r="L9" i="4"/>
  <c r="K69" i="4"/>
  <c r="L69" i="4"/>
  <c r="K214" i="4"/>
  <c r="L214" i="4"/>
  <c r="K244" i="4"/>
  <c r="L244" i="4"/>
  <c r="K58" i="4"/>
  <c r="L58" i="4"/>
  <c r="K124" i="4"/>
  <c r="L124" i="4"/>
  <c r="L247" i="4"/>
  <c r="K247" i="4"/>
  <c r="L235" i="4"/>
  <c r="K235" i="4"/>
  <c r="K130" i="4"/>
  <c r="L130" i="4"/>
  <c r="K213" i="4"/>
  <c r="L213" i="4"/>
  <c r="L119" i="4"/>
  <c r="K119" i="4"/>
  <c r="L79" i="4"/>
  <c r="K79" i="4"/>
  <c r="K190" i="4"/>
  <c r="L190" i="4"/>
  <c r="K116" i="4"/>
  <c r="L116" i="4"/>
  <c r="L167" i="4"/>
  <c r="K167" i="4"/>
  <c r="K261" i="4"/>
  <c r="L261" i="4"/>
  <c r="K12" i="4"/>
  <c r="L12" i="4"/>
  <c r="K89" i="4"/>
  <c r="L89" i="4"/>
  <c r="K90" i="4"/>
  <c r="L90" i="4"/>
  <c r="K173" i="4"/>
  <c r="L173" i="4"/>
  <c r="K52" i="4"/>
  <c r="L52" i="4"/>
  <c r="K196" i="4"/>
  <c r="L196" i="4"/>
  <c r="K80" i="4"/>
  <c r="L80" i="4"/>
  <c r="L139" i="4"/>
  <c r="K139" i="4"/>
  <c r="L95" i="4"/>
  <c r="K95" i="4"/>
  <c r="K248" i="4"/>
  <c r="L248" i="4"/>
  <c r="K24" i="4"/>
  <c r="L24" i="4"/>
  <c r="L83" i="4"/>
  <c r="K83" i="4"/>
  <c r="L87" i="4"/>
  <c r="K87" i="4"/>
  <c r="K192" i="4"/>
  <c r="L192" i="4"/>
  <c r="K234" i="4"/>
  <c r="L234" i="4"/>
  <c r="K73" i="4"/>
  <c r="L73" i="4"/>
  <c r="K22" i="4"/>
  <c r="L22" i="4"/>
  <c r="L251" i="4"/>
  <c r="K251" i="4"/>
  <c r="K169" i="4"/>
  <c r="L169" i="4"/>
  <c r="K122" i="4"/>
  <c r="L122" i="4"/>
  <c r="K205" i="4"/>
  <c r="L205" i="4"/>
  <c r="L243" i="4"/>
  <c r="K243" i="4"/>
  <c r="L47" i="4"/>
  <c r="K47" i="4"/>
  <c r="L43" i="4"/>
  <c r="K43" i="4"/>
  <c r="K20" i="4"/>
  <c r="L20" i="4"/>
  <c r="K148" i="4"/>
  <c r="L148" i="4"/>
  <c r="K194" i="4"/>
  <c r="L194" i="4"/>
  <c r="K154" i="4"/>
  <c r="L154" i="4"/>
  <c r="K237" i="4"/>
  <c r="L237" i="4"/>
  <c r="K268" i="4"/>
  <c r="L268" i="4"/>
  <c r="K150" i="4"/>
  <c r="L150" i="4"/>
  <c r="K144" i="4"/>
  <c r="L144" i="4"/>
  <c r="K53" i="4"/>
  <c r="L53" i="4"/>
  <c r="K198" i="4"/>
  <c r="L198" i="4"/>
  <c r="K172" i="4"/>
  <c r="L172" i="4"/>
  <c r="K88" i="4"/>
  <c r="L88" i="4"/>
  <c r="L147" i="4"/>
  <c r="K147" i="4"/>
  <c r="K125" i="4"/>
  <c r="L125" i="4"/>
  <c r="K256" i="4"/>
  <c r="L256" i="4"/>
  <c r="K137" i="4"/>
  <c r="L137" i="4"/>
  <c r="K86" i="4"/>
  <c r="L86" i="4"/>
  <c r="L175" i="4"/>
  <c r="K175" i="4"/>
  <c r="K233" i="4"/>
  <c r="L233" i="4"/>
  <c r="L35" i="4"/>
  <c r="K35" i="4"/>
  <c r="K269" i="4"/>
  <c r="L269" i="4"/>
  <c r="K132" i="4"/>
  <c r="L132" i="4"/>
  <c r="K186" i="4"/>
  <c r="L186" i="4"/>
  <c r="K48" i="4"/>
  <c r="L48" i="4"/>
  <c r="L107" i="4"/>
  <c r="K107" i="4"/>
  <c r="K212" i="4"/>
  <c r="L212" i="4"/>
  <c r="K216" i="4"/>
  <c r="L216" i="4"/>
  <c r="K258" i="4"/>
  <c r="L258" i="4"/>
  <c r="L8" i="4"/>
  <c r="K8" i="4"/>
  <c r="L67" i="4"/>
  <c r="K67" i="4"/>
  <c r="L219" i="4"/>
  <c r="K219" i="4"/>
  <c r="K176" i="4"/>
  <c r="L176" i="4"/>
  <c r="K218" i="4"/>
  <c r="L218" i="4"/>
  <c r="K57" i="4"/>
  <c r="L57" i="4"/>
  <c r="K117" i="4"/>
  <c r="L117" i="4"/>
  <c r="K262" i="4"/>
  <c r="L262" i="4"/>
  <c r="K149" i="4"/>
  <c r="L149" i="4"/>
  <c r="K152" i="4"/>
  <c r="L152" i="4"/>
  <c r="K61" i="4"/>
  <c r="L61" i="4"/>
  <c r="K206" i="4"/>
  <c r="L206" i="4"/>
  <c r="K204" i="4"/>
  <c r="L204" i="4"/>
  <c r="K50" i="4"/>
  <c r="L50" i="4"/>
  <c r="K92" i="4"/>
  <c r="L92" i="4"/>
  <c r="L239" i="4"/>
  <c r="K239" i="4"/>
  <c r="L203" i="4"/>
  <c r="K203" i="4"/>
  <c r="K40" i="4"/>
  <c r="L40" i="4"/>
  <c r="L99" i="4"/>
  <c r="K99" i="4"/>
  <c r="K180" i="4"/>
  <c r="L180" i="4"/>
  <c r="K208" i="4"/>
  <c r="L208" i="4"/>
  <c r="K250" i="4"/>
  <c r="L250" i="4"/>
  <c r="K112" i="4"/>
  <c r="L112" i="4"/>
  <c r="K21" i="4"/>
  <c r="L21" i="4"/>
  <c r="K166" i="4"/>
  <c r="L166" i="4"/>
  <c r="L195" i="4"/>
  <c r="K195" i="4"/>
  <c r="K72" i="4"/>
  <c r="L72" i="4"/>
  <c r="L131" i="4"/>
  <c r="K131" i="4"/>
  <c r="L63" i="4"/>
  <c r="K63" i="4"/>
  <c r="K240" i="4"/>
  <c r="L240" i="4"/>
  <c r="K121" i="4"/>
  <c r="L121" i="4"/>
  <c r="K70" i="4"/>
  <c r="L70" i="4"/>
  <c r="L159" i="4"/>
  <c r="K159" i="4"/>
  <c r="K217" i="4"/>
  <c r="L217" i="4"/>
  <c r="K65" i="4"/>
  <c r="L65" i="4"/>
  <c r="K14" i="4"/>
  <c r="L14" i="4"/>
  <c r="K270" i="4"/>
  <c r="L270" i="4"/>
  <c r="K161" i="4"/>
  <c r="L161" i="4"/>
  <c r="K114" i="4"/>
  <c r="L114" i="4"/>
  <c r="K197" i="4"/>
  <c r="L197" i="4"/>
  <c r="L211" i="4"/>
  <c r="K211" i="4"/>
  <c r="L15" i="4"/>
  <c r="K104" i="4"/>
  <c r="L104" i="4"/>
  <c r="K13" i="4"/>
  <c r="L13" i="4"/>
  <c r="K158" i="4"/>
  <c r="L158" i="4"/>
  <c r="L151" i="4"/>
  <c r="K151" i="4"/>
  <c r="K25" i="4"/>
  <c r="L25" i="4"/>
  <c r="K85" i="4"/>
  <c r="L85" i="4"/>
  <c r="K230" i="4"/>
  <c r="L230" i="4"/>
  <c r="K44" i="4"/>
  <c r="L44" i="4"/>
  <c r="P21" i="4"/>
  <c r="M18" i="9"/>
  <c r="C101" i="9" s="1"/>
  <c r="C220" i="9"/>
  <c r="C117" i="9"/>
  <c r="C54" i="9"/>
  <c r="C246" i="9"/>
  <c r="C39" i="9"/>
  <c r="C231" i="9"/>
  <c r="C9" i="9"/>
  <c r="C201" i="9"/>
  <c r="C265" i="9"/>
  <c r="C186" i="9"/>
  <c r="C250" i="9"/>
  <c r="C36" i="9"/>
  <c r="C69" i="9"/>
  <c r="C253" i="9"/>
  <c r="C188" i="9"/>
  <c r="C260" i="9"/>
  <c r="C109" i="9"/>
  <c r="C126" i="9"/>
  <c r="C111" i="9"/>
  <c r="C175" i="9"/>
  <c r="C160" i="9"/>
  <c r="C81" i="9"/>
  <c r="C145" i="9"/>
  <c r="C66" i="9"/>
  <c r="C130" i="9"/>
  <c r="C258" i="9"/>
  <c r="C187" i="9"/>
  <c r="C251" i="9"/>
  <c r="C12" i="9"/>
  <c r="C68" i="9"/>
  <c r="C221" i="9"/>
  <c r="C132" i="9"/>
  <c r="C52" i="9"/>
  <c r="C77" i="9"/>
  <c r="C6" i="9"/>
  <c r="C262" i="9"/>
  <c r="C55" i="9"/>
  <c r="C183" i="9"/>
  <c r="C247" i="9"/>
  <c r="C40" i="9"/>
  <c r="C168" i="9"/>
  <c r="C232" i="9"/>
  <c r="C25" i="9"/>
  <c r="C89" i="9"/>
  <c r="C153" i="9"/>
  <c r="C217" i="9"/>
  <c r="C10" i="9"/>
  <c r="C74" i="9"/>
  <c r="C138" i="9"/>
  <c r="C202" i="9"/>
  <c r="C266" i="9"/>
  <c r="C67" i="9"/>
  <c r="C131" i="9"/>
  <c r="C195" i="9"/>
  <c r="C259" i="9"/>
  <c r="C236" i="9"/>
  <c r="C261" i="9"/>
  <c r="C189" i="9"/>
  <c r="C124" i="9"/>
  <c r="C21" i="9"/>
  <c r="C20" i="9"/>
  <c r="C45" i="9"/>
  <c r="C14" i="9"/>
  <c r="C78" i="9"/>
  <c r="C142" i="9"/>
  <c r="C206" i="9"/>
  <c r="C63" i="9"/>
  <c r="C127" i="9"/>
  <c r="C191" i="9"/>
  <c r="C255" i="9"/>
  <c r="C48" i="9"/>
  <c r="C112" i="9"/>
  <c r="C176" i="9"/>
  <c r="C240" i="9"/>
  <c r="C33" i="9"/>
  <c r="C97" i="9"/>
  <c r="C161" i="9"/>
  <c r="C225" i="9"/>
  <c r="C18" i="9"/>
  <c r="C82" i="9"/>
  <c r="C146" i="9"/>
  <c r="C210" i="9"/>
  <c r="C229" i="9"/>
  <c r="C157" i="9"/>
  <c r="C92" i="9"/>
  <c r="C245" i="9"/>
  <c r="C244" i="9"/>
  <c r="C5" i="9"/>
  <c r="C13" i="9"/>
  <c r="C22" i="9"/>
  <c r="C86" i="9"/>
  <c r="C150" i="9"/>
  <c r="C214" i="9"/>
  <c r="C7" i="9"/>
  <c r="C71" i="9"/>
  <c r="C135" i="9"/>
  <c r="C199" i="9"/>
  <c r="C263" i="9"/>
  <c r="C56" i="9"/>
  <c r="C120" i="9"/>
  <c r="C184" i="9"/>
  <c r="C248" i="9"/>
  <c r="C41" i="9"/>
  <c r="C105" i="9"/>
  <c r="C169" i="9"/>
  <c r="C233" i="9"/>
  <c r="C26" i="9"/>
  <c r="C90" i="9"/>
  <c r="C154" i="9"/>
  <c r="C218" i="9"/>
  <c r="C197" i="9"/>
  <c r="C125" i="9"/>
  <c r="C60" i="9"/>
  <c r="C213" i="9"/>
  <c r="C212" i="9"/>
  <c r="C237" i="9"/>
  <c r="C30" i="9"/>
  <c r="C94" i="9"/>
  <c r="C158" i="9"/>
  <c r="C222" i="9"/>
  <c r="C15" i="9"/>
  <c r="C79" i="9"/>
  <c r="C143" i="9"/>
  <c r="C207" i="9"/>
  <c r="C64" i="9"/>
  <c r="C128" i="9"/>
  <c r="C192" i="9"/>
  <c r="C256" i="9"/>
  <c r="C49" i="9"/>
  <c r="C113" i="9"/>
  <c r="C177" i="9"/>
  <c r="C241" i="9"/>
  <c r="C34" i="9"/>
  <c r="C98" i="9"/>
  <c r="C162" i="9"/>
  <c r="C226" i="9"/>
  <c r="C27" i="9"/>
  <c r="C91" i="9"/>
  <c r="C155" i="9"/>
  <c r="C219" i="9"/>
  <c r="C140" i="9"/>
  <c r="C165" i="9"/>
  <c r="C93" i="9"/>
  <c r="C28" i="9"/>
  <c r="C181" i="9"/>
  <c r="C180" i="9"/>
  <c r="C205" i="9"/>
  <c r="C38" i="9"/>
  <c r="C102" i="9"/>
  <c r="C166" i="9"/>
  <c r="C230" i="9"/>
  <c r="C23" i="9"/>
  <c r="C87" i="9"/>
  <c r="C151" i="9"/>
  <c r="C215" i="9"/>
  <c r="C8" i="9"/>
  <c r="C72" i="9"/>
  <c r="C136" i="9"/>
  <c r="C200" i="9"/>
  <c r="C264" i="9"/>
  <c r="C57" i="9"/>
  <c r="C121" i="9"/>
  <c r="C185" i="9"/>
  <c r="C249" i="9"/>
  <c r="C42" i="9"/>
  <c r="C106" i="9"/>
  <c r="C170" i="9"/>
  <c r="C234" i="9"/>
  <c r="C35" i="9"/>
  <c r="C133" i="9"/>
  <c r="C110" i="9"/>
  <c r="C95" i="9"/>
  <c r="C80" i="9"/>
  <c r="C65" i="9"/>
  <c r="C50" i="9"/>
  <c r="C99" i="9"/>
  <c r="C227" i="9"/>
  <c r="C108" i="9"/>
  <c r="C173" i="9"/>
  <c r="C174" i="9"/>
  <c r="C159" i="9"/>
  <c r="C144" i="9"/>
  <c r="C129" i="9"/>
  <c r="C114" i="9"/>
  <c r="C107" i="9"/>
  <c r="C235" i="9"/>
  <c r="C76" i="9"/>
  <c r="C163" i="9"/>
  <c r="C61" i="9"/>
  <c r="C238" i="9"/>
  <c r="C223" i="9"/>
  <c r="C208" i="9"/>
  <c r="C193" i="9"/>
  <c r="C178" i="9"/>
  <c r="C139" i="9"/>
  <c r="C267" i="9"/>
  <c r="C19" i="9"/>
  <c r="C252" i="9"/>
  <c r="C257" i="9"/>
  <c r="C242" i="9"/>
  <c r="C11" i="9"/>
  <c r="C147" i="9"/>
  <c r="C149" i="9"/>
  <c r="C43" i="9"/>
  <c r="C171" i="9"/>
  <c r="C164" i="9"/>
  <c r="C148" i="9"/>
  <c r="C16" i="9"/>
  <c r="C83" i="9"/>
  <c r="C75" i="9"/>
  <c r="C203" i="9"/>
  <c r="C204" i="9"/>
  <c r="C46" i="9"/>
  <c r="C31" i="9"/>
  <c r="C211" i="9"/>
  <c r="C172" i="9"/>
  <c r="G24" i="2"/>
  <c r="N19" i="4" l="1"/>
  <c r="P22" i="4"/>
  <c r="N21" i="4"/>
  <c r="C198" i="9"/>
  <c r="C156" i="9"/>
  <c r="C59" i="9"/>
  <c r="C96" i="9"/>
  <c r="C85" i="9"/>
  <c r="C179" i="9"/>
  <c r="C216" i="9"/>
  <c r="C116" i="9"/>
  <c r="C70" i="9"/>
  <c r="C190" i="9"/>
  <c r="C115" i="9"/>
  <c r="C24" i="9"/>
  <c r="C29" i="9"/>
  <c r="C104" i="9"/>
  <c r="C119" i="9"/>
  <c r="C134" i="9"/>
  <c r="C100" i="9"/>
  <c r="C37" i="9"/>
  <c r="C123" i="9"/>
  <c r="C194" i="9"/>
  <c r="C209" i="9"/>
  <c r="C224" i="9"/>
  <c r="C239" i="9"/>
  <c r="C254" i="9"/>
  <c r="C243" i="9"/>
  <c r="C53" i="9"/>
  <c r="C268" i="9"/>
  <c r="C17" i="9"/>
  <c r="C32" i="9"/>
  <c r="C47" i="9"/>
  <c r="C62" i="9"/>
  <c r="C84" i="9"/>
  <c r="C196" i="9"/>
  <c r="C51" i="9"/>
  <c r="C122" i="9"/>
  <c r="C137" i="9"/>
  <c r="C152" i="9"/>
  <c r="C167" i="9"/>
  <c r="C182" i="9"/>
  <c r="C141" i="9"/>
  <c r="C228" i="9"/>
  <c r="C44" i="9"/>
  <c r="C58" i="9"/>
  <c r="C73" i="9"/>
  <c r="C88" i="9"/>
  <c r="C103" i="9"/>
  <c r="C118" i="9"/>
  <c r="G25" i="2"/>
  <c r="P23" i="4" l="1"/>
  <c r="N22" i="4"/>
  <c r="G26" i="2"/>
  <c r="P24" i="4" l="1"/>
  <c r="N23" i="4"/>
  <c r="G27" i="2"/>
  <c r="N24" i="4" l="1"/>
  <c r="P25" i="4"/>
  <c r="G28" i="2"/>
  <c r="N25" i="4" l="1"/>
  <c r="P26" i="4"/>
  <c r="G29" i="2"/>
  <c r="N26" i="4" l="1"/>
  <c r="P27" i="4"/>
  <c r="G30" i="2"/>
  <c r="N27" i="4" l="1"/>
  <c r="P28" i="4"/>
  <c r="G31" i="2"/>
  <c r="N28" i="4" l="1"/>
  <c r="P29" i="4"/>
  <c r="G32" i="2"/>
  <c r="N29" i="4" l="1"/>
  <c r="P30" i="4"/>
  <c r="G33" i="2"/>
  <c r="N30" i="4" l="1"/>
  <c r="P31" i="4"/>
  <c r="G34" i="2"/>
  <c r="N31" i="4" l="1"/>
  <c r="P32" i="4"/>
  <c r="G35" i="2"/>
  <c r="N32" i="4" l="1"/>
  <c r="P33" i="4"/>
  <c r="G36" i="2"/>
  <c r="N33" i="4" l="1"/>
  <c r="P34" i="4"/>
  <c r="G37" i="2"/>
  <c r="N34" i="4" l="1"/>
  <c r="P35" i="4"/>
  <c r="G38" i="2"/>
  <c r="N35" i="4" l="1"/>
  <c r="P36" i="4"/>
  <c r="G39" i="2"/>
  <c r="N36" i="4" l="1"/>
  <c r="P37" i="4"/>
  <c r="G40" i="2"/>
  <c r="N37" i="4" l="1"/>
  <c r="P38" i="4"/>
  <c r="G41" i="2"/>
  <c r="N38" i="4" l="1"/>
  <c r="P39" i="4"/>
  <c r="G42" i="2"/>
  <c r="N39" i="4" l="1"/>
  <c r="P40" i="4"/>
  <c r="G43" i="2"/>
  <c r="N40" i="4" l="1"/>
  <c r="P41" i="4"/>
  <c r="G44" i="2"/>
  <c r="N41" i="4" l="1"/>
  <c r="P42" i="4"/>
  <c r="G45" i="2"/>
  <c r="N42" i="4" l="1"/>
  <c r="P43" i="4"/>
  <c r="G46" i="2"/>
  <c r="N43" i="4" l="1"/>
  <c r="P44" i="4"/>
  <c r="G47" i="2"/>
  <c r="N44" i="4" l="1"/>
  <c r="P45" i="4"/>
  <c r="G48" i="2"/>
  <c r="N45" i="4" l="1"/>
  <c r="P46" i="4"/>
  <c r="G49" i="2"/>
  <c r="N46" i="4" l="1"/>
  <c r="P47" i="4"/>
  <c r="G50" i="2"/>
  <c r="N47" i="4" l="1"/>
  <c r="P48" i="4"/>
  <c r="G51" i="2"/>
  <c r="N48" i="4" l="1"/>
  <c r="P49" i="4"/>
  <c r="G52" i="2"/>
  <c r="N49" i="4" l="1"/>
  <c r="P50" i="4"/>
  <c r="G53" i="2"/>
  <c r="N50" i="4" l="1"/>
  <c r="P51" i="4"/>
  <c r="G54" i="2"/>
  <c r="N51" i="4" l="1"/>
  <c r="P52" i="4"/>
  <c r="G55" i="2"/>
  <c r="N52" i="4" l="1"/>
  <c r="P53" i="4"/>
  <c r="G56" i="2"/>
  <c r="N53" i="4" l="1"/>
  <c r="P54" i="4"/>
  <c r="G57" i="2"/>
  <c r="N54" i="4" l="1"/>
  <c r="P55" i="4"/>
  <c r="G58" i="2"/>
  <c r="N55" i="4" l="1"/>
  <c r="P56" i="4"/>
  <c r="G59" i="2"/>
  <c r="N56" i="4" l="1"/>
  <c r="P57" i="4"/>
  <c r="G60" i="2"/>
  <c r="N57" i="4" l="1"/>
  <c r="P58" i="4"/>
  <c r="G61" i="2"/>
  <c r="N58" i="4" l="1"/>
  <c r="P59" i="4"/>
  <c r="G62" i="2"/>
  <c r="N59" i="4" l="1"/>
  <c r="P60" i="4"/>
  <c r="G63" i="2"/>
  <c r="N60" i="4" l="1"/>
  <c r="P61" i="4"/>
  <c r="G64" i="2"/>
  <c r="N61" i="4" l="1"/>
  <c r="P62" i="4"/>
  <c r="G65" i="2"/>
  <c r="N62" i="4" l="1"/>
  <c r="P63" i="4"/>
  <c r="G66" i="2"/>
  <c r="N63" i="4" l="1"/>
  <c r="P64" i="4"/>
  <c r="G67" i="2"/>
  <c r="N64" i="4" l="1"/>
  <c r="P65" i="4"/>
  <c r="G68" i="2"/>
  <c r="N65" i="4" l="1"/>
  <c r="P66" i="4"/>
  <c r="G69" i="2"/>
  <c r="N66" i="4" l="1"/>
  <c r="P67" i="4"/>
  <c r="G70" i="2"/>
  <c r="N67" i="4" l="1"/>
  <c r="P68" i="4"/>
  <c r="G71" i="2"/>
  <c r="N68" i="4" l="1"/>
  <c r="P69" i="4"/>
  <c r="G72" i="2"/>
  <c r="N69" i="4" l="1"/>
  <c r="P70" i="4"/>
  <c r="G73" i="2"/>
  <c r="N70" i="4" l="1"/>
  <c r="P71" i="4"/>
  <c r="G74" i="2"/>
  <c r="N71" i="4" l="1"/>
  <c r="P72" i="4"/>
  <c r="G75" i="2"/>
  <c r="N72" i="4" l="1"/>
  <c r="P73" i="4"/>
  <c r="G76" i="2"/>
  <c r="N73" i="4" l="1"/>
  <c r="P74" i="4"/>
  <c r="G77" i="2"/>
  <c r="N74" i="4" l="1"/>
  <c r="P75" i="4"/>
  <c r="G78" i="2"/>
  <c r="N75" i="4" l="1"/>
  <c r="P76" i="4"/>
  <c r="G79" i="2"/>
  <c r="N76" i="4" l="1"/>
  <c r="P77" i="4"/>
  <c r="G80" i="2"/>
  <c r="N77" i="4" l="1"/>
  <c r="P78" i="4"/>
  <c r="G81" i="2"/>
  <c r="N78" i="4" l="1"/>
  <c r="P79" i="4"/>
  <c r="G82" i="2"/>
  <c r="N79" i="4" l="1"/>
  <c r="P80" i="4"/>
  <c r="G83" i="2"/>
  <c r="N80" i="4" l="1"/>
  <c r="P81" i="4"/>
  <c r="G84" i="2"/>
  <c r="N81" i="4" l="1"/>
  <c r="P82" i="4"/>
  <c r="G85" i="2"/>
  <c r="N82" i="4" l="1"/>
  <c r="P83" i="4"/>
  <c r="G86" i="2"/>
  <c r="N83" i="4" l="1"/>
  <c r="P84" i="4"/>
  <c r="G87" i="2"/>
  <c r="N84" i="4" l="1"/>
  <c r="P85" i="4"/>
  <c r="G88" i="2"/>
  <c r="N85" i="4" l="1"/>
  <c r="P86" i="4"/>
  <c r="G89" i="2"/>
  <c r="N86" i="4" l="1"/>
  <c r="P87" i="4"/>
  <c r="G90" i="2"/>
  <c r="N87" i="4" l="1"/>
  <c r="P88" i="4"/>
  <c r="G91" i="2"/>
  <c r="N88" i="4" l="1"/>
  <c r="P89" i="4"/>
  <c r="G92" i="2"/>
  <c r="N89" i="4" l="1"/>
  <c r="P90" i="4"/>
  <c r="G93" i="2"/>
  <c r="N90" i="4" l="1"/>
  <c r="P91" i="4"/>
  <c r="G94" i="2"/>
  <c r="N91" i="4" l="1"/>
  <c r="P92" i="4"/>
  <c r="G95" i="2"/>
  <c r="N92" i="4" l="1"/>
  <c r="P93" i="4"/>
  <c r="G96" i="2"/>
  <c r="N93" i="4" l="1"/>
  <c r="P94" i="4"/>
  <c r="G97" i="2"/>
  <c r="N94" i="4" l="1"/>
  <c r="P95" i="4"/>
  <c r="G98" i="2"/>
  <c r="N95" i="4" l="1"/>
  <c r="P96" i="4"/>
  <c r="G99" i="2"/>
  <c r="N96" i="4" l="1"/>
  <c r="P97" i="4"/>
  <c r="G100" i="2"/>
  <c r="N97" i="4" l="1"/>
  <c r="P98" i="4"/>
  <c r="G101" i="2"/>
  <c r="N98" i="4" l="1"/>
  <c r="P99" i="4"/>
  <c r="G102" i="2"/>
  <c r="N99" i="4" l="1"/>
  <c r="P100" i="4"/>
  <c r="G103" i="2"/>
  <c r="N100" i="4" l="1"/>
  <c r="P101" i="4"/>
  <c r="G104" i="2"/>
  <c r="N101" i="4" l="1"/>
  <c r="P102" i="4"/>
  <c r="G105" i="2"/>
  <c r="N102" i="4" l="1"/>
  <c r="P103" i="4"/>
  <c r="G106" i="2"/>
  <c r="N103" i="4" l="1"/>
  <c r="P104" i="4"/>
  <c r="G107" i="2"/>
  <c r="N104" i="4" l="1"/>
  <c r="P105" i="4"/>
  <c r="G108" i="2"/>
  <c r="N105" i="4" l="1"/>
  <c r="P106" i="4"/>
  <c r="G109" i="2"/>
  <c r="N106" i="4" l="1"/>
  <c r="P107" i="4"/>
  <c r="G110" i="2"/>
  <c r="N107" i="4" l="1"/>
  <c r="P108" i="4"/>
  <c r="G111" i="2"/>
  <c r="N108" i="4" l="1"/>
  <c r="P109" i="4"/>
  <c r="G112" i="2"/>
  <c r="N109" i="4" l="1"/>
  <c r="P110" i="4"/>
  <c r="G113" i="2"/>
  <c r="N110" i="4" l="1"/>
  <c r="P111" i="4"/>
  <c r="G114" i="2"/>
  <c r="N111" i="4" l="1"/>
  <c r="P112" i="4"/>
  <c r="G115" i="2"/>
  <c r="N112" i="4" l="1"/>
  <c r="P113" i="4"/>
  <c r="G116" i="2"/>
  <c r="N113" i="4" l="1"/>
  <c r="P114" i="4"/>
  <c r="G117" i="2"/>
  <c r="N114" i="4" l="1"/>
  <c r="P115" i="4"/>
  <c r="G118" i="2"/>
  <c r="N115" i="4" l="1"/>
  <c r="P116" i="4"/>
  <c r="G119" i="2"/>
  <c r="N116" i="4" l="1"/>
  <c r="P117" i="4"/>
  <c r="G120" i="2"/>
  <c r="N117" i="4" l="1"/>
  <c r="P118" i="4"/>
  <c r="G121" i="2"/>
  <c r="N118" i="4" l="1"/>
  <c r="P119" i="4"/>
  <c r="G122" i="2"/>
  <c r="N119" i="4" l="1"/>
  <c r="P120" i="4"/>
  <c r="G123" i="2"/>
  <c r="N120" i="4" l="1"/>
  <c r="P121" i="4"/>
  <c r="G124" i="2"/>
  <c r="N121" i="4" l="1"/>
  <c r="P122" i="4"/>
  <c r="G125" i="2"/>
  <c r="N122" i="4" l="1"/>
  <c r="P123" i="4"/>
  <c r="G126" i="2"/>
  <c r="N123" i="4" l="1"/>
  <c r="P124" i="4"/>
  <c r="G127" i="2"/>
  <c r="N124" i="4" l="1"/>
  <c r="P125" i="4"/>
  <c r="G128" i="2"/>
  <c r="N125" i="4" l="1"/>
  <c r="P126" i="4"/>
  <c r="G129" i="2"/>
  <c r="N126" i="4" l="1"/>
  <c r="P127" i="4"/>
  <c r="G130" i="2"/>
  <c r="N127" i="4" l="1"/>
  <c r="P128" i="4"/>
  <c r="G131" i="2"/>
  <c r="N128" i="4" l="1"/>
  <c r="P129" i="4"/>
  <c r="G132" i="2"/>
  <c r="N129" i="4" l="1"/>
  <c r="P130" i="4"/>
  <c r="G133" i="2"/>
  <c r="N130" i="4" l="1"/>
  <c r="P131" i="4"/>
  <c r="G134" i="2"/>
  <c r="N131" i="4" l="1"/>
  <c r="P132" i="4"/>
  <c r="G135" i="2"/>
  <c r="N132" i="4" l="1"/>
  <c r="P133" i="4"/>
  <c r="G136" i="2"/>
  <c r="N133" i="4" l="1"/>
  <c r="P134" i="4"/>
  <c r="G137" i="2"/>
  <c r="N134" i="4" l="1"/>
  <c r="P135" i="4"/>
  <c r="G138" i="2"/>
  <c r="N135" i="4" l="1"/>
  <c r="P136" i="4"/>
  <c r="G139" i="2"/>
  <c r="N136" i="4" l="1"/>
  <c r="P137" i="4"/>
  <c r="G140" i="2"/>
  <c r="N137" i="4" l="1"/>
  <c r="P138" i="4"/>
  <c r="G141" i="2"/>
  <c r="N138" i="4" l="1"/>
  <c r="P139" i="4"/>
  <c r="G142" i="2"/>
  <c r="N139" i="4" l="1"/>
  <c r="P140" i="4"/>
  <c r="G143" i="2"/>
  <c r="N140" i="4" l="1"/>
  <c r="P141" i="4"/>
  <c r="G144" i="2"/>
  <c r="N141" i="4" l="1"/>
  <c r="P142" i="4"/>
  <c r="G145" i="2"/>
  <c r="N142" i="4" l="1"/>
  <c r="P143" i="4"/>
  <c r="G146" i="2"/>
  <c r="N143" i="4" l="1"/>
  <c r="P144" i="4"/>
  <c r="G147" i="2"/>
  <c r="N144" i="4" l="1"/>
  <c r="P145" i="4"/>
  <c r="G148" i="2"/>
  <c r="N145" i="4" l="1"/>
  <c r="P146" i="4"/>
  <c r="G149" i="2"/>
  <c r="N146" i="4" l="1"/>
  <c r="P147" i="4"/>
  <c r="G150" i="2"/>
  <c r="N147" i="4" l="1"/>
  <c r="P148" i="4"/>
  <c r="G151" i="2"/>
  <c r="N148" i="4" l="1"/>
  <c r="P149" i="4"/>
  <c r="G152" i="2"/>
  <c r="N149" i="4" l="1"/>
  <c r="P150" i="4"/>
  <c r="G153" i="2"/>
  <c r="N150" i="4" l="1"/>
  <c r="P151" i="4"/>
  <c r="G154" i="2"/>
  <c r="N151" i="4" l="1"/>
  <c r="P152" i="4"/>
  <c r="G155" i="2"/>
  <c r="N152" i="4" l="1"/>
  <c r="P153" i="4"/>
  <c r="G156" i="2"/>
  <c r="N153" i="4" l="1"/>
  <c r="P154" i="4"/>
  <c r="G157" i="2"/>
  <c r="N154" i="4" l="1"/>
  <c r="P155" i="4"/>
  <c r="G158" i="2"/>
  <c r="N155" i="4" l="1"/>
  <c r="P156" i="4"/>
  <c r="G159" i="2"/>
  <c r="N156" i="4" l="1"/>
  <c r="P157" i="4"/>
  <c r="G160" i="2"/>
  <c r="N157" i="4" l="1"/>
  <c r="P158" i="4"/>
  <c r="G161" i="2"/>
  <c r="N158" i="4" l="1"/>
  <c r="P159" i="4"/>
  <c r="G162" i="2"/>
  <c r="N159" i="4" l="1"/>
  <c r="P160" i="4"/>
  <c r="G163" i="2"/>
  <c r="N160" i="4" l="1"/>
  <c r="P161" i="4"/>
  <c r="G164" i="2"/>
  <c r="N161" i="4" l="1"/>
  <c r="P162" i="4"/>
  <c r="G165" i="2"/>
  <c r="N162" i="4" l="1"/>
  <c r="P163" i="4"/>
  <c r="G166" i="2"/>
  <c r="N163" i="4" l="1"/>
  <c r="P164" i="4"/>
  <c r="G167" i="2"/>
  <c r="N164" i="4" l="1"/>
  <c r="P165" i="4"/>
  <c r="G168" i="2"/>
  <c r="N165" i="4" l="1"/>
  <c r="P166" i="4"/>
  <c r="G169" i="2"/>
  <c r="N166" i="4" l="1"/>
  <c r="P167" i="4"/>
  <c r="G170" i="2"/>
  <c r="N167" i="4" l="1"/>
  <c r="P168" i="4"/>
  <c r="G171" i="2"/>
  <c r="N168" i="4" l="1"/>
  <c r="P169" i="4"/>
  <c r="G172" i="2"/>
  <c r="N169" i="4" l="1"/>
  <c r="P170" i="4"/>
  <c r="G173" i="2"/>
  <c r="N170" i="4" l="1"/>
  <c r="P171" i="4"/>
  <c r="G174" i="2"/>
  <c r="N171" i="4" l="1"/>
  <c r="P172" i="4"/>
  <c r="G175" i="2"/>
  <c r="N172" i="4" l="1"/>
  <c r="P173" i="4"/>
  <c r="G176" i="2"/>
  <c r="N173" i="4" l="1"/>
  <c r="P174" i="4"/>
  <c r="G177" i="2"/>
  <c r="N174" i="4" l="1"/>
  <c r="P175" i="4"/>
  <c r="G178" i="2"/>
  <c r="N175" i="4" l="1"/>
  <c r="P176" i="4"/>
  <c r="G179" i="2"/>
  <c r="N176" i="4" l="1"/>
  <c r="P177" i="4"/>
  <c r="G180" i="2"/>
  <c r="N177" i="4" l="1"/>
  <c r="P178" i="4"/>
  <c r="G181" i="2"/>
  <c r="N178" i="4" l="1"/>
  <c r="P179" i="4"/>
  <c r="G182" i="2"/>
  <c r="N179" i="4" l="1"/>
  <c r="P180" i="4"/>
  <c r="G183" i="2"/>
  <c r="N180" i="4" l="1"/>
  <c r="P181" i="4"/>
  <c r="G184" i="2"/>
  <c r="N181" i="4" l="1"/>
  <c r="P182" i="4"/>
  <c r="G185" i="2"/>
  <c r="N182" i="4" l="1"/>
  <c r="P183" i="4"/>
  <c r="G186" i="2"/>
  <c r="N183" i="4" l="1"/>
  <c r="P184" i="4"/>
  <c r="G187" i="2"/>
  <c r="N184" i="4" l="1"/>
  <c r="P185" i="4"/>
  <c r="G188" i="2"/>
  <c r="N185" i="4" l="1"/>
  <c r="P186" i="4"/>
  <c r="G189" i="2"/>
  <c r="N186" i="4" l="1"/>
  <c r="P187" i="4"/>
  <c r="G190" i="2"/>
  <c r="N187" i="4" l="1"/>
  <c r="P188" i="4"/>
  <c r="G191" i="2"/>
  <c r="N188" i="4" l="1"/>
  <c r="P189" i="4"/>
  <c r="G192" i="2"/>
  <c r="N189" i="4" l="1"/>
  <c r="P190" i="4"/>
  <c r="G193" i="2"/>
  <c r="N190" i="4" l="1"/>
  <c r="P191" i="4"/>
  <c r="G194" i="2"/>
  <c r="N191" i="4" l="1"/>
  <c r="P192" i="4"/>
  <c r="G195" i="2"/>
  <c r="N192" i="4" l="1"/>
  <c r="P193" i="4"/>
  <c r="G196" i="2"/>
  <c r="N193" i="4" l="1"/>
  <c r="P194" i="4"/>
  <c r="G197" i="2"/>
  <c r="N194" i="4" l="1"/>
  <c r="P195" i="4"/>
  <c r="G198" i="2"/>
  <c r="N195" i="4" l="1"/>
  <c r="P196" i="4"/>
  <c r="G199" i="2"/>
  <c r="N196" i="4" l="1"/>
  <c r="P197" i="4"/>
  <c r="G200" i="2"/>
  <c r="N197" i="4" l="1"/>
  <c r="P198" i="4"/>
  <c r="G201" i="2"/>
  <c r="N198" i="4" l="1"/>
  <c r="P199" i="4"/>
  <c r="G202" i="2"/>
  <c r="N199" i="4" l="1"/>
  <c r="P200" i="4"/>
  <c r="G203" i="2"/>
  <c r="N200" i="4" l="1"/>
  <c r="P201" i="4"/>
  <c r="G204" i="2"/>
  <c r="N201" i="4" l="1"/>
  <c r="P202" i="4"/>
  <c r="G205" i="2"/>
  <c r="N202" i="4" l="1"/>
  <c r="P203" i="4"/>
  <c r="G206" i="2"/>
  <c r="N203" i="4" l="1"/>
  <c r="P204" i="4"/>
  <c r="G207" i="2"/>
  <c r="N204" i="4" l="1"/>
  <c r="P205" i="4"/>
  <c r="G208" i="2"/>
  <c r="N205" i="4" l="1"/>
  <c r="P206" i="4"/>
  <c r="G209" i="2"/>
  <c r="N206" i="4" l="1"/>
  <c r="P207" i="4"/>
  <c r="G210" i="2"/>
  <c r="N207" i="4" l="1"/>
  <c r="P208" i="4"/>
  <c r="G211" i="2"/>
  <c r="N208" i="4" l="1"/>
  <c r="P209" i="4"/>
  <c r="G212" i="2"/>
  <c r="N209" i="4" l="1"/>
  <c r="P210" i="4"/>
  <c r="G213" i="2"/>
  <c r="N210" i="4" l="1"/>
  <c r="P211" i="4"/>
  <c r="G214" i="2"/>
  <c r="N211" i="4" l="1"/>
  <c r="P212" i="4"/>
  <c r="G215" i="2"/>
  <c r="N212" i="4" l="1"/>
  <c r="P213" i="4"/>
  <c r="G216" i="2"/>
  <c r="N213" i="4" l="1"/>
  <c r="P214" i="4"/>
  <c r="G217" i="2"/>
  <c r="N214" i="4" l="1"/>
  <c r="P215" i="4"/>
  <c r="G218" i="2"/>
  <c r="N215" i="4" l="1"/>
  <c r="P216" i="4"/>
  <c r="G219" i="2"/>
  <c r="N216" i="4" l="1"/>
  <c r="P217" i="4"/>
  <c r="G220" i="2"/>
  <c r="N217" i="4" l="1"/>
  <c r="P218" i="4"/>
  <c r="G221" i="2"/>
  <c r="N218" i="4" l="1"/>
  <c r="P219" i="4"/>
  <c r="G222" i="2"/>
  <c r="N219" i="4" l="1"/>
  <c r="P220" i="4"/>
  <c r="G223" i="2"/>
  <c r="N220" i="4" l="1"/>
  <c r="P221" i="4"/>
  <c r="G224" i="2"/>
  <c r="N221" i="4" l="1"/>
  <c r="P222" i="4"/>
  <c r="G225" i="2"/>
  <c r="N222" i="4" l="1"/>
  <c r="P223" i="4"/>
  <c r="G226" i="2"/>
  <c r="N223" i="4" l="1"/>
  <c r="P224" i="4"/>
  <c r="G227" i="2"/>
  <c r="N224" i="4" l="1"/>
  <c r="P225" i="4"/>
  <c r="G228" i="2"/>
  <c r="N225" i="4" l="1"/>
  <c r="P226" i="4"/>
  <c r="G229" i="2"/>
  <c r="N226" i="4" l="1"/>
  <c r="P227" i="4"/>
  <c r="G230" i="2"/>
  <c r="N227" i="4" l="1"/>
  <c r="P228" i="4"/>
  <c r="G231" i="2"/>
  <c r="N228" i="4" l="1"/>
  <c r="P229" i="4"/>
  <c r="G232" i="2"/>
  <c r="N229" i="4" l="1"/>
  <c r="P230" i="4"/>
  <c r="G233" i="2"/>
  <c r="N230" i="4" l="1"/>
  <c r="P231" i="4"/>
  <c r="G234" i="2"/>
  <c r="N231" i="4" l="1"/>
  <c r="P232" i="4"/>
  <c r="G235" i="2"/>
  <c r="N232" i="4" l="1"/>
  <c r="P233" i="4"/>
  <c r="G236" i="2"/>
  <c r="N233" i="4" l="1"/>
  <c r="P234" i="4"/>
  <c r="G237" i="2"/>
  <c r="N234" i="4" l="1"/>
  <c r="P235" i="4"/>
  <c r="G238" i="2"/>
  <c r="N235" i="4" l="1"/>
  <c r="P236" i="4"/>
  <c r="G239" i="2"/>
  <c r="N236" i="4" l="1"/>
  <c r="P237" i="4"/>
  <c r="G240" i="2"/>
  <c r="N237" i="4" l="1"/>
  <c r="P238" i="4"/>
  <c r="G241" i="2"/>
  <c r="N238" i="4" l="1"/>
  <c r="P239" i="4"/>
  <c r="G242" i="2"/>
  <c r="N239" i="4" l="1"/>
  <c r="P240" i="4"/>
  <c r="G243" i="2"/>
  <c r="N240" i="4" l="1"/>
  <c r="P241" i="4"/>
  <c r="G244" i="2"/>
  <c r="N241" i="4" l="1"/>
  <c r="P242" i="4"/>
  <c r="G245" i="2"/>
  <c r="N242" i="4" l="1"/>
  <c r="P243" i="4"/>
  <c r="G246" i="2"/>
  <c r="N243" i="4" l="1"/>
  <c r="P244" i="4"/>
  <c r="G247" i="2"/>
  <c r="N244" i="4" l="1"/>
  <c r="P245" i="4"/>
  <c r="G248" i="2"/>
  <c r="N245" i="4" l="1"/>
  <c r="P246" i="4"/>
  <c r="G249" i="2"/>
  <c r="N246" i="4" l="1"/>
  <c r="P247" i="4"/>
  <c r="G250" i="2"/>
  <c r="N247" i="4" l="1"/>
  <c r="P248" i="4"/>
  <c r="G251" i="2"/>
  <c r="N248" i="4" l="1"/>
  <c r="P249" i="4"/>
  <c r="G252" i="2"/>
  <c r="N249" i="4" l="1"/>
  <c r="P250" i="4"/>
  <c r="G253" i="2"/>
  <c r="N250" i="4" l="1"/>
  <c r="P251" i="4"/>
  <c r="G254" i="2"/>
  <c r="N251" i="4" l="1"/>
  <c r="P252" i="4"/>
  <c r="G255" i="2"/>
  <c r="N252" i="4" l="1"/>
  <c r="P253" i="4"/>
  <c r="G256" i="2"/>
  <c r="N253" i="4" l="1"/>
  <c r="P254" i="4"/>
  <c r="G257" i="2"/>
  <c r="N254" i="4" l="1"/>
  <c r="P255" i="4"/>
  <c r="G258" i="2"/>
  <c r="N255" i="4" l="1"/>
  <c r="P256" i="4"/>
  <c r="G259" i="2"/>
  <c r="N256" i="4" l="1"/>
  <c r="P257" i="4"/>
  <c r="G260" i="2"/>
  <c r="N257" i="4" l="1"/>
  <c r="P258" i="4"/>
  <c r="G261" i="2"/>
  <c r="N258" i="4" l="1"/>
  <c r="P259" i="4"/>
  <c r="G262" i="2"/>
  <c r="N259" i="4" l="1"/>
  <c r="P260" i="4"/>
  <c r="G263" i="2"/>
  <c r="N260" i="4" l="1"/>
  <c r="P261" i="4"/>
  <c r="G264" i="2"/>
  <c r="N261" i="4" l="1"/>
  <c r="P262" i="4"/>
  <c r="G265" i="2"/>
  <c r="N262" i="4" l="1"/>
  <c r="P263" i="4"/>
  <c r="G266" i="2"/>
  <c r="N263" i="4" l="1"/>
  <c r="P264" i="4"/>
  <c r="G267" i="2"/>
  <c r="N264" i="4" l="1"/>
  <c r="P265" i="4"/>
  <c r="G268" i="2"/>
  <c r="N265" i="4" l="1"/>
  <c r="P266" i="4"/>
  <c r="G270" i="2"/>
  <c r="G269" i="2"/>
  <c r="N266" i="4" l="1"/>
  <c r="P267" i="4"/>
  <c r="N267" i="4" l="1"/>
  <c r="P268" i="4"/>
  <c r="N268" i="4" l="1"/>
  <c r="P269" i="4"/>
  <c r="N269" i="4" l="1"/>
  <c r="P270" i="4"/>
  <c r="N270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tc={2DB1BA80-145C-4531-9E33-95282088E307}</author>
  </authors>
  <commentList>
    <comment ref="D1" authorId="0" shapeId="0" xr:uid="{2DB1BA80-145C-4531-9E33-95282088E307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Add 20 ms delay in enveloppe as expected in the ENTSOE Document
</t>
      </text>
    </comment>
  </commentList>
</comments>
</file>

<file path=xl/sharedStrings.xml><?xml version="1.0" encoding="utf-8"?>
<sst xmlns="http://schemas.openxmlformats.org/spreadsheetml/2006/main" count="156" uniqueCount="74">
  <si>
    <t>Time</t>
  </si>
  <si>
    <t>P0</t>
  </si>
  <si>
    <t>SCR</t>
  </si>
  <si>
    <t>D</t>
  </si>
  <si>
    <t>Xtr</t>
  </si>
  <si>
    <t>H</t>
  </si>
  <si>
    <t>Wb</t>
  </si>
  <si>
    <t>Xgr</t>
  </si>
  <si>
    <t>Ugr</t>
  </si>
  <si>
    <t>deltatheta</t>
  </si>
  <si>
    <t>Uconv</t>
  </si>
  <si>
    <t>Num</t>
  </si>
  <si>
    <t>Ts</t>
  </si>
  <si>
    <t>Sigma</t>
  </si>
  <si>
    <t>Xtot</t>
  </si>
  <si>
    <t>Wn</t>
  </si>
  <si>
    <t xml:space="preserve">Tunnel </t>
  </si>
  <si>
    <t>Pour un système overdamped</t>
  </si>
  <si>
    <t>Tunnel</t>
  </si>
  <si>
    <t>Xconv + fil</t>
  </si>
  <si>
    <t>Xconv+fil</t>
  </si>
  <si>
    <t>f=</t>
  </si>
  <si>
    <t>T oscillation</t>
  </si>
  <si>
    <t xml:space="preserve">ksi </t>
  </si>
  <si>
    <t>Pthéorique</t>
  </si>
  <si>
    <t xml:space="preserve">Marge haute </t>
  </si>
  <si>
    <t>marge basse</t>
  </si>
  <si>
    <t>Bande finale</t>
  </si>
  <si>
    <t>valeur Haute (Multiplié par marge haute + tunnel)</t>
  </si>
  <si>
    <t>Pour un système du second ordre</t>
  </si>
  <si>
    <t>Enveloppe min</t>
  </si>
  <si>
    <t>enveloppe max</t>
  </si>
  <si>
    <t>Expected second order response with 10 ms delay</t>
  </si>
  <si>
    <t>1/2 of the Expected second order response with 10 ms delay</t>
  </si>
  <si>
    <t>using the expected envelope as a max when the damped sinusoid decreases</t>
  </si>
  <si>
    <t>Envelope min - band finale</t>
  </si>
  <si>
    <t>deltathetadeg</t>
  </si>
  <si>
    <t>wd</t>
  </si>
  <si>
    <t>epsilon</t>
  </si>
  <si>
    <t>Ppeak</t>
  </si>
  <si>
    <t>valeur bassee (Multiplié par marge basse + tunnel)</t>
  </si>
  <si>
    <t>Voltage step</t>
  </si>
  <si>
    <t>Xgrid</t>
  </si>
  <si>
    <t>Q0</t>
  </si>
  <si>
    <t>Qmin</t>
  </si>
  <si>
    <t>Qmax</t>
  </si>
  <si>
    <t>time to 90%</t>
  </si>
  <si>
    <t>tau</t>
  </si>
  <si>
    <t>Qexpected</t>
  </si>
  <si>
    <t>deltaVinf=</t>
  </si>
  <si>
    <t>Xtot =</t>
  </si>
  <si>
    <t>tunnel</t>
  </si>
  <si>
    <t>Time for tunnel</t>
  </si>
  <si>
    <t>a=</t>
  </si>
  <si>
    <t>b=</t>
  </si>
  <si>
    <t>A=</t>
  </si>
  <si>
    <t>B=</t>
  </si>
  <si>
    <t>expecter behavior</t>
  </si>
  <si>
    <t>min margin * Expected second order response with 10 ms delay</t>
  </si>
  <si>
    <t xml:space="preserve">Expected second order response with margin </t>
  </si>
  <si>
    <t>Expected second order response with margin +tunnel</t>
  </si>
  <si>
    <t>Expected second order response with margin -tunnel</t>
  </si>
  <si>
    <t>Expected second order response with x margin with 10 ms delay</t>
  </si>
  <si>
    <t>Expected minumum exponential response with x margin</t>
  </si>
  <si>
    <t>enveloppe max avec  marge et tunnel et +10ms</t>
  </si>
  <si>
    <t>Enveloppe min avec marge et tunnel et +10ms</t>
  </si>
  <si>
    <t>Expected second order response with 10 ms delay (only at begining)</t>
  </si>
  <si>
    <t>DeltaIQ</t>
  </si>
  <si>
    <t>Bande finale (% step)</t>
  </si>
  <si>
    <t>Bande finale (% Pn)</t>
  </si>
  <si>
    <t>EMT simulation</t>
  </si>
  <si>
    <t>Qup</t>
  </si>
  <si>
    <t>Qdown</t>
  </si>
  <si>
    <t>Xconv + filt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</si>
</sst>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rgb="FF2B9B62"/>
      <name val="Aptos Narrow"/>
      <family val="2"/>
      <scheme val="minor"/>
    </font>
    <font>
      <b/>
      <sz val="18"/>
      <color rgb="FFFF0000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2" fontId="0" fillId="0" borderId="0" xfId="0" applyNumberFormat="1"/>
    <xf numFmtId="0" fontId="0" fillId="2" borderId="0" xfId="0" applyFill="1"/>
    <xf numFmtId="0" fontId="0" fillId="3" borderId="0" xfId="0" applyFill="1"/>
    <xf numFmtId="9" fontId="0" fillId="3" borderId="0" xfId="0" applyNumberFormat="1" applyFill="1"/>
    <xf numFmtId="0" fontId="2" fillId="0" borderId="0" xfId="0" applyFont="1"/>
    <xf numFmtId="9" fontId="0" fillId="2" borderId="0" xfId="0" applyNumberFormat="1" applyFill="1"/>
    <xf numFmtId="0" fontId="0" fillId="0" borderId="0" xfId="0" applyAlignment="1">
      <alignment wrapText="1"/>
    </xf>
    <xf numFmtId="0" fontId="0" fillId="4" borderId="0" xfId="0" applyFill="1"/>
    <xf numFmtId="10" fontId="0" fillId="2" borderId="0" xfId="0" applyNumberForma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0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system'!$B$5:$B$279</c:f>
              <c:numCache>
                <c:formatCode>General</c:formatCode>
                <c:ptCount val="275"/>
                <c:pt idx="0">
                  <c:v>0.63468360299323179</c:v>
                </c:pt>
                <c:pt idx="1">
                  <c:v>0.63769360095941929</c:v>
                </c:pt>
                <c:pt idx="2">
                  <c:v>0.64062503171407725</c:v>
                </c:pt>
                <c:pt idx="3">
                  <c:v>0.64347994602494607</c:v>
                </c:pt>
                <c:pt idx="4">
                  <c:v>0.64626034113045983</c:v>
                </c:pt>
                <c:pt idx="5">
                  <c:v>0.64896816213697261</c:v>
                </c:pt>
                <c:pt idx="6">
                  <c:v>0.65160530337951461</c:v>
                </c:pt>
                <c:pt idx="7">
                  <c:v>0.65417360974702898</c:v>
                </c:pt>
                <c:pt idx="8">
                  <c:v>0.65667487797301771</c:v>
                </c:pt>
                <c:pt idx="9">
                  <c:v>0.65911085789249901</c:v>
                </c:pt>
                <c:pt idx="10">
                  <c:v>0.66148325366615512</c:v>
                </c:pt>
                <c:pt idx="11">
                  <c:v>0.66379372497252764</c:v>
                </c:pt>
                <c:pt idx="12">
                  <c:v>0.66604388816909432</c:v>
                </c:pt>
                <c:pt idx="13">
                  <c:v>0.66823531742303821</c:v>
                </c:pt>
                <c:pt idx="14">
                  <c:v>0.67036954581250285</c:v>
                </c:pt>
                <c:pt idx="15">
                  <c:v>0.67244806639910149</c:v>
                </c:pt>
                <c:pt idx="16">
                  <c:v>0.67447233327243183</c:v>
                </c:pt>
                <c:pt idx="17">
                  <c:v>0.67644376256732675</c:v>
                </c:pt>
                <c:pt idx="18">
                  <c:v>0.67836373345455236</c:v>
                </c:pt>
                <c:pt idx="19">
                  <c:v>0.68023358910564768</c:v>
                </c:pt>
                <c:pt idx="20">
                  <c:v>0.68205463763257901</c:v>
                </c:pt>
                <c:pt idx="21">
                  <c:v>0.6838281530028677</c:v>
                </c:pt>
                <c:pt idx="22">
                  <c:v>0.68555537593083127</c:v>
                </c:pt>
                <c:pt idx="23">
                  <c:v>0.68723751474556138</c:v>
                </c:pt>
                <c:pt idx="24">
                  <c:v>0.68887574623624559</c:v>
                </c:pt>
                <c:pt idx="25">
                  <c:v>0.69047121647542442</c:v>
                </c:pt>
                <c:pt idx="26">
                  <c:v>0.69202504162075973</c:v>
                </c:pt>
                <c:pt idx="27">
                  <c:v>0.69353830869587552</c:v>
                </c:pt>
                <c:pt idx="28">
                  <c:v>0.69501207635081663</c:v>
                </c:pt>
                <c:pt idx="29">
                  <c:v>0.69644737560265846</c:v>
                </c:pt>
                <c:pt idx="30">
                  <c:v>0.69784521055678506</c:v>
                </c:pt>
                <c:pt idx="31">
                  <c:v>0.69920655910934004</c:v>
                </c:pt>
                <c:pt idx="32">
                  <c:v>0.70053237363134224</c:v>
                </c:pt>
                <c:pt idx="33">
                  <c:v>0.70182358163494518</c:v>
                </c:pt>
                <c:pt idx="34">
                  <c:v>0.70308108642230427</c:v>
                </c:pt>
                <c:pt idx="35">
                  <c:v>0.70430576771750897</c:v>
                </c:pt>
                <c:pt idx="36">
                  <c:v>0.70549848228201906</c:v>
                </c:pt>
                <c:pt idx="37">
                  <c:v>0.70666006451403685</c:v>
                </c:pt>
                <c:pt idx="38">
                  <c:v>0.70779132703223535</c:v>
                </c:pt>
                <c:pt idx="39">
                  <c:v>0.70889306124424845</c:v>
                </c:pt>
                <c:pt idx="40">
                  <c:v>0.70996603790032398</c:v>
                </c:pt>
                <c:pt idx="41">
                  <c:v>0.71101100763252423</c:v>
                </c:pt>
                <c:pt idx="42">
                  <c:v>0.71202870147985209</c:v>
                </c:pt>
                <c:pt idx="43">
                  <c:v>0.71301983139967118</c:v>
                </c:pt>
                <c:pt idx="44">
                  <c:v>0.7139850907657761</c:v>
                </c:pt>
                <c:pt idx="45">
                  <c:v>0.71492515485346242</c:v>
                </c:pt>
                <c:pt idx="46">
                  <c:v>0.7158406813119349</c:v>
                </c:pt>
                <c:pt idx="47">
                  <c:v>0.71673231062438558</c:v>
                </c:pt>
                <c:pt idx="48">
                  <c:v>0.71760066655606181</c:v>
                </c:pt>
                <c:pt idx="49">
                  <c:v>0.71844635659063993</c:v>
                </c:pt>
                <c:pt idx="50">
                  <c:v>0.71926997235520818</c:v>
                </c:pt>
                <c:pt idx="51">
                  <c:v>0.72007209003415606</c:v>
                </c:pt>
                <c:pt idx="52">
                  <c:v>0.7208532707722618</c:v>
                </c:pt>
                <c:pt idx="53">
                  <c:v>0.72161406106725645</c:v>
                </c:pt>
                <c:pt idx="54">
                  <c:v>0.72235499315214347</c:v>
                </c:pt>
                <c:pt idx="55">
                  <c:v>0.72307658536753683</c:v>
                </c:pt>
                <c:pt idx="56">
                  <c:v>0.72377934252428167</c:v>
                </c:pt>
                <c:pt idx="57">
                  <c:v>0.72446375625660953</c:v>
                </c:pt>
                <c:pt idx="58">
                  <c:v>0.72513030536607548</c:v>
                </c:pt>
                <c:pt idx="59">
                  <c:v>0.72577945615651696</c:v>
                </c:pt>
                <c:pt idx="60">
                  <c:v>0.72641166276027136</c:v>
                </c:pt>
                <c:pt idx="61">
                  <c:v>0.72702736745587648</c:v>
                </c:pt>
                <c:pt idx="62">
                  <c:v>0.7276270009774799</c:v>
                </c:pt>
                <c:pt idx="63">
                  <c:v>0.72821098281617147</c:v>
                </c:pt>
                <c:pt idx="64">
                  <c:v>0.7287797215134505</c:v>
                </c:pt>
                <c:pt idx="65">
                  <c:v>0.72933361494703308</c:v>
                </c:pt>
                <c:pt idx="66">
                  <c:v>0.72987305060919849</c:v>
                </c:pt>
                <c:pt idx="67">
                  <c:v>0.7303984058778713</c:v>
                </c:pt>
                <c:pt idx="68">
                  <c:v>0.73091004828062678</c:v>
                </c:pt>
                <c:pt idx="69">
                  <c:v>0.73140833575180531</c:v>
                </c:pt>
                <c:pt idx="70">
                  <c:v>0.73189361688291654</c:v>
                </c:pt>
                <c:pt idx="71">
                  <c:v>0.73236623116650557</c:v>
                </c:pt>
                <c:pt idx="72">
                  <c:v>0.73282650923365611</c:v>
                </c:pt>
                <c:pt idx="73">
                  <c:v>0.7332747730852921</c:v>
                </c:pt>
                <c:pt idx="74">
                  <c:v>0.73371133631744323</c:v>
                </c:pt>
                <c:pt idx="75">
                  <c:v>0.73413650434063016</c:v>
                </c:pt>
                <c:pt idx="76">
                  <c:v>0.73455057459352335</c:v>
                </c:pt>
                <c:pt idx="77">
                  <c:v>0.73495383675102499</c:v>
                </c:pt>
                <c:pt idx="78">
                  <c:v>0.73534657292691918</c:v>
                </c:pt>
                <c:pt idx="79">
                  <c:v>0.73572905787123344</c:v>
                </c:pt>
                <c:pt idx="80">
                  <c:v>0.73610155916244746</c:v>
                </c:pt>
                <c:pt idx="81">
                  <c:v>0.73646433739468575</c:v>
                </c:pt>
                <c:pt idx="82">
                  <c:v>0.736817646360024</c:v>
                </c:pt>
                <c:pt idx="83">
                  <c:v>0.7371617332260364</c:v>
                </c:pt>
                <c:pt idx="84">
                  <c:v>0.73749683870870886</c:v>
                </c:pt>
                <c:pt idx="85">
                  <c:v>0.73782319724083922</c:v>
                </c:pt>
                <c:pt idx="86">
                  <c:v>0.73814103713604162</c:v>
                </c:pt>
                <c:pt idx="87">
                  <c:v>0.73845058074846914</c:v>
                </c:pt>
                <c:pt idx="88">
                  <c:v>0.73875204462836919</c:v>
                </c:pt>
                <c:pt idx="89">
                  <c:v>0.73904563967357673</c:v>
                </c:pt>
                <c:pt idx="90">
                  <c:v>0.73933157127705451</c:v>
                </c:pt>
                <c:pt idx="91">
                  <c:v>0.73961003947058124</c:v>
                </c:pt>
                <c:pt idx="92">
                  <c:v>0.73988123906468994</c:v>
                </c:pt>
                <c:pt idx="93">
                  <c:v>0.74014535978495344</c:v>
                </c:pt>
                <c:pt idx="94">
                  <c:v>0.74040258640471213</c:v>
                </c:pt>
                <c:pt idx="95">
                  <c:v>0.74065309887433761</c:v>
                </c:pt>
                <c:pt idx="96">
                  <c:v>0.74089707244712233</c:v>
                </c:pt>
                <c:pt idx="97">
                  <c:v>0.74113467780188291</c:v>
                </c:pt>
                <c:pt idx="98">
                  <c:v>0.74136608116236402</c:v>
                </c:pt>
                <c:pt idx="99">
                  <c:v>0.74159144441352409</c:v>
                </c:pt>
                <c:pt idx="100">
                  <c:v>0.74181092521478753</c:v>
                </c:pt>
                <c:pt idx="101">
                  <c:v>0.74202467711033981</c:v>
                </c:pt>
                <c:pt idx="102">
                  <c:v>0.74223284963654312</c:v>
                </c:pt>
                <c:pt idx="103">
                  <c:v>0.74243558842654978</c:v>
                </c:pt>
                <c:pt idx="104">
                  <c:v>0.7426330353121835</c:v>
                </c:pt>
                <c:pt idx="105">
                  <c:v>0.74282532842316229</c:v>
                </c:pt>
                <c:pt idx="106">
                  <c:v>0.74301260228373112</c:v>
                </c:pt>
                <c:pt idx="107">
                  <c:v>0.74319498790677208</c:v>
                </c:pt>
                <c:pt idx="108">
                  <c:v>0.74337261288545831</c:v>
                </c:pt>
                <c:pt idx="109">
                  <c:v>0.74354560148251558</c:v>
                </c:pt>
                <c:pt idx="110">
                  <c:v>0.74371407471715412</c:v>
                </c:pt>
                <c:pt idx="111">
                  <c:v>0.74387815044973071</c:v>
                </c:pt>
                <c:pt idx="112">
                  <c:v>0.74403794346420138</c:v>
                </c:pt>
                <c:pt idx="113">
                  <c:v>0.74419356554842242</c:v>
                </c:pt>
                <c:pt idx="114">
                  <c:v>0.74434512557235399</c:v>
                </c:pt>
                <c:pt idx="115">
                  <c:v>0.74449272956422397</c:v>
                </c:pt>
                <c:pt idx="116">
                  <c:v>0.74463648078470268</c:v>
                </c:pt>
                <c:pt idx="117">
                  <c:v>0.74477647979914208</c:v>
                </c:pt>
                <c:pt idx="118">
                  <c:v>0.74491282454792918</c:v>
                </c:pt>
                <c:pt idx="119">
                  <c:v>0.74504561041500306</c:v>
                </c:pt>
                <c:pt idx="120">
                  <c:v>0.74517493029458326</c:v>
                </c:pt>
                <c:pt idx="121">
                  <c:v>0.74530087465615713</c:v>
                </c:pt>
                <c:pt idx="122">
                  <c:v>0.74542353160776997</c:v>
                </c:pt>
                <c:pt idx="123">
                  <c:v>0.74554298695766374</c:v>
                </c:pt>
                <c:pt idx="124">
                  <c:v>0.7456593242743067</c:v>
                </c:pt>
                <c:pt idx="125">
                  <c:v>0.74577262494485619</c:v>
                </c:pt>
                <c:pt idx="126">
                  <c:v>0.74588296823209532</c:v>
                </c:pt>
                <c:pt idx="127">
                  <c:v>0.74599043132988352</c:v>
                </c:pt>
                <c:pt idx="128">
                  <c:v>0.74609508941715996</c:v>
                </c:pt>
                <c:pt idx="129">
                  <c:v>0.74619701571053698</c:v>
                </c:pt>
                <c:pt idx="130">
                  <c:v>0.74629628151552097</c:v>
                </c:pt>
                <c:pt idx="131">
                  <c:v>0.74639295627639612</c:v>
                </c:pt>
                <c:pt idx="132">
                  <c:v>0.7464871076248063</c:v>
                </c:pt>
                <c:pt idx="133">
                  <c:v>0.74657880142706889</c:v>
                </c:pt>
                <c:pt idx="134">
                  <c:v>0.74666810183025301</c:v>
                </c:pt>
                <c:pt idx="135">
                  <c:v>0.74675507130705598</c:v>
                </c:pt>
                <c:pt idx="136">
                  <c:v>0.74683977069950758</c:v>
                </c:pt>
                <c:pt idx="137">
                  <c:v>0.7469222592615341</c:v>
                </c:pt>
                <c:pt idx="138">
                  <c:v>0.74700259470041097</c:v>
                </c:pt>
                <c:pt idx="139">
                  <c:v>0.74708083321713359</c:v>
                </c:pt>
                <c:pt idx="140">
                  <c:v>0.74715702954573437</c:v>
                </c:pt>
                <c:pt idx="141">
                  <c:v>0.74723123699157379</c:v>
                </c:pt>
                <c:pt idx="142">
                  <c:v>0.74730350746863117</c:v>
                </c:pt>
                <c:pt idx="143">
                  <c:v>0.74737389153582312</c:v>
                </c:pt>
                <c:pt idx="144">
                  <c:v>0.74744243843237324</c:v>
                </c:pt>
                <c:pt idx="145">
                  <c:v>0.74750919611225897</c:v>
                </c:pt>
                <c:pt idx="146">
                  <c:v>0.74757421127775914</c:v>
                </c:pt>
                <c:pt idx="147">
                  <c:v>0.74763752941212569</c:v>
                </c:pt>
                <c:pt idx="148">
                  <c:v>0.74769919481140334</c:v>
                </c:pt>
                <c:pt idx="149">
                  <c:v>0.74775925061541759</c:v>
                </c:pt>
                <c:pt idx="150">
                  <c:v>0.74781773883795488</c:v>
                </c:pt>
                <c:pt idx="151">
                  <c:v>0.74787470039615433</c:v>
                </c:pt>
                <c:pt idx="152">
                  <c:v>0.7479301751391324</c:v>
                </c:pt>
                <c:pt idx="153">
                  <c:v>0.74798420187586101</c:v>
                </c:pt>
                <c:pt idx="154">
                  <c:v>0.74803681840231684</c:v>
                </c:pt>
                <c:pt idx="155">
                  <c:v>0.74808806152792318</c:v>
                </c:pt>
                <c:pt idx="156">
                  <c:v>0.74813796710130043</c:v>
                </c:pt>
                <c:pt idx="157">
                  <c:v>0.74818657003534572</c:v>
                </c:pt>
                <c:pt idx="158">
                  <c:v>0.74823390433165671</c:v>
                </c:pt>
                <c:pt idx="159">
                  <c:v>0.74828000310431864</c:v>
                </c:pt>
                <c:pt idx="160">
                  <c:v>0.74832489860307017</c:v>
                </c:pt>
                <c:pt idx="161">
                  <c:v>0.74836862223586476</c:v>
                </c:pt>
                <c:pt idx="162">
                  <c:v>0.74841120459084276</c:v>
                </c:pt>
                <c:pt idx="163">
                  <c:v>0.74845267545773064</c:v>
                </c:pt>
                <c:pt idx="164">
                  <c:v>0.74849306384868075</c:v>
                </c:pt>
                <c:pt idx="165">
                  <c:v>0.74853239801856786</c:v>
                </c:pt>
                <c:pt idx="166">
                  <c:v>0.74857070548475613</c:v>
                </c:pt>
                <c:pt idx="167">
                  <c:v>0.74860801304634872</c:v>
                </c:pt>
                <c:pt idx="168">
                  <c:v>0.74864434680293679</c:v>
                </c:pt>
                <c:pt idx="169">
                  <c:v>0.74867973217285755</c:v>
                </c:pt>
                <c:pt idx="170">
                  <c:v>0.74871419391097693</c:v>
                </c:pt>
                <c:pt idx="171">
                  <c:v>0.7487477561260073</c:v>
                </c:pt>
                <c:pt idx="172">
                  <c:v>0.74878044229737351</c:v>
                </c:pt>
                <c:pt idx="173">
                  <c:v>0.7488122752916383</c:v>
                </c:pt>
                <c:pt idx="174">
                  <c:v>0.74884327737849976</c:v>
                </c:pt>
                <c:pt idx="175">
                  <c:v>0.74887347024637052</c:v>
                </c:pt>
                <c:pt idx="176">
                  <c:v>0.74890287501755048</c:v>
                </c:pt>
                <c:pt idx="177">
                  <c:v>0.74893151226300336</c:v>
                </c:pt>
                <c:pt idx="178">
                  <c:v>0.74895940201674815</c:v>
                </c:pt>
                <c:pt idx="179">
                  <c:v>0.74898656378987416</c:v>
                </c:pt>
                <c:pt idx="180">
                  <c:v>0.74901301658419062</c:v>
                </c:pt>
                <c:pt idx="181">
                  <c:v>0.74903877890552018</c:v>
                </c:pt>
                <c:pt idx="182">
                  <c:v>0.74906386877664466</c:v>
                </c:pt>
                <c:pt idx="183">
                  <c:v>0.74908830374991398</c:v>
                </c:pt>
                <c:pt idx="184">
                  <c:v>0.7491121009195254</c:v>
                </c:pt>
                <c:pt idx="185">
                  <c:v>0.74913527693348159</c:v>
                </c:pt>
                <c:pt idx="186">
                  <c:v>0.74915784800523799</c:v>
                </c:pt>
                <c:pt idx="187">
                  <c:v>0.74917982992504517</c:v>
                </c:pt>
                <c:pt idx="188">
                  <c:v>0.74920123807099515</c:v>
                </c:pt>
                <c:pt idx="189">
                  <c:v>0.74922208741977969</c:v>
                </c:pt>
                <c:pt idx="190">
                  <c:v>0.74924239255716785</c:v>
                </c:pt>
                <c:pt idx="191">
                  <c:v>0.74926216768820986</c:v>
                </c:pt>
                <c:pt idx="192">
                  <c:v>0.74928142664717423</c:v>
                </c:pt>
                <c:pt idx="193">
                  <c:v>0.74930018290722666</c:v>
                </c:pt>
                <c:pt idx="194">
                  <c:v>0.74931844958985483</c:v>
                </c:pt>
                <c:pt idx="195">
                  <c:v>0.74933623947404859</c:v>
                </c:pt>
                <c:pt idx="196">
                  <c:v>0.74935356500523931</c:v>
                </c:pt>
                <c:pt idx="197">
                  <c:v>0.74937043830400696</c:v>
                </c:pt>
                <c:pt idx="198">
                  <c:v>0.74938687117455893</c:v>
                </c:pt>
                <c:pt idx="199">
                  <c:v>0.74940287511298831</c:v>
                </c:pt>
                <c:pt idx="200">
                  <c:v>0.74941846131531609</c:v>
                </c:pt>
                <c:pt idx="201">
                  <c:v>0.74943364068532414</c:v>
                </c:pt>
                <c:pt idx="202">
                  <c:v>0.74944842384218258</c:v>
                </c:pt>
                <c:pt idx="203">
                  <c:v>0.74946282112787932</c:v>
                </c:pt>
                <c:pt idx="204">
                  <c:v>0.7494768426144548</c:v>
                </c:pt>
                <c:pt idx="205">
                  <c:v>0.74949049811104818</c:v>
                </c:pt>
                <c:pt idx="206">
                  <c:v>0.74950379717075977</c:v>
                </c:pt>
                <c:pt idx="207">
                  <c:v>0.7495167490973339</c:v>
                </c:pt>
                <c:pt idx="208">
                  <c:v>0.74952936295166805</c:v>
                </c:pt>
                <c:pt idx="209">
                  <c:v>0.74954164755815134</c:v>
                </c:pt>
                <c:pt idx="210">
                  <c:v>0.74955361151083777</c:v>
                </c:pt>
                <c:pt idx="211">
                  <c:v>0.74956526317945893</c:v>
                </c:pt>
                <c:pt idx="212">
                  <c:v>0.74957661071527881</c:v>
                </c:pt>
                <c:pt idx="213">
                  <c:v>0.7495876620567965</c:v>
                </c:pt>
                <c:pt idx="214">
                  <c:v>0.74959842493529982</c:v>
                </c:pt>
                <c:pt idx="215">
                  <c:v>0.74960890688027382</c:v>
                </c:pt>
                <c:pt idx="216">
                  <c:v>0.74961911522466818</c:v>
                </c:pt>
                <c:pt idx="217">
                  <c:v>0.74962905711002759</c:v>
                </c:pt>
                <c:pt idx="218">
                  <c:v>0.7496387394914874</c:v>
                </c:pt>
                <c:pt idx="219">
                  <c:v>0.74964816914263943</c:v>
                </c:pt>
                <c:pt idx="220">
                  <c:v>0.74965735266027089</c:v>
                </c:pt>
                <c:pt idx="221">
                  <c:v>0.74966629646897864</c:v>
                </c:pt>
                <c:pt idx="222">
                  <c:v>0.74967500682566479</c:v>
                </c:pt>
                <c:pt idx="223">
                  <c:v>0.74968348982391275</c:v>
                </c:pt>
                <c:pt idx="224">
                  <c:v>0.74969175139825106</c:v>
                </c:pt>
                <c:pt idx="225">
                  <c:v>0.74969979732830461</c:v>
                </c:pt>
                <c:pt idx="226">
                  <c:v>0.74970763324283807</c:v>
                </c:pt>
                <c:pt idx="227">
                  <c:v>0.74971526462369353</c:v>
                </c:pt>
                <c:pt idx="228">
                  <c:v>0.74972269680962567</c:v>
                </c:pt>
                <c:pt idx="229">
                  <c:v>0.74972993500003671</c:v>
                </c:pt>
                <c:pt idx="230">
                  <c:v>0.74973698425861335</c:v>
                </c:pt>
                <c:pt idx="231">
                  <c:v>0.74974384951686979</c:v>
                </c:pt>
                <c:pt idx="232">
                  <c:v>0.74975053557759719</c:v>
                </c:pt>
                <c:pt idx="233">
                  <c:v>0.74975704711822422</c:v>
                </c:pt>
                <c:pt idx="234">
                  <c:v>0.74976338869408854</c:v>
                </c:pt>
                <c:pt idx="235">
                  <c:v>0.74976956474162437</c:v>
                </c:pt>
                <c:pt idx="236">
                  <c:v>0.74977557958146546</c:v>
                </c:pt>
                <c:pt idx="237">
                  <c:v>0.74978143742146819</c:v>
                </c:pt>
                <c:pt idx="238">
                  <c:v>0.74978714235965516</c:v>
                </c:pt>
                <c:pt idx="239">
                  <c:v>0.74979269838708196</c:v>
                </c:pt>
                <c:pt idx="240">
                  <c:v>0.7497981093906293</c:v>
                </c:pt>
                <c:pt idx="241">
                  <c:v>0.74980337915572226</c:v>
                </c:pt>
                <c:pt idx="242">
                  <c:v>0.74980851136897864</c:v>
                </c:pt>
                <c:pt idx="243">
                  <c:v>0.74981350962078741</c:v>
                </c:pt>
                <c:pt idx="244">
                  <c:v>0.74981837740782131</c:v>
                </c:pt>
                <c:pt idx="245">
                  <c:v>0.74982311813548241</c:v>
                </c:pt>
                <c:pt idx="246">
                  <c:v>0.74982773512028489</c:v>
                </c:pt>
                <c:pt idx="247">
                  <c:v>0.74983223159217482</c:v>
                </c:pt>
                <c:pt idx="248">
                  <c:v>0.74983661069678997</c:v>
                </c:pt>
                <c:pt idx="249">
                  <c:v>0.74984087549766065</c:v>
                </c:pt>
                <c:pt idx="250">
                  <c:v>0.74984502897835248</c:v>
                </c:pt>
                <c:pt idx="251">
                  <c:v>0.7498490740445537</c:v>
                </c:pt>
                <c:pt idx="252">
                  <c:v>0.74985301352610811</c:v>
                </c:pt>
                <c:pt idx="253">
                  <c:v>0.74985685017899495</c:v>
                </c:pt>
                <c:pt idx="254">
                  <c:v>0.7498605866872563</c:v>
                </c:pt>
                <c:pt idx="255">
                  <c:v>0.74986422566487532</c:v>
                </c:pt>
                <c:pt idx="256">
                  <c:v>0.74986776965760493</c:v>
                </c:pt>
                <c:pt idx="257">
                  <c:v>0.74987122114474813</c:v>
                </c:pt>
                <c:pt idx="258">
                  <c:v>0.74987458254089356</c:v>
                </c:pt>
                <c:pt idx="259">
                  <c:v>0.7498778561976035</c:v>
                </c:pt>
                <c:pt idx="260">
                  <c:v>0.74988104440506009</c:v>
                </c:pt>
                <c:pt idx="261">
                  <c:v>0.74988414939366643</c:v>
                </c:pt>
                <c:pt idx="262">
                  <c:v>0.74988717333560784</c:v>
                </c:pt>
                <c:pt idx="263">
                  <c:v>0.74989011834637098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23-4C74-8C92-885B9843AC65}"/>
            </c:ext>
          </c:extLst>
        </c:ser>
        <c:ser>
          <c:idx val="7"/>
          <c:order val="1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system'!$D$5:$D$278</c:f>
              <c:numCache>
                <c:formatCode>0.00</c:formatCode>
                <c:ptCount val="27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23-4C74-8C92-885B9843AC65}"/>
            </c:ext>
          </c:extLst>
        </c:ser>
        <c:ser>
          <c:idx val="8"/>
          <c:order val="2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system'!$E$5:$E$278</c:f>
              <c:numCache>
                <c:formatCode>0.00</c:formatCode>
                <c:ptCount val="274"/>
                <c:pt idx="0">
                  <c:v>0.75</c:v>
                </c:pt>
                <c:pt idx="1">
                  <c:v>0.75</c:v>
                </c:pt>
                <c:pt idx="2">
                  <c:v>0.69234180149661595</c:v>
                </c:pt>
                <c:pt idx="3">
                  <c:v>0.6938468004797097</c:v>
                </c:pt>
                <c:pt idx="4">
                  <c:v>0.69531251585703868</c:v>
                </c:pt>
                <c:pt idx="5">
                  <c:v>0.69673997301247304</c:v>
                </c:pt>
                <c:pt idx="6">
                  <c:v>0.69813017056522986</c:v>
                </c:pt>
                <c:pt idx="7">
                  <c:v>0.69948408106848636</c:v>
                </c:pt>
                <c:pt idx="8">
                  <c:v>0.70080265168975731</c:v>
                </c:pt>
                <c:pt idx="9">
                  <c:v>0.70208680487351449</c:v>
                </c:pt>
                <c:pt idx="10">
                  <c:v>0.70333743898650891</c:v>
                </c:pt>
                <c:pt idx="11">
                  <c:v>0.70455542894624956</c:v>
                </c:pt>
                <c:pt idx="12">
                  <c:v>0.70574162683307751</c:v>
                </c:pt>
                <c:pt idx="13">
                  <c:v>0.70689686248626382</c:v>
                </c:pt>
                <c:pt idx="14">
                  <c:v>0.70802194408454711</c:v>
                </c:pt>
                <c:pt idx="15">
                  <c:v>0.70911765871151911</c:v>
                </c:pt>
                <c:pt idx="16">
                  <c:v>0.71018477290625137</c:v>
                </c:pt>
                <c:pt idx="17">
                  <c:v>0.71122403319955074</c:v>
                </c:pt>
                <c:pt idx="18">
                  <c:v>0.71223616663621592</c:v>
                </c:pt>
                <c:pt idx="19">
                  <c:v>0.71322188128366337</c:v>
                </c:pt>
                <c:pt idx="20">
                  <c:v>0.71418186672727613</c:v>
                </c:pt>
                <c:pt idx="21">
                  <c:v>0.71511679455282384</c:v>
                </c:pt>
                <c:pt idx="22">
                  <c:v>0.71602731881628956</c:v>
                </c:pt>
                <c:pt idx="23">
                  <c:v>0.71691407650143379</c:v>
                </c:pt>
                <c:pt idx="24">
                  <c:v>0.71777768796541563</c:v>
                </c:pt>
                <c:pt idx="25">
                  <c:v>0.71861875737278069</c:v>
                </c:pt>
                <c:pt idx="26">
                  <c:v>0.71943787311812279</c:v>
                </c:pt>
                <c:pt idx="27">
                  <c:v>0.72023560823771227</c:v>
                </c:pt>
                <c:pt idx="28">
                  <c:v>0.72101252081037992</c:v>
                </c:pt>
                <c:pt idx="29">
                  <c:v>0.72176915434793776</c:v>
                </c:pt>
                <c:pt idx="30">
                  <c:v>0.72250603817540826</c:v>
                </c:pt>
                <c:pt idx="31">
                  <c:v>0.72322368780132928</c:v>
                </c:pt>
                <c:pt idx="32">
                  <c:v>0.72392260527839258</c:v>
                </c:pt>
                <c:pt idx="33">
                  <c:v>0.72460327955466997</c:v>
                </c:pt>
                <c:pt idx="34">
                  <c:v>0.72526618681567112</c:v>
                </c:pt>
                <c:pt idx="35">
                  <c:v>0.72591179081747259</c:v>
                </c:pt>
                <c:pt idx="36">
                  <c:v>0.72654054321115213</c:v>
                </c:pt>
                <c:pt idx="37">
                  <c:v>0.72715288385875443</c:v>
                </c:pt>
                <c:pt idx="38">
                  <c:v>0.72774924114100947</c:v>
                </c:pt>
                <c:pt idx="39">
                  <c:v>0.72833003225701842</c:v>
                </c:pt>
                <c:pt idx="40">
                  <c:v>0.72889566351611768</c:v>
                </c:pt>
                <c:pt idx="41">
                  <c:v>0.72944653062212428</c:v>
                </c:pt>
                <c:pt idx="42">
                  <c:v>0.72998301895016204</c:v>
                </c:pt>
                <c:pt idx="43">
                  <c:v>0.73050550381626211</c:v>
                </c:pt>
                <c:pt idx="44">
                  <c:v>0.73101435073992604</c:v>
                </c:pt>
                <c:pt idx="45">
                  <c:v>0.73150991569983559</c:v>
                </c:pt>
                <c:pt idx="46">
                  <c:v>0.73199254538288805</c:v>
                </c:pt>
                <c:pt idx="47">
                  <c:v>0.73246257742673115</c:v>
                </c:pt>
                <c:pt idx="48">
                  <c:v>0.73292034065596745</c:v>
                </c:pt>
                <c:pt idx="49">
                  <c:v>0.73336615531219274</c:v>
                </c:pt>
                <c:pt idx="50">
                  <c:v>0.73380033327803085</c:v>
                </c:pt>
                <c:pt idx="51">
                  <c:v>0.73422317829532002</c:v>
                </c:pt>
                <c:pt idx="52">
                  <c:v>0.73463498617760403</c:v>
                </c:pt>
                <c:pt idx="53">
                  <c:v>0.73503604501707809</c:v>
                </c:pt>
                <c:pt idx="54">
                  <c:v>0.73542663538613084</c:v>
                </c:pt>
                <c:pt idx="55">
                  <c:v>0.73580703053362828</c:v>
                </c:pt>
                <c:pt idx="56">
                  <c:v>0.73617749657607179</c:v>
                </c:pt>
                <c:pt idx="57">
                  <c:v>0.73653829268376836</c:v>
                </c:pt>
                <c:pt idx="58">
                  <c:v>0.73688967126214078</c:v>
                </c:pt>
                <c:pt idx="59">
                  <c:v>0.73723187812830482</c:v>
                </c:pt>
                <c:pt idx="60">
                  <c:v>0.73756515268303768</c:v>
                </c:pt>
                <c:pt idx="61">
                  <c:v>0.73788972807825848</c:v>
                </c:pt>
                <c:pt idx="62">
                  <c:v>0.73820583138013574</c:v>
                </c:pt>
                <c:pt idx="63">
                  <c:v>0.73851368372793824</c:v>
                </c:pt>
                <c:pt idx="64">
                  <c:v>0.73881350048873995</c:v>
                </c:pt>
                <c:pt idx="65">
                  <c:v>0.73910549140808568</c:v>
                </c:pt>
                <c:pt idx="66">
                  <c:v>0.7393898607567253</c:v>
                </c:pt>
                <c:pt idx="67">
                  <c:v>0.73966680747351654</c:v>
                </c:pt>
                <c:pt idx="68">
                  <c:v>0.7399365253045993</c:v>
                </c:pt>
                <c:pt idx="69">
                  <c:v>0.74019920293893571</c:v>
                </c:pt>
                <c:pt idx="70">
                  <c:v>0.74045502414031339</c:v>
                </c:pt>
                <c:pt idx="71">
                  <c:v>0.74070416787590265</c:v>
                </c:pt>
                <c:pt idx="72">
                  <c:v>0.74094680844145822</c:v>
                </c:pt>
                <c:pt idx="73">
                  <c:v>0.74118311558325278</c:v>
                </c:pt>
                <c:pt idx="74">
                  <c:v>0.74141325461682805</c:v>
                </c:pt>
                <c:pt idx="75">
                  <c:v>0.7416373865426461</c:v>
                </c:pt>
                <c:pt idx="76">
                  <c:v>0.74185566815872162</c:v>
                </c:pt>
                <c:pt idx="77">
                  <c:v>0.74206825217031502</c:v>
                </c:pt>
                <c:pt idx="78">
                  <c:v>0.74227528729676173</c:v>
                </c:pt>
                <c:pt idx="79">
                  <c:v>0.74247691837551244</c:v>
                </c:pt>
                <c:pt idx="80">
                  <c:v>0.74267328646345965</c:v>
                </c:pt>
                <c:pt idx="81">
                  <c:v>0.74286452893561672</c:v>
                </c:pt>
                <c:pt idx="82">
                  <c:v>0.74305077958122367</c:v>
                </c:pt>
                <c:pt idx="83">
                  <c:v>0.74323216869734288</c:v>
                </c:pt>
                <c:pt idx="84">
                  <c:v>0.743408823180012</c:v>
                </c:pt>
                <c:pt idx="85">
                  <c:v>0.74358086661301814</c:v>
                </c:pt>
                <c:pt idx="86">
                  <c:v>0.74374841935435443</c:v>
                </c:pt>
                <c:pt idx="87">
                  <c:v>0.74391159862041967</c:v>
                </c:pt>
                <c:pt idx="88">
                  <c:v>0.74407051856802076</c:v>
                </c:pt>
                <c:pt idx="89">
                  <c:v>0.74422529037423457</c:v>
                </c:pt>
                <c:pt idx="90">
                  <c:v>0.74437602231418465</c:v>
                </c:pt>
                <c:pt idx="91">
                  <c:v>0.74452281983678836</c:v>
                </c:pt>
                <c:pt idx="92">
                  <c:v>0.74466578563852726</c:v>
                </c:pt>
                <c:pt idx="93">
                  <c:v>0.74480501973529056</c:v>
                </c:pt>
                <c:pt idx="94">
                  <c:v>0.74494061953234503</c:v>
                </c:pt>
                <c:pt idx="95">
                  <c:v>0.74507267989247672</c:v>
                </c:pt>
                <c:pt idx="96">
                  <c:v>0.74520129320235606</c:v>
                </c:pt>
                <c:pt idx="97">
                  <c:v>0.74532654943716881</c:v>
                </c:pt>
                <c:pt idx="98">
                  <c:v>0.74544853622356111</c:v>
                </c:pt>
                <c:pt idx="99">
                  <c:v>0.74556733890094151</c:v>
                </c:pt>
                <c:pt idx="100">
                  <c:v>0.74568304058118196</c:v>
                </c:pt>
                <c:pt idx="101">
                  <c:v>0.74579572220676205</c:v>
                </c:pt>
                <c:pt idx="102">
                  <c:v>0.74590546260739377</c:v>
                </c:pt>
                <c:pt idx="103">
                  <c:v>0.74601233855516991</c:v>
                </c:pt>
                <c:pt idx="104">
                  <c:v>0.74611642481827156</c:v>
                </c:pt>
                <c:pt idx="105">
                  <c:v>0.74621779421327483</c:v>
                </c:pt>
                <c:pt idx="106">
                  <c:v>0.74631651765609175</c:v>
                </c:pt>
                <c:pt idx="107">
                  <c:v>0.74641266421158114</c:v>
                </c:pt>
                <c:pt idx="108">
                  <c:v>0.74650630114186556</c:v>
                </c:pt>
                <c:pt idx="109">
                  <c:v>0.74659749395338604</c:v>
                </c:pt>
                <c:pt idx="110">
                  <c:v>0.74668630644272915</c:v>
                </c:pt>
                <c:pt idx="111">
                  <c:v>0.74677280074125785</c:v>
                </c:pt>
                <c:pt idx="112">
                  <c:v>0.74685703735857711</c:v>
                </c:pt>
                <c:pt idx="113">
                  <c:v>0.74693907522486536</c:v>
                </c:pt>
                <c:pt idx="114">
                  <c:v>0.74701897173210074</c:v>
                </c:pt>
                <c:pt idx="115">
                  <c:v>0.74709678277421121</c:v>
                </c:pt>
                <c:pt idx="116">
                  <c:v>0.74717256278617705</c:v>
                </c:pt>
                <c:pt idx="117">
                  <c:v>0.74724636478211193</c:v>
                </c:pt>
                <c:pt idx="118">
                  <c:v>0.74731824039235129</c:v>
                </c:pt>
                <c:pt idx="119">
                  <c:v>0.74738823989957104</c:v>
                </c:pt>
                <c:pt idx="120">
                  <c:v>0.74745641227396464</c:v>
                </c:pt>
                <c:pt idx="121">
                  <c:v>0.74752280520750147</c:v>
                </c:pt>
                <c:pt idx="122">
                  <c:v>0.74758746514729157</c:v>
                </c:pt>
                <c:pt idx="123">
                  <c:v>0.74765043732807857</c:v>
                </c:pt>
                <c:pt idx="124">
                  <c:v>0.74771176580388499</c:v>
                </c:pt>
                <c:pt idx="125">
                  <c:v>0.74777149347883187</c:v>
                </c:pt>
                <c:pt idx="126">
                  <c:v>0.74782966213715341</c:v>
                </c:pt>
                <c:pt idx="127">
                  <c:v>0.74788631247242809</c:v>
                </c:pt>
                <c:pt idx="128">
                  <c:v>0.74794148411604766</c:v>
                </c:pt>
                <c:pt idx="129">
                  <c:v>0.74799521566494176</c:v>
                </c:pt>
                <c:pt idx="130">
                  <c:v>0.74804754470857993</c:v>
                </c:pt>
                <c:pt idx="131">
                  <c:v>0.74809850785526844</c:v>
                </c:pt>
                <c:pt idx="132">
                  <c:v>0.74814814075776048</c:v>
                </c:pt>
                <c:pt idx="133">
                  <c:v>0.74819647813819801</c:v>
                </c:pt>
                <c:pt idx="134">
                  <c:v>0.74824355381240315</c:v>
                </c:pt>
                <c:pt idx="135">
                  <c:v>0.74828940071353445</c:v>
                </c:pt>
                <c:pt idx="136">
                  <c:v>0.7483340509151265</c:v>
                </c:pt>
                <c:pt idx="137">
                  <c:v>0.74837753565352794</c:v>
                </c:pt>
                <c:pt idx="138">
                  <c:v>0.74841988534975379</c:v>
                </c:pt>
                <c:pt idx="139">
                  <c:v>0.74846112963076705</c:v>
                </c:pt>
                <c:pt idx="140">
                  <c:v>0.74850129735020543</c:v>
                </c:pt>
                <c:pt idx="141">
                  <c:v>0.74854041660856674</c:v>
                </c:pt>
                <c:pt idx="142">
                  <c:v>0.74857851477286719</c:v>
                </c:pt>
                <c:pt idx="143">
                  <c:v>0.74861561849578684</c:v>
                </c:pt>
                <c:pt idx="144">
                  <c:v>0.74865175373431558</c:v>
                </c:pt>
                <c:pt idx="145">
                  <c:v>0.7486869457679115</c:v>
                </c:pt>
                <c:pt idx="146">
                  <c:v>0.74872121921618662</c:v>
                </c:pt>
                <c:pt idx="147">
                  <c:v>0.74875459805612954</c:v>
                </c:pt>
                <c:pt idx="148">
                  <c:v>0.74878710563887951</c:v>
                </c:pt>
                <c:pt idx="149">
                  <c:v>0.7488187647060629</c:v>
                </c:pt>
                <c:pt idx="150">
                  <c:v>0.74884959740570167</c:v>
                </c:pt>
                <c:pt idx="151">
                  <c:v>0.7488796253077088</c:v>
                </c:pt>
                <c:pt idx="152">
                  <c:v>0.7489088694189775</c:v>
                </c:pt>
                <c:pt idx="153">
                  <c:v>0.74893735019807717</c:v>
                </c:pt>
                <c:pt idx="154">
                  <c:v>0.74896508756956626</c:v>
                </c:pt>
                <c:pt idx="155">
                  <c:v>0.74899210093793056</c:v>
                </c:pt>
                <c:pt idx="156">
                  <c:v>0.74901840920115847</c:v>
                </c:pt>
                <c:pt idx="157">
                  <c:v>0.74904403076396164</c:v>
                </c:pt>
                <c:pt idx="158">
                  <c:v>0.74906898355065021</c:v>
                </c:pt>
                <c:pt idx="159">
                  <c:v>0.74909328501767292</c:v>
                </c:pt>
                <c:pt idx="160">
                  <c:v>0.74911695216582841</c:v>
                </c:pt>
                <c:pt idx="161">
                  <c:v>0.74914000155215932</c:v>
                </c:pt>
                <c:pt idx="162">
                  <c:v>0.74916244930153508</c:v>
                </c:pt>
                <c:pt idx="163">
                  <c:v>0.74918431111793238</c:v>
                </c:pt>
                <c:pt idx="164">
                  <c:v>0.74920560229542144</c:v>
                </c:pt>
                <c:pt idx="165">
                  <c:v>0.74922633772886527</c:v>
                </c:pt>
                <c:pt idx="166">
                  <c:v>0.74924653192434032</c:v>
                </c:pt>
                <c:pt idx="167">
                  <c:v>0.74926619900928393</c:v>
                </c:pt>
                <c:pt idx="168">
                  <c:v>0.74928535274237806</c:v>
                </c:pt>
                <c:pt idx="169">
                  <c:v>0.74930400652317442</c:v>
                </c:pt>
                <c:pt idx="170">
                  <c:v>0.74932217340146834</c:v>
                </c:pt>
                <c:pt idx="171">
                  <c:v>0.74933986608642877</c:v>
                </c:pt>
                <c:pt idx="172">
                  <c:v>0.74935709695548847</c:v>
                </c:pt>
                <c:pt idx="173">
                  <c:v>0.74937387806300371</c:v>
                </c:pt>
                <c:pt idx="174">
                  <c:v>0.7493902211486867</c:v>
                </c:pt>
                <c:pt idx="175">
                  <c:v>0.74940613764581909</c:v>
                </c:pt>
                <c:pt idx="176">
                  <c:v>0.74942163868924994</c:v>
                </c:pt>
                <c:pt idx="177">
                  <c:v>0.74943673512318532</c:v>
                </c:pt>
                <c:pt idx="178">
                  <c:v>0.74945143750877519</c:v>
                </c:pt>
                <c:pt idx="179">
                  <c:v>0.74946575613150168</c:v>
                </c:pt>
                <c:pt idx="180">
                  <c:v>0.74947970100837402</c:v>
                </c:pt>
                <c:pt idx="181">
                  <c:v>0.74949328189493702</c:v>
                </c:pt>
                <c:pt idx="182">
                  <c:v>0.74950650829209531</c:v>
                </c:pt>
                <c:pt idx="183">
                  <c:v>0.74951938945276009</c:v>
                </c:pt>
                <c:pt idx="184">
                  <c:v>0.74953193438832233</c:v>
                </c:pt>
                <c:pt idx="185">
                  <c:v>0.74954415187495704</c:v>
                </c:pt>
                <c:pt idx="186">
                  <c:v>0.7495560504597627</c:v>
                </c:pt>
                <c:pt idx="187">
                  <c:v>0.74956763846674079</c:v>
                </c:pt>
                <c:pt idx="188">
                  <c:v>0.74957892400261905</c:v>
                </c:pt>
                <c:pt idx="189">
                  <c:v>0.74958991496252259</c:v>
                </c:pt>
                <c:pt idx="190">
                  <c:v>0.74960061903549757</c:v>
                </c:pt>
                <c:pt idx="191">
                  <c:v>0.74961104370988985</c:v>
                </c:pt>
                <c:pt idx="192">
                  <c:v>0.74962119627858392</c:v>
                </c:pt>
                <c:pt idx="193">
                  <c:v>0.74963108384410493</c:v>
                </c:pt>
                <c:pt idx="194">
                  <c:v>0.74964071332358717</c:v>
                </c:pt>
                <c:pt idx="195">
                  <c:v>0.74965009145361328</c:v>
                </c:pt>
                <c:pt idx="196">
                  <c:v>0.74965922479492741</c:v>
                </c:pt>
                <c:pt idx="197">
                  <c:v>0.7496681197370243</c:v>
                </c:pt>
                <c:pt idx="198">
                  <c:v>0.74967678250261971</c:v>
                </c:pt>
                <c:pt idx="199">
                  <c:v>0.74968521915200348</c:v>
                </c:pt>
                <c:pt idx="200">
                  <c:v>0.74969343558727952</c:v>
                </c:pt>
                <c:pt idx="201">
                  <c:v>0.7497014375564941</c:v>
                </c:pt>
                <c:pt idx="202">
                  <c:v>0.74970923065765804</c:v>
                </c:pt>
                <c:pt idx="203">
                  <c:v>0.74971682034266207</c:v>
                </c:pt>
                <c:pt idx="204">
                  <c:v>0.74972421192109129</c:v>
                </c:pt>
                <c:pt idx="205">
                  <c:v>0.74973141056393966</c:v>
                </c:pt>
                <c:pt idx="206">
                  <c:v>0.74973842130722745</c:v>
                </c:pt>
                <c:pt idx="207">
                  <c:v>0.74974524905552409</c:v>
                </c:pt>
                <c:pt idx="208">
                  <c:v>0.74975189858537994</c:v>
                </c:pt>
                <c:pt idx="209">
                  <c:v>0.74975837454866701</c:v>
                </c:pt>
                <c:pt idx="210">
                  <c:v>0.74976468147583408</c:v>
                </c:pt>
                <c:pt idx="211">
                  <c:v>0.74977082377907567</c:v>
                </c:pt>
                <c:pt idx="212">
                  <c:v>0.74977680575541894</c:v>
                </c:pt>
                <c:pt idx="213">
                  <c:v>0.74978263158972946</c:v>
                </c:pt>
                <c:pt idx="214">
                  <c:v>0.74978830535763941</c:v>
                </c:pt>
                <c:pt idx="215">
                  <c:v>0.74979383102839825</c:v>
                </c:pt>
                <c:pt idx="216">
                  <c:v>0.74979921246764991</c:v>
                </c:pt>
                <c:pt idx="217">
                  <c:v>0.74980445344013691</c:v>
                </c:pt>
                <c:pt idx="218">
                  <c:v>0.74980955761233414</c:v>
                </c:pt>
                <c:pt idx="219">
                  <c:v>0.74981452855501385</c:v>
                </c:pt>
                <c:pt idx="220">
                  <c:v>0.7498193697457437</c:v>
                </c:pt>
                <c:pt idx="221">
                  <c:v>0.74982408457131977</c:v>
                </c:pt>
                <c:pt idx="222">
                  <c:v>0.74982867633013539</c:v>
                </c:pt>
                <c:pt idx="223">
                  <c:v>0.74983314823448932</c:v>
                </c:pt>
                <c:pt idx="224">
                  <c:v>0.7498375034128324</c:v>
                </c:pt>
                <c:pt idx="225">
                  <c:v>0.74984174491195643</c:v>
                </c:pt>
                <c:pt idx="226">
                  <c:v>0.74984587569912553</c:v>
                </c:pt>
                <c:pt idx="227">
                  <c:v>0.7498498986641523</c:v>
                </c:pt>
                <c:pt idx="228">
                  <c:v>0.74985381662141903</c:v>
                </c:pt>
                <c:pt idx="229">
                  <c:v>0.74985763231184677</c:v>
                </c:pt>
                <c:pt idx="230">
                  <c:v>0.74986134840481289</c:v>
                </c:pt>
                <c:pt idx="231">
                  <c:v>0.7498649675000183</c:v>
                </c:pt>
                <c:pt idx="232">
                  <c:v>0.74986849212930662</c:v>
                </c:pt>
                <c:pt idx="233">
                  <c:v>0.74987192475843489</c:v>
                </c:pt>
                <c:pt idx="234">
                  <c:v>0.74987526778879865</c:v>
                </c:pt>
                <c:pt idx="235">
                  <c:v>0.74987852355911211</c:v>
                </c:pt>
                <c:pt idx="236">
                  <c:v>0.74988169434704433</c:v>
                </c:pt>
                <c:pt idx="237">
                  <c:v>0.74988478237081224</c:v>
                </c:pt>
                <c:pt idx="238">
                  <c:v>0.74988778979073278</c:v>
                </c:pt>
                <c:pt idx="239">
                  <c:v>0.74989071871073409</c:v>
                </c:pt>
                <c:pt idx="240">
                  <c:v>0.74989357117982758</c:v>
                </c:pt>
                <c:pt idx="241">
                  <c:v>0.74989634919354098</c:v>
                </c:pt>
                <c:pt idx="242">
                  <c:v>0.74989905469531459</c:v>
                </c:pt>
                <c:pt idx="243">
                  <c:v>0.74990168957786119</c:v>
                </c:pt>
                <c:pt idx="244">
                  <c:v>0.74990425568448926</c:v>
                </c:pt>
                <c:pt idx="245">
                  <c:v>0.74990675481039371</c:v>
                </c:pt>
                <c:pt idx="246">
                  <c:v>0.74990918870391066</c:v>
                </c:pt>
                <c:pt idx="247">
                  <c:v>0.74991155906774121</c:v>
                </c:pt>
                <c:pt idx="248">
                  <c:v>0.74991386756014244</c:v>
                </c:pt>
                <c:pt idx="249">
                  <c:v>0.74991611579608741</c:v>
                </c:pt>
                <c:pt idx="250">
                  <c:v>0.74991830534839499</c:v>
                </c:pt>
                <c:pt idx="251">
                  <c:v>0.74992043774883033</c:v>
                </c:pt>
                <c:pt idx="252">
                  <c:v>0.74992251448917624</c:v>
                </c:pt>
                <c:pt idx="253">
                  <c:v>0.74992453702227679</c:v>
                </c:pt>
                <c:pt idx="254">
                  <c:v>0.74992650676305406</c:v>
                </c:pt>
                <c:pt idx="255">
                  <c:v>0.74992842508949753</c:v>
                </c:pt>
                <c:pt idx="256">
                  <c:v>0.74993029334362815</c:v>
                </c:pt>
                <c:pt idx="257">
                  <c:v>0.74993211283243766</c:v>
                </c:pt>
                <c:pt idx="258">
                  <c:v>0.74993388482880241</c:v>
                </c:pt>
                <c:pt idx="259">
                  <c:v>0.74993561057237412</c:v>
                </c:pt>
                <c:pt idx="260">
                  <c:v>0.74993729127044673</c:v>
                </c:pt>
                <c:pt idx="261">
                  <c:v>0.7499389280988018</c:v>
                </c:pt>
                <c:pt idx="262">
                  <c:v>0.74994052220253005</c:v>
                </c:pt>
                <c:pt idx="263">
                  <c:v>0.74994207469683327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23-4C74-8C92-885B9843AC65}"/>
            </c:ext>
          </c:extLst>
        </c:ser>
        <c:ser>
          <c:idx val="9"/>
          <c:order val="3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system'!$B$5:$B$279</c:f>
              <c:numCache>
                <c:formatCode>General</c:formatCode>
                <c:ptCount val="275"/>
                <c:pt idx="0">
                  <c:v>0.63468360299323179</c:v>
                </c:pt>
                <c:pt idx="1">
                  <c:v>0.63769360095941929</c:v>
                </c:pt>
                <c:pt idx="2">
                  <c:v>0.64062503171407725</c:v>
                </c:pt>
                <c:pt idx="3">
                  <c:v>0.64347994602494607</c:v>
                </c:pt>
                <c:pt idx="4">
                  <c:v>0.64626034113045983</c:v>
                </c:pt>
                <c:pt idx="5">
                  <c:v>0.64896816213697261</c:v>
                </c:pt>
                <c:pt idx="6">
                  <c:v>0.65160530337951461</c:v>
                </c:pt>
                <c:pt idx="7">
                  <c:v>0.65417360974702898</c:v>
                </c:pt>
                <c:pt idx="8">
                  <c:v>0.65667487797301771</c:v>
                </c:pt>
                <c:pt idx="9">
                  <c:v>0.65911085789249901</c:v>
                </c:pt>
                <c:pt idx="10">
                  <c:v>0.66148325366615512</c:v>
                </c:pt>
                <c:pt idx="11">
                  <c:v>0.66379372497252764</c:v>
                </c:pt>
                <c:pt idx="12">
                  <c:v>0.66604388816909432</c:v>
                </c:pt>
                <c:pt idx="13">
                  <c:v>0.66823531742303821</c:v>
                </c:pt>
                <c:pt idx="14">
                  <c:v>0.67036954581250285</c:v>
                </c:pt>
                <c:pt idx="15">
                  <c:v>0.67244806639910149</c:v>
                </c:pt>
                <c:pt idx="16">
                  <c:v>0.67447233327243183</c:v>
                </c:pt>
                <c:pt idx="17">
                  <c:v>0.67644376256732675</c:v>
                </c:pt>
                <c:pt idx="18">
                  <c:v>0.67836373345455236</c:v>
                </c:pt>
                <c:pt idx="19">
                  <c:v>0.68023358910564768</c:v>
                </c:pt>
                <c:pt idx="20">
                  <c:v>0.68205463763257901</c:v>
                </c:pt>
                <c:pt idx="21">
                  <c:v>0.6838281530028677</c:v>
                </c:pt>
                <c:pt idx="22">
                  <c:v>0.68555537593083127</c:v>
                </c:pt>
                <c:pt idx="23">
                  <c:v>0.68723751474556138</c:v>
                </c:pt>
                <c:pt idx="24">
                  <c:v>0.68887574623624559</c:v>
                </c:pt>
                <c:pt idx="25">
                  <c:v>0.69047121647542442</c:v>
                </c:pt>
                <c:pt idx="26">
                  <c:v>0.69202504162075973</c:v>
                </c:pt>
                <c:pt idx="27">
                  <c:v>0.69353830869587552</c:v>
                </c:pt>
                <c:pt idx="28">
                  <c:v>0.69501207635081663</c:v>
                </c:pt>
                <c:pt idx="29">
                  <c:v>0.69644737560265846</c:v>
                </c:pt>
                <c:pt idx="30">
                  <c:v>0.69784521055678506</c:v>
                </c:pt>
                <c:pt idx="31">
                  <c:v>0.69920655910934004</c:v>
                </c:pt>
                <c:pt idx="32">
                  <c:v>0.70053237363134224</c:v>
                </c:pt>
                <c:pt idx="33">
                  <c:v>0.70182358163494518</c:v>
                </c:pt>
                <c:pt idx="34">
                  <c:v>0.70308108642230427</c:v>
                </c:pt>
                <c:pt idx="35">
                  <c:v>0.70430576771750897</c:v>
                </c:pt>
                <c:pt idx="36">
                  <c:v>0.70549848228201906</c:v>
                </c:pt>
                <c:pt idx="37">
                  <c:v>0.70666006451403685</c:v>
                </c:pt>
                <c:pt idx="38">
                  <c:v>0.70779132703223535</c:v>
                </c:pt>
                <c:pt idx="39">
                  <c:v>0.70889306124424845</c:v>
                </c:pt>
                <c:pt idx="40">
                  <c:v>0.70996603790032398</c:v>
                </c:pt>
                <c:pt idx="41">
                  <c:v>0.71101100763252423</c:v>
                </c:pt>
                <c:pt idx="42">
                  <c:v>0.71202870147985209</c:v>
                </c:pt>
                <c:pt idx="43">
                  <c:v>0.71301983139967118</c:v>
                </c:pt>
                <c:pt idx="44">
                  <c:v>0.7139850907657761</c:v>
                </c:pt>
                <c:pt idx="45">
                  <c:v>0.71492515485346242</c:v>
                </c:pt>
                <c:pt idx="46">
                  <c:v>0.7158406813119349</c:v>
                </c:pt>
                <c:pt idx="47">
                  <c:v>0.71673231062438558</c:v>
                </c:pt>
                <c:pt idx="48">
                  <c:v>0.71760066655606181</c:v>
                </c:pt>
                <c:pt idx="49">
                  <c:v>0.71844635659063993</c:v>
                </c:pt>
                <c:pt idx="50">
                  <c:v>0.71926997235520818</c:v>
                </c:pt>
                <c:pt idx="51">
                  <c:v>0.72007209003415606</c:v>
                </c:pt>
                <c:pt idx="52">
                  <c:v>0.7208532707722618</c:v>
                </c:pt>
                <c:pt idx="53">
                  <c:v>0.72161406106725645</c:v>
                </c:pt>
                <c:pt idx="54">
                  <c:v>0.72235499315214347</c:v>
                </c:pt>
                <c:pt idx="55">
                  <c:v>0.72307658536753683</c:v>
                </c:pt>
                <c:pt idx="56">
                  <c:v>0.72377934252428167</c:v>
                </c:pt>
                <c:pt idx="57">
                  <c:v>0.72446375625660953</c:v>
                </c:pt>
                <c:pt idx="58">
                  <c:v>0.72513030536607548</c:v>
                </c:pt>
                <c:pt idx="59">
                  <c:v>0.72577945615651696</c:v>
                </c:pt>
                <c:pt idx="60">
                  <c:v>0.72641166276027136</c:v>
                </c:pt>
                <c:pt idx="61">
                  <c:v>0.72702736745587648</c:v>
                </c:pt>
                <c:pt idx="62">
                  <c:v>0.7276270009774799</c:v>
                </c:pt>
                <c:pt idx="63">
                  <c:v>0.72821098281617147</c:v>
                </c:pt>
                <c:pt idx="64">
                  <c:v>0.7287797215134505</c:v>
                </c:pt>
                <c:pt idx="65">
                  <c:v>0.72933361494703308</c:v>
                </c:pt>
                <c:pt idx="66">
                  <c:v>0.72987305060919849</c:v>
                </c:pt>
                <c:pt idx="67">
                  <c:v>0.7303984058778713</c:v>
                </c:pt>
                <c:pt idx="68">
                  <c:v>0.73091004828062678</c:v>
                </c:pt>
                <c:pt idx="69">
                  <c:v>0.73140833575180531</c:v>
                </c:pt>
                <c:pt idx="70">
                  <c:v>0.73189361688291654</c:v>
                </c:pt>
                <c:pt idx="71">
                  <c:v>0.73236623116650557</c:v>
                </c:pt>
                <c:pt idx="72">
                  <c:v>0.73282650923365611</c:v>
                </c:pt>
                <c:pt idx="73">
                  <c:v>0.7332747730852921</c:v>
                </c:pt>
                <c:pt idx="74">
                  <c:v>0.73371133631744323</c:v>
                </c:pt>
                <c:pt idx="75">
                  <c:v>0.73413650434063016</c:v>
                </c:pt>
                <c:pt idx="76">
                  <c:v>0.73455057459352335</c:v>
                </c:pt>
                <c:pt idx="77">
                  <c:v>0.73495383675102499</c:v>
                </c:pt>
                <c:pt idx="78">
                  <c:v>0.73534657292691918</c:v>
                </c:pt>
                <c:pt idx="79">
                  <c:v>0.73572905787123344</c:v>
                </c:pt>
                <c:pt idx="80">
                  <c:v>0.73610155916244746</c:v>
                </c:pt>
                <c:pt idx="81">
                  <c:v>0.73646433739468575</c:v>
                </c:pt>
                <c:pt idx="82">
                  <c:v>0.736817646360024</c:v>
                </c:pt>
                <c:pt idx="83">
                  <c:v>0.7371617332260364</c:v>
                </c:pt>
                <c:pt idx="84">
                  <c:v>0.73749683870870886</c:v>
                </c:pt>
                <c:pt idx="85">
                  <c:v>0.73782319724083922</c:v>
                </c:pt>
                <c:pt idx="86">
                  <c:v>0.73814103713604162</c:v>
                </c:pt>
                <c:pt idx="87">
                  <c:v>0.73845058074846914</c:v>
                </c:pt>
                <c:pt idx="88">
                  <c:v>0.73875204462836919</c:v>
                </c:pt>
                <c:pt idx="89">
                  <c:v>0.73904563967357673</c:v>
                </c:pt>
                <c:pt idx="90">
                  <c:v>0.73933157127705451</c:v>
                </c:pt>
                <c:pt idx="91">
                  <c:v>0.73961003947058124</c:v>
                </c:pt>
                <c:pt idx="92">
                  <c:v>0.73988123906468994</c:v>
                </c:pt>
                <c:pt idx="93">
                  <c:v>0.74014535978495344</c:v>
                </c:pt>
                <c:pt idx="94">
                  <c:v>0.74040258640471213</c:v>
                </c:pt>
                <c:pt idx="95">
                  <c:v>0.74065309887433761</c:v>
                </c:pt>
                <c:pt idx="96">
                  <c:v>0.74089707244712233</c:v>
                </c:pt>
                <c:pt idx="97">
                  <c:v>0.74113467780188291</c:v>
                </c:pt>
                <c:pt idx="98">
                  <c:v>0.74136608116236402</c:v>
                </c:pt>
                <c:pt idx="99">
                  <c:v>0.74159144441352409</c:v>
                </c:pt>
                <c:pt idx="100">
                  <c:v>0.74181092521478753</c:v>
                </c:pt>
                <c:pt idx="101">
                  <c:v>0.74202467711033981</c:v>
                </c:pt>
                <c:pt idx="102">
                  <c:v>0.74223284963654312</c:v>
                </c:pt>
                <c:pt idx="103">
                  <c:v>0.74243558842654978</c:v>
                </c:pt>
                <c:pt idx="104">
                  <c:v>0.7426330353121835</c:v>
                </c:pt>
                <c:pt idx="105">
                  <c:v>0.74282532842316229</c:v>
                </c:pt>
                <c:pt idx="106">
                  <c:v>0.74301260228373112</c:v>
                </c:pt>
                <c:pt idx="107">
                  <c:v>0.74319498790677208</c:v>
                </c:pt>
                <c:pt idx="108">
                  <c:v>0.74337261288545831</c:v>
                </c:pt>
                <c:pt idx="109">
                  <c:v>0.74354560148251558</c:v>
                </c:pt>
                <c:pt idx="110">
                  <c:v>0.74371407471715412</c:v>
                </c:pt>
                <c:pt idx="111">
                  <c:v>0.74387815044973071</c:v>
                </c:pt>
                <c:pt idx="112">
                  <c:v>0.74403794346420138</c:v>
                </c:pt>
                <c:pt idx="113">
                  <c:v>0.74419356554842242</c:v>
                </c:pt>
                <c:pt idx="114">
                  <c:v>0.74434512557235399</c:v>
                </c:pt>
                <c:pt idx="115">
                  <c:v>0.74449272956422397</c:v>
                </c:pt>
                <c:pt idx="116">
                  <c:v>0.74463648078470268</c:v>
                </c:pt>
                <c:pt idx="117">
                  <c:v>0.74477647979914208</c:v>
                </c:pt>
                <c:pt idx="118">
                  <c:v>0.74491282454792918</c:v>
                </c:pt>
                <c:pt idx="119">
                  <c:v>0.74504561041500306</c:v>
                </c:pt>
                <c:pt idx="120">
                  <c:v>0.74517493029458326</c:v>
                </c:pt>
                <c:pt idx="121">
                  <c:v>0.74530087465615713</c:v>
                </c:pt>
                <c:pt idx="122">
                  <c:v>0.74542353160776997</c:v>
                </c:pt>
                <c:pt idx="123">
                  <c:v>0.74554298695766374</c:v>
                </c:pt>
                <c:pt idx="124">
                  <c:v>0.7456593242743067</c:v>
                </c:pt>
                <c:pt idx="125">
                  <c:v>0.74577262494485619</c:v>
                </c:pt>
                <c:pt idx="126">
                  <c:v>0.74588296823209532</c:v>
                </c:pt>
                <c:pt idx="127">
                  <c:v>0.74599043132988352</c:v>
                </c:pt>
                <c:pt idx="128">
                  <c:v>0.74609508941715996</c:v>
                </c:pt>
                <c:pt idx="129">
                  <c:v>0.74619701571053698</c:v>
                </c:pt>
                <c:pt idx="130">
                  <c:v>0.74629628151552097</c:v>
                </c:pt>
                <c:pt idx="131">
                  <c:v>0.74639295627639612</c:v>
                </c:pt>
                <c:pt idx="132">
                  <c:v>0.7464871076248063</c:v>
                </c:pt>
                <c:pt idx="133">
                  <c:v>0.74657880142706889</c:v>
                </c:pt>
                <c:pt idx="134">
                  <c:v>0.74666810183025301</c:v>
                </c:pt>
                <c:pt idx="135">
                  <c:v>0.74675507130705598</c:v>
                </c:pt>
                <c:pt idx="136">
                  <c:v>0.74683977069950758</c:v>
                </c:pt>
                <c:pt idx="137">
                  <c:v>0.7469222592615341</c:v>
                </c:pt>
                <c:pt idx="138">
                  <c:v>0.74700259470041097</c:v>
                </c:pt>
                <c:pt idx="139">
                  <c:v>0.74708083321713359</c:v>
                </c:pt>
                <c:pt idx="140">
                  <c:v>0.74715702954573437</c:v>
                </c:pt>
                <c:pt idx="141">
                  <c:v>0.74723123699157379</c:v>
                </c:pt>
                <c:pt idx="142">
                  <c:v>0.74730350746863117</c:v>
                </c:pt>
                <c:pt idx="143">
                  <c:v>0.74737389153582312</c:v>
                </c:pt>
                <c:pt idx="144">
                  <c:v>0.74744243843237324</c:v>
                </c:pt>
                <c:pt idx="145">
                  <c:v>0.74750919611225897</c:v>
                </c:pt>
                <c:pt idx="146">
                  <c:v>0.74757421127775914</c:v>
                </c:pt>
                <c:pt idx="147">
                  <c:v>0.74763752941212569</c:v>
                </c:pt>
                <c:pt idx="148">
                  <c:v>0.74769919481140334</c:v>
                </c:pt>
                <c:pt idx="149">
                  <c:v>0.74775925061541759</c:v>
                </c:pt>
                <c:pt idx="150">
                  <c:v>0.74781773883795488</c:v>
                </c:pt>
                <c:pt idx="151">
                  <c:v>0.74787470039615433</c:v>
                </c:pt>
                <c:pt idx="152">
                  <c:v>0.7479301751391324</c:v>
                </c:pt>
                <c:pt idx="153">
                  <c:v>0.74798420187586101</c:v>
                </c:pt>
                <c:pt idx="154">
                  <c:v>0.74803681840231684</c:v>
                </c:pt>
                <c:pt idx="155">
                  <c:v>0.74808806152792318</c:v>
                </c:pt>
                <c:pt idx="156">
                  <c:v>0.74813796710130043</c:v>
                </c:pt>
                <c:pt idx="157">
                  <c:v>0.74818657003534572</c:v>
                </c:pt>
                <c:pt idx="158">
                  <c:v>0.74823390433165671</c:v>
                </c:pt>
                <c:pt idx="159">
                  <c:v>0.74828000310431864</c:v>
                </c:pt>
                <c:pt idx="160">
                  <c:v>0.74832489860307017</c:v>
                </c:pt>
                <c:pt idx="161">
                  <c:v>0.74836862223586476</c:v>
                </c:pt>
                <c:pt idx="162">
                  <c:v>0.74841120459084276</c:v>
                </c:pt>
                <c:pt idx="163">
                  <c:v>0.74845267545773064</c:v>
                </c:pt>
                <c:pt idx="164">
                  <c:v>0.74849306384868075</c:v>
                </c:pt>
                <c:pt idx="165">
                  <c:v>0.74853239801856786</c:v>
                </c:pt>
                <c:pt idx="166">
                  <c:v>0.74857070548475613</c:v>
                </c:pt>
                <c:pt idx="167">
                  <c:v>0.74860801304634872</c:v>
                </c:pt>
                <c:pt idx="168">
                  <c:v>0.74864434680293679</c:v>
                </c:pt>
                <c:pt idx="169">
                  <c:v>0.74867973217285755</c:v>
                </c:pt>
                <c:pt idx="170">
                  <c:v>0.74871419391097693</c:v>
                </c:pt>
                <c:pt idx="171">
                  <c:v>0.7487477561260073</c:v>
                </c:pt>
                <c:pt idx="172">
                  <c:v>0.74878044229737351</c:v>
                </c:pt>
                <c:pt idx="173">
                  <c:v>0.7488122752916383</c:v>
                </c:pt>
                <c:pt idx="174">
                  <c:v>0.74884327737849976</c:v>
                </c:pt>
                <c:pt idx="175">
                  <c:v>0.74887347024637052</c:v>
                </c:pt>
                <c:pt idx="176">
                  <c:v>0.74890287501755048</c:v>
                </c:pt>
                <c:pt idx="177">
                  <c:v>0.74893151226300336</c:v>
                </c:pt>
                <c:pt idx="178">
                  <c:v>0.74895940201674815</c:v>
                </c:pt>
                <c:pt idx="179">
                  <c:v>0.74898656378987416</c:v>
                </c:pt>
                <c:pt idx="180">
                  <c:v>0.74901301658419062</c:v>
                </c:pt>
                <c:pt idx="181">
                  <c:v>0.74903877890552018</c:v>
                </c:pt>
                <c:pt idx="182">
                  <c:v>0.74906386877664466</c:v>
                </c:pt>
                <c:pt idx="183">
                  <c:v>0.74908830374991398</c:v>
                </c:pt>
                <c:pt idx="184">
                  <c:v>0.7491121009195254</c:v>
                </c:pt>
                <c:pt idx="185">
                  <c:v>0.74913527693348159</c:v>
                </c:pt>
                <c:pt idx="186">
                  <c:v>0.74915784800523799</c:v>
                </c:pt>
                <c:pt idx="187">
                  <c:v>0.74917982992504517</c:v>
                </c:pt>
                <c:pt idx="188">
                  <c:v>0.74920123807099515</c:v>
                </c:pt>
                <c:pt idx="189">
                  <c:v>0.74922208741977969</c:v>
                </c:pt>
                <c:pt idx="190">
                  <c:v>0.74924239255716785</c:v>
                </c:pt>
                <c:pt idx="191">
                  <c:v>0.74926216768820986</c:v>
                </c:pt>
                <c:pt idx="192">
                  <c:v>0.74928142664717423</c:v>
                </c:pt>
                <c:pt idx="193">
                  <c:v>0.74930018290722666</c:v>
                </c:pt>
                <c:pt idx="194">
                  <c:v>0.74931844958985483</c:v>
                </c:pt>
                <c:pt idx="195">
                  <c:v>0.74933623947404859</c:v>
                </c:pt>
                <c:pt idx="196">
                  <c:v>0.74935356500523931</c:v>
                </c:pt>
                <c:pt idx="197">
                  <c:v>0.74937043830400696</c:v>
                </c:pt>
                <c:pt idx="198">
                  <c:v>0.74938687117455893</c:v>
                </c:pt>
                <c:pt idx="199">
                  <c:v>0.74940287511298831</c:v>
                </c:pt>
                <c:pt idx="200">
                  <c:v>0.74941846131531609</c:v>
                </c:pt>
                <c:pt idx="201">
                  <c:v>0.74943364068532414</c:v>
                </c:pt>
                <c:pt idx="202">
                  <c:v>0.74944842384218258</c:v>
                </c:pt>
                <c:pt idx="203">
                  <c:v>0.74946282112787932</c:v>
                </c:pt>
                <c:pt idx="204">
                  <c:v>0.7494768426144548</c:v>
                </c:pt>
                <c:pt idx="205">
                  <c:v>0.74949049811104818</c:v>
                </c:pt>
                <c:pt idx="206">
                  <c:v>0.74950379717075977</c:v>
                </c:pt>
                <c:pt idx="207">
                  <c:v>0.7495167490973339</c:v>
                </c:pt>
                <c:pt idx="208">
                  <c:v>0.74952936295166805</c:v>
                </c:pt>
                <c:pt idx="209">
                  <c:v>0.74954164755815134</c:v>
                </c:pt>
                <c:pt idx="210">
                  <c:v>0.74955361151083777</c:v>
                </c:pt>
                <c:pt idx="211">
                  <c:v>0.74956526317945893</c:v>
                </c:pt>
                <c:pt idx="212">
                  <c:v>0.74957661071527881</c:v>
                </c:pt>
                <c:pt idx="213">
                  <c:v>0.7495876620567965</c:v>
                </c:pt>
                <c:pt idx="214">
                  <c:v>0.74959842493529982</c:v>
                </c:pt>
                <c:pt idx="215">
                  <c:v>0.74960890688027382</c:v>
                </c:pt>
                <c:pt idx="216">
                  <c:v>0.74961911522466818</c:v>
                </c:pt>
                <c:pt idx="217">
                  <c:v>0.74962905711002759</c:v>
                </c:pt>
                <c:pt idx="218">
                  <c:v>0.7496387394914874</c:v>
                </c:pt>
                <c:pt idx="219">
                  <c:v>0.74964816914263943</c:v>
                </c:pt>
                <c:pt idx="220">
                  <c:v>0.74965735266027089</c:v>
                </c:pt>
                <c:pt idx="221">
                  <c:v>0.74966629646897864</c:v>
                </c:pt>
                <c:pt idx="222">
                  <c:v>0.74967500682566479</c:v>
                </c:pt>
                <c:pt idx="223">
                  <c:v>0.74968348982391275</c:v>
                </c:pt>
                <c:pt idx="224">
                  <c:v>0.74969175139825106</c:v>
                </c:pt>
                <c:pt idx="225">
                  <c:v>0.74969979732830461</c:v>
                </c:pt>
                <c:pt idx="226">
                  <c:v>0.74970763324283807</c:v>
                </c:pt>
                <c:pt idx="227">
                  <c:v>0.74971526462369353</c:v>
                </c:pt>
                <c:pt idx="228">
                  <c:v>0.74972269680962567</c:v>
                </c:pt>
                <c:pt idx="229">
                  <c:v>0.74972993500003671</c:v>
                </c:pt>
                <c:pt idx="230">
                  <c:v>0.74973698425861335</c:v>
                </c:pt>
                <c:pt idx="231">
                  <c:v>0.74974384951686979</c:v>
                </c:pt>
                <c:pt idx="232">
                  <c:v>0.74975053557759719</c:v>
                </c:pt>
                <c:pt idx="233">
                  <c:v>0.74975704711822422</c:v>
                </c:pt>
                <c:pt idx="234">
                  <c:v>0.74976338869408854</c:v>
                </c:pt>
                <c:pt idx="235">
                  <c:v>0.74976956474162437</c:v>
                </c:pt>
                <c:pt idx="236">
                  <c:v>0.74977557958146546</c:v>
                </c:pt>
                <c:pt idx="237">
                  <c:v>0.74978143742146819</c:v>
                </c:pt>
                <c:pt idx="238">
                  <c:v>0.74978714235965516</c:v>
                </c:pt>
                <c:pt idx="239">
                  <c:v>0.74979269838708196</c:v>
                </c:pt>
                <c:pt idx="240">
                  <c:v>0.7497981093906293</c:v>
                </c:pt>
                <c:pt idx="241">
                  <c:v>0.74980337915572226</c:v>
                </c:pt>
                <c:pt idx="242">
                  <c:v>0.74980851136897864</c:v>
                </c:pt>
                <c:pt idx="243">
                  <c:v>0.74981350962078741</c:v>
                </c:pt>
                <c:pt idx="244">
                  <c:v>0.74981837740782131</c:v>
                </c:pt>
                <c:pt idx="245">
                  <c:v>0.74982311813548241</c:v>
                </c:pt>
                <c:pt idx="246">
                  <c:v>0.74982773512028489</c:v>
                </c:pt>
                <c:pt idx="247">
                  <c:v>0.74983223159217482</c:v>
                </c:pt>
                <c:pt idx="248">
                  <c:v>0.74983661069678997</c:v>
                </c:pt>
                <c:pt idx="249">
                  <c:v>0.74984087549766065</c:v>
                </c:pt>
                <c:pt idx="250">
                  <c:v>0.74984502897835248</c:v>
                </c:pt>
                <c:pt idx="251">
                  <c:v>0.7498490740445537</c:v>
                </c:pt>
                <c:pt idx="252">
                  <c:v>0.74985301352610811</c:v>
                </c:pt>
                <c:pt idx="253">
                  <c:v>0.74985685017899495</c:v>
                </c:pt>
                <c:pt idx="254">
                  <c:v>0.7498605866872563</c:v>
                </c:pt>
                <c:pt idx="255">
                  <c:v>0.74986422566487532</c:v>
                </c:pt>
                <c:pt idx="256">
                  <c:v>0.74986776965760493</c:v>
                </c:pt>
                <c:pt idx="257">
                  <c:v>0.74987122114474813</c:v>
                </c:pt>
                <c:pt idx="258">
                  <c:v>0.74987458254089356</c:v>
                </c:pt>
                <c:pt idx="259">
                  <c:v>0.7498778561976035</c:v>
                </c:pt>
                <c:pt idx="260">
                  <c:v>0.74988104440506009</c:v>
                </c:pt>
                <c:pt idx="261">
                  <c:v>0.74988414939366643</c:v>
                </c:pt>
                <c:pt idx="262">
                  <c:v>0.74988717333560784</c:v>
                </c:pt>
                <c:pt idx="263">
                  <c:v>0.74989011834637098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23-4C74-8C92-885B9843AC65}"/>
            </c:ext>
          </c:extLst>
        </c:ser>
        <c:ser>
          <c:idx val="10"/>
          <c:order val="4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system'!$D$5:$D$278</c:f>
              <c:numCache>
                <c:formatCode>0.00</c:formatCode>
                <c:ptCount val="27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923-4C74-8C92-885B9843AC65}"/>
            </c:ext>
          </c:extLst>
        </c:ser>
        <c:ser>
          <c:idx val="11"/>
          <c:order val="5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system'!$F$5:$F$278</c:f>
              <c:numCache>
                <c:formatCode>0.00</c:formatCode>
                <c:ptCount val="274"/>
                <c:pt idx="0">
                  <c:v>0.75</c:v>
                </c:pt>
                <c:pt idx="1">
                  <c:v>0.75</c:v>
                </c:pt>
                <c:pt idx="2">
                  <c:v>0.69234180149661595</c:v>
                </c:pt>
                <c:pt idx="3">
                  <c:v>0.6938468004797097</c:v>
                </c:pt>
                <c:pt idx="4">
                  <c:v>0.69531251585703868</c:v>
                </c:pt>
                <c:pt idx="5">
                  <c:v>0.69673997301247304</c:v>
                </c:pt>
                <c:pt idx="6">
                  <c:v>0.69813017056522986</c:v>
                </c:pt>
                <c:pt idx="7">
                  <c:v>0.69948408106848636</c:v>
                </c:pt>
                <c:pt idx="8">
                  <c:v>0.70080265168975731</c:v>
                </c:pt>
                <c:pt idx="9">
                  <c:v>0.70208680487351449</c:v>
                </c:pt>
                <c:pt idx="10">
                  <c:v>0.70333743898650891</c:v>
                </c:pt>
                <c:pt idx="11">
                  <c:v>0.70455542894624956</c:v>
                </c:pt>
                <c:pt idx="12">
                  <c:v>0.70574162683307751</c:v>
                </c:pt>
                <c:pt idx="13">
                  <c:v>0.70689686248626382</c:v>
                </c:pt>
                <c:pt idx="14">
                  <c:v>0.70802194408454711</c:v>
                </c:pt>
                <c:pt idx="15">
                  <c:v>0.70911765871151911</c:v>
                </c:pt>
                <c:pt idx="16">
                  <c:v>0.71018477290625137</c:v>
                </c:pt>
                <c:pt idx="17">
                  <c:v>0.71122403319955074</c:v>
                </c:pt>
                <c:pt idx="18">
                  <c:v>0.71223616663621592</c:v>
                </c:pt>
                <c:pt idx="19">
                  <c:v>0.71322188128366337</c:v>
                </c:pt>
                <c:pt idx="20">
                  <c:v>0.71418186672727613</c:v>
                </c:pt>
                <c:pt idx="21">
                  <c:v>0.71511679455282384</c:v>
                </c:pt>
                <c:pt idx="22">
                  <c:v>0.71602731881628956</c:v>
                </c:pt>
                <c:pt idx="23">
                  <c:v>0.71691407650143379</c:v>
                </c:pt>
                <c:pt idx="24">
                  <c:v>0.71777768796541563</c:v>
                </c:pt>
                <c:pt idx="25">
                  <c:v>0.71861875737278069</c:v>
                </c:pt>
                <c:pt idx="26">
                  <c:v>0.71943787311812279</c:v>
                </c:pt>
                <c:pt idx="27">
                  <c:v>0.72023560823771227</c:v>
                </c:pt>
                <c:pt idx="28">
                  <c:v>0.72101252081037992</c:v>
                </c:pt>
                <c:pt idx="29">
                  <c:v>0.72176915434793776</c:v>
                </c:pt>
                <c:pt idx="30">
                  <c:v>0.72250603817540826</c:v>
                </c:pt>
                <c:pt idx="31">
                  <c:v>0.72322368780132928</c:v>
                </c:pt>
                <c:pt idx="32">
                  <c:v>0.72392260527839258</c:v>
                </c:pt>
                <c:pt idx="33">
                  <c:v>0.72460327955466997</c:v>
                </c:pt>
                <c:pt idx="34">
                  <c:v>0.72526618681567112</c:v>
                </c:pt>
                <c:pt idx="35">
                  <c:v>0.72591179081747259</c:v>
                </c:pt>
                <c:pt idx="36">
                  <c:v>0.72654054321115213</c:v>
                </c:pt>
                <c:pt idx="37">
                  <c:v>0.72715288385875443</c:v>
                </c:pt>
                <c:pt idx="38">
                  <c:v>0.72774924114100947</c:v>
                </c:pt>
                <c:pt idx="39">
                  <c:v>0.72833003225701842</c:v>
                </c:pt>
                <c:pt idx="40">
                  <c:v>0.72889566351611768</c:v>
                </c:pt>
                <c:pt idx="41">
                  <c:v>0.73521235047246269</c:v>
                </c:pt>
                <c:pt idx="42">
                  <c:v>0.73574883880050046</c:v>
                </c:pt>
                <c:pt idx="43">
                  <c:v>0.73627132366660053</c:v>
                </c:pt>
                <c:pt idx="44">
                  <c:v>0.73678017059026446</c:v>
                </c:pt>
                <c:pt idx="45">
                  <c:v>0.73727573555017401</c:v>
                </c:pt>
                <c:pt idx="46">
                  <c:v>0.73775836523322647</c:v>
                </c:pt>
                <c:pt idx="47">
                  <c:v>0.73822839727706957</c:v>
                </c:pt>
                <c:pt idx="48">
                  <c:v>0.73868616050630587</c:v>
                </c:pt>
                <c:pt idx="49">
                  <c:v>0.73913197516253115</c:v>
                </c:pt>
                <c:pt idx="50">
                  <c:v>0.73956615312836926</c:v>
                </c:pt>
                <c:pt idx="51">
                  <c:v>0.73998899814565844</c:v>
                </c:pt>
                <c:pt idx="52">
                  <c:v>0.74040080602794245</c:v>
                </c:pt>
                <c:pt idx="53">
                  <c:v>0.7408018648674165</c:v>
                </c:pt>
                <c:pt idx="54">
                  <c:v>0.74119245523646926</c:v>
                </c:pt>
                <c:pt idx="55">
                  <c:v>0.7415728503839667</c:v>
                </c:pt>
                <c:pt idx="56">
                  <c:v>0.7419433164264102</c:v>
                </c:pt>
                <c:pt idx="57">
                  <c:v>0.74230411253410677</c:v>
                </c:pt>
                <c:pt idx="58">
                  <c:v>0.74265549111247919</c:v>
                </c:pt>
                <c:pt idx="59">
                  <c:v>0.74299769797864323</c:v>
                </c:pt>
                <c:pt idx="60">
                  <c:v>0.7433309725333761</c:v>
                </c:pt>
                <c:pt idx="61">
                  <c:v>0.74365554792859689</c:v>
                </c:pt>
                <c:pt idx="62">
                  <c:v>0.74397165123047415</c:v>
                </c:pt>
                <c:pt idx="63">
                  <c:v>0.74427950357827666</c:v>
                </c:pt>
                <c:pt idx="64">
                  <c:v>0.74457932033907837</c:v>
                </c:pt>
                <c:pt idx="65">
                  <c:v>0.7448713112584241</c:v>
                </c:pt>
                <c:pt idx="66">
                  <c:v>0.74515568060706372</c:v>
                </c:pt>
                <c:pt idx="67">
                  <c:v>0.74543262732385496</c:v>
                </c:pt>
                <c:pt idx="68">
                  <c:v>0.74570234515493772</c:v>
                </c:pt>
                <c:pt idx="69">
                  <c:v>0.74596502278927412</c:v>
                </c:pt>
                <c:pt idx="70">
                  <c:v>0.74622084399065181</c:v>
                </c:pt>
                <c:pt idx="71">
                  <c:v>0.74646998772624107</c:v>
                </c:pt>
                <c:pt idx="72">
                  <c:v>0.74671262829179663</c:v>
                </c:pt>
                <c:pt idx="73">
                  <c:v>0.7469489354335912</c:v>
                </c:pt>
                <c:pt idx="74">
                  <c:v>0.74717907446716647</c:v>
                </c:pt>
                <c:pt idx="75">
                  <c:v>0.74740320639298452</c:v>
                </c:pt>
                <c:pt idx="76">
                  <c:v>0.74762148800906003</c:v>
                </c:pt>
                <c:pt idx="77">
                  <c:v>0.74783407202065344</c:v>
                </c:pt>
                <c:pt idx="78">
                  <c:v>0.74804110714710015</c:v>
                </c:pt>
                <c:pt idx="79">
                  <c:v>0.74824273822585086</c:v>
                </c:pt>
                <c:pt idx="80">
                  <c:v>0.74843910631379806</c:v>
                </c:pt>
                <c:pt idx="81">
                  <c:v>0.74863034878595514</c:v>
                </c:pt>
                <c:pt idx="82">
                  <c:v>0.74881659943156209</c:v>
                </c:pt>
                <c:pt idx="83">
                  <c:v>0.74899798854768129</c:v>
                </c:pt>
                <c:pt idx="84">
                  <c:v>0.74917464303035042</c:v>
                </c:pt>
                <c:pt idx="85">
                  <c:v>0.74934668646335656</c:v>
                </c:pt>
                <c:pt idx="86">
                  <c:v>0.74951423920469284</c:v>
                </c:pt>
                <c:pt idx="87">
                  <c:v>0.74967741847075808</c:v>
                </c:pt>
                <c:pt idx="88">
                  <c:v>0.74983633841835917</c:v>
                </c:pt>
                <c:pt idx="89">
                  <c:v>0.74999111022457299</c:v>
                </c:pt>
                <c:pt idx="90">
                  <c:v>0.75014184216452306</c:v>
                </c:pt>
                <c:pt idx="91">
                  <c:v>0.75028863968712678</c:v>
                </c:pt>
                <c:pt idx="92">
                  <c:v>0.75043160548886567</c:v>
                </c:pt>
                <c:pt idx="93">
                  <c:v>0.75057083958562898</c:v>
                </c:pt>
                <c:pt idx="94">
                  <c:v>0.75070643938268344</c:v>
                </c:pt>
                <c:pt idx="95">
                  <c:v>0.75083849974281514</c:v>
                </c:pt>
                <c:pt idx="96">
                  <c:v>0.75096711305269448</c:v>
                </c:pt>
                <c:pt idx="97">
                  <c:v>0.75109236928750722</c:v>
                </c:pt>
                <c:pt idx="98">
                  <c:v>0.75121435607389953</c:v>
                </c:pt>
                <c:pt idx="99">
                  <c:v>0.75133315875127993</c:v>
                </c:pt>
                <c:pt idx="100">
                  <c:v>0.75144886043152037</c:v>
                </c:pt>
                <c:pt idx="101">
                  <c:v>0.75156154205710046</c:v>
                </c:pt>
                <c:pt idx="102">
                  <c:v>0.75167128245773218</c:v>
                </c:pt>
                <c:pt idx="103">
                  <c:v>0.75177815840550832</c:v>
                </c:pt>
                <c:pt idx="104">
                  <c:v>0.75188224466860998</c:v>
                </c:pt>
                <c:pt idx="105">
                  <c:v>0.75198361406361325</c:v>
                </c:pt>
                <c:pt idx="106">
                  <c:v>0.75208233750643017</c:v>
                </c:pt>
                <c:pt idx="107">
                  <c:v>0.75217848406191956</c:v>
                </c:pt>
                <c:pt idx="108">
                  <c:v>0.75227212099220397</c:v>
                </c:pt>
                <c:pt idx="109">
                  <c:v>0.75236331380372445</c:v>
                </c:pt>
                <c:pt idx="110">
                  <c:v>0.75245212629306757</c:v>
                </c:pt>
                <c:pt idx="111">
                  <c:v>0.75253862059159626</c:v>
                </c:pt>
                <c:pt idx="112">
                  <c:v>0.75262285720891553</c:v>
                </c:pt>
                <c:pt idx="113">
                  <c:v>0.75270489507520377</c:v>
                </c:pt>
                <c:pt idx="114">
                  <c:v>0.75278479158243916</c:v>
                </c:pt>
                <c:pt idx="115">
                  <c:v>0.75286260262454963</c:v>
                </c:pt>
                <c:pt idx="116">
                  <c:v>0.75293838263651547</c:v>
                </c:pt>
                <c:pt idx="117">
                  <c:v>0.75301218463245034</c:v>
                </c:pt>
                <c:pt idx="118">
                  <c:v>0.7530840602426897</c:v>
                </c:pt>
                <c:pt idx="119">
                  <c:v>0.75315405974990945</c:v>
                </c:pt>
                <c:pt idx="120">
                  <c:v>0.75322223212430306</c:v>
                </c:pt>
                <c:pt idx="121">
                  <c:v>0.75328862505783989</c:v>
                </c:pt>
                <c:pt idx="122">
                  <c:v>0.75335328499762999</c:v>
                </c:pt>
                <c:pt idx="123">
                  <c:v>0.75341625717841698</c:v>
                </c:pt>
                <c:pt idx="124">
                  <c:v>0.7534775856542234</c:v>
                </c:pt>
                <c:pt idx="125">
                  <c:v>0.75353731332917029</c:v>
                </c:pt>
                <c:pt idx="126">
                  <c:v>0.75359548198749182</c:v>
                </c:pt>
                <c:pt idx="127">
                  <c:v>0.75365213232276651</c:v>
                </c:pt>
                <c:pt idx="128">
                  <c:v>0.75370730396638608</c:v>
                </c:pt>
                <c:pt idx="129">
                  <c:v>0.75376103551528018</c:v>
                </c:pt>
                <c:pt idx="130">
                  <c:v>0.75381336455891834</c:v>
                </c:pt>
                <c:pt idx="131">
                  <c:v>0.75386432770560685</c:v>
                </c:pt>
                <c:pt idx="132">
                  <c:v>0.7539139606080989</c:v>
                </c:pt>
                <c:pt idx="133">
                  <c:v>0.75396229798853642</c:v>
                </c:pt>
                <c:pt idx="134">
                  <c:v>0.75400937366274157</c:v>
                </c:pt>
                <c:pt idx="135">
                  <c:v>0.75405522056387286</c:v>
                </c:pt>
                <c:pt idx="136">
                  <c:v>0.75409987076546492</c:v>
                </c:pt>
                <c:pt idx="137">
                  <c:v>0.75414335550386635</c:v>
                </c:pt>
                <c:pt idx="138">
                  <c:v>0.7541857052000922</c:v>
                </c:pt>
                <c:pt idx="139">
                  <c:v>0.75422694948110547</c:v>
                </c:pt>
                <c:pt idx="140">
                  <c:v>0.75426711720054385</c:v>
                </c:pt>
                <c:pt idx="141">
                  <c:v>0.75430623645890515</c:v>
                </c:pt>
                <c:pt idx="142">
                  <c:v>0.7543443346232056</c:v>
                </c:pt>
                <c:pt idx="143">
                  <c:v>0.75438143834612525</c:v>
                </c:pt>
                <c:pt idx="144">
                  <c:v>0.754417573584654</c:v>
                </c:pt>
                <c:pt idx="145">
                  <c:v>0.75445276561824992</c:v>
                </c:pt>
                <c:pt idx="146">
                  <c:v>0.75448703906652503</c:v>
                </c:pt>
                <c:pt idx="147">
                  <c:v>0.75452041790646796</c:v>
                </c:pt>
                <c:pt idx="148">
                  <c:v>0.75455292548921793</c:v>
                </c:pt>
                <c:pt idx="149">
                  <c:v>0.75458458455640132</c:v>
                </c:pt>
                <c:pt idx="150">
                  <c:v>0.75461541725604009</c:v>
                </c:pt>
                <c:pt idx="151">
                  <c:v>0.75464544515804721</c:v>
                </c:pt>
                <c:pt idx="152">
                  <c:v>0.75467468926931591</c:v>
                </c:pt>
                <c:pt idx="153">
                  <c:v>0.75470317004841558</c:v>
                </c:pt>
                <c:pt idx="154">
                  <c:v>0.75473090741990467</c:v>
                </c:pt>
                <c:pt idx="155">
                  <c:v>0.75475792078826898</c:v>
                </c:pt>
                <c:pt idx="156">
                  <c:v>0.75478422905149689</c:v>
                </c:pt>
                <c:pt idx="157">
                  <c:v>0.75480985061430006</c:v>
                </c:pt>
                <c:pt idx="158">
                  <c:v>0.75483480340098863</c:v>
                </c:pt>
                <c:pt idx="159">
                  <c:v>0.75485910486801133</c:v>
                </c:pt>
                <c:pt idx="160">
                  <c:v>0.75488277201616683</c:v>
                </c:pt>
                <c:pt idx="161">
                  <c:v>0.75490582140249773</c:v>
                </c:pt>
                <c:pt idx="162">
                  <c:v>0.7549282691518735</c:v>
                </c:pt>
                <c:pt idx="163">
                  <c:v>0.75495013096827079</c:v>
                </c:pt>
                <c:pt idx="164">
                  <c:v>0.75497142214575985</c:v>
                </c:pt>
                <c:pt idx="165">
                  <c:v>0.75499215757920368</c:v>
                </c:pt>
                <c:pt idx="166">
                  <c:v>0.75501235177467874</c:v>
                </c:pt>
                <c:pt idx="167">
                  <c:v>0.75503201885962234</c:v>
                </c:pt>
                <c:pt idx="168">
                  <c:v>0.75505117259271648</c:v>
                </c:pt>
                <c:pt idx="169">
                  <c:v>0.75506982637351283</c:v>
                </c:pt>
                <c:pt idx="170">
                  <c:v>0.75508799325180675</c:v>
                </c:pt>
                <c:pt idx="171">
                  <c:v>0.75510568593676719</c:v>
                </c:pt>
                <c:pt idx="172">
                  <c:v>0.75512291680582688</c:v>
                </c:pt>
                <c:pt idx="173">
                  <c:v>0.75513969791334212</c:v>
                </c:pt>
                <c:pt idx="174">
                  <c:v>0.75515604099902511</c:v>
                </c:pt>
                <c:pt idx="175">
                  <c:v>0.75517195749615751</c:v>
                </c:pt>
                <c:pt idx="176">
                  <c:v>0.75518745853958835</c:v>
                </c:pt>
                <c:pt idx="177">
                  <c:v>0.75520255497352373</c:v>
                </c:pt>
                <c:pt idx="178">
                  <c:v>0.7552172573591136</c:v>
                </c:pt>
                <c:pt idx="179">
                  <c:v>0.7552315759818401</c:v>
                </c:pt>
                <c:pt idx="180">
                  <c:v>0.75524552085871244</c:v>
                </c:pt>
                <c:pt idx="181">
                  <c:v>0.75525910174527544</c:v>
                </c:pt>
                <c:pt idx="182">
                  <c:v>0.75527232814243372</c:v>
                </c:pt>
                <c:pt idx="183">
                  <c:v>0.7552852093030985</c:v>
                </c:pt>
                <c:pt idx="184">
                  <c:v>0.75529775423866075</c:v>
                </c:pt>
                <c:pt idx="185">
                  <c:v>0.75530997172529546</c:v>
                </c:pt>
                <c:pt idx="186">
                  <c:v>0.75532187031010112</c:v>
                </c:pt>
                <c:pt idx="187">
                  <c:v>0.75533345831707921</c:v>
                </c:pt>
                <c:pt idx="188">
                  <c:v>0.75534474385295747</c:v>
                </c:pt>
                <c:pt idx="189">
                  <c:v>0.755355734812861</c:v>
                </c:pt>
                <c:pt idx="190">
                  <c:v>0.75536643888583599</c:v>
                </c:pt>
                <c:pt idx="191">
                  <c:v>0.75537686356022826</c:v>
                </c:pt>
                <c:pt idx="192">
                  <c:v>0.75538701612892234</c:v>
                </c:pt>
                <c:pt idx="193">
                  <c:v>0.75539690369444334</c:v>
                </c:pt>
                <c:pt idx="194">
                  <c:v>0.75540653317392559</c:v>
                </c:pt>
                <c:pt idx="195">
                  <c:v>0.75541591130395169</c:v>
                </c:pt>
                <c:pt idx="196">
                  <c:v>0.75542504464526583</c:v>
                </c:pt>
                <c:pt idx="197">
                  <c:v>0.75543393958736271</c:v>
                </c:pt>
                <c:pt idx="198">
                  <c:v>0.75544260235295813</c:v>
                </c:pt>
                <c:pt idx="199">
                  <c:v>0.7554510390023419</c:v>
                </c:pt>
                <c:pt idx="200">
                  <c:v>0.75545925543761794</c:v>
                </c:pt>
                <c:pt idx="201">
                  <c:v>0.75546725740683252</c:v>
                </c:pt>
                <c:pt idx="202">
                  <c:v>0.75547505050799646</c:v>
                </c:pt>
                <c:pt idx="203">
                  <c:v>0.75548264019300049</c:v>
                </c:pt>
                <c:pt idx="204">
                  <c:v>0.7554900317714297</c:v>
                </c:pt>
                <c:pt idx="205">
                  <c:v>0.75549723041427808</c:v>
                </c:pt>
                <c:pt idx="206">
                  <c:v>0.75550424115756587</c:v>
                </c:pt>
                <c:pt idx="207">
                  <c:v>0.7555110689058625</c:v>
                </c:pt>
                <c:pt idx="208">
                  <c:v>0.75551771843571836</c:v>
                </c:pt>
                <c:pt idx="209">
                  <c:v>0.75552419439900542</c:v>
                </c:pt>
                <c:pt idx="210">
                  <c:v>0.7555305013261725</c:v>
                </c:pt>
                <c:pt idx="211">
                  <c:v>0.75553664362941408</c:v>
                </c:pt>
                <c:pt idx="212">
                  <c:v>0.75554262560575736</c:v>
                </c:pt>
                <c:pt idx="213">
                  <c:v>0.75554845144006788</c:v>
                </c:pt>
                <c:pt idx="214">
                  <c:v>0.75555412520797782</c:v>
                </c:pt>
                <c:pt idx="215">
                  <c:v>0.75555965087873667</c:v>
                </c:pt>
                <c:pt idx="216">
                  <c:v>0.75556503231798833</c:v>
                </c:pt>
                <c:pt idx="217">
                  <c:v>0.75557027329047532</c:v>
                </c:pt>
                <c:pt idx="218">
                  <c:v>0.75557537746267256</c:v>
                </c:pt>
                <c:pt idx="219">
                  <c:v>0.75558034840535226</c:v>
                </c:pt>
                <c:pt idx="220">
                  <c:v>0.75558518959608212</c:v>
                </c:pt>
                <c:pt idx="221">
                  <c:v>0.75558990442165819</c:v>
                </c:pt>
                <c:pt idx="222">
                  <c:v>0.75559449618047381</c:v>
                </c:pt>
                <c:pt idx="223">
                  <c:v>0.75559896808482774</c:v>
                </c:pt>
                <c:pt idx="224">
                  <c:v>0.75560332326317081</c:v>
                </c:pt>
                <c:pt idx="225">
                  <c:v>0.75560756476229485</c:v>
                </c:pt>
                <c:pt idx="226">
                  <c:v>0.75561169554946395</c:v>
                </c:pt>
                <c:pt idx="227">
                  <c:v>0.75561571851449072</c:v>
                </c:pt>
                <c:pt idx="228">
                  <c:v>0.75561963647175745</c:v>
                </c:pt>
                <c:pt idx="229">
                  <c:v>0.75562345216218518</c:v>
                </c:pt>
                <c:pt idx="230">
                  <c:v>0.7556271682551513</c:v>
                </c:pt>
                <c:pt idx="231">
                  <c:v>0.75563078735035671</c:v>
                </c:pt>
                <c:pt idx="232">
                  <c:v>0.75563431197964503</c:v>
                </c:pt>
                <c:pt idx="233">
                  <c:v>0.75563774460877331</c:v>
                </c:pt>
                <c:pt idx="234">
                  <c:v>0.75564108763913707</c:v>
                </c:pt>
                <c:pt idx="235">
                  <c:v>0.75564434340945053</c:v>
                </c:pt>
                <c:pt idx="236">
                  <c:v>0.75564751419738274</c:v>
                </c:pt>
                <c:pt idx="237">
                  <c:v>0.75565060222115066</c:v>
                </c:pt>
                <c:pt idx="238">
                  <c:v>0.7556536096410712</c:v>
                </c:pt>
                <c:pt idx="239">
                  <c:v>0.75565653856107251</c:v>
                </c:pt>
                <c:pt idx="240">
                  <c:v>0.75565939103016599</c:v>
                </c:pt>
                <c:pt idx="241">
                  <c:v>0.75566216904387939</c:v>
                </c:pt>
                <c:pt idx="242">
                  <c:v>0.75566487454565301</c:v>
                </c:pt>
                <c:pt idx="243">
                  <c:v>0.7556675094281996</c:v>
                </c:pt>
                <c:pt idx="244">
                  <c:v>0.75567007553482768</c:v>
                </c:pt>
                <c:pt idx="245">
                  <c:v>0.75567257466073212</c:v>
                </c:pt>
                <c:pt idx="246">
                  <c:v>0.75567500855424907</c:v>
                </c:pt>
                <c:pt idx="247">
                  <c:v>0.75567737891807962</c:v>
                </c:pt>
                <c:pt idx="248">
                  <c:v>0.75567968741048086</c:v>
                </c:pt>
                <c:pt idx="249">
                  <c:v>0.75568193564642583</c:v>
                </c:pt>
                <c:pt idx="250">
                  <c:v>0.7556841251987334</c:v>
                </c:pt>
                <c:pt idx="251">
                  <c:v>0.75568625759916874</c:v>
                </c:pt>
                <c:pt idx="252">
                  <c:v>0.75568833433951466</c:v>
                </c:pt>
                <c:pt idx="253">
                  <c:v>0.75569035687261521</c:v>
                </c:pt>
                <c:pt idx="254">
                  <c:v>0.75569232661339247</c:v>
                </c:pt>
                <c:pt idx="255">
                  <c:v>0.75569424493983595</c:v>
                </c:pt>
                <c:pt idx="256">
                  <c:v>0.75569611319396657</c:v>
                </c:pt>
                <c:pt idx="257">
                  <c:v>0.75569793268277607</c:v>
                </c:pt>
                <c:pt idx="258">
                  <c:v>0.75569970467914083</c:v>
                </c:pt>
                <c:pt idx="259">
                  <c:v>0.75570143042271254</c:v>
                </c:pt>
                <c:pt idx="260">
                  <c:v>0.75570311112078514</c:v>
                </c:pt>
                <c:pt idx="261">
                  <c:v>0.75570474794914022</c:v>
                </c:pt>
                <c:pt idx="262">
                  <c:v>0.75570634205286846</c:v>
                </c:pt>
                <c:pt idx="263">
                  <c:v>0.75570789454717169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923-4C74-8C92-885B9843AC65}"/>
            </c:ext>
          </c:extLst>
        </c:ser>
        <c:ser>
          <c:idx val="0"/>
          <c:order val="6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system'!$B$5:$B$279</c:f>
              <c:numCache>
                <c:formatCode>General</c:formatCode>
                <c:ptCount val="275"/>
                <c:pt idx="0">
                  <c:v>0.63468360299323179</c:v>
                </c:pt>
                <c:pt idx="1">
                  <c:v>0.63769360095941929</c:v>
                </c:pt>
                <c:pt idx="2">
                  <c:v>0.64062503171407725</c:v>
                </c:pt>
                <c:pt idx="3">
                  <c:v>0.64347994602494607</c:v>
                </c:pt>
                <c:pt idx="4">
                  <c:v>0.64626034113045983</c:v>
                </c:pt>
                <c:pt idx="5">
                  <c:v>0.64896816213697261</c:v>
                </c:pt>
                <c:pt idx="6">
                  <c:v>0.65160530337951461</c:v>
                </c:pt>
                <c:pt idx="7">
                  <c:v>0.65417360974702898</c:v>
                </c:pt>
                <c:pt idx="8">
                  <c:v>0.65667487797301771</c:v>
                </c:pt>
                <c:pt idx="9">
                  <c:v>0.65911085789249901</c:v>
                </c:pt>
                <c:pt idx="10">
                  <c:v>0.66148325366615512</c:v>
                </c:pt>
                <c:pt idx="11">
                  <c:v>0.66379372497252764</c:v>
                </c:pt>
                <c:pt idx="12">
                  <c:v>0.66604388816909432</c:v>
                </c:pt>
                <c:pt idx="13">
                  <c:v>0.66823531742303821</c:v>
                </c:pt>
                <c:pt idx="14">
                  <c:v>0.67036954581250285</c:v>
                </c:pt>
                <c:pt idx="15">
                  <c:v>0.67244806639910149</c:v>
                </c:pt>
                <c:pt idx="16">
                  <c:v>0.67447233327243183</c:v>
                </c:pt>
                <c:pt idx="17">
                  <c:v>0.67644376256732675</c:v>
                </c:pt>
                <c:pt idx="18">
                  <c:v>0.67836373345455236</c:v>
                </c:pt>
                <c:pt idx="19">
                  <c:v>0.68023358910564768</c:v>
                </c:pt>
                <c:pt idx="20">
                  <c:v>0.68205463763257901</c:v>
                </c:pt>
                <c:pt idx="21">
                  <c:v>0.6838281530028677</c:v>
                </c:pt>
                <c:pt idx="22">
                  <c:v>0.68555537593083127</c:v>
                </c:pt>
                <c:pt idx="23">
                  <c:v>0.68723751474556138</c:v>
                </c:pt>
                <c:pt idx="24">
                  <c:v>0.68887574623624559</c:v>
                </c:pt>
                <c:pt idx="25">
                  <c:v>0.69047121647542442</c:v>
                </c:pt>
                <c:pt idx="26">
                  <c:v>0.69202504162075973</c:v>
                </c:pt>
                <c:pt idx="27">
                  <c:v>0.69353830869587552</c:v>
                </c:pt>
                <c:pt idx="28">
                  <c:v>0.69501207635081663</c:v>
                </c:pt>
                <c:pt idx="29">
                  <c:v>0.69644737560265846</c:v>
                </c:pt>
                <c:pt idx="30">
                  <c:v>0.69784521055678506</c:v>
                </c:pt>
                <c:pt idx="31">
                  <c:v>0.69920655910934004</c:v>
                </c:pt>
                <c:pt idx="32">
                  <c:v>0.70053237363134224</c:v>
                </c:pt>
                <c:pt idx="33">
                  <c:v>0.70182358163494518</c:v>
                </c:pt>
                <c:pt idx="34">
                  <c:v>0.70308108642230427</c:v>
                </c:pt>
                <c:pt idx="35">
                  <c:v>0.70430576771750897</c:v>
                </c:pt>
                <c:pt idx="36">
                  <c:v>0.70549848228201906</c:v>
                </c:pt>
                <c:pt idx="37">
                  <c:v>0.70666006451403685</c:v>
                </c:pt>
                <c:pt idx="38">
                  <c:v>0.70779132703223535</c:v>
                </c:pt>
                <c:pt idx="39">
                  <c:v>0.70889306124424845</c:v>
                </c:pt>
                <c:pt idx="40">
                  <c:v>0.70996603790032398</c:v>
                </c:pt>
                <c:pt idx="41">
                  <c:v>0.71101100763252423</c:v>
                </c:pt>
                <c:pt idx="42">
                  <c:v>0.71202870147985209</c:v>
                </c:pt>
                <c:pt idx="43">
                  <c:v>0.71301983139967118</c:v>
                </c:pt>
                <c:pt idx="44">
                  <c:v>0.7139850907657761</c:v>
                </c:pt>
                <c:pt idx="45">
                  <c:v>0.71492515485346242</c:v>
                </c:pt>
                <c:pt idx="46">
                  <c:v>0.7158406813119349</c:v>
                </c:pt>
                <c:pt idx="47">
                  <c:v>0.71673231062438558</c:v>
                </c:pt>
                <c:pt idx="48">
                  <c:v>0.71760066655606181</c:v>
                </c:pt>
                <c:pt idx="49">
                  <c:v>0.71844635659063993</c:v>
                </c:pt>
                <c:pt idx="50">
                  <c:v>0.71926997235520818</c:v>
                </c:pt>
                <c:pt idx="51">
                  <c:v>0.72007209003415606</c:v>
                </c:pt>
                <c:pt idx="52">
                  <c:v>0.7208532707722618</c:v>
                </c:pt>
                <c:pt idx="53">
                  <c:v>0.72161406106725645</c:v>
                </c:pt>
                <c:pt idx="54">
                  <c:v>0.72235499315214347</c:v>
                </c:pt>
                <c:pt idx="55">
                  <c:v>0.72307658536753683</c:v>
                </c:pt>
                <c:pt idx="56">
                  <c:v>0.72377934252428167</c:v>
                </c:pt>
                <c:pt idx="57">
                  <c:v>0.72446375625660953</c:v>
                </c:pt>
                <c:pt idx="58">
                  <c:v>0.72513030536607548</c:v>
                </c:pt>
                <c:pt idx="59">
                  <c:v>0.72577945615651696</c:v>
                </c:pt>
                <c:pt idx="60">
                  <c:v>0.72641166276027136</c:v>
                </c:pt>
                <c:pt idx="61">
                  <c:v>0.72702736745587648</c:v>
                </c:pt>
                <c:pt idx="62">
                  <c:v>0.7276270009774799</c:v>
                </c:pt>
                <c:pt idx="63">
                  <c:v>0.72821098281617147</c:v>
                </c:pt>
                <c:pt idx="64">
                  <c:v>0.7287797215134505</c:v>
                </c:pt>
                <c:pt idx="65">
                  <c:v>0.72933361494703308</c:v>
                </c:pt>
                <c:pt idx="66">
                  <c:v>0.72987305060919849</c:v>
                </c:pt>
                <c:pt idx="67">
                  <c:v>0.7303984058778713</c:v>
                </c:pt>
                <c:pt idx="68">
                  <c:v>0.73091004828062678</c:v>
                </c:pt>
                <c:pt idx="69">
                  <c:v>0.73140833575180531</c:v>
                </c:pt>
                <c:pt idx="70">
                  <c:v>0.73189361688291654</c:v>
                </c:pt>
                <c:pt idx="71">
                  <c:v>0.73236623116650557</c:v>
                </c:pt>
                <c:pt idx="72">
                  <c:v>0.73282650923365611</c:v>
                </c:pt>
                <c:pt idx="73">
                  <c:v>0.7332747730852921</c:v>
                </c:pt>
                <c:pt idx="74">
                  <c:v>0.73371133631744323</c:v>
                </c:pt>
                <c:pt idx="75">
                  <c:v>0.73413650434063016</c:v>
                </c:pt>
                <c:pt idx="76">
                  <c:v>0.73455057459352335</c:v>
                </c:pt>
                <c:pt idx="77">
                  <c:v>0.73495383675102499</c:v>
                </c:pt>
                <c:pt idx="78">
                  <c:v>0.73534657292691918</c:v>
                </c:pt>
                <c:pt idx="79">
                  <c:v>0.73572905787123344</c:v>
                </c:pt>
                <c:pt idx="80">
                  <c:v>0.73610155916244746</c:v>
                </c:pt>
                <c:pt idx="81">
                  <c:v>0.73646433739468575</c:v>
                </c:pt>
                <c:pt idx="82">
                  <c:v>0.736817646360024</c:v>
                </c:pt>
                <c:pt idx="83">
                  <c:v>0.7371617332260364</c:v>
                </c:pt>
                <c:pt idx="84">
                  <c:v>0.73749683870870886</c:v>
                </c:pt>
                <c:pt idx="85">
                  <c:v>0.73782319724083922</c:v>
                </c:pt>
                <c:pt idx="86">
                  <c:v>0.73814103713604162</c:v>
                </c:pt>
                <c:pt idx="87">
                  <c:v>0.73845058074846914</c:v>
                </c:pt>
                <c:pt idx="88">
                  <c:v>0.73875204462836919</c:v>
                </c:pt>
                <c:pt idx="89">
                  <c:v>0.73904563967357673</c:v>
                </c:pt>
                <c:pt idx="90">
                  <c:v>0.73933157127705451</c:v>
                </c:pt>
                <c:pt idx="91">
                  <c:v>0.73961003947058124</c:v>
                </c:pt>
                <c:pt idx="92">
                  <c:v>0.73988123906468994</c:v>
                </c:pt>
                <c:pt idx="93">
                  <c:v>0.74014535978495344</c:v>
                </c:pt>
                <c:pt idx="94">
                  <c:v>0.74040258640471213</c:v>
                </c:pt>
                <c:pt idx="95">
                  <c:v>0.74065309887433761</c:v>
                </c:pt>
                <c:pt idx="96">
                  <c:v>0.74089707244712233</c:v>
                </c:pt>
                <c:pt idx="97">
                  <c:v>0.74113467780188291</c:v>
                </c:pt>
                <c:pt idx="98">
                  <c:v>0.74136608116236402</c:v>
                </c:pt>
                <c:pt idx="99">
                  <c:v>0.74159144441352409</c:v>
                </c:pt>
                <c:pt idx="100">
                  <c:v>0.74181092521478753</c:v>
                </c:pt>
                <c:pt idx="101">
                  <c:v>0.74202467711033981</c:v>
                </c:pt>
                <c:pt idx="102">
                  <c:v>0.74223284963654312</c:v>
                </c:pt>
                <c:pt idx="103">
                  <c:v>0.74243558842654978</c:v>
                </c:pt>
                <c:pt idx="104">
                  <c:v>0.7426330353121835</c:v>
                </c:pt>
                <c:pt idx="105">
                  <c:v>0.74282532842316229</c:v>
                </c:pt>
                <c:pt idx="106">
                  <c:v>0.74301260228373112</c:v>
                </c:pt>
                <c:pt idx="107">
                  <c:v>0.74319498790677208</c:v>
                </c:pt>
                <c:pt idx="108">
                  <c:v>0.74337261288545831</c:v>
                </c:pt>
                <c:pt idx="109">
                  <c:v>0.74354560148251558</c:v>
                </c:pt>
                <c:pt idx="110">
                  <c:v>0.74371407471715412</c:v>
                </c:pt>
                <c:pt idx="111">
                  <c:v>0.74387815044973071</c:v>
                </c:pt>
                <c:pt idx="112">
                  <c:v>0.74403794346420138</c:v>
                </c:pt>
                <c:pt idx="113">
                  <c:v>0.74419356554842242</c:v>
                </c:pt>
                <c:pt idx="114">
                  <c:v>0.74434512557235399</c:v>
                </c:pt>
                <c:pt idx="115">
                  <c:v>0.74449272956422397</c:v>
                </c:pt>
                <c:pt idx="116">
                  <c:v>0.74463648078470268</c:v>
                </c:pt>
                <c:pt idx="117">
                  <c:v>0.74477647979914208</c:v>
                </c:pt>
                <c:pt idx="118">
                  <c:v>0.74491282454792918</c:v>
                </c:pt>
                <c:pt idx="119">
                  <c:v>0.74504561041500306</c:v>
                </c:pt>
                <c:pt idx="120">
                  <c:v>0.74517493029458326</c:v>
                </c:pt>
                <c:pt idx="121">
                  <c:v>0.74530087465615713</c:v>
                </c:pt>
                <c:pt idx="122">
                  <c:v>0.74542353160776997</c:v>
                </c:pt>
                <c:pt idx="123">
                  <c:v>0.74554298695766374</c:v>
                </c:pt>
                <c:pt idx="124">
                  <c:v>0.7456593242743067</c:v>
                </c:pt>
                <c:pt idx="125">
                  <c:v>0.74577262494485619</c:v>
                </c:pt>
                <c:pt idx="126">
                  <c:v>0.74588296823209532</c:v>
                </c:pt>
                <c:pt idx="127">
                  <c:v>0.74599043132988352</c:v>
                </c:pt>
                <c:pt idx="128">
                  <c:v>0.74609508941715996</c:v>
                </c:pt>
                <c:pt idx="129">
                  <c:v>0.74619701571053698</c:v>
                </c:pt>
                <c:pt idx="130">
                  <c:v>0.74629628151552097</c:v>
                </c:pt>
                <c:pt idx="131">
                  <c:v>0.74639295627639612</c:v>
                </c:pt>
                <c:pt idx="132">
                  <c:v>0.7464871076248063</c:v>
                </c:pt>
                <c:pt idx="133">
                  <c:v>0.74657880142706889</c:v>
                </c:pt>
                <c:pt idx="134">
                  <c:v>0.74666810183025301</c:v>
                </c:pt>
                <c:pt idx="135">
                  <c:v>0.74675507130705598</c:v>
                </c:pt>
                <c:pt idx="136">
                  <c:v>0.74683977069950758</c:v>
                </c:pt>
                <c:pt idx="137">
                  <c:v>0.7469222592615341</c:v>
                </c:pt>
                <c:pt idx="138">
                  <c:v>0.74700259470041097</c:v>
                </c:pt>
                <c:pt idx="139">
                  <c:v>0.74708083321713359</c:v>
                </c:pt>
                <c:pt idx="140">
                  <c:v>0.74715702954573437</c:v>
                </c:pt>
                <c:pt idx="141">
                  <c:v>0.74723123699157379</c:v>
                </c:pt>
                <c:pt idx="142">
                  <c:v>0.74730350746863117</c:v>
                </c:pt>
                <c:pt idx="143">
                  <c:v>0.74737389153582312</c:v>
                </c:pt>
                <c:pt idx="144">
                  <c:v>0.74744243843237324</c:v>
                </c:pt>
                <c:pt idx="145">
                  <c:v>0.74750919611225897</c:v>
                </c:pt>
                <c:pt idx="146">
                  <c:v>0.74757421127775914</c:v>
                </c:pt>
                <c:pt idx="147">
                  <c:v>0.74763752941212569</c:v>
                </c:pt>
                <c:pt idx="148">
                  <c:v>0.74769919481140334</c:v>
                </c:pt>
                <c:pt idx="149">
                  <c:v>0.74775925061541759</c:v>
                </c:pt>
                <c:pt idx="150">
                  <c:v>0.74781773883795488</c:v>
                </c:pt>
                <c:pt idx="151">
                  <c:v>0.74787470039615433</c:v>
                </c:pt>
                <c:pt idx="152">
                  <c:v>0.7479301751391324</c:v>
                </c:pt>
                <c:pt idx="153">
                  <c:v>0.74798420187586101</c:v>
                </c:pt>
                <c:pt idx="154">
                  <c:v>0.74803681840231684</c:v>
                </c:pt>
                <c:pt idx="155">
                  <c:v>0.74808806152792318</c:v>
                </c:pt>
                <c:pt idx="156">
                  <c:v>0.74813796710130043</c:v>
                </c:pt>
                <c:pt idx="157">
                  <c:v>0.74818657003534572</c:v>
                </c:pt>
                <c:pt idx="158">
                  <c:v>0.74823390433165671</c:v>
                </c:pt>
                <c:pt idx="159">
                  <c:v>0.74828000310431864</c:v>
                </c:pt>
                <c:pt idx="160">
                  <c:v>0.74832489860307017</c:v>
                </c:pt>
                <c:pt idx="161">
                  <c:v>0.74836862223586476</c:v>
                </c:pt>
                <c:pt idx="162">
                  <c:v>0.74841120459084276</c:v>
                </c:pt>
                <c:pt idx="163">
                  <c:v>0.74845267545773064</c:v>
                </c:pt>
                <c:pt idx="164">
                  <c:v>0.74849306384868075</c:v>
                </c:pt>
                <c:pt idx="165">
                  <c:v>0.74853239801856786</c:v>
                </c:pt>
                <c:pt idx="166">
                  <c:v>0.74857070548475613</c:v>
                </c:pt>
                <c:pt idx="167">
                  <c:v>0.74860801304634872</c:v>
                </c:pt>
                <c:pt idx="168">
                  <c:v>0.74864434680293679</c:v>
                </c:pt>
                <c:pt idx="169">
                  <c:v>0.74867973217285755</c:v>
                </c:pt>
                <c:pt idx="170">
                  <c:v>0.74871419391097693</c:v>
                </c:pt>
                <c:pt idx="171">
                  <c:v>0.7487477561260073</c:v>
                </c:pt>
                <c:pt idx="172">
                  <c:v>0.74878044229737351</c:v>
                </c:pt>
                <c:pt idx="173">
                  <c:v>0.7488122752916383</c:v>
                </c:pt>
                <c:pt idx="174">
                  <c:v>0.74884327737849976</c:v>
                </c:pt>
                <c:pt idx="175">
                  <c:v>0.74887347024637052</c:v>
                </c:pt>
                <c:pt idx="176">
                  <c:v>0.74890287501755048</c:v>
                </c:pt>
                <c:pt idx="177">
                  <c:v>0.74893151226300336</c:v>
                </c:pt>
                <c:pt idx="178">
                  <c:v>0.74895940201674815</c:v>
                </c:pt>
                <c:pt idx="179">
                  <c:v>0.74898656378987416</c:v>
                </c:pt>
                <c:pt idx="180">
                  <c:v>0.74901301658419062</c:v>
                </c:pt>
                <c:pt idx="181">
                  <c:v>0.74903877890552018</c:v>
                </c:pt>
                <c:pt idx="182">
                  <c:v>0.74906386877664466</c:v>
                </c:pt>
                <c:pt idx="183">
                  <c:v>0.74908830374991398</c:v>
                </c:pt>
                <c:pt idx="184">
                  <c:v>0.7491121009195254</c:v>
                </c:pt>
                <c:pt idx="185">
                  <c:v>0.74913527693348159</c:v>
                </c:pt>
                <c:pt idx="186">
                  <c:v>0.74915784800523799</c:v>
                </c:pt>
                <c:pt idx="187">
                  <c:v>0.74917982992504517</c:v>
                </c:pt>
                <c:pt idx="188">
                  <c:v>0.74920123807099515</c:v>
                </c:pt>
                <c:pt idx="189">
                  <c:v>0.74922208741977969</c:v>
                </c:pt>
                <c:pt idx="190">
                  <c:v>0.74924239255716785</c:v>
                </c:pt>
                <c:pt idx="191">
                  <c:v>0.74926216768820986</c:v>
                </c:pt>
                <c:pt idx="192">
                  <c:v>0.74928142664717423</c:v>
                </c:pt>
                <c:pt idx="193">
                  <c:v>0.74930018290722666</c:v>
                </c:pt>
                <c:pt idx="194">
                  <c:v>0.74931844958985483</c:v>
                </c:pt>
                <c:pt idx="195">
                  <c:v>0.74933623947404859</c:v>
                </c:pt>
                <c:pt idx="196">
                  <c:v>0.74935356500523931</c:v>
                </c:pt>
                <c:pt idx="197">
                  <c:v>0.74937043830400696</c:v>
                </c:pt>
                <c:pt idx="198">
                  <c:v>0.74938687117455893</c:v>
                </c:pt>
                <c:pt idx="199">
                  <c:v>0.74940287511298831</c:v>
                </c:pt>
                <c:pt idx="200">
                  <c:v>0.74941846131531609</c:v>
                </c:pt>
                <c:pt idx="201">
                  <c:v>0.74943364068532414</c:v>
                </c:pt>
                <c:pt idx="202">
                  <c:v>0.74944842384218258</c:v>
                </c:pt>
                <c:pt idx="203">
                  <c:v>0.74946282112787932</c:v>
                </c:pt>
                <c:pt idx="204">
                  <c:v>0.7494768426144548</c:v>
                </c:pt>
                <c:pt idx="205">
                  <c:v>0.74949049811104818</c:v>
                </c:pt>
                <c:pt idx="206">
                  <c:v>0.74950379717075977</c:v>
                </c:pt>
                <c:pt idx="207">
                  <c:v>0.7495167490973339</c:v>
                </c:pt>
                <c:pt idx="208">
                  <c:v>0.74952936295166805</c:v>
                </c:pt>
                <c:pt idx="209">
                  <c:v>0.74954164755815134</c:v>
                </c:pt>
                <c:pt idx="210">
                  <c:v>0.74955361151083777</c:v>
                </c:pt>
                <c:pt idx="211">
                  <c:v>0.74956526317945893</c:v>
                </c:pt>
                <c:pt idx="212">
                  <c:v>0.74957661071527881</c:v>
                </c:pt>
                <c:pt idx="213">
                  <c:v>0.7495876620567965</c:v>
                </c:pt>
                <c:pt idx="214">
                  <c:v>0.74959842493529982</c:v>
                </c:pt>
                <c:pt idx="215">
                  <c:v>0.74960890688027382</c:v>
                </c:pt>
                <c:pt idx="216">
                  <c:v>0.74961911522466818</c:v>
                </c:pt>
                <c:pt idx="217">
                  <c:v>0.74962905711002759</c:v>
                </c:pt>
                <c:pt idx="218">
                  <c:v>0.7496387394914874</c:v>
                </c:pt>
                <c:pt idx="219">
                  <c:v>0.74964816914263943</c:v>
                </c:pt>
                <c:pt idx="220">
                  <c:v>0.74965735266027089</c:v>
                </c:pt>
                <c:pt idx="221">
                  <c:v>0.74966629646897864</c:v>
                </c:pt>
                <c:pt idx="222">
                  <c:v>0.74967500682566479</c:v>
                </c:pt>
                <c:pt idx="223">
                  <c:v>0.74968348982391275</c:v>
                </c:pt>
                <c:pt idx="224">
                  <c:v>0.74969175139825106</c:v>
                </c:pt>
                <c:pt idx="225">
                  <c:v>0.74969979732830461</c:v>
                </c:pt>
                <c:pt idx="226">
                  <c:v>0.74970763324283807</c:v>
                </c:pt>
                <c:pt idx="227">
                  <c:v>0.74971526462369353</c:v>
                </c:pt>
                <c:pt idx="228">
                  <c:v>0.74972269680962567</c:v>
                </c:pt>
                <c:pt idx="229">
                  <c:v>0.74972993500003671</c:v>
                </c:pt>
                <c:pt idx="230">
                  <c:v>0.74973698425861335</c:v>
                </c:pt>
                <c:pt idx="231">
                  <c:v>0.74974384951686979</c:v>
                </c:pt>
                <c:pt idx="232">
                  <c:v>0.74975053557759719</c:v>
                </c:pt>
                <c:pt idx="233">
                  <c:v>0.74975704711822422</c:v>
                </c:pt>
                <c:pt idx="234">
                  <c:v>0.74976338869408854</c:v>
                </c:pt>
                <c:pt idx="235">
                  <c:v>0.74976956474162437</c:v>
                </c:pt>
                <c:pt idx="236">
                  <c:v>0.74977557958146546</c:v>
                </c:pt>
                <c:pt idx="237">
                  <c:v>0.74978143742146819</c:v>
                </c:pt>
                <c:pt idx="238">
                  <c:v>0.74978714235965516</c:v>
                </c:pt>
                <c:pt idx="239">
                  <c:v>0.74979269838708196</c:v>
                </c:pt>
                <c:pt idx="240">
                  <c:v>0.7497981093906293</c:v>
                </c:pt>
                <c:pt idx="241">
                  <c:v>0.74980337915572226</c:v>
                </c:pt>
                <c:pt idx="242">
                  <c:v>0.74980851136897864</c:v>
                </c:pt>
                <c:pt idx="243">
                  <c:v>0.74981350962078741</c:v>
                </c:pt>
                <c:pt idx="244">
                  <c:v>0.74981837740782131</c:v>
                </c:pt>
                <c:pt idx="245">
                  <c:v>0.74982311813548241</c:v>
                </c:pt>
                <c:pt idx="246">
                  <c:v>0.74982773512028489</c:v>
                </c:pt>
                <c:pt idx="247">
                  <c:v>0.74983223159217482</c:v>
                </c:pt>
                <c:pt idx="248">
                  <c:v>0.74983661069678997</c:v>
                </c:pt>
                <c:pt idx="249">
                  <c:v>0.74984087549766065</c:v>
                </c:pt>
                <c:pt idx="250">
                  <c:v>0.74984502897835248</c:v>
                </c:pt>
                <c:pt idx="251">
                  <c:v>0.7498490740445537</c:v>
                </c:pt>
                <c:pt idx="252">
                  <c:v>0.74985301352610811</c:v>
                </c:pt>
                <c:pt idx="253">
                  <c:v>0.74985685017899495</c:v>
                </c:pt>
                <c:pt idx="254">
                  <c:v>0.7498605866872563</c:v>
                </c:pt>
                <c:pt idx="255">
                  <c:v>0.74986422566487532</c:v>
                </c:pt>
                <c:pt idx="256">
                  <c:v>0.74986776965760493</c:v>
                </c:pt>
                <c:pt idx="257">
                  <c:v>0.74987122114474813</c:v>
                </c:pt>
                <c:pt idx="258">
                  <c:v>0.74987458254089356</c:v>
                </c:pt>
                <c:pt idx="259">
                  <c:v>0.7498778561976035</c:v>
                </c:pt>
                <c:pt idx="260">
                  <c:v>0.74988104440506009</c:v>
                </c:pt>
                <c:pt idx="261">
                  <c:v>0.74988414939366643</c:v>
                </c:pt>
                <c:pt idx="262">
                  <c:v>0.74988717333560784</c:v>
                </c:pt>
                <c:pt idx="263">
                  <c:v>0.74989011834637098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923-4C74-8C92-885B9843AC65}"/>
            </c:ext>
          </c:extLst>
        </c:ser>
        <c:ser>
          <c:idx val="4"/>
          <c:order val="7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system'!$D$5:$D$278</c:f>
              <c:numCache>
                <c:formatCode>0.00</c:formatCode>
                <c:ptCount val="27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923-4C74-8C92-885B9843AC65}"/>
            </c:ext>
          </c:extLst>
        </c:ser>
        <c:ser>
          <c:idx val="1"/>
          <c:order val="8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system'!$B$5:$B$279</c:f>
              <c:numCache>
                <c:formatCode>General</c:formatCode>
                <c:ptCount val="275"/>
                <c:pt idx="0">
                  <c:v>0.63468360299323179</c:v>
                </c:pt>
                <c:pt idx="1">
                  <c:v>0.63769360095941929</c:v>
                </c:pt>
                <c:pt idx="2">
                  <c:v>0.64062503171407725</c:v>
                </c:pt>
                <c:pt idx="3">
                  <c:v>0.64347994602494607</c:v>
                </c:pt>
                <c:pt idx="4">
                  <c:v>0.64626034113045983</c:v>
                </c:pt>
                <c:pt idx="5">
                  <c:v>0.64896816213697261</c:v>
                </c:pt>
                <c:pt idx="6">
                  <c:v>0.65160530337951461</c:v>
                </c:pt>
                <c:pt idx="7">
                  <c:v>0.65417360974702898</c:v>
                </c:pt>
                <c:pt idx="8">
                  <c:v>0.65667487797301771</c:v>
                </c:pt>
                <c:pt idx="9">
                  <c:v>0.65911085789249901</c:v>
                </c:pt>
                <c:pt idx="10">
                  <c:v>0.66148325366615512</c:v>
                </c:pt>
                <c:pt idx="11">
                  <c:v>0.66379372497252764</c:v>
                </c:pt>
                <c:pt idx="12">
                  <c:v>0.66604388816909432</c:v>
                </c:pt>
                <c:pt idx="13">
                  <c:v>0.66823531742303821</c:v>
                </c:pt>
                <c:pt idx="14">
                  <c:v>0.67036954581250285</c:v>
                </c:pt>
                <c:pt idx="15">
                  <c:v>0.67244806639910149</c:v>
                </c:pt>
                <c:pt idx="16">
                  <c:v>0.67447233327243183</c:v>
                </c:pt>
                <c:pt idx="17">
                  <c:v>0.67644376256732675</c:v>
                </c:pt>
                <c:pt idx="18">
                  <c:v>0.67836373345455236</c:v>
                </c:pt>
                <c:pt idx="19">
                  <c:v>0.68023358910564768</c:v>
                </c:pt>
                <c:pt idx="20">
                  <c:v>0.68205463763257901</c:v>
                </c:pt>
                <c:pt idx="21">
                  <c:v>0.6838281530028677</c:v>
                </c:pt>
                <c:pt idx="22">
                  <c:v>0.68555537593083127</c:v>
                </c:pt>
                <c:pt idx="23">
                  <c:v>0.68723751474556138</c:v>
                </c:pt>
                <c:pt idx="24">
                  <c:v>0.68887574623624559</c:v>
                </c:pt>
                <c:pt idx="25">
                  <c:v>0.69047121647542442</c:v>
                </c:pt>
                <c:pt idx="26">
                  <c:v>0.69202504162075973</c:v>
                </c:pt>
                <c:pt idx="27">
                  <c:v>0.69353830869587552</c:v>
                </c:pt>
                <c:pt idx="28">
                  <c:v>0.69501207635081663</c:v>
                </c:pt>
                <c:pt idx="29">
                  <c:v>0.69644737560265846</c:v>
                </c:pt>
                <c:pt idx="30">
                  <c:v>0.69784521055678506</c:v>
                </c:pt>
                <c:pt idx="31">
                  <c:v>0.69920655910934004</c:v>
                </c:pt>
                <c:pt idx="32">
                  <c:v>0.70053237363134224</c:v>
                </c:pt>
                <c:pt idx="33">
                  <c:v>0.70182358163494518</c:v>
                </c:pt>
                <c:pt idx="34">
                  <c:v>0.70308108642230427</c:v>
                </c:pt>
                <c:pt idx="35">
                  <c:v>0.70430576771750897</c:v>
                </c:pt>
                <c:pt idx="36">
                  <c:v>0.70549848228201906</c:v>
                </c:pt>
                <c:pt idx="37">
                  <c:v>0.70666006451403685</c:v>
                </c:pt>
                <c:pt idx="38">
                  <c:v>0.70779132703223535</c:v>
                </c:pt>
                <c:pt idx="39">
                  <c:v>0.70889306124424845</c:v>
                </c:pt>
                <c:pt idx="40">
                  <c:v>0.70996603790032398</c:v>
                </c:pt>
                <c:pt idx="41">
                  <c:v>0.71101100763252423</c:v>
                </c:pt>
                <c:pt idx="42">
                  <c:v>0.71202870147985209</c:v>
                </c:pt>
                <c:pt idx="43">
                  <c:v>0.71301983139967118</c:v>
                </c:pt>
                <c:pt idx="44">
                  <c:v>0.7139850907657761</c:v>
                </c:pt>
                <c:pt idx="45">
                  <c:v>0.71492515485346242</c:v>
                </c:pt>
                <c:pt idx="46">
                  <c:v>0.7158406813119349</c:v>
                </c:pt>
                <c:pt idx="47">
                  <c:v>0.71673231062438558</c:v>
                </c:pt>
                <c:pt idx="48">
                  <c:v>0.71760066655606181</c:v>
                </c:pt>
                <c:pt idx="49">
                  <c:v>0.71844635659063993</c:v>
                </c:pt>
                <c:pt idx="50">
                  <c:v>0.71926997235520818</c:v>
                </c:pt>
                <c:pt idx="51">
                  <c:v>0.72007209003415606</c:v>
                </c:pt>
                <c:pt idx="52">
                  <c:v>0.7208532707722618</c:v>
                </c:pt>
                <c:pt idx="53">
                  <c:v>0.72161406106725645</c:v>
                </c:pt>
                <c:pt idx="54">
                  <c:v>0.72235499315214347</c:v>
                </c:pt>
                <c:pt idx="55">
                  <c:v>0.72307658536753683</c:v>
                </c:pt>
                <c:pt idx="56">
                  <c:v>0.72377934252428167</c:v>
                </c:pt>
                <c:pt idx="57">
                  <c:v>0.72446375625660953</c:v>
                </c:pt>
                <c:pt idx="58">
                  <c:v>0.72513030536607548</c:v>
                </c:pt>
                <c:pt idx="59">
                  <c:v>0.72577945615651696</c:v>
                </c:pt>
                <c:pt idx="60">
                  <c:v>0.72641166276027136</c:v>
                </c:pt>
                <c:pt idx="61">
                  <c:v>0.72702736745587648</c:v>
                </c:pt>
                <c:pt idx="62">
                  <c:v>0.7276270009774799</c:v>
                </c:pt>
                <c:pt idx="63">
                  <c:v>0.72821098281617147</c:v>
                </c:pt>
                <c:pt idx="64">
                  <c:v>0.7287797215134505</c:v>
                </c:pt>
                <c:pt idx="65">
                  <c:v>0.72933361494703308</c:v>
                </c:pt>
                <c:pt idx="66">
                  <c:v>0.72987305060919849</c:v>
                </c:pt>
                <c:pt idx="67">
                  <c:v>0.7303984058778713</c:v>
                </c:pt>
                <c:pt idx="68">
                  <c:v>0.73091004828062678</c:v>
                </c:pt>
                <c:pt idx="69">
                  <c:v>0.73140833575180531</c:v>
                </c:pt>
                <c:pt idx="70">
                  <c:v>0.73189361688291654</c:v>
                </c:pt>
                <c:pt idx="71">
                  <c:v>0.73236623116650557</c:v>
                </c:pt>
                <c:pt idx="72">
                  <c:v>0.73282650923365611</c:v>
                </c:pt>
                <c:pt idx="73">
                  <c:v>0.7332747730852921</c:v>
                </c:pt>
                <c:pt idx="74">
                  <c:v>0.73371133631744323</c:v>
                </c:pt>
                <c:pt idx="75">
                  <c:v>0.73413650434063016</c:v>
                </c:pt>
                <c:pt idx="76">
                  <c:v>0.73455057459352335</c:v>
                </c:pt>
                <c:pt idx="77">
                  <c:v>0.73495383675102499</c:v>
                </c:pt>
                <c:pt idx="78">
                  <c:v>0.73534657292691918</c:v>
                </c:pt>
                <c:pt idx="79">
                  <c:v>0.73572905787123344</c:v>
                </c:pt>
                <c:pt idx="80">
                  <c:v>0.73610155916244746</c:v>
                </c:pt>
                <c:pt idx="81">
                  <c:v>0.73646433739468575</c:v>
                </c:pt>
                <c:pt idx="82">
                  <c:v>0.736817646360024</c:v>
                </c:pt>
                <c:pt idx="83">
                  <c:v>0.7371617332260364</c:v>
                </c:pt>
                <c:pt idx="84">
                  <c:v>0.73749683870870886</c:v>
                </c:pt>
                <c:pt idx="85">
                  <c:v>0.73782319724083922</c:v>
                </c:pt>
                <c:pt idx="86">
                  <c:v>0.73814103713604162</c:v>
                </c:pt>
                <c:pt idx="87">
                  <c:v>0.73845058074846914</c:v>
                </c:pt>
                <c:pt idx="88">
                  <c:v>0.73875204462836919</c:v>
                </c:pt>
                <c:pt idx="89">
                  <c:v>0.73904563967357673</c:v>
                </c:pt>
                <c:pt idx="90">
                  <c:v>0.73933157127705451</c:v>
                </c:pt>
                <c:pt idx="91">
                  <c:v>0.73961003947058124</c:v>
                </c:pt>
                <c:pt idx="92">
                  <c:v>0.73988123906468994</c:v>
                </c:pt>
                <c:pt idx="93">
                  <c:v>0.74014535978495344</c:v>
                </c:pt>
                <c:pt idx="94">
                  <c:v>0.74040258640471213</c:v>
                </c:pt>
                <c:pt idx="95">
                  <c:v>0.74065309887433761</c:v>
                </c:pt>
                <c:pt idx="96">
                  <c:v>0.74089707244712233</c:v>
                </c:pt>
                <c:pt idx="97">
                  <c:v>0.74113467780188291</c:v>
                </c:pt>
                <c:pt idx="98">
                  <c:v>0.74136608116236402</c:v>
                </c:pt>
                <c:pt idx="99">
                  <c:v>0.74159144441352409</c:v>
                </c:pt>
                <c:pt idx="100">
                  <c:v>0.74181092521478753</c:v>
                </c:pt>
                <c:pt idx="101">
                  <c:v>0.74202467711033981</c:v>
                </c:pt>
                <c:pt idx="102">
                  <c:v>0.74223284963654312</c:v>
                </c:pt>
                <c:pt idx="103">
                  <c:v>0.74243558842654978</c:v>
                </c:pt>
                <c:pt idx="104">
                  <c:v>0.7426330353121835</c:v>
                </c:pt>
                <c:pt idx="105">
                  <c:v>0.74282532842316229</c:v>
                </c:pt>
                <c:pt idx="106">
                  <c:v>0.74301260228373112</c:v>
                </c:pt>
                <c:pt idx="107">
                  <c:v>0.74319498790677208</c:v>
                </c:pt>
                <c:pt idx="108">
                  <c:v>0.74337261288545831</c:v>
                </c:pt>
                <c:pt idx="109">
                  <c:v>0.74354560148251558</c:v>
                </c:pt>
                <c:pt idx="110">
                  <c:v>0.74371407471715412</c:v>
                </c:pt>
                <c:pt idx="111">
                  <c:v>0.74387815044973071</c:v>
                </c:pt>
                <c:pt idx="112">
                  <c:v>0.74403794346420138</c:v>
                </c:pt>
                <c:pt idx="113">
                  <c:v>0.74419356554842242</c:v>
                </c:pt>
                <c:pt idx="114">
                  <c:v>0.74434512557235399</c:v>
                </c:pt>
                <c:pt idx="115">
                  <c:v>0.74449272956422397</c:v>
                </c:pt>
                <c:pt idx="116">
                  <c:v>0.74463648078470268</c:v>
                </c:pt>
                <c:pt idx="117">
                  <c:v>0.74477647979914208</c:v>
                </c:pt>
                <c:pt idx="118">
                  <c:v>0.74491282454792918</c:v>
                </c:pt>
                <c:pt idx="119">
                  <c:v>0.74504561041500306</c:v>
                </c:pt>
                <c:pt idx="120">
                  <c:v>0.74517493029458326</c:v>
                </c:pt>
                <c:pt idx="121">
                  <c:v>0.74530087465615713</c:v>
                </c:pt>
                <c:pt idx="122">
                  <c:v>0.74542353160776997</c:v>
                </c:pt>
                <c:pt idx="123">
                  <c:v>0.74554298695766374</c:v>
                </c:pt>
                <c:pt idx="124">
                  <c:v>0.7456593242743067</c:v>
                </c:pt>
                <c:pt idx="125">
                  <c:v>0.74577262494485619</c:v>
                </c:pt>
                <c:pt idx="126">
                  <c:v>0.74588296823209532</c:v>
                </c:pt>
                <c:pt idx="127">
                  <c:v>0.74599043132988352</c:v>
                </c:pt>
                <c:pt idx="128">
                  <c:v>0.74609508941715996</c:v>
                </c:pt>
                <c:pt idx="129">
                  <c:v>0.74619701571053698</c:v>
                </c:pt>
                <c:pt idx="130">
                  <c:v>0.74629628151552097</c:v>
                </c:pt>
                <c:pt idx="131">
                  <c:v>0.74639295627639612</c:v>
                </c:pt>
                <c:pt idx="132">
                  <c:v>0.7464871076248063</c:v>
                </c:pt>
                <c:pt idx="133">
                  <c:v>0.74657880142706889</c:v>
                </c:pt>
                <c:pt idx="134">
                  <c:v>0.74666810183025301</c:v>
                </c:pt>
                <c:pt idx="135">
                  <c:v>0.74675507130705598</c:v>
                </c:pt>
                <c:pt idx="136">
                  <c:v>0.74683977069950758</c:v>
                </c:pt>
                <c:pt idx="137">
                  <c:v>0.7469222592615341</c:v>
                </c:pt>
                <c:pt idx="138">
                  <c:v>0.74700259470041097</c:v>
                </c:pt>
                <c:pt idx="139">
                  <c:v>0.74708083321713359</c:v>
                </c:pt>
                <c:pt idx="140">
                  <c:v>0.74715702954573437</c:v>
                </c:pt>
                <c:pt idx="141">
                  <c:v>0.74723123699157379</c:v>
                </c:pt>
                <c:pt idx="142">
                  <c:v>0.74730350746863117</c:v>
                </c:pt>
                <c:pt idx="143">
                  <c:v>0.74737389153582312</c:v>
                </c:pt>
                <c:pt idx="144">
                  <c:v>0.74744243843237324</c:v>
                </c:pt>
                <c:pt idx="145">
                  <c:v>0.74750919611225897</c:v>
                </c:pt>
                <c:pt idx="146">
                  <c:v>0.74757421127775914</c:v>
                </c:pt>
                <c:pt idx="147">
                  <c:v>0.74763752941212569</c:v>
                </c:pt>
                <c:pt idx="148">
                  <c:v>0.74769919481140334</c:v>
                </c:pt>
                <c:pt idx="149">
                  <c:v>0.74775925061541759</c:v>
                </c:pt>
                <c:pt idx="150">
                  <c:v>0.74781773883795488</c:v>
                </c:pt>
                <c:pt idx="151">
                  <c:v>0.74787470039615433</c:v>
                </c:pt>
                <c:pt idx="152">
                  <c:v>0.7479301751391324</c:v>
                </c:pt>
                <c:pt idx="153">
                  <c:v>0.74798420187586101</c:v>
                </c:pt>
                <c:pt idx="154">
                  <c:v>0.74803681840231684</c:v>
                </c:pt>
                <c:pt idx="155">
                  <c:v>0.74808806152792318</c:v>
                </c:pt>
                <c:pt idx="156">
                  <c:v>0.74813796710130043</c:v>
                </c:pt>
                <c:pt idx="157">
                  <c:v>0.74818657003534572</c:v>
                </c:pt>
                <c:pt idx="158">
                  <c:v>0.74823390433165671</c:v>
                </c:pt>
                <c:pt idx="159">
                  <c:v>0.74828000310431864</c:v>
                </c:pt>
                <c:pt idx="160">
                  <c:v>0.74832489860307017</c:v>
                </c:pt>
                <c:pt idx="161">
                  <c:v>0.74836862223586476</c:v>
                </c:pt>
                <c:pt idx="162">
                  <c:v>0.74841120459084276</c:v>
                </c:pt>
                <c:pt idx="163">
                  <c:v>0.74845267545773064</c:v>
                </c:pt>
                <c:pt idx="164">
                  <c:v>0.74849306384868075</c:v>
                </c:pt>
                <c:pt idx="165">
                  <c:v>0.74853239801856786</c:v>
                </c:pt>
                <c:pt idx="166">
                  <c:v>0.74857070548475613</c:v>
                </c:pt>
                <c:pt idx="167">
                  <c:v>0.74860801304634872</c:v>
                </c:pt>
                <c:pt idx="168">
                  <c:v>0.74864434680293679</c:v>
                </c:pt>
                <c:pt idx="169">
                  <c:v>0.74867973217285755</c:v>
                </c:pt>
                <c:pt idx="170">
                  <c:v>0.74871419391097693</c:v>
                </c:pt>
                <c:pt idx="171">
                  <c:v>0.7487477561260073</c:v>
                </c:pt>
                <c:pt idx="172">
                  <c:v>0.74878044229737351</c:v>
                </c:pt>
                <c:pt idx="173">
                  <c:v>0.7488122752916383</c:v>
                </c:pt>
                <c:pt idx="174">
                  <c:v>0.74884327737849976</c:v>
                </c:pt>
                <c:pt idx="175">
                  <c:v>0.74887347024637052</c:v>
                </c:pt>
                <c:pt idx="176">
                  <c:v>0.74890287501755048</c:v>
                </c:pt>
                <c:pt idx="177">
                  <c:v>0.74893151226300336</c:v>
                </c:pt>
                <c:pt idx="178">
                  <c:v>0.74895940201674815</c:v>
                </c:pt>
                <c:pt idx="179">
                  <c:v>0.74898656378987416</c:v>
                </c:pt>
                <c:pt idx="180">
                  <c:v>0.74901301658419062</c:v>
                </c:pt>
                <c:pt idx="181">
                  <c:v>0.74903877890552018</c:v>
                </c:pt>
                <c:pt idx="182">
                  <c:v>0.74906386877664466</c:v>
                </c:pt>
                <c:pt idx="183">
                  <c:v>0.74908830374991398</c:v>
                </c:pt>
                <c:pt idx="184">
                  <c:v>0.7491121009195254</c:v>
                </c:pt>
                <c:pt idx="185">
                  <c:v>0.74913527693348159</c:v>
                </c:pt>
                <c:pt idx="186">
                  <c:v>0.74915784800523799</c:v>
                </c:pt>
                <c:pt idx="187">
                  <c:v>0.74917982992504517</c:v>
                </c:pt>
                <c:pt idx="188">
                  <c:v>0.74920123807099515</c:v>
                </c:pt>
                <c:pt idx="189">
                  <c:v>0.74922208741977969</c:v>
                </c:pt>
                <c:pt idx="190">
                  <c:v>0.74924239255716785</c:v>
                </c:pt>
                <c:pt idx="191">
                  <c:v>0.74926216768820986</c:v>
                </c:pt>
                <c:pt idx="192">
                  <c:v>0.74928142664717423</c:v>
                </c:pt>
                <c:pt idx="193">
                  <c:v>0.74930018290722666</c:v>
                </c:pt>
                <c:pt idx="194">
                  <c:v>0.74931844958985483</c:v>
                </c:pt>
                <c:pt idx="195">
                  <c:v>0.74933623947404859</c:v>
                </c:pt>
                <c:pt idx="196">
                  <c:v>0.74935356500523931</c:v>
                </c:pt>
                <c:pt idx="197">
                  <c:v>0.74937043830400696</c:v>
                </c:pt>
                <c:pt idx="198">
                  <c:v>0.74938687117455893</c:v>
                </c:pt>
                <c:pt idx="199">
                  <c:v>0.74940287511298831</c:v>
                </c:pt>
                <c:pt idx="200">
                  <c:v>0.74941846131531609</c:v>
                </c:pt>
                <c:pt idx="201">
                  <c:v>0.74943364068532414</c:v>
                </c:pt>
                <c:pt idx="202">
                  <c:v>0.74944842384218258</c:v>
                </c:pt>
                <c:pt idx="203">
                  <c:v>0.74946282112787932</c:v>
                </c:pt>
                <c:pt idx="204">
                  <c:v>0.7494768426144548</c:v>
                </c:pt>
                <c:pt idx="205">
                  <c:v>0.74949049811104818</c:v>
                </c:pt>
                <c:pt idx="206">
                  <c:v>0.74950379717075977</c:v>
                </c:pt>
                <c:pt idx="207">
                  <c:v>0.7495167490973339</c:v>
                </c:pt>
                <c:pt idx="208">
                  <c:v>0.74952936295166805</c:v>
                </c:pt>
                <c:pt idx="209">
                  <c:v>0.74954164755815134</c:v>
                </c:pt>
                <c:pt idx="210">
                  <c:v>0.74955361151083777</c:v>
                </c:pt>
                <c:pt idx="211">
                  <c:v>0.74956526317945893</c:v>
                </c:pt>
                <c:pt idx="212">
                  <c:v>0.74957661071527881</c:v>
                </c:pt>
                <c:pt idx="213">
                  <c:v>0.7495876620567965</c:v>
                </c:pt>
                <c:pt idx="214">
                  <c:v>0.74959842493529982</c:v>
                </c:pt>
                <c:pt idx="215">
                  <c:v>0.74960890688027382</c:v>
                </c:pt>
                <c:pt idx="216">
                  <c:v>0.74961911522466818</c:v>
                </c:pt>
                <c:pt idx="217">
                  <c:v>0.74962905711002759</c:v>
                </c:pt>
                <c:pt idx="218">
                  <c:v>0.7496387394914874</c:v>
                </c:pt>
                <c:pt idx="219">
                  <c:v>0.74964816914263943</c:v>
                </c:pt>
                <c:pt idx="220">
                  <c:v>0.74965735266027089</c:v>
                </c:pt>
                <c:pt idx="221">
                  <c:v>0.74966629646897864</c:v>
                </c:pt>
                <c:pt idx="222">
                  <c:v>0.74967500682566479</c:v>
                </c:pt>
                <c:pt idx="223">
                  <c:v>0.74968348982391275</c:v>
                </c:pt>
                <c:pt idx="224">
                  <c:v>0.74969175139825106</c:v>
                </c:pt>
                <c:pt idx="225">
                  <c:v>0.74969979732830461</c:v>
                </c:pt>
                <c:pt idx="226">
                  <c:v>0.74970763324283807</c:v>
                </c:pt>
                <c:pt idx="227">
                  <c:v>0.74971526462369353</c:v>
                </c:pt>
                <c:pt idx="228">
                  <c:v>0.74972269680962567</c:v>
                </c:pt>
                <c:pt idx="229">
                  <c:v>0.74972993500003671</c:v>
                </c:pt>
                <c:pt idx="230">
                  <c:v>0.74973698425861335</c:v>
                </c:pt>
                <c:pt idx="231">
                  <c:v>0.74974384951686979</c:v>
                </c:pt>
                <c:pt idx="232">
                  <c:v>0.74975053557759719</c:v>
                </c:pt>
                <c:pt idx="233">
                  <c:v>0.74975704711822422</c:v>
                </c:pt>
                <c:pt idx="234">
                  <c:v>0.74976338869408854</c:v>
                </c:pt>
                <c:pt idx="235">
                  <c:v>0.74976956474162437</c:v>
                </c:pt>
                <c:pt idx="236">
                  <c:v>0.74977557958146546</c:v>
                </c:pt>
                <c:pt idx="237">
                  <c:v>0.74978143742146819</c:v>
                </c:pt>
                <c:pt idx="238">
                  <c:v>0.74978714235965516</c:v>
                </c:pt>
                <c:pt idx="239">
                  <c:v>0.74979269838708196</c:v>
                </c:pt>
                <c:pt idx="240">
                  <c:v>0.7497981093906293</c:v>
                </c:pt>
                <c:pt idx="241">
                  <c:v>0.74980337915572226</c:v>
                </c:pt>
                <c:pt idx="242">
                  <c:v>0.74980851136897864</c:v>
                </c:pt>
                <c:pt idx="243">
                  <c:v>0.74981350962078741</c:v>
                </c:pt>
                <c:pt idx="244">
                  <c:v>0.74981837740782131</c:v>
                </c:pt>
                <c:pt idx="245">
                  <c:v>0.74982311813548241</c:v>
                </c:pt>
                <c:pt idx="246">
                  <c:v>0.74982773512028489</c:v>
                </c:pt>
                <c:pt idx="247">
                  <c:v>0.74983223159217482</c:v>
                </c:pt>
                <c:pt idx="248">
                  <c:v>0.74983661069678997</c:v>
                </c:pt>
                <c:pt idx="249">
                  <c:v>0.74984087549766065</c:v>
                </c:pt>
                <c:pt idx="250">
                  <c:v>0.74984502897835248</c:v>
                </c:pt>
                <c:pt idx="251">
                  <c:v>0.7498490740445537</c:v>
                </c:pt>
                <c:pt idx="252">
                  <c:v>0.74985301352610811</c:v>
                </c:pt>
                <c:pt idx="253">
                  <c:v>0.74985685017899495</c:v>
                </c:pt>
                <c:pt idx="254">
                  <c:v>0.7498605866872563</c:v>
                </c:pt>
                <c:pt idx="255">
                  <c:v>0.74986422566487532</c:v>
                </c:pt>
                <c:pt idx="256">
                  <c:v>0.74986776965760493</c:v>
                </c:pt>
                <c:pt idx="257">
                  <c:v>0.74987122114474813</c:v>
                </c:pt>
                <c:pt idx="258">
                  <c:v>0.74987458254089356</c:v>
                </c:pt>
                <c:pt idx="259">
                  <c:v>0.7498778561976035</c:v>
                </c:pt>
                <c:pt idx="260">
                  <c:v>0.74988104440506009</c:v>
                </c:pt>
                <c:pt idx="261">
                  <c:v>0.74988414939366643</c:v>
                </c:pt>
                <c:pt idx="262">
                  <c:v>0.74988717333560784</c:v>
                </c:pt>
                <c:pt idx="263">
                  <c:v>0.74989011834637098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923-4C74-8C92-885B9843AC65}"/>
            </c:ext>
          </c:extLst>
        </c:ser>
        <c:ser>
          <c:idx val="3"/>
          <c:order val="9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system'!$F$5:$F$278</c:f>
              <c:numCache>
                <c:formatCode>0.00</c:formatCode>
                <c:ptCount val="274"/>
                <c:pt idx="0">
                  <c:v>0.75</c:v>
                </c:pt>
                <c:pt idx="1">
                  <c:v>0.75</c:v>
                </c:pt>
                <c:pt idx="2">
                  <c:v>0.69234180149661595</c:v>
                </c:pt>
                <c:pt idx="3">
                  <c:v>0.6938468004797097</c:v>
                </c:pt>
                <c:pt idx="4">
                  <c:v>0.69531251585703868</c:v>
                </c:pt>
                <c:pt idx="5">
                  <c:v>0.69673997301247304</c:v>
                </c:pt>
                <c:pt idx="6">
                  <c:v>0.69813017056522986</c:v>
                </c:pt>
                <c:pt idx="7">
                  <c:v>0.69948408106848636</c:v>
                </c:pt>
                <c:pt idx="8">
                  <c:v>0.70080265168975731</c:v>
                </c:pt>
                <c:pt idx="9">
                  <c:v>0.70208680487351449</c:v>
                </c:pt>
                <c:pt idx="10">
                  <c:v>0.70333743898650891</c:v>
                </c:pt>
                <c:pt idx="11">
                  <c:v>0.70455542894624956</c:v>
                </c:pt>
                <c:pt idx="12">
                  <c:v>0.70574162683307751</c:v>
                </c:pt>
                <c:pt idx="13">
                  <c:v>0.70689686248626382</c:v>
                </c:pt>
                <c:pt idx="14">
                  <c:v>0.70802194408454711</c:v>
                </c:pt>
                <c:pt idx="15">
                  <c:v>0.70911765871151911</c:v>
                </c:pt>
                <c:pt idx="16">
                  <c:v>0.71018477290625137</c:v>
                </c:pt>
                <c:pt idx="17">
                  <c:v>0.71122403319955074</c:v>
                </c:pt>
                <c:pt idx="18">
                  <c:v>0.71223616663621592</c:v>
                </c:pt>
                <c:pt idx="19">
                  <c:v>0.71322188128366337</c:v>
                </c:pt>
                <c:pt idx="20">
                  <c:v>0.71418186672727613</c:v>
                </c:pt>
                <c:pt idx="21">
                  <c:v>0.71511679455282384</c:v>
                </c:pt>
                <c:pt idx="22">
                  <c:v>0.71602731881628956</c:v>
                </c:pt>
                <c:pt idx="23">
                  <c:v>0.71691407650143379</c:v>
                </c:pt>
                <c:pt idx="24">
                  <c:v>0.71777768796541563</c:v>
                </c:pt>
                <c:pt idx="25">
                  <c:v>0.71861875737278069</c:v>
                </c:pt>
                <c:pt idx="26">
                  <c:v>0.71943787311812279</c:v>
                </c:pt>
                <c:pt idx="27">
                  <c:v>0.72023560823771227</c:v>
                </c:pt>
                <c:pt idx="28">
                  <c:v>0.72101252081037992</c:v>
                </c:pt>
                <c:pt idx="29">
                  <c:v>0.72176915434793776</c:v>
                </c:pt>
                <c:pt idx="30">
                  <c:v>0.72250603817540826</c:v>
                </c:pt>
                <c:pt idx="31">
                  <c:v>0.72322368780132928</c:v>
                </c:pt>
                <c:pt idx="32">
                  <c:v>0.72392260527839258</c:v>
                </c:pt>
                <c:pt idx="33">
                  <c:v>0.72460327955466997</c:v>
                </c:pt>
                <c:pt idx="34">
                  <c:v>0.72526618681567112</c:v>
                </c:pt>
                <c:pt idx="35">
                  <c:v>0.72591179081747259</c:v>
                </c:pt>
                <c:pt idx="36">
                  <c:v>0.72654054321115213</c:v>
                </c:pt>
                <c:pt idx="37">
                  <c:v>0.72715288385875443</c:v>
                </c:pt>
                <c:pt idx="38">
                  <c:v>0.72774924114100947</c:v>
                </c:pt>
                <c:pt idx="39">
                  <c:v>0.72833003225701842</c:v>
                </c:pt>
                <c:pt idx="40">
                  <c:v>0.72889566351611768</c:v>
                </c:pt>
                <c:pt idx="41">
                  <c:v>0.73521235047246269</c:v>
                </c:pt>
                <c:pt idx="42">
                  <c:v>0.73574883880050046</c:v>
                </c:pt>
                <c:pt idx="43">
                  <c:v>0.73627132366660053</c:v>
                </c:pt>
                <c:pt idx="44">
                  <c:v>0.73678017059026446</c:v>
                </c:pt>
                <c:pt idx="45">
                  <c:v>0.73727573555017401</c:v>
                </c:pt>
                <c:pt idx="46">
                  <c:v>0.73775836523322647</c:v>
                </c:pt>
                <c:pt idx="47">
                  <c:v>0.73822839727706957</c:v>
                </c:pt>
                <c:pt idx="48">
                  <c:v>0.73868616050630587</c:v>
                </c:pt>
                <c:pt idx="49">
                  <c:v>0.73913197516253115</c:v>
                </c:pt>
                <c:pt idx="50">
                  <c:v>0.73956615312836926</c:v>
                </c:pt>
                <c:pt idx="51">
                  <c:v>0.73998899814565844</c:v>
                </c:pt>
                <c:pt idx="52">
                  <c:v>0.74040080602794245</c:v>
                </c:pt>
                <c:pt idx="53">
                  <c:v>0.7408018648674165</c:v>
                </c:pt>
                <c:pt idx="54">
                  <c:v>0.74119245523646926</c:v>
                </c:pt>
                <c:pt idx="55">
                  <c:v>0.7415728503839667</c:v>
                </c:pt>
                <c:pt idx="56">
                  <c:v>0.7419433164264102</c:v>
                </c:pt>
                <c:pt idx="57">
                  <c:v>0.74230411253410677</c:v>
                </c:pt>
                <c:pt idx="58">
                  <c:v>0.74265549111247919</c:v>
                </c:pt>
                <c:pt idx="59">
                  <c:v>0.74299769797864323</c:v>
                </c:pt>
                <c:pt idx="60">
                  <c:v>0.7433309725333761</c:v>
                </c:pt>
                <c:pt idx="61">
                  <c:v>0.74365554792859689</c:v>
                </c:pt>
                <c:pt idx="62">
                  <c:v>0.74397165123047415</c:v>
                </c:pt>
                <c:pt idx="63">
                  <c:v>0.74427950357827666</c:v>
                </c:pt>
                <c:pt idx="64">
                  <c:v>0.74457932033907837</c:v>
                </c:pt>
                <c:pt idx="65">
                  <c:v>0.7448713112584241</c:v>
                </c:pt>
                <c:pt idx="66">
                  <c:v>0.74515568060706372</c:v>
                </c:pt>
                <c:pt idx="67">
                  <c:v>0.74543262732385496</c:v>
                </c:pt>
                <c:pt idx="68">
                  <c:v>0.74570234515493772</c:v>
                </c:pt>
                <c:pt idx="69">
                  <c:v>0.74596502278927412</c:v>
                </c:pt>
                <c:pt idx="70">
                  <c:v>0.74622084399065181</c:v>
                </c:pt>
                <c:pt idx="71">
                  <c:v>0.74646998772624107</c:v>
                </c:pt>
                <c:pt idx="72">
                  <c:v>0.74671262829179663</c:v>
                </c:pt>
                <c:pt idx="73">
                  <c:v>0.7469489354335912</c:v>
                </c:pt>
                <c:pt idx="74">
                  <c:v>0.74717907446716647</c:v>
                </c:pt>
                <c:pt idx="75">
                  <c:v>0.74740320639298452</c:v>
                </c:pt>
                <c:pt idx="76">
                  <c:v>0.74762148800906003</c:v>
                </c:pt>
                <c:pt idx="77">
                  <c:v>0.74783407202065344</c:v>
                </c:pt>
                <c:pt idx="78">
                  <c:v>0.74804110714710015</c:v>
                </c:pt>
                <c:pt idx="79">
                  <c:v>0.74824273822585086</c:v>
                </c:pt>
                <c:pt idx="80">
                  <c:v>0.74843910631379806</c:v>
                </c:pt>
                <c:pt idx="81">
                  <c:v>0.74863034878595514</c:v>
                </c:pt>
                <c:pt idx="82">
                  <c:v>0.74881659943156209</c:v>
                </c:pt>
                <c:pt idx="83">
                  <c:v>0.74899798854768129</c:v>
                </c:pt>
                <c:pt idx="84">
                  <c:v>0.74917464303035042</c:v>
                </c:pt>
                <c:pt idx="85">
                  <c:v>0.74934668646335656</c:v>
                </c:pt>
                <c:pt idx="86">
                  <c:v>0.74951423920469284</c:v>
                </c:pt>
                <c:pt idx="87">
                  <c:v>0.74967741847075808</c:v>
                </c:pt>
                <c:pt idx="88">
                  <c:v>0.74983633841835917</c:v>
                </c:pt>
                <c:pt idx="89">
                  <c:v>0.74999111022457299</c:v>
                </c:pt>
                <c:pt idx="90">
                  <c:v>0.75014184216452306</c:v>
                </c:pt>
                <c:pt idx="91">
                  <c:v>0.75028863968712678</c:v>
                </c:pt>
                <c:pt idx="92">
                  <c:v>0.75043160548886567</c:v>
                </c:pt>
                <c:pt idx="93">
                  <c:v>0.75057083958562898</c:v>
                </c:pt>
                <c:pt idx="94">
                  <c:v>0.75070643938268344</c:v>
                </c:pt>
                <c:pt idx="95">
                  <c:v>0.75083849974281514</c:v>
                </c:pt>
                <c:pt idx="96">
                  <c:v>0.75096711305269448</c:v>
                </c:pt>
                <c:pt idx="97">
                  <c:v>0.75109236928750722</c:v>
                </c:pt>
                <c:pt idx="98">
                  <c:v>0.75121435607389953</c:v>
                </c:pt>
                <c:pt idx="99">
                  <c:v>0.75133315875127993</c:v>
                </c:pt>
                <c:pt idx="100">
                  <c:v>0.75144886043152037</c:v>
                </c:pt>
                <c:pt idx="101">
                  <c:v>0.75156154205710046</c:v>
                </c:pt>
                <c:pt idx="102">
                  <c:v>0.75167128245773218</c:v>
                </c:pt>
                <c:pt idx="103">
                  <c:v>0.75177815840550832</c:v>
                </c:pt>
                <c:pt idx="104">
                  <c:v>0.75188224466860998</c:v>
                </c:pt>
                <c:pt idx="105">
                  <c:v>0.75198361406361325</c:v>
                </c:pt>
                <c:pt idx="106">
                  <c:v>0.75208233750643017</c:v>
                </c:pt>
                <c:pt idx="107">
                  <c:v>0.75217848406191956</c:v>
                </c:pt>
                <c:pt idx="108">
                  <c:v>0.75227212099220397</c:v>
                </c:pt>
                <c:pt idx="109">
                  <c:v>0.75236331380372445</c:v>
                </c:pt>
                <c:pt idx="110">
                  <c:v>0.75245212629306757</c:v>
                </c:pt>
                <c:pt idx="111">
                  <c:v>0.75253862059159626</c:v>
                </c:pt>
                <c:pt idx="112">
                  <c:v>0.75262285720891553</c:v>
                </c:pt>
                <c:pt idx="113">
                  <c:v>0.75270489507520377</c:v>
                </c:pt>
                <c:pt idx="114">
                  <c:v>0.75278479158243916</c:v>
                </c:pt>
                <c:pt idx="115">
                  <c:v>0.75286260262454963</c:v>
                </c:pt>
                <c:pt idx="116">
                  <c:v>0.75293838263651547</c:v>
                </c:pt>
                <c:pt idx="117">
                  <c:v>0.75301218463245034</c:v>
                </c:pt>
                <c:pt idx="118">
                  <c:v>0.7530840602426897</c:v>
                </c:pt>
                <c:pt idx="119">
                  <c:v>0.75315405974990945</c:v>
                </c:pt>
                <c:pt idx="120">
                  <c:v>0.75322223212430306</c:v>
                </c:pt>
                <c:pt idx="121">
                  <c:v>0.75328862505783989</c:v>
                </c:pt>
                <c:pt idx="122">
                  <c:v>0.75335328499762999</c:v>
                </c:pt>
                <c:pt idx="123">
                  <c:v>0.75341625717841698</c:v>
                </c:pt>
                <c:pt idx="124">
                  <c:v>0.7534775856542234</c:v>
                </c:pt>
                <c:pt idx="125">
                  <c:v>0.75353731332917029</c:v>
                </c:pt>
                <c:pt idx="126">
                  <c:v>0.75359548198749182</c:v>
                </c:pt>
                <c:pt idx="127">
                  <c:v>0.75365213232276651</c:v>
                </c:pt>
                <c:pt idx="128">
                  <c:v>0.75370730396638608</c:v>
                </c:pt>
                <c:pt idx="129">
                  <c:v>0.75376103551528018</c:v>
                </c:pt>
                <c:pt idx="130">
                  <c:v>0.75381336455891834</c:v>
                </c:pt>
                <c:pt idx="131">
                  <c:v>0.75386432770560685</c:v>
                </c:pt>
                <c:pt idx="132">
                  <c:v>0.7539139606080989</c:v>
                </c:pt>
                <c:pt idx="133">
                  <c:v>0.75396229798853642</c:v>
                </c:pt>
                <c:pt idx="134">
                  <c:v>0.75400937366274157</c:v>
                </c:pt>
                <c:pt idx="135">
                  <c:v>0.75405522056387286</c:v>
                </c:pt>
                <c:pt idx="136">
                  <c:v>0.75409987076546492</c:v>
                </c:pt>
                <c:pt idx="137">
                  <c:v>0.75414335550386635</c:v>
                </c:pt>
                <c:pt idx="138">
                  <c:v>0.7541857052000922</c:v>
                </c:pt>
                <c:pt idx="139">
                  <c:v>0.75422694948110547</c:v>
                </c:pt>
                <c:pt idx="140">
                  <c:v>0.75426711720054385</c:v>
                </c:pt>
                <c:pt idx="141">
                  <c:v>0.75430623645890515</c:v>
                </c:pt>
                <c:pt idx="142">
                  <c:v>0.7543443346232056</c:v>
                </c:pt>
                <c:pt idx="143">
                  <c:v>0.75438143834612525</c:v>
                </c:pt>
                <c:pt idx="144">
                  <c:v>0.754417573584654</c:v>
                </c:pt>
                <c:pt idx="145">
                  <c:v>0.75445276561824992</c:v>
                </c:pt>
                <c:pt idx="146">
                  <c:v>0.75448703906652503</c:v>
                </c:pt>
                <c:pt idx="147">
                  <c:v>0.75452041790646796</c:v>
                </c:pt>
                <c:pt idx="148">
                  <c:v>0.75455292548921793</c:v>
                </c:pt>
                <c:pt idx="149">
                  <c:v>0.75458458455640132</c:v>
                </c:pt>
                <c:pt idx="150">
                  <c:v>0.75461541725604009</c:v>
                </c:pt>
                <c:pt idx="151">
                  <c:v>0.75464544515804721</c:v>
                </c:pt>
                <c:pt idx="152">
                  <c:v>0.75467468926931591</c:v>
                </c:pt>
                <c:pt idx="153">
                  <c:v>0.75470317004841558</c:v>
                </c:pt>
                <c:pt idx="154">
                  <c:v>0.75473090741990467</c:v>
                </c:pt>
                <c:pt idx="155">
                  <c:v>0.75475792078826898</c:v>
                </c:pt>
                <c:pt idx="156">
                  <c:v>0.75478422905149689</c:v>
                </c:pt>
                <c:pt idx="157">
                  <c:v>0.75480985061430006</c:v>
                </c:pt>
                <c:pt idx="158">
                  <c:v>0.75483480340098863</c:v>
                </c:pt>
                <c:pt idx="159">
                  <c:v>0.75485910486801133</c:v>
                </c:pt>
                <c:pt idx="160">
                  <c:v>0.75488277201616683</c:v>
                </c:pt>
                <c:pt idx="161">
                  <c:v>0.75490582140249773</c:v>
                </c:pt>
                <c:pt idx="162">
                  <c:v>0.7549282691518735</c:v>
                </c:pt>
                <c:pt idx="163">
                  <c:v>0.75495013096827079</c:v>
                </c:pt>
                <c:pt idx="164">
                  <c:v>0.75497142214575985</c:v>
                </c:pt>
                <c:pt idx="165">
                  <c:v>0.75499215757920368</c:v>
                </c:pt>
                <c:pt idx="166">
                  <c:v>0.75501235177467874</c:v>
                </c:pt>
                <c:pt idx="167">
                  <c:v>0.75503201885962234</c:v>
                </c:pt>
                <c:pt idx="168">
                  <c:v>0.75505117259271648</c:v>
                </c:pt>
                <c:pt idx="169">
                  <c:v>0.75506982637351283</c:v>
                </c:pt>
                <c:pt idx="170">
                  <c:v>0.75508799325180675</c:v>
                </c:pt>
                <c:pt idx="171">
                  <c:v>0.75510568593676719</c:v>
                </c:pt>
                <c:pt idx="172">
                  <c:v>0.75512291680582688</c:v>
                </c:pt>
                <c:pt idx="173">
                  <c:v>0.75513969791334212</c:v>
                </c:pt>
                <c:pt idx="174">
                  <c:v>0.75515604099902511</c:v>
                </c:pt>
                <c:pt idx="175">
                  <c:v>0.75517195749615751</c:v>
                </c:pt>
                <c:pt idx="176">
                  <c:v>0.75518745853958835</c:v>
                </c:pt>
                <c:pt idx="177">
                  <c:v>0.75520255497352373</c:v>
                </c:pt>
                <c:pt idx="178">
                  <c:v>0.7552172573591136</c:v>
                </c:pt>
                <c:pt idx="179">
                  <c:v>0.7552315759818401</c:v>
                </c:pt>
                <c:pt idx="180">
                  <c:v>0.75524552085871244</c:v>
                </c:pt>
                <c:pt idx="181">
                  <c:v>0.75525910174527544</c:v>
                </c:pt>
                <c:pt idx="182">
                  <c:v>0.75527232814243372</c:v>
                </c:pt>
                <c:pt idx="183">
                  <c:v>0.7552852093030985</c:v>
                </c:pt>
                <c:pt idx="184">
                  <c:v>0.75529775423866075</c:v>
                </c:pt>
                <c:pt idx="185">
                  <c:v>0.75530997172529546</c:v>
                </c:pt>
                <c:pt idx="186">
                  <c:v>0.75532187031010112</c:v>
                </c:pt>
                <c:pt idx="187">
                  <c:v>0.75533345831707921</c:v>
                </c:pt>
                <c:pt idx="188">
                  <c:v>0.75534474385295747</c:v>
                </c:pt>
                <c:pt idx="189">
                  <c:v>0.755355734812861</c:v>
                </c:pt>
                <c:pt idx="190">
                  <c:v>0.75536643888583599</c:v>
                </c:pt>
                <c:pt idx="191">
                  <c:v>0.75537686356022826</c:v>
                </c:pt>
                <c:pt idx="192">
                  <c:v>0.75538701612892234</c:v>
                </c:pt>
                <c:pt idx="193">
                  <c:v>0.75539690369444334</c:v>
                </c:pt>
                <c:pt idx="194">
                  <c:v>0.75540653317392559</c:v>
                </c:pt>
                <c:pt idx="195">
                  <c:v>0.75541591130395169</c:v>
                </c:pt>
                <c:pt idx="196">
                  <c:v>0.75542504464526583</c:v>
                </c:pt>
                <c:pt idx="197">
                  <c:v>0.75543393958736271</c:v>
                </c:pt>
                <c:pt idx="198">
                  <c:v>0.75544260235295813</c:v>
                </c:pt>
                <c:pt idx="199">
                  <c:v>0.7554510390023419</c:v>
                </c:pt>
                <c:pt idx="200">
                  <c:v>0.75545925543761794</c:v>
                </c:pt>
                <c:pt idx="201">
                  <c:v>0.75546725740683252</c:v>
                </c:pt>
                <c:pt idx="202">
                  <c:v>0.75547505050799646</c:v>
                </c:pt>
                <c:pt idx="203">
                  <c:v>0.75548264019300049</c:v>
                </c:pt>
                <c:pt idx="204">
                  <c:v>0.7554900317714297</c:v>
                </c:pt>
                <c:pt idx="205">
                  <c:v>0.75549723041427808</c:v>
                </c:pt>
                <c:pt idx="206">
                  <c:v>0.75550424115756587</c:v>
                </c:pt>
                <c:pt idx="207">
                  <c:v>0.7555110689058625</c:v>
                </c:pt>
                <c:pt idx="208">
                  <c:v>0.75551771843571836</c:v>
                </c:pt>
                <c:pt idx="209">
                  <c:v>0.75552419439900542</c:v>
                </c:pt>
                <c:pt idx="210">
                  <c:v>0.7555305013261725</c:v>
                </c:pt>
                <c:pt idx="211">
                  <c:v>0.75553664362941408</c:v>
                </c:pt>
                <c:pt idx="212">
                  <c:v>0.75554262560575736</c:v>
                </c:pt>
                <c:pt idx="213">
                  <c:v>0.75554845144006788</c:v>
                </c:pt>
                <c:pt idx="214">
                  <c:v>0.75555412520797782</c:v>
                </c:pt>
                <c:pt idx="215">
                  <c:v>0.75555965087873667</c:v>
                </c:pt>
                <c:pt idx="216">
                  <c:v>0.75556503231798833</c:v>
                </c:pt>
                <c:pt idx="217">
                  <c:v>0.75557027329047532</c:v>
                </c:pt>
                <c:pt idx="218">
                  <c:v>0.75557537746267256</c:v>
                </c:pt>
                <c:pt idx="219">
                  <c:v>0.75558034840535226</c:v>
                </c:pt>
                <c:pt idx="220">
                  <c:v>0.75558518959608212</c:v>
                </c:pt>
                <c:pt idx="221">
                  <c:v>0.75558990442165819</c:v>
                </c:pt>
                <c:pt idx="222">
                  <c:v>0.75559449618047381</c:v>
                </c:pt>
                <c:pt idx="223">
                  <c:v>0.75559896808482774</c:v>
                </c:pt>
                <c:pt idx="224">
                  <c:v>0.75560332326317081</c:v>
                </c:pt>
                <c:pt idx="225">
                  <c:v>0.75560756476229485</c:v>
                </c:pt>
                <c:pt idx="226">
                  <c:v>0.75561169554946395</c:v>
                </c:pt>
                <c:pt idx="227">
                  <c:v>0.75561571851449072</c:v>
                </c:pt>
                <c:pt idx="228">
                  <c:v>0.75561963647175745</c:v>
                </c:pt>
                <c:pt idx="229">
                  <c:v>0.75562345216218518</c:v>
                </c:pt>
                <c:pt idx="230">
                  <c:v>0.7556271682551513</c:v>
                </c:pt>
                <c:pt idx="231">
                  <c:v>0.75563078735035671</c:v>
                </c:pt>
                <c:pt idx="232">
                  <c:v>0.75563431197964503</c:v>
                </c:pt>
                <c:pt idx="233">
                  <c:v>0.75563774460877331</c:v>
                </c:pt>
                <c:pt idx="234">
                  <c:v>0.75564108763913707</c:v>
                </c:pt>
                <c:pt idx="235">
                  <c:v>0.75564434340945053</c:v>
                </c:pt>
                <c:pt idx="236">
                  <c:v>0.75564751419738274</c:v>
                </c:pt>
                <c:pt idx="237">
                  <c:v>0.75565060222115066</c:v>
                </c:pt>
                <c:pt idx="238">
                  <c:v>0.7556536096410712</c:v>
                </c:pt>
                <c:pt idx="239">
                  <c:v>0.75565653856107251</c:v>
                </c:pt>
                <c:pt idx="240">
                  <c:v>0.75565939103016599</c:v>
                </c:pt>
                <c:pt idx="241">
                  <c:v>0.75566216904387939</c:v>
                </c:pt>
                <c:pt idx="242">
                  <c:v>0.75566487454565301</c:v>
                </c:pt>
                <c:pt idx="243">
                  <c:v>0.7556675094281996</c:v>
                </c:pt>
                <c:pt idx="244">
                  <c:v>0.75567007553482768</c:v>
                </c:pt>
                <c:pt idx="245">
                  <c:v>0.75567257466073212</c:v>
                </c:pt>
                <c:pt idx="246">
                  <c:v>0.75567500855424907</c:v>
                </c:pt>
                <c:pt idx="247">
                  <c:v>0.75567737891807962</c:v>
                </c:pt>
                <c:pt idx="248">
                  <c:v>0.75567968741048086</c:v>
                </c:pt>
                <c:pt idx="249">
                  <c:v>0.75568193564642583</c:v>
                </c:pt>
                <c:pt idx="250">
                  <c:v>0.7556841251987334</c:v>
                </c:pt>
                <c:pt idx="251">
                  <c:v>0.75568625759916874</c:v>
                </c:pt>
                <c:pt idx="252">
                  <c:v>0.75568833433951466</c:v>
                </c:pt>
                <c:pt idx="253">
                  <c:v>0.75569035687261521</c:v>
                </c:pt>
                <c:pt idx="254">
                  <c:v>0.75569232661339247</c:v>
                </c:pt>
                <c:pt idx="255">
                  <c:v>0.75569424493983595</c:v>
                </c:pt>
                <c:pt idx="256">
                  <c:v>0.75569611319396657</c:v>
                </c:pt>
                <c:pt idx="257">
                  <c:v>0.75569793268277607</c:v>
                </c:pt>
                <c:pt idx="258">
                  <c:v>0.75569970467914083</c:v>
                </c:pt>
                <c:pt idx="259">
                  <c:v>0.75570143042271254</c:v>
                </c:pt>
                <c:pt idx="260">
                  <c:v>0.75570311112078514</c:v>
                </c:pt>
                <c:pt idx="261">
                  <c:v>0.75570474794914022</c:v>
                </c:pt>
                <c:pt idx="262">
                  <c:v>0.75570634205286846</c:v>
                </c:pt>
                <c:pt idx="263">
                  <c:v>0.75570789454717169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923-4C74-8C92-885B9843A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626264"/>
        <c:axId val="631627344"/>
      </c:scatterChart>
      <c:valAx>
        <c:axId val="631626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627344"/>
        <c:crosses val="autoZero"/>
        <c:crossBetween val="midCat"/>
      </c:valAx>
      <c:valAx>
        <c:axId val="631627344"/>
        <c:scaling>
          <c:orientation val="minMax"/>
          <c:min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626264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2969816272965879E-2"/>
          <c:y val="4.8790297125047878E-2"/>
          <c:w val="0.88055796150481191"/>
          <c:h val="0.8673288707104365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'Overdamped system'!$C$4</c:f>
              <c:strCache>
                <c:ptCount val="1"/>
                <c:pt idx="0">
                  <c:v>valeur Haute (Multiplié par marge haute + tunnel)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'Overdamped system'!$A$5:$A$268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system'!$C$5:$C$268</c:f>
              <c:numCache>
                <c:formatCode>General</c:formatCode>
                <c:ptCount val="264"/>
                <c:pt idx="0">
                  <c:v>0.59432286404086299</c:v>
                </c:pt>
                <c:pt idx="1">
                  <c:v>0.59823586139690665</c:v>
                </c:pt>
                <c:pt idx="2">
                  <c:v>0.602046721377962</c:v>
                </c:pt>
                <c:pt idx="3">
                  <c:v>0.60575810998209145</c:v>
                </c:pt>
                <c:pt idx="4">
                  <c:v>0.60937262361925926</c:v>
                </c:pt>
                <c:pt idx="5">
                  <c:v>0.61289279092772597</c:v>
                </c:pt>
                <c:pt idx="6">
                  <c:v>0.61632107454303064</c:v>
                </c:pt>
                <c:pt idx="7">
                  <c:v>0.61965987282079926</c:v>
                </c:pt>
                <c:pt idx="8">
                  <c:v>0.62291152151458462</c:v>
                </c:pt>
                <c:pt idx="9">
                  <c:v>0.62607829540991033</c:v>
                </c:pt>
                <c:pt idx="10">
                  <c:v>0.62916240991566319</c:v>
                </c:pt>
                <c:pt idx="11">
                  <c:v>0.63216602261394761</c:v>
                </c:pt>
                <c:pt idx="12">
                  <c:v>0.63509123476948415</c:v>
                </c:pt>
                <c:pt idx="13">
                  <c:v>0.63794009279961117</c:v>
                </c:pt>
                <c:pt idx="14">
                  <c:v>0.64071458970591522</c:v>
                </c:pt>
                <c:pt idx="15">
                  <c:v>0.64341666646849349</c:v>
                </c:pt>
                <c:pt idx="16">
                  <c:v>0.64604821340382301</c:v>
                </c:pt>
                <c:pt idx="17">
                  <c:v>0.64861107148718622</c:v>
                </c:pt>
                <c:pt idx="18">
                  <c:v>0.65110703364057965</c:v>
                </c:pt>
                <c:pt idx="19">
                  <c:v>0.6535378459870036</c:v>
                </c:pt>
                <c:pt idx="20">
                  <c:v>0.65590520907201433</c:v>
                </c:pt>
                <c:pt idx="21">
                  <c:v>0.65821077905338954</c:v>
                </c:pt>
                <c:pt idx="22">
                  <c:v>0.66045616885974223</c:v>
                </c:pt>
                <c:pt idx="23">
                  <c:v>0.66264294931889134</c:v>
                </c:pt>
                <c:pt idx="24">
                  <c:v>0.66477265025678089</c:v>
                </c:pt>
                <c:pt idx="25">
                  <c:v>0.66684676156771339</c:v>
                </c:pt>
                <c:pt idx="26">
                  <c:v>0.66886673425664933</c:v>
                </c:pt>
                <c:pt idx="27">
                  <c:v>0.67083398145429973</c:v>
                </c:pt>
                <c:pt idx="28">
                  <c:v>0.67274987940572317</c:v>
                </c:pt>
                <c:pt idx="29">
                  <c:v>0.67461576843311766</c:v>
                </c:pt>
                <c:pt idx="30">
                  <c:v>0.67643295387348223</c:v>
                </c:pt>
                <c:pt idx="31">
                  <c:v>0.67820270699180363</c:v>
                </c:pt>
                <c:pt idx="32">
                  <c:v>0.6799262658704065</c:v>
                </c:pt>
                <c:pt idx="33">
                  <c:v>0.68160483627509028</c:v>
                </c:pt>
                <c:pt idx="34">
                  <c:v>0.68323959249865707</c:v>
                </c:pt>
                <c:pt idx="35">
                  <c:v>0.68483167818242319</c:v>
                </c:pt>
                <c:pt idx="36">
                  <c:v>0.68638220711628628</c:v>
                </c:pt>
                <c:pt idx="37">
                  <c:v>0.68789226401790948</c:v>
                </c:pt>
                <c:pt idx="38">
                  <c:v>0.68936290529156752</c:v>
                </c:pt>
                <c:pt idx="39">
                  <c:v>0.69079515976718453</c:v>
                </c:pt>
                <c:pt idx="40">
                  <c:v>0.69219002942008279</c:v>
                </c:pt>
                <c:pt idx="41">
                  <c:v>0.69354849007194308</c:v>
                </c:pt>
                <c:pt idx="42">
                  <c:v>0.69487149207346921</c:v>
                </c:pt>
                <c:pt idx="43">
                  <c:v>0.69615996096923405</c:v>
                </c:pt>
                <c:pt idx="44">
                  <c:v>0.69741479814517049</c:v>
                </c:pt>
                <c:pt idx="45">
                  <c:v>0.6986368814591627</c:v>
                </c:pt>
                <c:pt idx="46">
                  <c:v>0.69982706585517696</c:v>
                </c:pt>
                <c:pt idx="47">
                  <c:v>0.70098618396136281</c:v>
                </c:pt>
                <c:pt idx="48">
                  <c:v>0.70211504667254188</c:v>
                </c:pt>
                <c:pt idx="49">
                  <c:v>0.70321444371749353</c:v>
                </c:pt>
                <c:pt idx="50">
                  <c:v>0.70428514421143218</c:v>
                </c:pt>
                <c:pt idx="51">
                  <c:v>0.70532789719406452</c:v>
                </c:pt>
                <c:pt idx="52">
                  <c:v>0.70634343215360185</c:v>
                </c:pt>
                <c:pt idx="53">
                  <c:v>0.707332459537095</c:v>
                </c:pt>
                <c:pt idx="54">
                  <c:v>0.70829567124744808</c:v>
                </c:pt>
                <c:pt idx="55">
                  <c:v>0.70923374112745941</c:v>
                </c:pt>
                <c:pt idx="56">
                  <c:v>0.71014732543122772</c:v>
                </c:pt>
                <c:pt idx="57">
                  <c:v>0.711037063283254</c:v>
                </c:pt>
                <c:pt idx="58">
                  <c:v>0.71190357712555963</c:v>
                </c:pt>
                <c:pt idx="59">
                  <c:v>0.71274747315313369</c:v>
                </c:pt>
                <c:pt idx="60">
                  <c:v>0.71356934173801434</c:v>
                </c:pt>
                <c:pt idx="61">
                  <c:v>0.71436975784230095</c:v>
                </c:pt>
                <c:pt idx="62">
                  <c:v>0.71514928142038536</c:v>
                </c:pt>
                <c:pt idx="63">
                  <c:v>0.71590845781068446</c:v>
                </c:pt>
                <c:pt idx="64">
                  <c:v>0.71664781811714728</c:v>
                </c:pt>
                <c:pt idx="65">
                  <c:v>0.71736787958080461</c:v>
                </c:pt>
                <c:pt idx="66">
                  <c:v>0.71806914594161964</c:v>
                </c:pt>
                <c:pt idx="67">
                  <c:v>0.71875210779089427</c:v>
                </c:pt>
                <c:pt idx="68">
                  <c:v>0.7194172429144764</c:v>
                </c:pt>
                <c:pt idx="69">
                  <c:v>0.7200650166270085</c:v>
                </c:pt>
                <c:pt idx="70">
                  <c:v>0.72069588209745306</c:v>
                </c:pt>
                <c:pt idx="71">
                  <c:v>0.72131028066611891</c:v>
                </c:pt>
                <c:pt idx="72">
                  <c:v>0.72190864215341455</c:v>
                </c:pt>
                <c:pt idx="73">
                  <c:v>0.72249138516054134</c:v>
                </c:pt>
                <c:pt idx="74">
                  <c:v>0.72305891736233774</c:v>
                </c:pt>
                <c:pt idx="75">
                  <c:v>0.72361163579248078</c:v>
                </c:pt>
                <c:pt idx="76">
                  <c:v>0.72414992712124193</c:v>
                </c:pt>
                <c:pt idx="77">
                  <c:v>0.72467416792599404</c:v>
                </c:pt>
                <c:pt idx="78">
                  <c:v>0.72518472495465658</c:v>
                </c:pt>
                <c:pt idx="79">
                  <c:v>0.72568195538226499</c:v>
                </c:pt>
                <c:pt idx="80">
                  <c:v>0.72616620706084323</c:v>
                </c:pt>
                <c:pt idx="81">
                  <c:v>0.72663781876275313</c:v>
                </c:pt>
                <c:pt idx="82">
                  <c:v>0.72709712041769281</c:v>
                </c:pt>
                <c:pt idx="83">
                  <c:v>0.72754443334350882</c:v>
                </c:pt>
                <c:pt idx="84">
                  <c:v>0.72798007047098301</c:v>
                </c:pt>
                <c:pt idx="85">
                  <c:v>0.72840433656275261</c:v>
                </c:pt>
                <c:pt idx="86">
                  <c:v>0.72881752842651559</c:v>
                </c:pt>
                <c:pt idx="87">
                  <c:v>0.72921993512267147</c:v>
                </c:pt>
                <c:pt idx="88">
                  <c:v>0.72961183816654152</c:v>
                </c:pt>
                <c:pt idx="89">
                  <c:v>0.72999351172531135</c:v>
                </c:pt>
                <c:pt idx="90">
                  <c:v>0.7303652228098324</c:v>
                </c:pt>
                <c:pt idx="91">
                  <c:v>0.73072723146141716</c:v>
                </c:pt>
                <c:pt idx="92">
                  <c:v>0.73107979093375852</c:v>
                </c:pt>
                <c:pt idx="93">
                  <c:v>0.7314231478701011</c:v>
                </c:pt>
                <c:pt idx="94">
                  <c:v>0.73175754247578739</c:v>
                </c:pt>
                <c:pt idx="95">
                  <c:v>0.7320832086863005</c:v>
                </c:pt>
                <c:pt idx="96">
                  <c:v>0.73240037433092053</c:v>
                </c:pt>
                <c:pt idx="97">
                  <c:v>0.73270926129210945</c:v>
                </c:pt>
                <c:pt idx="98">
                  <c:v>0.73301008566073478</c:v>
                </c:pt>
                <c:pt idx="99">
                  <c:v>0.73330305788724282</c:v>
                </c:pt>
                <c:pt idx="100">
                  <c:v>0.7335883829288854</c:v>
                </c:pt>
                <c:pt idx="101">
                  <c:v>0.73386626039310332</c:v>
                </c:pt>
                <c:pt idx="102">
                  <c:v>0.73413688467716764</c:v>
                </c:pt>
                <c:pt idx="103">
                  <c:v>0.73440044510417624</c:v>
                </c:pt>
                <c:pt idx="104">
                  <c:v>0.73465712605550015</c:v>
                </c:pt>
                <c:pt idx="105">
                  <c:v>0.73490710709977258</c:v>
                </c:pt>
                <c:pt idx="106">
                  <c:v>0.73515056311851212</c:v>
                </c:pt>
                <c:pt idx="107">
                  <c:v>0.73538766442846526</c:v>
                </c:pt>
                <c:pt idx="108">
                  <c:v>0.73561857690075738</c:v>
                </c:pt>
                <c:pt idx="109">
                  <c:v>0.73584346207693185</c:v>
                </c:pt>
                <c:pt idx="110">
                  <c:v>0.73606247728196195</c:v>
                </c:pt>
                <c:pt idx="111">
                  <c:v>0.73627577573431147</c:v>
                </c:pt>
                <c:pt idx="112">
                  <c:v>0.73648350665312345</c:v>
                </c:pt>
                <c:pt idx="113">
                  <c:v>0.73668581536261069</c:v>
                </c:pt>
                <c:pt idx="114">
                  <c:v>0.73688284339372179</c:v>
                </c:pt>
                <c:pt idx="115">
                  <c:v>0.73707472858315271</c:v>
                </c:pt>
                <c:pt idx="116">
                  <c:v>0.73726160516977501</c:v>
                </c:pt>
                <c:pt idx="117">
                  <c:v>0.73744360388854635</c:v>
                </c:pt>
                <c:pt idx="118">
                  <c:v>0.73762085206196959</c:v>
                </c:pt>
                <c:pt idx="119">
                  <c:v>0.73779347368916548</c:v>
                </c:pt>
                <c:pt idx="120">
                  <c:v>0.73796158953261981</c:v>
                </c:pt>
                <c:pt idx="121">
                  <c:v>0.73812531720266583</c:v>
                </c:pt>
                <c:pt idx="122">
                  <c:v>0.73828477123976255</c:v>
                </c:pt>
                <c:pt idx="123">
                  <c:v>0.73844006319462452</c:v>
                </c:pt>
                <c:pt idx="124">
                  <c:v>0.73859130170626031</c:v>
                </c:pt>
                <c:pt idx="125">
                  <c:v>0.7387385925779747</c:v>
                </c:pt>
                <c:pt idx="126">
                  <c:v>0.73888203885138548</c:v>
                </c:pt>
                <c:pt idx="127">
                  <c:v>0.73902174087851014</c:v>
                </c:pt>
                <c:pt idx="128">
                  <c:v>0.73915779639196955</c:v>
                </c:pt>
                <c:pt idx="129">
                  <c:v>0.73929030057335965</c:v>
                </c:pt>
                <c:pt idx="130">
                  <c:v>0.73941934611983884</c:v>
                </c:pt>
                <c:pt idx="131">
                  <c:v>0.73954502330897653</c:v>
                </c:pt>
                <c:pt idx="132">
                  <c:v>0.73966742006190977</c:v>
                </c:pt>
                <c:pt idx="133">
                  <c:v>0.73978662200485112</c:v>
                </c:pt>
                <c:pt idx="134">
                  <c:v>0.73990271252899054</c:v>
                </c:pt>
                <c:pt idx="135">
                  <c:v>0.74001577284883435</c:v>
                </c:pt>
                <c:pt idx="136">
                  <c:v>0.74012588205902152</c:v>
                </c:pt>
                <c:pt idx="137">
                  <c:v>0.74023311718965601</c:v>
                </c:pt>
                <c:pt idx="138">
                  <c:v>0.74033755326019579</c:v>
                </c:pt>
                <c:pt idx="139">
                  <c:v>0.74043926333193522</c:v>
                </c:pt>
                <c:pt idx="140">
                  <c:v>0.74053831855911623</c:v>
                </c:pt>
                <c:pt idx="141">
                  <c:v>0.74063478823870743</c:v>
                </c:pt>
                <c:pt idx="142">
                  <c:v>0.7407287398588821</c:v>
                </c:pt>
                <c:pt idx="143">
                  <c:v>0.74082023914623163</c:v>
                </c:pt>
                <c:pt idx="144">
                  <c:v>0.74090935011174686</c:v>
                </c:pt>
                <c:pt idx="145">
                  <c:v>0.74099613509559825</c:v>
                </c:pt>
                <c:pt idx="146">
                  <c:v>0.74108065481074847</c:v>
                </c:pt>
                <c:pt idx="147">
                  <c:v>0.74116296838542506</c:v>
                </c:pt>
                <c:pt idx="148">
                  <c:v>0.74124313340448589</c:v>
                </c:pt>
                <c:pt idx="149">
                  <c:v>0.74132120594970452</c:v>
                </c:pt>
                <c:pt idx="150">
                  <c:v>0.74139724063900292</c:v>
                </c:pt>
                <c:pt idx="151">
                  <c:v>0.74147129066466211</c:v>
                </c:pt>
                <c:pt idx="152">
                  <c:v>0.74154340783053374</c:v>
                </c:pt>
                <c:pt idx="153">
                  <c:v>0.74161364258828089</c:v>
                </c:pt>
                <c:pt idx="154">
                  <c:v>0.74168204407267357</c:v>
                </c:pt>
                <c:pt idx="155">
                  <c:v>0.74174866013596175</c:v>
                </c:pt>
                <c:pt idx="156">
                  <c:v>0.74181353738135225</c:v>
                </c:pt>
                <c:pt idx="157">
                  <c:v>0.7418767211956111</c:v>
                </c:pt>
                <c:pt idx="158">
                  <c:v>0.7419382557808154</c:v>
                </c:pt>
                <c:pt idx="159">
                  <c:v>0.74199818418527586</c:v>
                </c:pt>
                <c:pt idx="160">
                  <c:v>0.74205654833365287</c:v>
                </c:pt>
                <c:pt idx="161">
                  <c:v>0.74211338905628577</c:v>
                </c:pt>
                <c:pt idx="162">
                  <c:v>0.74216874611775718</c:v>
                </c:pt>
                <c:pt idx="163">
                  <c:v>0.74222265824471145</c:v>
                </c:pt>
                <c:pt idx="164">
                  <c:v>0.7422751631529465</c:v>
                </c:pt>
                <c:pt idx="165">
                  <c:v>0.74232629757379986</c:v>
                </c:pt>
                <c:pt idx="166">
                  <c:v>0.74237609727984455</c:v>
                </c:pt>
                <c:pt idx="167">
                  <c:v>0.74242459710991493</c:v>
                </c:pt>
                <c:pt idx="168">
                  <c:v>0.74247183099347935</c:v>
                </c:pt>
                <c:pt idx="169">
                  <c:v>0.74251783197437637</c:v>
                </c:pt>
                <c:pt idx="170">
                  <c:v>0.7425626322339316</c:v>
                </c:pt>
                <c:pt idx="171">
                  <c:v>0.74260626311347111</c:v>
                </c:pt>
                <c:pt idx="172">
                  <c:v>0.74264875513624706</c:v>
                </c:pt>
                <c:pt idx="173">
                  <c:v>0.74269013802879136</c:v>
                </c:pt>
                <c:pt idx="174">
                  <c:v>0.74273044074171124</c:v>
                </c:pt>
                <c:pt idx="175">
                  <c:v>0.74276969146994332</c:v>
                </c:pt>
                <c:pt idx="176">
                  <c:v>0.74280791767247711</c:v>
                </c:pt>
                <c:pt idx="177">
                  <c:v>0.74284514609156593</c:v>
                </c:pt>
                <c:pt idx="178">
                  <c:v>0.74288140277143411</c:v>
                </c:pt>
                <c:pt idx="179">
                  <c:v>0.74291671307649798</c:v>
                </c:pt>
                <c:pt idx="180">
                  <c:v>0.74295110170910938</c:v>
                </c:pt>
                <c:pt idx="181">
                  <c:v>0.7429845927268377</c:v>
                </c:pt>
                <c:pt idx="182">
                  <c:v>0.74301720955929962</c:v>
                </c:pt>
                <c:pt idx="183">
                  <c:v>0.74304897502454981</c:v>
                </c:pt>
                <c:pt idx="184">
                  <c:v>0.74307991134504459</c:v>
                </c:pt>
                <c:pt idx="185">
                  <c:v>0.7431100401631876</c:v>
                </c:pt>
                <c:pt idx="186">
                  <c:v>0.74313938255647105</c:v>
                </c:pt>
                <c:pt idx="187">
                  <c:v>0.74316795905222033</c:v>
                </c:pt>
                <c:pt idx="188">
                  <c:v>0.74319578964195532</c:v>
                </c:pt>
                <c:pt idx="189">
                  <c:v>0.74322289379537521</c:v>
                </c:pt>
                <c:pt idx="190">
                  <c:v>0.74324929047397981</c:v>
                </c:pt>
                <c:pt idx="191">
                  <c:v>0.7432749981443344</c:v>
                </c:pt>
                <c:pt idx="192">
                  <c:v>0.74330003479098805</c:v>
                </c:pt>
                <c:pt idx="193">
                  <c:v>0.74332441792905624</c:v>
                </c:pt>
                <c:pt idx="194">
                  <c:v>0.74334816461647291</c:v>
                </c:pt>
                <c:pt idx="195">
                  <c:v>0.74337129146592473</c:v>
                </c:pt>
                <c:pt idx="196">
                  <c:v>0.74339381465647281</c:v>
                </c:pt>
                <c:pt idx="197">
                  <c:v>0.7434157499448707</c:v>
                </c:pt>
                <c:pt idx="198">
                  <c:v>0.74343711267658819</c:v>
                </c:pt>
                <c:pt idx="199">
                  <c:v>0.74345791779654635</c:v>
                </c:pt>
                <c:pt idx="200">
                  <c:v>0.74347817985957254</c:v>
                </c:pt>
                <c:pt idx="201">
                  <c:v>0.74349791304058299</c:v>
                </c:pt>
                <c:pt idx="202">
                  <c:v>0.74351713114449902</c:v>
                </c:pt>
                <c:pt idx="203">
                  <c:v>0.74353584761590474</c:v>
                </c:pt>
                <c:pt idx="204">
                  <c:v>0.74355407554845288</c:v>
                </c:pt>
                <c:pt idx="205">
                  <c:v>0.7435718276940243</c:v>
                </c:pt>
                <c:pt idx="206">
                  <c:v>0.74358911647164927</c:v>
                </c:pt>
                <c:pt idx="207">
                  <c:v>0.74360595397619567</c:v>
                </c:pt>
                <c:pt idx="208">
                  <c:v>0.74362235198683013</c:v>
                </c:pt>
                <c:pt idx="209">
                  <c:v>0.74363832197525825</c:v>
                </c:pt>
                <c:pt idx="210">
                  <c:v>0.7436538751137507</c:v>
                </c:pt>
                <c:pt idx="211">
                  <c:v>0.74366902228295817</c:v>
                </c:pt>
                <c:pt idx="212">
                  <c:v>0.74368377407952402</c:v>
                </c:pt>
                <c:pt idx="213">
                  <c:v>0.74369814082349706</c:v>
                </c:pt>
                <c:pt idx="214">
                  <c:v>0.74371213256555146</c:v>
                </c:pt>
                <c:pt idx="215">
                  <c:v>0.7437257590940175</c:v>
                </c:pt>
                <c:pt idx="216">
                  <c:v>0.74373902994173025</c:v>
                </c:pt>
                <c:pt idx="217">
                  <c:v>0.74375195439269748</c:v>
                </c:pt>
                <c:pt idx="218">
                  <c:v>0.74376454148859517</c:v>
                </c:pt>
                <c:pt idx="219">
                  <c:v>0.74377680003509294</c:v>
                </c:pt>
                <c:pt idx="220">
                  <c:v>0.74378873860801364</c:v>
                </c:pt>
                <c:pt idx="221">
                  <c:v>0.74380036555933382</c:v>
                </c:pt>
                <c:pt idx="222">
                  <c:v>0.74381168902302575</c:v>
                </c:pt>
                <c:pt idx="223">
                  <c:v>0.74382271692074819</c:v>
                </c:pt>
                <c:pt idx="224">
                  <c:v>0.74383345696738801</c:v>
                </c:pt>
                <c:pt idx="225">
                  <c:v>0.74384391667645766</c:v>
                </c:pt>
                <c:pt idx="226">
                  <c:v>0.74385410336535107</c:v>
                </c:pt>
                <c:pt idx="227">
                  <c:v>0.74386402416046316</c:v>
                </c:pt>
                <c:pt idx="228">
                  <c:v>0.74387368600217496</c:v>
                </c:pt>
                <c:pt idx="229">
                  <c:v>0.74388309564970934</c:v>
                </c:pt>
                <c:pt idx="230">
                  <c:v>0.74389225968585893</c:v>
                </c:pt>
                <c:pt idx="231">
                  <c:v>0.74390118452159226</c:v>
                </c:pt>
                <c:pt idx="232">
                  <c:v>0.74390987640053796</c:v>
                </c:pt>
                <c:pt idx="233">
                  <c:v>0.74391834140335311</c:v>
                </c:pt>
                <c:pt idx="234">
                  <c:v>0.74392658545197676</c:v>
                </c:pt>
                <c:pt idx="235">
                  <c:v>0.74393461431377328</c:v>
                </c:pt>
                <c:pt idx="236">
                  <c:v>0.74394243360556667</c:v>
                </c:pt>
                <c:pt idx="237">
                  <c:v>0.74395004879757032</c:v>
                </c:pt>
                <c:pt idx="238">
                  <c:v>0.74395746521721329</c:v>
                </c:pt>
                <c:pt idx="239">
                  <c:v>0.74396468805286808</c:v>
                </c:pt>
                <c:pt idx="240">
                  <c:v>0.74397172235747966</c:v>
                </c:pt>
                <c:pt idx="241">
                  <c:v>0.74397857305210058</c:v>
                </c:pt>
                <c:pt idx="242">
                  <c:v>0.74398524492933371</c:v>
                </c:pt>
                <c:pt idx="243">
                  <c:v>0.74399174265668522</c:v>
                </c:pt>
                <c:pt idx="244">
                  <c:v>0.74399807077982927</c:v>
                </c:pt>
                <c:pt idx="245">
                  <c:v>0.74400423372578872</c:v>
                </c:pt>
                <c:pt idx="246">
                  <c:v>0.74401023580603187</c:v>
                </c:pt>
                <c:pt idx="247">
                  <c:v>0.74401608121948881</c:v>
                </c:pt>
                <c:pt idx="248">
                  <c:v>0.74402177405548864</c:v>
                </c:pt>
                <c:pt idx="249">
                  <c:v>0.7440273182966205</c:v>
                </c:pt>
                <c:pt idx="250">
                  <c:v>0.74403271782151981</c:v>
                </c:pt>
                <c:pt idx="251">
                  <c:v>0.7440379764075814</c:v>
                </c:pt>
                <c:pt idx="252">
                  <c:v>0.74404309773360222</c:v>
                </c:pt>
                <c:pt idx="253">
                  <c:v>0.74404808538235501</c:v>
                </c:pt>
                <c:pt idx="254">
                  <c:v>0.74405294284309476</c:v>
                </c:pt>
                <c:pt idx="255">
                  <c:v>0.74405767351399954</c:v>
                </c:pt>
                <c:pt idx="256">
                  <c:v>0.74406228070454794</c:v>
                </c:pt>
                <c:pt idx="257">
                  <c:v>0.74406676763783419</c:v>
                </c:pt>
                <c:pt idx="258">
                  <c:v>0.74407113745282316</c:v>
                </c:pt>
                <c:pt idx="259">
                  <c:v>0.74407539320654614</c:v>
                </c:pt>
                <c:pt idx="260">
                  <c:v>0.74407953787623959</c:v>
                </c:pt>
                <c:pt idx="261">
                  <c:v>0.74408357436142791</c:v>
                </c:pt>
                <c:pt idx="262">
                  <c:v>0.74408750548595182</c:v>
                </c:pt>
                <c:pt idx="263">
                  <c:v>0.74409133399994387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FC-4741-A22D-75F0CB54E0C7}"/>
            </c:ext>
          </c:extLst>
        </c:ser>
        <c:ser>
          <c:idx val="4"/>
          <c:order val="1"/>
          <c:tx>
            <c:strRef>
              <c:f>'Overdamped system'!$F$4</c:f>
              <c:strCache>
                <c:ptCount val="1"/>
                <c:pt idx="0">
                  <c:v>valeur bassee (Multiplié par marge basse + tunnel)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'Overdamped system'!$A$5:$A$268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system'!$F$5:$F$268</c:f>
              <c:numCache>
                <c:formatCode>0.00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0.69234180149661595</c:v>
                </c:pt>
                <c:pt idx="3">
                  <c:v>0.6938468004797097</c:v>
                </c:pt>
                <c:pt idx="4">
                  <c:v>0.69531251585703868</c:v>
                </c:pt>
                <c:pt idx="5">
                  <c:v>0.69673997301247304</c:v>
                </c:pt>
                <c:pt idx="6">
                  <c:v>0.69813017056522986</c:v>
                </c:pt>
                <c:pt idx="7">
                  <c:v>0.69948408106848636</c:v>
                </c:pt>
                <c:pt idx="8">
                  <c:v>0.70080265168975731</c:v>
                </c:pt>
                <c:pt idx="9">
                  <c:v>0.70208680487351449</c:v>
                </c:pt>
                <c:pt idx="10">
                  <c:v>0.70333743898650891</c:v>
                </c:pt>
                <c:pt idx="11">
                  <c:v>0.70455542894624956</c:v>
                </c:pt>
                <c:pt idx="12">
                  <c:v>0.70574162683307751</c:v>
                </c:pt>
                <c:pt idx="13">
                  <c:v>0.70689686248626382</c:v>
                </c:pt>
                <c:pt idx="14">
                  <c:v>0.70802194408454711</c:v>
                </c:pt>
                <c:pt idx="15">
                  <c:v>0.70911765871151911</c:v>
                </c:pt>
                <c:pt idx="16">
                  <c:v>0.71018477290625137</c:v>
                </c:pt>
                <c:pt idx="17">
                  <c:v>0.71122403319955074</c:v>
                </c:pt>
                <c:pt idx="18">
                  <c:v>0.71223616663621592</c:v>
                </c:pt>
                <c:pt idx="19">
                  <c:v>0.71322188128366337</c:v>
                </c:pt>
                <c:pt idx="20">
                  <c:v>0.71418186672727613</c:v>
                </c:pt>
                <c:pt idx="21">
                  <c:v>0.71511679455282384</c:v>
                </c:pt>
                <c:pt idx="22">
                  <c:v>0.71602731881628956</c:v>
                </c:pt>
                <c:pt idx="23">
                  <c:v>0.71691407650143379</c:v>
                </c:pt>
                <c:pt idx="24">
                  <c:v>0.71777768796541563</c:v>
                </c:pt>
                <c:pt idx="25">
                  <c:v>0.71861875737278069</c:v>
                </c:pt>
                <c:pt idx="26">
                  <c:v>0.71943787311812279</c:v>
                </c:pt>
                <c:pt idx="27">
                  <c:v>0.72023560823771227</c:v>
                </c:pt>
                <c:pt idx="28">
                  <c:v>0.72101252081037992</c:v>
                </c:pt>
                <c:pt idx="29">
                  <c:v>0.72176915434793776</c:v>
                </c:pt>
                <c:pt idx="30">
                  <c:v>0.72250603817540826</c:v>
                </c:pt>
                <c:pt idx="31">
                  <c:v>0.72322368780132928</c:v>
                </c:pt>
                <c:pt idx="32">
                  <c:v>0.72392260527839258</c:v>
                </c:pt>
                <c:pt idx="33">
                  <c:v>0.72460327955466997</c:v>
                </c:pt>
                <c:pt idx="34">
                  <c:v>0.72526618681567112</c:v>
                </c:pt>
                <c:pt idx="35">
                  <c:v>0.72591179081747259</c:v>
                </c:pt>
                <c:pt idx="36">
                  <c:v>0.72654054321115213</c:v>
                </c:pt>
                <c:pt idx="37">
                  <c:v>0.72715288385875443</c:v>
                </c:pt>
                <c:pt idx="38">
                  <c:v>0.72774924114100947</c:v>
                </c:pt>
                <c:pt idx="39">
                  <c:v>0.72833003225701842</c:v>
                </c:pt>
                <c:pt idx="40">
                  <c:v>0.72889566351611768</c:v>
                </c:pt>
                <c:pt idx="41">
                  <c:v>0.73521235047246269</c:v>
                </c:pt>
                <c:pt idx="42">
                  <c:v>0.73574883880050046</c:v>
                </c:pt>
                <c:pt idx="43">
                  <c:v>0.73627132366660053</c:v>
                </c:pt>
                <c:pt idx="44">
                  <c:v>0.73678017059026446</c:v>
                </c:pt>
                <c:pt idx="45">
                  <c:v>0.73727573555017401</c:v>
                </c:pt>
                <c:pt idx="46">
                  <c:v>0.73775836523322647</c:v>
                </c:pt>
                <c:pt idx="47">
                  <c:v>0.73822839727706957</c:v>
                </c:pt>
                <c:pt idx="48">
                  <c:v>0.73868616050630587</c:v>
                </c:pt>
                <c:pt idx="49">
                  <c:v>0.73913197516253115</c:v>
                </c:pt>
                <c:pt idx="50">
                  <c:v>0.73956615312836926</c:v>
                </c:pt>
                <c:pt idx="51">
                  <c:v>0.73998899814565844</c:v>
                </c:pt>
                <c:pt idx="52">
                  <c:v>0.74040080602794245</c:v>
                </c:pt>
                <c:pt idx="53">
                  <c:v>0.7408018648674165</c:v>
                </c:pt>
                <c:pt idx="54">
                  <c:v>0.74119245523646926</c:v>
                </c:pt>
                <c:pt idx="55">
                  <c:v>0.7415728503839667</c:v>
                </c:pt>
                <c:pt idx="56">
                  <c:v>0.7419433164264102</c:v>
                </c:pt>
                <c:pt idx="57">
                  <c:v>0.74230411253410677</c:v>
                </c:pt>
                <c:pt idx="58">
                  <c:v>0.74265549111247919</c:v>
                </c:pt>
                <c:pt idx="59">
                  <c:v>0.74299769797864323</c:v>
                </c:pt>
                <c:pt idx="60">
                  <c:v>0.7433309725333761</c:v>
                </c:pt>
                <c:pt idx="61">
                  <c:v>0.74365554792859689</c:v>
                </c:pt>
                <c:pt idx="62">
                  <c:v>0.74397165123047415</c:v>
                </c:pt>
                <c:pt idx="63">
                  <c:v>0.74427950357827666</c:v>
                </c:pt>
                <c:pt idx="64">
                  <c:v>0.74457932033907837</c:v>
                </c:pt>
                <c:pt idx="65">
                  <c:v>0.7448713112584241</c:v>
                </c:pt>
                <c:pt idx="66">
                  <c:v>0.74515568060706372</c:v>
                </c:pt>
                <c:pt idx="67">
                  <c:v>0.74543262732385496</c:v>
                </c:pt>
                <c:pt idx="68">
                  <c:v>0.74570234515493772</c:v>
                </c:pt>
                <c:pt idx="69">
                  <c:v>0.74596502278927412</c:v>
                </c:pt>
                <c:pt idx="70">
                  <c:v>0.74622084399065181</c:v>
                </c:pt>
                <c:pt idx="71">
                  <c:v>0.74646998772624107</c:v>
                </c:pt>
                <c:pt idx="72">
                  <c:v>0.74671262829179663</c:v>
                </c:pt>
                <c:pt idx="73">
                  <c:v>0.7469489354335912</c:v>
                </c:pt>
                <c:pt idx="74">
                  <c:v>0.74717907446716647</c:v>
                </c:pt>
                <c:pt idx="75">
                  <c:v>0.74740320639298452</c:v>
                </c:pt>
                <c:pt idx="76">
                  <c:v>0.74762148800906003</c:v>
                </c:pt>
                <c:pt idx="77">
                  <c:v>0.74783407202065344</c:v>
                </c:pt>
                <c:pt idx="78">
                  <c:v>0.74804110714710015</c:v>
                </c:pt>
                <c:pt idx="79">
                  <c:v>0.74824273822585086</c:v>
                </c:pt>
                <c:pt idx="80">
                  <c:v>0.74843910631379806</c:v>
                </c:pt>
                <c:pt idx="81">
                  <c:v>0.74863034878595514</c:v>
                </c:pt>
                <c:pt idx="82">
                  <c:v>0.74881659943156209</c:v>
                </c:pt>
                <c:pt idx="83">
                  <c:v>0.74899798854768129</c:v>
                </c:pt>
                <c:pt idx="84">
                  <c:v>0.74917464303035042</c:v>
                </c:pt>
                <c:pt idx="85">
                  <c:v>0.74934668646335656</c:v>
                </c:pt>
                <c:pt idx="86">
                  <c:v>0.74951423920469284</c:v>
                </c:pt>
                <c:pt idx="87">
                  <c:v>0.74967741847075808</c:v>
                </c:pt>
                <c:pt idx="88">
                  <c:v>0.74983633841835917</c:v>
                </c:pt>
                <c:pt idx="89">
                  <c:v>0.74999111022457299</c:v>
                </c:pt>
                <c:pt idx="90">
                  <c:v>0.75014184216452306</c:v>
                </c:pt>
                <c:pt idx="91">
                  <c:v>0.75028863968712678</c:v>
                </c:pt>
                <c:pt idx="92">
                  <c:v>0.75043160548886567</c:v>
                </c:pt>
                <c:pt idx="93">
                  <c:v>0.75057083958562898</c:v>
                </c:pt>
                <c:pt idx="94">
                  <c:v>0.75070643938268344</c:v>
                </c:pt>
                <c:pt idx="95">
                  <c:v>0.75083849974281514</c:v>
                </c:pt>
                <c:pt idx="96">
                  <c:v>0.75096711305269448</c:v>
                </c:pt>
                <c:pt idx="97">
                  <c:v>0.75109236928750722</c:v>
                </c:pt>
                <c:pt idx="98">
                  <c:v>0.75121435607389953</c:v>
                </c:pt>
                <c:pt idx="99">
                  <c:v>0.75133315875127993</c:v>
                </c:pt>
                <c:pt idx="100">
                  <c:v>0.75144886043152037</c:v>
                </c:pt>
                <c:pt idx="101">
                  <c:v>0.75156154205710046</c:v>
                </c:pt>
                <c:pt idx="102">
                  <c:v>0.75167128245773218</c:v>
                </c:pt>
                <c:pt idx="103">
                  <c:v>0.75177815840550832</c:v>
                </c:pt>
                <c:pt idx="104">
                  <c:v>0.75188224466860998</c:v>
                </c:pt>
                <c:pt idx="105">
                  <c:v>0.75198361406361325</c:v>
                </c:pt>
                <c:pt idx="106">
                  <c:v>0.75208233750643017</c:v>
                </c:pt>
                <c:pt idx="107">
                  <c:v>0.75217848406191956</c:v>
                </c:pt>
                <c:pt idx="108">
                  <c:v>0.75227212099220397</c:v>
                </c:pt>
                <c:pt idx="109">
                  <c:v>0.75236331380372445</c:v>
                </c:pt>
                <c:pt idx="110">
                  <c:v>0.75245212629306757</c:v>
                </c:pt>
                <c:pt idx="111">
                  <c:v>0.75253862059159626</c:v>
                </c:pt>
                <c:pt idx="112">
                  <c:v>0.75262285720891553</c:v>
                </c:pt>
                <c:pt idx="113">
                  <c:v>0.75270489507520377</c:v>
                </c:pt>
                <c:pt idx="114">
                  <c:v>0.75278479158243916</c:v>
                </c:pt>
                <c:pt idx="115">
                  <c:v>0.75286260262454963</c:v>
                </c:pt>
                <c:pt idx="116">
                  <c:v>0.75293838263651547</c:v>
                </c:pt>
                <c:pt idx="117">
                  <c:v>0.75301218463245034</c:v>
                </c:pt>
                <c:pt idx="118">
                  <c:v>0.7530840602426897</c:v>
                </c:pt>
                <c:pt idx="119">
                  <c:v>0.75315405974990945</c:v>
                </c:pt>
                <c:pt idx="120">
                  <c:v>0.75322223212430306</c:v>
                </c:pt>
                <c:pt idx="121">
                  <c:v>0.75328862505783989</c:v>
                </c:pt>
                <c:pt idx="122">
                  <c:v>0.75335328499762999</c:v>
                </c:pt>
                <c:pt idx="123">
                  <c:v>0.75341625717841698</c:v>
                </c:pt>
                <c:pt idx="124">
                  <c:v>0.7534775856542234</c:v>
                </c:pt>
                <c:pt idx="125">
                  <c:v>0.75353731332917029</c:v>
                </c:pt>
                <c:pt idx="126">
                  <c:v>0.75359548198749182</c:v>
                </c:pt>
                <c:pt idx="127">
                  <c:v>0.75365213232276651</c:v>
                </c:pt>
                <c:pt idx="128">
                  <c:v>0.75370730396638608</c:v>
                </c:pt>
                <c:pt idx="129">
                  <c:v>0.75376103551528018</c:v>
                </c:pt>
                <c:pt idx="130">
                  <c:v>0.75381336455891834</c:v>
                </c:pt>
                <c:pt idx="131">
                  <c:v>0.75386432770560685</c:v>
                </c:pt>
                <c:pt idx="132">
                  <c:v>0.7539139606080989</c:v>
                </c:pt>
                <c:pt idx="133">
                  <c:v>0.75396229798853642</c:v>
                </c:pt>
                <c:pt idx="134">
                  <c:v>0.75400937366274157</c:v>
                </c:pt>
                <c:pt idx="135">
                  <c:v>0.75405522056387286</c:v>
                </c:pt>
                <c:pt idx="136">
                  <c:v>0.75409987076546492</c:v>
                </c:pt>
                <c:pt idx="137">
                  <c:v>0.75414335550386635</c:v>
                </c:pt>
                <c:pt idx="138">
                  <c:v>0.7541857052000922</c:v>
                </c:pt>
                <c:pt idx="139">
                  <c:v>0.75422694948110547</c:v>
                </c:pt>
                <c:pt idx="140">
                  <c:v>0.75426711720054385</c:v>
                </c:pt>
                <c:pt idx="141">
                  <c:v>0.75430623645890515</c:v>
                </c:pt>
                <c:pt idx="142">
                  <c:v>0.7543443346232056</c:v>
                </c:pt>
                <c:pt idx="143">
                  <c:v>0.75438143834612525</c:v>
                </c:pt>
                <c:pt idx="144">
                  <c:v>0.754417573584654</c:v>
                </c:pt>
                <c:pt idx="145">
                  <c:v>0.75445276561824992</c:v>
                </c:pt>
                <c:pt idx="146">
                  <c:v>0.75448703906652503</c:v>
                </c:pt>
                <c:pt idx="147">
                  <c:v>0.75452041790646796</c:v>
                </c:pt>
                <c:pt idx="148">
                  <c:v>0.75455292548921793</c:v>
                </c:pt>
                <c:pt idx="149">
                  <c:v>0.75458458455640132</c:v>
                </c:pt>
                <c:pt idx="150">
                  <c:v>0.75461541725604009</c:v>
                </c:pt>
                <c:pt idx="151">
                  <c:v>0.75464544515804721</c:v>
                </c:pt>
                <c:pt idx="152">
                  <c:v>0.75467468926931591</c:v>
                </c:pt>
                <c:pt idx="153">
                  <c:v>0.75470317004841558</c:v>
                </c:pt>
                <c:pt idx="154">
                  <c:v>0.75473090741990467</c:v>
                </c:pt>
                <c:pt idx="155">
                  <c:v>0.75475792078826898</c:v>
                </c:pt>
                <c:pt idx="156">
                  <c:v>0.75478422905149689</c:v>
                </c:pt>
                <c:pt idx="157">
                  <c:v>0.75480985061430006</c:v>
                </c:pt>
                <c:pt idx="158">
                  <c:v>0.75483480340098863</c:v>
                </c:pt>
                <c:pt idx="159">
                  <c:v>0.75485910486801133</c:v>
                </c:pt>
                <c:pt idx="160">
                  <c:v>0.75488277201616683</c:v>
                </c:pt>
                <c:pt idx="161">
                  <c:v>0.75490582140249773</c:v>
                </c:pt>
                <c:pt idx="162">
                  <c:v>0.7549282691518735</c:v>
                </c:pt>
                <c:pt idx="163">
                  <c:v>0.75495013096827079</c:v>
                </c:pt>
                <c:pt idx="164">
                  <c:v>0.75497142214575985</c:v>
                </c:pt>
                <c:pt idx="165">
                  <c:v>0.75499215757920368</c:v>
                </c:pt>
                <c:pt idx="166">
                  <c:v>0.75501235177467874</c:v>
                </c:pt>
                <c:pt idx="167">
                  <c:v>0.75503201885962234</c:v>
                </c:pt>
                <c:pt idx="168">
                  <c:v>0.75505117259271648</c:v>
                </c:pt>
                <c:pt idx="169">
                  <c:v>0.75506982637351283</c:v>
                </c:pt>
                <c:pt idx="170">
                  <c:v>0.75508799325180675</c:v>
                </c:pt>
                <c:pt idx="171">
                  <c:v>0.75510568593676719</c:v>
                </c:pt>
                <c:pt idx="172">
                  <c:v>0.75512291680582688</c:v>
                </c:pt>
                <c:pt idx="173">
                  <c:v>0.75513969791334212</c:v>
                </c:pt>
                <c:pt idx="174">
                  <c:v>0.75515604099902511</c:v>
                </c:pt>
                <c:pt idx="175">
                  <c:v>0.75517195749615751</c:v>
                </c:pt>
                <c:pt idx="176">
                  <c:v>0.75518745853958835</c:v>
                </c:pt>
                <c:pt idx="177">
                  <c:v>0.75520255497352373</c:v>
                </c:pt>
                <c:pt idx="178">
                  <c:v>0.7552172573591136</c:v>
                </c:pt>
                <c:pt idx="179">
                  <c:v>0.7552315759818401</c:v>
                </c:pt>
                <c:pt idx="180">
                  <c:v>0.75524552085871244</c:v>
                </c:pt>
                <c:pt idx="181">
                  <c:v>0.75525910174527544</c:v>
                </c:pt>
                <c:pt idx="182">
                  <c:v>0.75527232814243372</c:v>
                </c:pt>
                <c:pt idx="183">
                  <c:v>0.7552852093030985</c:v>
                </c:pt>
                <c:pt idx="184">
                  <c:v>0.75529775423866075</c:v>
                </c:pt>
                <c:pt idx="185">
                  <c:v>0.75530997172529546</c:v>
                </c:pt>
                <c:pt idx="186">
                  <c:v>0.75532187031010112</c:v>
                </c:pt>
                <c:pt idx="187">
                  <c:v>0.75533345831707921</c:v>
                </c:pt>
                <c:pt idx="188">
                  <c:v>0.75534474385295747</c:v>
                </c:pt>
                <c:pt idx="189">
                  <c:v>0.755355734812861</c:v>
                </c:pt>
                <c:pt idx="190">
                  <c:v>0.75536643888583599</c:v>
                </c:pt>
                <c:pt idx="191">
                  <c:v>0.75537686356022826</c:v>
                </c:pt>
                <c:pt idx="192">
                  <c:v>0.75538701612892234</c:v>
                </c:pt>
                <c:pt idx="193">
                  <c:v>0.75539690369444334</c:v>
                </c:pt>
                <c:pt idx="194">
                  <c:v>0.75540653317392559</c:v>
                </c:pt>
                <c:pt idx="195">
                  <c:v>0.75541591130395169</c:v>
                </c:pt>
                <c:pt idx="196">
                  <c:v>0.75542504464526583</c:v>
                </c:pt>
                <c:pt idx="197">
                  <c:v>0.75543393958736271</c:v>
                </c:pt>
                <c:pt idx="198">
                  <c:v>0.75544260235295813</c:v>
                </c:pt>
                <c:pt idx="199">
                  <c:v>0.7554510390023419</c:v>
                </c:pt>
                <c:pt idx="200">
                  <c:v>0.75545925543761794</c:v>
                </c:pt>
                <c:pt idx="201">
                  <c:v>0.75546725740683252</c:v>
                </c:pt>
                <c:pt idx="202">
                  <c:v>0.75547505050799646</c:v>
                </c:pt>
                <c:pt idx="203">
                  <c:v>0.75548264019300049</c:v>
                </c:pt>
                <c:pt idx="204">
                  <c:v>0.7554900317714297</c:v>
                </c:pt>
                <c:pt idx="205">
                  <c:v>0.75549723041427808</c:v>
                </c:pt>
                <c:pt idx="206">
                  <c:v>0.75550424115756587</c:v>
                </c:pt>
                <c:pt idx="207">
                  <c:v>0.7555110689058625</c:v>
                </c:pt>
                <c:pt idx="208">
                  <c:v>0.75551771843571836</c:v>
                </c:pt>
                <c:pt idx="209">
                  <c:v>0.75552419439900542</c:v>
                </c:pt>
                <c:pt idx="210">
                  <c:v>0.7555305013261725</c:v>
                </c:pt>
                <c:pt idx="211">
                  <c:v>0.75553664362941408</c:v>
                </c:pt>
                <c:pt idx="212">
                  <c:v>0.75554262560575736</c:v>
                </c:pt>
                <c:pt idx="213">
                  <c:v>0.75554845144006788</c:v>
                </c:pt>
                <c:pt idx="214">
                  <c:v>0.75555412520797782</c:v>
                </c:pt>
                <c:pt idx="215">
                  <c:v>0.75555965087873667</c:v>
                </c:pt>
                <c:pt idx="216">
                  <c:v>0.75556503231798833</c:v>
                </c:pt>
                <c:pt idx="217">
                  <c:v>0.75557027329047532</c:v>
                </c:pt>
                <c:pt idx="218">
                  <c:v>0.75557537746267256</c:v>
                </c:pt>
                <c:pt idx="219">
                  <c:v>0.75558034840535226</c:v>
                </c:pt>
                <c:pt idx="220">
                  <c:v>0.75558518959608212</c:v>
                </c:pt>
                <c:pt idx="221">
                  <c:v>0.75558990442165819</c:v>
                </c:pt>
                <c:pt idx="222">
                  <c:v>0.75559449618047381</c:v>
                </c:pt>
                <c:pt idx="223">
                  <c:v>0.75559896808482774</c:v>
                </c:pt>
                <c:pt idx="224">
                  <c:v>0.75560332326317081</c:v>
                </c:pt>
                <c:pt idx="225">
                  <c:v>0.75560756476229485</c:v>
                </c:pt>
                <c:pt idx="226">
                  <c:v>0.75561169554946395</c:v>
                </c:pt>
                <c:pt idx="227">
                  <c:v>0.75561571851449072</c:v>
                </c:pt>
                <c:pt idx="228">
                  <c:v>0.75561963647175745</c:v>
                </c:pt>
                <c:pt idx="229">
                  <c:v>0.75562345216218518</c:v>
                </c:pt>
                <c:pt idx="230">
                  <c:v>0.7556271682551513</c:v>
                </c:pt>
                <c:pt idx="231">
                  <c:v>0.75563078735035671</c:v>
                </c:pt>
                <c:pt idx="232">
                  <c:v>0.75563431197964503</c:v>
                </c:pt>
                <c:pt idx="233">
                  <c:v>0.75563774460877331</c:v>
                </c:pt>
                <c:pt idx="234">
                  <c:v>0.75564108763913707</c:v>
                </c:pt>
                <c:pt idx="235">
                  <c:v>0.75564434340945053</c:v>
                </c:pt>
                <c:pt idx="236">
                  <c:v>0.75564751419738274</c:v>
                </c:pt>
                <c:pt idx="237">
                  <c:v>0.75565060222115066</c:v>
                </c:pt>
                <c:pt idx="238">
                  <c:v>0.7556536096410712</c:v>
                </c:pt>
                <c:pt idx="239">
                  <c:v>0.75565653856107251</c:v>
                </c:pt>
                <c:pt idx="240">
                  <c:v>0.75565939103016599</c:v>
                </c:pt>
                <c:pt idx="241">
                  <c:v>0.75566216904387939</c:v>
                </c:pt>
                <c:pt idx="242">
                  <c:v>0.75566487454565301</c:v>
                </c:pt>
                <c:pt idx="243">
                  <c:v>0.7556675094281996</c:v>
                </c:pt>
                <c:pt idx="244">
                  <c:v>0.75567007553482768</c:v>
                </c:pt>
                <c:pt idx="245">
                  <c:v>0.75567257466073212</c:v>
                </c:pt>
                <c:pt idx="246">
                  <c:v>0.75567500855424907</c:v>
                </c:pt>
                <c:pt idx="247">
                  <c:v>0.75567737891807962</c:v>
                </c:pt>
                <c:pt idx="248">
                  <c:v>0.75567968741048086</c:v>
                </c:pt>
                <c:pt idx="249">
                  <c:v>0.75568193564642583</c:v>
                </c:pt>
                <c:pt idx="250">
                  <c:v>0.7556841251987334</c:v>
                </c:pt>
                <c:pt idx="251">
                  <c:v>0.75568625759916874</c:v>
                </c:pt>
                <c:pt idx="252">
                  <c:v>0.75568833433951466</c:v>
                </c:pt>
                <c:pt idx="253">
                  <c:v>0.75569035687261521</c:v>
                </c:pt>
                <c:pt idx="254">
                  <c:v>0.75569232661339247</c:v>
                </c:pt>
                <c:pt idx="255">
                  <c:v>0.75569424493983595</c:v>
                </c:pt>
                <c:pt idx="256">
                  <c:v>0.75569611319396657</c:v>
                </c:pt>
                <c:pt idx="257">
                  <c:v>0.75569793268277607</c:v>
                </c:pt>
                <c:pt idx="258">
                  <c:v>0.75569970467914083</c:v>
                </c:pt>
                <c:pt idx="259">
                  <c:v>0.75570143042271254</c:v>
                </c:pt>
                <c:pt idx="260">
                  <c:v>0.75570311112078514</c:v>
                </c:pt>
                <c:pt idx="261">
                  <c:v>0.75570474794914022</c:v>
                </c:pt>
                <c:pt idx="262">
                  <c:v>0.75570634205286846</c:v>
                </c:pt>
                <c:pt idx="263">
                  <c:v>0.75570789454717169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FC-4741-A22D-75F0CB54E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833016"/>
        <c:axId val="559832296"/>
      </c:scatterChart>
      <c:valAx>
        <c:axId val="559833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9832296"/>
        <c:crosses val="autoZero"/>
        <c:crossBetween val="midCat"/>
      </c:valAx>
      <c:valAx>
        <c:axId val="559832296"/>
        <c:scaling>
          <c:orientation val="minMax"/>
          <c:min val="0.55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9833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178936792067161"/>
          <c:y val="0.7310717619174264"/>
          <c:w val="0.63671779885810809"/>
          <c:h val="3.09602228297008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0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system'!$B$5:$B$279</c:f>
              <c:numCache>
                <c:formatCode>General</c:formatCode>
                <c:ptCount val="275"/>
                <c:pt idx="0">
                  <c:v>0.63468360299323179</c:v>
                </c:pt>
                <c:pt idx="1">
                  <c:v>0.63769360095941929</c:v>
                </c:pt>
                <c:pt idx="2">
                  <c:v>0.64062503171407725</c:v>
                </c:pt>
                <c:pt idx="3">
                  <c:v>0.64347994602494607</c:v>
                </c:pt>
                <c:pt idx="4">
                  <c:v>0.64626034113045983</c:v>
                </c:pt>
                <c:pt idx="5">
                  <c:v>0.64896816213697261</c:v>
                </c:pt>
                <c:pt idx="6">
                  <c:v>0.65160530337951461</c:v>
                </c:pt>
                <c:pt idx="7">
                  <c:v>0.65417360974702898</c:v>
                </c:pt>
                <c:pt idx="8">
                  <c:v>0.65667487797301771</c:v>
                </c:pt>
                <c:pt idx="9">
                  <c:v>0.65911085789249901</c:v>
                </c:pt>
                <c:pt idx="10">
                  <c:v>0.66148325366615512</c:v>
                </c:pt>
                <c:pt idx="11">
                  <c:v>0.66379372497252764</c:v>
                </c:pt>
                <c:pt idx="12">
                  <c:v>0.66604388816909432</c:v>
                </c:pt>
                <c:pt idx="13">
                  <c:v>0.66823531742303821</c:v>
                </c:pt>
                <c:pt idx="14">
                  <c:v>0.67036954581250285</c:v>
                </c:pt>
                <c:pt idx="15">
                  <c:v>0.67244806639910149</c:v>
                </c:pt>
                <c:pt idx="16">
                  <c:v>0.67447233327243183</c:v>
                </c:pt>
                <c:pt idx="17">
                  <c:v>0.67644376256732675</c:v>
                </c:pt>
                <c:pt idx="18">
                  <c:v>0.67836373345455236</c:v>
                </c:pt>
                <c:pt idx="19">
                  <c:v>0.68023358910564768</c:v>
                </c:pt>
                <c:pt idx="20">
                  <c:v>0.68205463763257901</c:v>
                </c:pt>
                <c:pt idx="21">
                  <c:v>0.6838281530028677</c:v>
                </c:pt>
                <c:pt idx="22">
                  <c:v>0.68555537593083127</c:v>
                </c:pt>
                <c:pt idx="23">
                  <c:v>0.68723751474556138</c:v>
                </c:pt>
                <c:pt idx="24">
                  <c:v>0.68887574623624559</c:v>
                </c:pt>
                <c:pt idx="25">
                  <c:v>0.69047121647542442</c:v>
                </c:pt>
                <c:pt idx="26">
                  <c:v>0.69202504162075973</c:v>
                </c:pt>
                <c:pt idx="27">
                  <c:v>0.69353830869587552</c:v>
                </c:pt>
                <c:pt idx="28">
                  <c:v>0.69501207635081663</c:v>
                </c:pt>
                <c:pt idx="29">
                  <c:v>0.69644737560265846</c:v>
                </c:pt>
                <c:pt idx="30">
                  <c:v>0.69784521055678506</c:v>
                </c:pt>
                <c:pt idx="31">
                  <c:v>0.69920655910934004</c:v>
                </c:pt>
                <c:pt idx="32">
                  <c:v>0.70053237363134224</c:v>
                </c:pt>
                <c:pt idx="33">
                  <c:v>0.70182358163494518</c:v>
                </c:pt>
                <c:pt idx="34">
                  <c:v>0.70308108642230427</c:v>
                </c:pt>
                <c:pt idx="35">
                  <c:v>0.70430576771750897</c:v>
                </c:pt>
                <c:pt idx="36">
                  <c:v>0.70549848228201906</c:v>
                </c:pt>
                <c:pt idx="37">
                  <c:v>0.70666006451403685</c:v>
                </c:pt>
                <c:pt idx="38">
                  <c:v>0.70779132703223535</c:v>
                </c:pt>
                <c:pt idx="39">
                  <c:v>0.70889306124424845</c:v>
                </c:pt>
                <c:pt idx="40">
                  <c:v>0.70996603790032398</c:v>
                </c:pt>
                <c:pt idx="41">
                  <c:v>0.71101100763252423</c:v>
                </c:pt>
                <c:pt idx="42">
                  <c:v>0.71202870147985209</c:v>
                </c:pt>
                <c:pt idx="43">
                  <c:v>0.71301983139967118</c:v>
                </c:pt>
                <c:pt idx="44">
                  <c:v>0.7139850907657761</c:v>
                </c:pt>
                <c:pt idx="45">
                  <c:v>0.71492515485346242</c:v>
                </c:pt>
                <c:pt idx="46">
                  <c:v>0.7158406813119349</c:v>
                </c:pt>
                <c:pt idx="47">
                  <c:v>0.71673231062438558</c:v>
                </c:pt>
                <c:pt idx="48">
                  <c:v>0.71760066655606181</c:v>
                </c:pt>
                <c:pt idx="49">
                  <c:v>0.71844635659063993</c:v>
                </c:pt>
                <c:pt idx="50">
                  <c:v>0.71926997235520818</c:v>
                </c:pt>
                <c:pt idx="51">
                  <c:v>0.72007209003415606</c:v>
                </c:pt>
                <c:pt idx="52">
                  <c:v>0.7208532707722618</c:v>
                </c:pt>
                <c:pt idx="53">
                  <c:v>0.72161406106725645</c:v>
                </c:pt>
                <c:pt idx="54">
                  <c:v>0.72235499315214347</c:v>
                </c:pt>
                <c:pt idx="55">
                  <c:v>0.72307658536753683</c:v>
                </c:pt>
                <c:pt idx="56">
                  <c:v>0.72377934252428167</c:v>
                </c:pt>
                <c:pt idx="57">
                  <c:v>0.72446375625660953</c:v>
                </c:pt>
                <c:pt idx="58">
                  <c:v>0.72513030536607548</c:v>
                </c:pt>
                <c:pt idx="59">
                  <c:v>0.72577945615651696</c:v>
                </c:pt>
                <c:pt idx="60">
                  <c:v>0.72641166276027136</c:v>
                </c:pt>
                <c:pt idx="61">
                  <c:v>0.72702736745587648</c:v>
                </c:pt>
                <c:pt idx="62">
                  <c:v>0.7276270009774799</c:v>
                </c:pt>
                <c:pt idx="63">
                  <c:v>0.72821098281617147</c:v>
                </c:pt>
                <c:pt idx="64">
                  <c:v>0.7287797215134505</c:v>
                </c:pt>
                <c:pt idx="65">
                  <c:v>0.72933361494703308</c:v>
                </c:pt>
                <c:pt idx="66">
                  <c:v>0.72987305060919849</c:v>
                </c:pt>
                <c:pt idx="67">
                  <c:v>0.7303984058778713</c:v>
                </c:pt>
                <c:pt idx="68">
                  <c:v>0.73091004828062678</c:v>
                </c:pt>
                <c:pt idx="69">
                  <c:v>0.73140833575180531</c:v>
                </c:pt>
                <c:pt idx="70">
                  <c:v>0.73189361688291654</c:v>
                </c:pt>
                <c:pt idx="71">
                  <c:v>0.73236623116650557</c:v>
                </c:pt>
                <c:pt idx="72">
                  <c:v>0.73282650923365611</c:v>
                </c:pt>
                <c:pt idx="73">
                  <c:v>0.7332747730852921</c:v>
                </c:pt>
                <c:pt idx="74">
                  <c:v>0.73371133631744323</c:v>
                </c:pt>
                <c:pt idx="75">
                  <c:v>0.73413650434063016</c:v>
                </c:pt>
                <c:pt idx="76">
                  <c:v>0.73455057459352335</c:v>
                </c:pt>
                <c:pt idx="77">
                  <c:v>0.73495383675102499</c:v>
                </c:pt>
                <c:pt idx="78">
                  <c:v>0.73534657292691918</c:v>
                </c:pt>
                <c:pt idx="79">
                  <c:v>0.73572905787123344</c:v>
                </c:pt>
                <c:pt idx="80">
                  <c:v>0.73610155916244746</c:v>
                </c:pt>
                <c:pt idx="81">
                  <c:v>0.73646433739468575</c:v>
                </c:pt>
                <c:pt idx="82">
                  <c:v>0.736817646360024</c:v>
                </c:pt>
                <c:pt idx="83">
                  <c:v>0.7371617332260364</c:v>
                </c:pt>
                <c:pt idx="84">
                  <c:v>0.73749683870870886</c:v>
                </c:pt>
                <c:pt idx="85">
                  <c:v>0.73782319724083922</c:v>
                </c:pt>
                <c:pt idx="86">
                  <c:v>0.73814103713604162</c:v>
                </c:pt>
                <c:pt idx="87">
                  <c:v>0.73845058074846914</c:v>
                </c:pt>
                <c:pt idx="88">
                  <c:v>0.73875204462836919</c:v>
                </c:pt>
                <c:pt idx="89">
                  <c:v>0.73904563967357673</c:v>
                </c:pt>
                <c:pt idx="90">
                  <c:v>0.73933157127705451</c:v>
                </c:pt>
                <c:pt idx="91">
                  <c:v>0.73961003947058124</c:v>
                </c:pt>
                <c:pt idx="92">
                  <c:v>0.73988123906468994</c:v>
                </c:pt>
                <c:pt idx="93">
                  <c:v>0.74014535978495344</c:v>
                </c:pt>
                <c:pt idx="94">
                  <c:v>0.74040258640471213</c:v>
                </c:pt>
                <c:pt idx="95">
                  <c:v>0.74065309887433761</c:v>
                </c:pt>
                <c:pt idx="96">
                  <c:v>0.74089707244712233</c:v>
                </c:pt>
                <c:pt idx="97">
                  <c:v>0.74113467780188291</c:v>
                </c:pt>
                <c:pt idx="98">
                  <c:v>0.74136608116236402</c:v>
                </c:pt>
                <c:pt idx="99">
                  <c:v>0.74159144441352409</c:v>
                </c:pt>
                <c:pt idx="100">
                  <c:v>0.74181092521478753</c:v>
                </c:pt>
                <c:pt idx="101">
                  <c:v>0.74202467711033981</c:v>
                </c:pt>
                <c:pt idx="102">
                  <c:v>0.74223284963654312</c:v>
                </c:pt>
                <c:pt idx="103">
                  <c:v>0.74243558842654978</c:v>
                </c:pt>
                <c:pt idx="104">
                  <c:v>0.7426330353121835</c:v>
                </c:pt>
                <c:pt idx="105">
                  <c:v>0.74282532842316229</c:v>
                </c:pt>
                <c:pt idx="106">
                  <c:v>0.74301260228373112</c:v>
                </c:pt>
                <c:pt idx="107">
                  <c:v>0.74319498790677208</c:v>
                </c:pt>
                <c:pt idx="108">
                  <c:v>0.74337261288545831</c:v>
                </c:pt>
                <c:pt idx="109">
                  <c:v>0.74354560148251558</c:v>
                </c:pt>
                <c:pt idx="110">
                  <c:v>0.74371407471715412</c:v>
                </c:pt>
                <c:pt idx="111">
                  <c:v>0.74387815044973071</c:v>
                </c:pt>
                <c:pt idx="112">
                  <c:v>0.74403794346420138</c:v>
                </c:pt>
                <c:pt idx="113">
                  <c:v>0.74419356554842242</c:v>
                </c:pt>
                <c:pt idx="114">
                  <c:v>0.74434512557235399</c:v>
                </c:pt>
                <c:pt idx="115">
                  <c:v>0.74449272956422397</c:v>
                </c:pt>
                <c:pt idx="116">
                  <c:v>0.74463648078470268</c:v>
                </c:pt>
                <c:pt idx="117">
                  <c:v>0.74477647979914208</c:v>
                </c:pt>
                <c:pt idx="118">
                  <c:v>0.74491282454792918</c:v>
                </c:pt>
                <c:pt idx="119">
                  <c:v>0.74504561041500306</c:v>
                </c:pt>
                <c:pt idx="120">
                  <c:v>0.74517493029458326</c:v>
                </c:pt>
                <c:pt idx="121">
                  <c:v>0.74530087465615713</c:v>
                </c:pt>
                <c:pt idx="122">
                  <c:v>0.74542353160776997</c:v>
                </c:pt>
                <c:pt idx="123">
                  <c:v>0.74554298695766374</c:v>
                </c:pt>
                <c:pt idx="124">
                  <c:v>0.7456593242743067</c:v>
                </c:pt>
                <c:pt idx="125">
                  <c:v>0.74577262494485619</c:v>
                </c:pt>
                <c:pt idx="126">
                  <c:v>0.74588296823209532</c:v>
                </c:pt>
                <c:pt idx="127">
                  <c:v>0.74599043132988352</c:v>
                </c:pt>
                <c:pt idx="128">
                  <c:v>0.74609508941715996</c:v>
                </c:pt>
                <c:pt idx="129">
                  <c:v>0.74619701571053698</c:v>
                </c:pt>
                <c:pt idx="130">
                  <c:v>0.74629628151552097</c:v>
                </c:pt>
                <c:pt idx="131">
                  <c:v>0.74639295627639612</c:v>
                </c:pt>
                <c:pt idx="132">
                  <c:v>0.7464871076248063</c:v>
                </c:pt>
                <c:pt idx="133">
                  <c:v>0.74657880142706889</c:v>
                </c:pt>
                <c:pt idx="134">
                  <c:v>0.74666810183025301</c:v>
                </c:pt>
                <c:pt idx="135">
                  <c:v>0.74675507130705598</c:v>
                </c:pt>
                <c:pt idx="136">
                  <c:v>0.74683977069950758</c:v>
                </c:pt>
                <c:pt idx="137">
                  <c:v>0.7469222592615341</c:v>
                </c:pt>
                <c:pt idx="138">
                  <c:v>0.74700259470041097</c:v>
                </c:pt>
                <c:pt idx="139">
                  <c:v>0.74708083321713359</c:v>
                </c:pt>
                <c:pt idx="140">
                  <c:v>0.74715702954573437</c:v>
                </c:pt>
                <c:pt idx="141">
                  <c:v>0.74723123699157379</c:v>
                </c:pt>
                <c:pt idx="142">
                  <c:v>0.74730350746863117</c:v>
                </c:pt>
                <c:pt idx="143">
                  <c:v>0.74737389153582312</c:v>
                </c:pt>
                <c:pt idx="144">
                  <c:v>0.74744243843237324</c:v>
                </c:pt>
                <c:pt idx="145">
                  <c:v>0.74750919611225897</c:v>
                </c:pt>
                <c:pt idx="146">
                  <c:v>0.74757421127775914</c:v>
                </c:pt>
                <c:pt idx="147">
                  <c:v>0.74763752941212569</c:v>
                </c:pt>
                <c:pt idx="148">
                  <c:v>0.74769919481140334</c:v>
                </c:pt>
                <c:pt idx="149">
                  <c:v>0.74775925061541759</c:v>
                </c:pt>
                <c:pt idx="150">
                  <c:v>0.74781773883795488</c:v>
                </c:pt>
                <c:pt idx="151">
                  <c:v>0.74787470039615433</c:v>
                </c:pt>
                <c:pt idx="152">
                  <c:v>0.7479301751391324</c:v>
                </c:pt>
                <c:pt idx="153">
                  <c:v>0.74798420187586101</c:v>
                </c:pt>
                <c:pt idx="154">
                  <c:v>0.74803681840231684</c:v>
                </c:pt>
                <c:pt idx="155">
                  <c:v>0.74808806152792318</c:v>
                </c:pt>
                <c:pt idx="156">
                  <c:v>0.74813796710130043</c:v>
                </c:pt>
                <c:pt idx="157">
                  <c:v>0.74818657003534572</c:v>
                </c:pt>
                <c:pt idx="158">
                  <c:v>0.74823390433165671</c:v>
                </c:pt>
                <c:pt idx="159">
                  <c:v>0.74828000310431864</c:v>
                </c:pt>
                <c:pt idx="160">
                  <c:v>0.74832489860307017</c:v>
                </c:pt>
                <c:pt idx="161">
                  <c:v>0.74836862223586476</c:v>
                </c:pt>
                <c:pt idx="162">
                  <c:v>0.74841120459084276</c:v>
                </c:pt>
                <c:pt idx="163">
                  <c:v>0.74845267545773064</c:v>
                </c:pt>
                <c:pt idx="164">
                  <c:v>0.74849306384868075</c:v>
                </c:pt>
                <c:pt idx="165">
                  <c:v>0.74853239801856786</c:v>
                </c:pt>
                <c:pt idx="166">
                  <c:v>0.74857070548475613</c:v>
                </c:pt>
                <c:pt idx="167">
                  <c:v>0.74860801304634872</c:v>
                </c:pt>
                <c:pt idx="168">
                  <c:v>0.74864434680293679</c:v>
                </c:pt>
                <c:pt idx="169">
                  <c:v>0.74867973217285755</c:v>
                </c:pt>
                <c:pt idx="170">
                  <c:v>0.74871419391097693</c:v>
                </c:pt>
                <c:pt idx="171">
                  <c:v>0.7487477561260073</c:v>
                </c:pt>
                <c:pt idx="172">
                  <c:v>0.74878044229737351</c:v>
                </c:pt>
                <c:pt idx="173">
                  <c:v>0.7488122752916383</c:v>
                </c:pt>
                <c:pt idx="174">
                  <c:v>0.74884327737849976</c:v>
                </c:pt>
                <c:pt idx="175">
                  <c:v>0.74887347024637052</c:v>
                </c:pt>
                <c:pt idx="176">
                  <c:v>0.74890287501755048</c:v>
                </c:pt>
                <c:pt idx="177">
                  <c:v>0.74893151226300336</c:v>
                </c:pt>
                <c:pt idx="178">
                  <c:v>0.74895940201674815</c:v>
                </c:pt>
                <c:pt idx="179">
                  <c:v>0.74898656378987416</c:v>
                </c:pt>
                <c:pt idx="180">
                  <c:v>0.74901301658419062</c:v>
                </c:pt>
                <c:pt idx="181">
                  <c:v>0.74903877890552018</c:v>
                </c:pt>
                <c:pt idx="182">
                  <c:v>0.74906386877664466</c:v>
                </c:pt>
                <c:pt idx="183">
                  <c:v>0.74908830374991398</c:v>
                </c:pt>
                <c:pt idx="184">
                  <c:v>0.7491121009195254</c:v>
                </c:pt>
                <c:pt idx="185">
                  <c:v>0.74913527693348159</c:v>
                </c:pt>
                <c:pt idx="186">
                  <c:v>0.74915784800523799</c:v>
                </c:pt>
                <c:pt idx="187">
                  <c:v>0.74917982992504517</c:v>
                </c:pt>
                <c:pt idx="188">
                  <c:v>0.74920123807099515</c:v>
                </c:pt>
                <c:pt idx="189">
                  <c:v>0.74922208741977969</c:v>
                </c:pt>
                <c:pt idx="190">
                  <c:v>0.74924239255716785</c:v>
                </c:pt>
                <c:pt idx="191">
                  <c:v>0.74926216768820986</c:v>
                </c:pt>
                <c:pt idx="192">
                  <c:v>0.74928142664717423</c:v>
                </c:pt>
                <c:pt idx="193">
                  <c:v>0.74930018290722666</c:v>
                </c:pt>
                <c:pt idx="194">
                  <c:v>0.74931844958985483</c:v>
                </c:pt>
                <c:pt idx="195">
                  <c:v>0.74933623947404859</c:v>
                </c:pt>
                <c:pt idx="196">
                  <c:v>0.74935356500523931</c:v>
                </c:pt>
                <c:pt idx="197">
                  <c:v>0.74937043830400696</c:v>
                </c:pt>
                <c:pt idx="198">
                  <c:v>0.74938687117455893</c:v>
                </c:pt>
                <c:pt idx="199">
                  <c:v>0.74940287511298831</c:v>
                </c:pt>
                <c:pt idx="200">
                  <c:v>0.74941846131531609</c:v>
                </c:pt>
                <c:pt idx="201">
                  <c:v>0.74943364068532414</c:v>
                </c:pt>
                <c:pt idx="202">
                  <c:v>0.74944842384218258</c:v>
                </c:pt>
                <c:pt idx="203">
                  <c:v>0.74946282112787932</c:v>
                </c:pt>
                <c:pt idx="204">
                  <c:v>0.7494768426144548</c:v>
                </c:pt>
                <c:pt idx="205">
                  <c:v>0.74949049811104818</c:v>
                </c:pt>
                <c:pt idx="206">
                  <c:v>0.74950379717075977</c:v>
                </c:pt>
                <c:pt idx="207">
                  <c:v>0.7495167490973339</c:v>
                </c:pt>
                <c:pt idx="208">
                  <c:v>0.74952936295166805</c:v>
                </c:pt>
                <c:pt idx="209">
                  <c:v>0.74954164755815134</c:v>
                </c:pt>
                <c:pt idx="210">
                  <c:v>0.74955361151083777</c:v>
                </c:pt>
                <c:pt idx="211">
                  <c:v>0.74956526317945893</c:v>
                </c:pt>
                <c:pt idx="212">
                  <c:v>0.74957661071527881</c:v>
                </c:pt>
                <c:pt idx="213">
                  <c:v>0.7495876620567965</c:v>
                </c:pt>
                <c:pt idx="214">
                  <c:v>0.74959842493529982</c:v>
                </c:pt>
                <c:pt idx="215">
                  <c:v>0.74960890688027382</c:v>
                </c:pt>
                <c:pt idx="216">
                  <c:v>0.74961911522466818</c:v>
                </c:pt>
                <c:pt idx="217">
                  <c:v>0.74962905711002759</c:v>
                </c:pt>
                <c:pt idx="218">
                  <c:v>0.7496387394914874</c:v>
                </c:pt>
                <c:pt idx="219">
                  <c:v>0.74964816914263943</c:v>
                </c:pt>
                <c:pt idx="220">
                  <c:v>0.74965735266027089</c:v>
                </c:pt>
                <c:pt idx="221">
                  <c:v>0.74966629646897864</c:v>
                </c:pt>
                <c:pt idx="222">
                  <c:v>0.74967500682566479</c:v>
                </c:pt>
                <c:pt idx="223">
                  <c:v>0.74968348982391275</c:v>
                </c:pt>
                <c:pt idx="224">
                  <c:v>0.74969175139825106</c:v>
                </c:pt>
                <c:pt idx="225">
                  <c:v>0.74969979732830461</c:v>
                </c:pt>
                <c:pt idx="226">
                  <c:v>0.74970763324283807</c:v>
                </c:pt>
                <c:pt idx="227">
                  <c:v>0.74971526462369353</c:v>
                </c:pt>
                <c:pt idx="228">
                  <c:v>0.74972269680962567</c:v>
                </c:pt>
                <c:pt idx="229">
                  <c:v>0.74972993500003671</c:v>
                </c:pt>
                <c:pt idx="230">
                  <c:v>0.74973698425861335</c:v>
                </c:pt>
                <c:pt idx="231">
                  <c:v>0.74974384951686979</c:v>
                </c:pt>
                <c:pt idx="232">
                  <c:v>0.74975053557759719</c:v>
                </c:pt>
                <c:pt idx="233">
                  <c:v>0.74975704711822422</c:v>
                </c:pt>
                <c:pt idx="234">
                  <c:v>0.74976338869408854</c:v>
                </c:pt>
                <c:pt idx="235">
                  <c:v>0.74976956474162437</c:v>
                </c:pt>
                <c:pt idx="236">
                  <c:v>0.74977557958146546</c:v>
                </c:pt>
                <c:pt idx="237">
                  <c:v>0.74978143742146819</c:v>
                </c:pt>
                <c:pt idx="238">
                  <c:v>0.74978714235965516</c:v>
                </c:pt>
                <c:pt idx="239">
                  <c:v>0.74979269838708196</c:v>
                </c:pt>
                <c:pt idx="240">
                  <c:v>0.7497981093906293</c:v>
                </c:pt>
                <c:pt idx="241">
                  <c:v>0.74980337915572226</c:v>
                </c:pt>
                <c:pt idx="242">
                  <c:v>0.74980851136897864</c:v>
                </c:pt>
                <c:pt idx="243">
                  <c:v>0.74981350962078741</c:v>
                </c:pt>
                <c:pt idx="244">
                  <c:v>0.74981837740782131</c:v>
                </c:pt>
                <c:pt idx="245">
                  <c:v>0.74982311813548241</c:v>
                </c:pt>
                <c:pt idx="246">
                  <c:v>0.74982773512028489</c:v>
                </c:pt>
                <c:pt idx="247">
                  <c:v>0.74983223159217482</c:v>
                </c:pt>
                <c:pt idx="248">
                  <c:v>0.74983661069678997</c:v>
                </c:pt>
                <c:pt idx="249">
                  <c:v>0.74984087549766065</c:v>
                </c:pt>
                <c:pt idx="250">
                  <c:v>0.74984502897835248</c:v>
                </c:pt>
                <c:pt idx="251">
                  <c:v>0.7498490740445537</c:v>
                </c:pt>
                <c:pt idx="252">
                  <c:v>0.74985301352610811</c:v>
                </c:pt>
                <c:pt idx="253">
                  <c:v>0.74985685017899495</c:v>
                </c:pt>
                <c:pt idx="254">
                  <c:v>0.7498605866872563</c:v>
                </c:pt>
                <c:pt idx="255">
                  <c:v>0.74986422566487532</c:v>
                </c:pt>
                <c:pt idx="256">
                  <c:v>0.74986776965760493</c:v>
                </c:pt>
                <c:pt idx="257">
                  <c:v>0.74987122114474813</c:v>
                </c:pt>
                <c:pt idx="258">
                  <c:v>0.74987458254089356</c:v>
                </c:pt>
                <c:pt idx="259">
                  <c:v>0.7498778561976035</c:v>
                </c:pt>
                <c:pt idx="260">
                  <c:v>0.74988104440506009</c:v>
                </c:pt>
                <c:pt idx="261">
                  <c:v>0.74988414939366643</c:v>
                </c:pt>
                <c:pt idx="262">
                  <c:v>0.74988717333560784</c:v>
                </c:pt>
                <c:pt idx="263">
                  <c:v>0.74989011834637098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A4-4C1E-8BD2-60FA58B0E843}"/>
            </c:ext>
          </c:extLst>
        </c:ser>
        <c:ser>
          <c:idx val="7"/>
          <c:order val="1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system'!$D$5:$D$278</c:f>
              <c:numCache>
                <c:formatCode>0.00</c:formatCode>
                <c:ptCount val="27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A4-4C1E-8BD2-60FA58B0E843}"/>
            </c:ext>
          </c:extLst>
        </c:ser>
        <c:ser>
          <c:idx val="8"/>
          <c:order val="2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system'!$E$5:$E$278</c:f>
              <c:numCache>
                <c:formatCode>0.00</c:formatCode>
                <c:ptCount val="274"/>
                <c:pt idx="0">
                  <c:v>0.75</c:v>
                </c:pt>
                <c:pt idx="1">
                  <c:v>0.75</c:v>
                </c:pt>
                <c:pt idx="2">
                  <c:v>0.69234180149661595</c:v>
                </c:pt>
                <c:pt idx="3">
                  <c:v>0.6938468004797097</c:v>
                </c:pt>
                <c:pt idx="4">
                  <c:v>0.69531251585703868</c:v>
                </c:pt>
                <c:pt idx="5">
                  <c:v>0.69673997301247304</c:v>
                </c:pt>
                <c:pt idx="6">
                  <c:v>0.69813017056522986</c:v>
                </c:pt>
                <c:pt idx="7">
                  <c:v>0.69948408106848636</c:v>
                </c:pt>
                <c:pt idx="8">
                  <c:v>0.70080265168975731</c:v>
                </c:pt>
                <c:pt idx="9">
                  <c:v>0.70208680487351449</c:v>
                </c:pt>
                <c:pt idx="10">
                  <c:v>0.70333743898650891</c:v>
                </c:pt>
                <c:pt idx="11">
                  <c:v>0.70455542894624956</c:v>
                </c:pt>
                <c:pt idx="12">
                  <c:v>0.70574162683307751</c:v>
                </c:pt>
                <c:pt idx="13">
                  <c:v>0.70689686248626382</c:v>
                </c:pt>
                <c:pt idx="14">
                  <c:v>0.70802194408454711</c:v>
                </c:pt>
                <c:pt idx="15">
                  <c:v>0.70911765871151911</c:v>
                </c:pt>
                <c:pt idx="16">
                  <c:v>0.71018477290625137</c:v>
                </c:pt>
                <c:pt idx="17">
                  <c:v>0.71122403319955074</c:v>
                </c:pt>
                <c:pt idx="18">
                  <c:v>0.71223616663621592</c:v>
                </c:pt>
                <c:pt idx="19">
                  <c:v>0.71322188128366337</c:v>
                </c:pt>
                <c:pt idx="20">
                  <c:v>0.71418186672727613</c:v>
                </c:pt>
                <c:pt idx="21">
                  <c:v>0.71511679455282384</c:v>
                </c:pt>
                <c:pt idx="22">
                  <c:v>0.71602731881628956</c:v>
                </c:pt>
                <c:pt idx="23">
                  <c:v>0.71691407650143379</c:v>
                </c:pt>
                <c:pt idx="24">
                  <c:v>0.71777768796541563</c:v>
                </c:pt>
                <c:pt idx="25">
                  <c:v>0.71861875737278069</c:v>
                </c:pt>
                <c:pt idx="26">
                  <c:v>0.71943787311812279</c:v>
                </c:pt>
                <c:pt idx="27">
                  <c:v>0.72023560823771227</c:v>
                </c:pt>
                <c:pt idx="28">
                  <c:v>0.72101252081037992</c:v>
                </c:pt>
                <c:pt idx="29">
                  <c:v>0.72176915434793776</c:v>
                </c:pt>
                <c:pt idx="30">
                  <c:v>0.72250603817540826</c:v>
                </c:pt>
                <c:pt idx="31">
                  <c:v>0.72322368780132928</c:v>
                </c:pt>
                <c:pt idx="32">
                  <c:v>0.72392260527839258</c:v>
                </c:pt>
                <c:pt idx="33">
                  <c:v>0.72460327955466997</c:v>
                </c:pt>
                <c:pt idx="34">
                  <c:v>0.72526618681567112</c:v>
                </c:pt>
                <c:pt idx="35">
                  <c:v>0.72591179081747259</c:v>
                </c:pt>
                <c:pt idx="36">
                  <c:v>0.72654054321115213</c:v>
                </c:pt>
                <c:pt idx="37">
                  <c:v>0.72715288385875443</c:v>
                </c:pt>
                <c:pt idx="38">
                  <c:v>0.72774924114100947</c:v>
                </c:pt>
                <c:pt idx="39">
                  <c:v>0.72833003225701842</c:v>
                </c:pt>
                <c:pt idx="40">
                  <c:v>0.72889566351611768</c:v>
                </c:pt>
                <c:pt idx="41">
                  <c:v>0.72944653062212428</c:v>
                </c:pt>
                <c:pt idx="42">
                  <c:v>0.72998301895016204</c:v>
                </c:pt>
                <c:pt idx="43">
                  <c:v>0.73050550381626211</c:v>
                </c:pt>
                <c:pt idx="44">
                  <c:v>0.73101435073992604</c:v>
                </c:pt>
                <c:pt idx="45">
                  <c:v>0.73150991569983559</c:v>
                </c:pt>
                <c:pt idx="46">
                  <c:v>0.73199254538288805</c:v>
                </c:pt>
                <c:pt idx="47">
                  <c:v>0.73246257742673115</c:v>
                </c:pt>
                <c:pt idx="48">
                  <c:v>0.73292034065596745</c:v>
                </c:pt>
                <c:pt idx="49">
                  <c:v>0.73336615531219274</c:v>
                </c:pt>
                <c:pt idx="50">
                  <c:v>0.73380033327803085</c:v>
                </c:pt>
                <c:pt idx="51">
                  <c:v>0.73422317829532002</c:v>
                </c:pt>
                <c:pt idx="52">
                  <c:v>0.73463498617760403</c:v>
                </c:pt>
                <c:pt idx="53">
                  <c:v>0.73503604501707809</c:v>
                </c:pt>
                <c:pt idx="54">
                  <c:v>0.73542663538613084</c:v>
                </c:pt>
                <c:pt idx="55">
                  <c:v>0.73580703053362828</c:v>
                </c:pt>
                <c:pt idx="56">
                  <c:v>0.73617749657607179</c:v>
                </c:pt>
                <c:pt idx="57">
                  <c:v>0.73653829268376836</c:v>
                </c:pt>
                <c:pt idx="58">
                  <c:v>0.73688967126214078</c:v>
                </c:pt>
                <c:pt idx="59">
                  <c:v>0.73723187812830482</c:v>
                </c:pt>
                <c:pt idx="60">
                  <c:v>0.73756515268303768</c:v>
                </c:pt>
                <c:pt idx="61">
                  <c:v>0.73788972807825848</c:v>
                </c:pt>
                <c:pt idx="62">
                  <c:v>0.73820583138013574</c:v>
                </c:pt>
                <c:pt idx="63">
                  <c:v>0.73851368372793824</c:v>
                </c:pt>
                <c:pt idx="64">
                  <c:v>0.73881350048873995</c:v>
                </c:pt>
                <c:pt idx="65">
                  <c:v>0.73910549140808568</c:v>
                </c:pt>
                <c:pt idx="66">
                  <c:v>0.7393898607567253</c:v>
                </c:pt>
                <c:pt idx="67">
                  <c:v>0.73966680747351654</c:v>
                </c:pt>
                <c:pt idx="68">
                  <c:v>0.7399365253045993</c:v>
                </c:pt>
                <c:pt idx="69">
                  <c:v>0.74019920293893571</c:v>
                </c:pt>
                <c:pt idx="70">
                  <c:v>0.74045502414031339</c:v>
                </c:pt>
                <c:pt idx="71">
                  <c:v>0.74070416787590265</c:v>
                </c:pt>
                <c:pt idx="72">
                  <c:v>0.74094680844145822</c:v>
                </c:pt>
                <c:pt idx="73">
                  <c:v>0.74118311558325278</c:v>
                </c:pt>
                <c:pt idx="74">
                  <c:v>0.74141325461682805</c:v>
                </c:pt>
                <c:pt idx="75">
                  <c:v>0.7416373865426461</c:v>
                </c:pt>
                <c:pt idx="76">
                  <c:v>0.74185566815872162</c:v>
                </c:pt>
                <c:pt idx="77">
                  <c:v>0.74206825217031502</c:v>
                </c:pt>
                <c:pt idx="78">
                  <c:v>0.74227528729676173</c:v>
                </c:pt>
                <c:pt idx="79">
                  <c:v>0.74247691837551244</c:v>
                </c:pt>
                <c:pt idx="80">
                  <c:v>0.74267328646345965</c:v>
                </c:pt>
                <c:pt idx="81">
                  <c:v>0.74286452893561672</c:v>
                </c:pt>
                <c:pt idx="82">
                  <c:v>0.74305077958122367</c:v>
                </c:pt>
                <c:pt idx="83">
                  <c:v>0.74323216869734288</c:v>
                </c:pt>
                <c:pt idx="84">
                  <c:v>0.743408823180012</c:v>
                </c:pt>
                <c:pt idx="85">
                  <c:v>0.74358086661301814</c:v>
                </c:pt>
                <c:pt idx="86">
                  <c:v>0.74374841935435443</c:v>
                </c:pt>
                <c:pt idx="87">
                  <c:v>0.74391159862041967</c:v>
                </c:pt>
                <c:pt idx="88">
                  <c:v>0.74407051856802076</c:v>
                </c:pt>
                <c:pt idx="89">
                  <c:v>0.74422529037423457</c:v>
                </c:pt>
                <c:pt idx="90">
                  <c:v>0.74437602231418465</c:v>
                </c:pt>
                <c:pt idx="91">
                  <c:v>0.74452281983678836</c:v>
                </c:pt>
                <c:pt idx="92">
                  <c:v>0.74466578563852726</c:v>
                </c:pt>
                <c:pt idx="93">
                  <c:v>0.74480501973529056</c:v>
                </c:pt>
                <c:pt idx="94">
                  <c:v>0.74494061953234503</c:v>
                </c:pt>
                <c:pt idx="95">
                  <c:v>0.74507267989247672</c:v>
                </c:pt>
                <c:pt idx="96">
                  <c:v>0.74520129320235606</c:v>
                </c:pt>
                <c:pt idx="97">
                  <c:v>0.74532654943716881</c:v>
                </c:pt>
                <c:pt idx="98">
                  <c:v>0.74544853622356111</c:v>
                </c:pt>
                <c:pt idx="99">
                  <c:v>0.74556733890094151</c:v>
                </c:pt>
                <c:pt idx="100">
                  <c:v>0.74568304058118196</c:v>
                </c:pt>
                <c:pt idx="101">
                  <c:v>0.74579572220676205</c:v>
                </c:pt>
                <c:pt idx="102">
                  <c:v>0.74590546260739377</c:v>
                </c:pt>
                <c:pt idx="103">
                  <c:v>0.74601233855516991</c:v>
                </c:pt>
                <c:pt idx="104">
                  <c:v>0.74611642481827156</c:v>
                </c:pt>
                <c:pt idx="105">
                  <c:v>0.74621779421327483</c:v>
                </c:pt>
                <c:pt idx="106">
                  <c:v>0.74631651765609175</c:v>
                </c:pt>
                <c:pt idx="107">
                  <c:v>0.74641266421158114</c:v>
                </c:pt>
                <c:pt idx="108">
                  <c:v>0.74650630114186556</c:v>
                </c:pt>
                <c:pt idx="109">
                  <c:v>0.74659749395338604</c:v>
                </c:pt>
                <c:pt idx="110">
                  <c:v>0.74668630644272915</c:v>
                </c:pt>
                <c:pt idx="111">
                  <c:v>0.74677280074125785</c:v>
                </c:pt>
                <c:pt idx="112">
                  <c:v>0.74685703735857711</c:v>
                </c:pt>
                <c:pt idx="113">
                  <c:v>0.74693907522486536</c:v>
                </c:pt>
                <c:pt idx="114">
                  <c:v>0.74701897173210074</c:v>
                </c:pt>
                <c:pt idx="115">
                  <c:v>0.74709678277421121</c:v>
                </c:pt>
                <c:pt idx="116">
                  <c:v>0.74717256278617705</c:v>
                </c:pt>
                <c:pt idx="117">
                  <c:v>0.74724636478211193</c:v>
                </c:pt>
                <c:pt idx="118">
                  <c:v>0.74731824039235129</c:v>
                </c:pt>
                <c:pt idx="119">
                  <c:v>0.74738823989957104</c:v>
                </c:pt>
                <c:pt idx="120">
                  <c:v>0.74745641227396464</c:v>
                </c:pt>
                <c:pt idx="121">
                  <c:v>0.74752280520750147</c:v>
                </c:pt>
                <c:pt idx="122">
                  <c:v>0.74758746514729157</c:v>
                </c:pt>
                <c:pt idx="123">
                  <c:v>0.74765043732807857</c:v>
                </c:pt>
                <c:pt idx="124">
                  <c:v>0.74771176580388499</c:v>
                </c:pt>
                <c:pt idx="125">
                  <c:v>0.74777149347883187</c:v>
                </c:pt>
                <c:pt idx="126">
                  <c:v>0.74782966213715341</c:v>
                </c:pt>
                <c:pt idx="127">
                  <c:v>0.74788631247242809</c:v>
                </c:pt>
                <c:pt idx="128">
                  <c:v>0.74794148411604766</c:v>
                </c:pt>
                <c:pt idx="129">
                  <c:v>0.74799521566494176</c:v>
                </c:pt>
                <c:pt idx="130">
                  <c:v>0.74804754470857993</c:v>
                </c:pt>
                <c:pt idx="131">
                  <c:v>0.74809850785526844</c:v>
                </c:pt>
                <c:pt idx="132">
                  <c:v>0.74814814075776048</c:v>
                </c:pt>
                <c:pt idx="133">
                  <c:v>0.74819647813819801</c:v>
                </c:pt>
                <c:pt idx="134">
                  <c:v>0.74824355381240315</c:v>
                </c:pt>
                <c:pt idx="135">
                  <c:v>0.74828940071353445</c:v>
                </c:pt>
                <c:pt idx="136">
                  <c:v>0.7483340509151265</c:v>
                </c:pt>
                <c:pt idx="137">
                  <c:v>0.74837753565352794</c:v>
                </c:pt>
                <c:pt idx="138">
                  <c:v>0.74841988534975379</c:v>
                </c:pt>
                <c:pt idx="139">
                  <c:v>0.74846112963076705</c:v>
                </c:pt>
                <c:pt idx="140">
                  <c:v>0.74850129735020543</c:v>
                </c:pt>
                <c:pt idx="141">
                  <c:v>0.74854041660856674</c:v>
                </c:pt>
                <c:pt idx="142">
                  <c:v>0.74857851477286719</c:v>
                </c:pt>
                <c:pt idx="143">
                  <c:v>0.74861561849578684</c:v>
                </c:pt>
                <c:pt idx="144">
                  <c:v>0.74865175373431558</c:v>
                </c:pt>
                <c:pt idx="145">
                  <c:v>0.7486869457679115</c:v>
                </c:pt>
                <c:pt idx="146">
                  <c:v>0.74872121921618662</c:v>
                </c:pt>
                <c:pt idx="147">
                  <c:v>0.74875459805612954</c:v>
                </c:pt>
                <c:pt idx="148">
                  <c:v>0.74878710563887951</c:v>
                </c:pt>
                <c:pt idx="149">
                  <c:v>0.7488187647060629</c:v>
                </c:pt>
                <c:pt idx="150">
                  <c:v>0.74884959740570167</c:v>
                </c:pt>
                <c:pt idx="151">
                  <c:v>0.7488796253077088</c:v>
                </c:pt>
                <c:pt idx="152">
                  <c:v>0.7489088694189775</c:v>
                </c:pt>
                <c:pt idx="153">
                  <c:v>0.74893735019807717</c:v>
                </c:pt>
                <c:pt idx="154">
                  <c:v>0.74896508756956626</c:v>
                </c:pt>
                <c:pt idx="155">
                  <c:v>0.74899210093793056</c:v>
                </c:pt>
                <c:pt idx="156">
                  <c:v>0.74901840920115847</c:v>
                </c:pt>
                <c:pt idx="157">
                  <c:v>0.74904403076396164</c:v>
                </c:pt>
                <c:pt idx="158">
                  <c:v>0.74906898355065021</c:v>
                </c:pt>
                <c:pt idx="159">
                  <c:v>0.74909328501767292</c:v>
                </c:pt>
                <c:pt idx="160">
                  <c:v>0.74911695216582841</c:v>
                </c:pt>
                <c:pt idx="161">
                  <c:v>0.74914000155215932</c:v>
                </c:pt>
                <c:pt idx="162">
                  <c:v>0.74916244930153508</c:v>
                </c:pt>
                <c:pt idx="163">
                  <c:v>0.74918431111793238</c:v>
                </c:pt>
                <c:pt idx="164">
                  <c:v>0.74920560229542144</c:v>
                </c:pt>
                <c:pt idx="165">
                  <c:v>0.74922633772886527</c:v>
                </c:pt>
                <c:pt idx="166">
                  <c:v>0.74924653192434032</c:v>
                </c:pt>
                <c:pt idx="167">
                  <c:v>0.74926619900928393</c:v>
                </c:pt>
                <c:pt idx="168">
                  <c:v>0.74928535274237806</c:v>
                </c:pt>
                <c:pt idx="169">
                  <c:v>0.74930400652317442</c:v>
                </c:pt>
                <c:pt idx="170">
                  <c:v>0.74932217340146834</c:v>
                </c:pt>
                <c:pt idx="171">
                  <c:v>0.74933986608642877</c:v>
                </c:pt>
                <c:pt idx="172">
                  <c:v>0.74935709695548847</c:v>
                </c:pt>
                <c:pt idx="173">
                  <c:v>0.74937387806300371</c:v>
                </c:pt>
                <c:pt idx="174">
                  <c:v>0.7493902211486867</c:v>
                </c:pt>
                <c:pt idx="175">
                  <c:v>0.74940613764581909</c:v>
                </c:pt>
                <c:pt idx="176">
                  <c:v>0.74942163868924994</c:v>
                </c:pt>
                <c:pt idx="177">
                  <c:v>0.74943673512318532</c:v>
                </c:pt>
                <c:pt idx="178">
                  <c:v>0.74945143750877519</c:v>
                </c:pt>
                <c:pt idx="179">
                  <c:v>0.74946575613150168</c:v>
                </c:pt>
                <c:pt idx="180">
                  <c:v>0.74947970100837402</c:v>
                </c:pt>
                <c:pt idx="181">
                  <c:v>0.74949328189493702</c:v>
                </c:pt>
                <c:pt idx="182">
                  <c:v>0.74950650829209531</c:v>
                </c:pt>
                <c:pt idx="183">
                  <c:v>0.74951938945276009</c:v>
                </c:pt>
                <c:pt idx="184">
                  <c:v>0.74953193438832233</c:v>
                </c:pt>
                <c:pt idx="185">
                  <c:v>0.74954415187495704</c:v>
                </c:pt>
                <c:pt idx="186">
                  <c:v>0.7495560504597627</c:v>
                </c:pt>
                <c:pt idx="187">
                  <c:v>0.74956763846674079</c:v>
                </c:pt>
                <c:pt idx="188">
                  <c:v>0.74957892400261905</c:v>
                </c:pt>
                <c:pt idx="189">
                  <c:v>0.74958991496252259</c:v>
                </c:pt>
                <c:pt idx="190">
                  <c:v>0.74960061903549757</c:v>
                </c:pt>
                <c:pt idx="191">
                  <c:v>0.74961104370988985</c:v>
                </c:pt>
                <c:pt idx="192">
                  <c:v>0.74962119627858392</c:v>
                </c:pt>
                <c:pt idx="193">
                  <c:v>0.74963108384410493</c:v>
                </c:pt>
                <c:pt idx="194">
                  <c:v>0.74964071332358717</c:v>
                </c:pt>
                <c:pt idx="195">
                  <c:v>0.74965009145361328</c:v>
                </c:pt>
                <c:pt idx="196">
                  <c:v>0.74965922479492741</c:v>
                </c:pt>
                <c:pt idx="197">
                  <c:v>0.7496681197370243</c:v>
                </c:pt>
                <c:pt idx="198">
                  <c:v>0.74967678250261971</c:v>
                </c:pt>
                <c:pt idx="199">
                  <c:v>0.74968521915200348</c:v>
                </c:pt>
                <c:pt idx="200">
                  <c:v>0.74969343558727952</c:v>
                </c:pt>
                <c:pt idx="201">
                  <c:v>0.7497014375564941</c:v>
                </c:pt>
                <c:pt idx="202">
                  <c:v>0.74970923065765804</c:v>
                </c:pt>
                <c:pt idx="203">
                  <c:v>0.74971682034266207</c:v>
                </c:pt>
                <c:pt idx="204">
                  <c:v>0.74972421192109129</c:v>
                </c:pt>
                <c:pt idx="205">
                  <c:v>0.74973141056393966</c:v>
                </c:pt>
                <c:pt idx="206">
                  <c:v>0.74973842130722745</c:v>
                </c:pt>
                <c:pt idx="207">
                  <c:v>0.74974524905552409</c:v>
                </c:pt>
                <c:pt idx="208">
                  <c:v>0.74975189858537994</c:v>
                </c:pt>
                <c:pt idx="209">
                  <c:v>0.74975837454866701</c:v>
                </c:pt>
                <c:pt idx="210">
                  <c:v>0.74976468147583408</c:v>
                </c:pt>
                <c:pt idx="211">
                  <c:v>0.74977082377907567</c:v>
                </c:pt>
                <c:pt idx="212">
                  <c:v>0.74977680575541894</c:v>
                </c:pt>
                <c:pt idx="213">
                  <c:v>0.74978263158972946</c:v>
                </c:pt>
                <c:pt idx="214">
                  <c:v>0.74978830535763941</c:v>
                </c:pt>
                <c:pt idx="215">
                  <c:v>0.74979383102839825</c:v>
                </c:pt>
                <c:pt idx="216">
                  <c:v>0.74979921246764991</c:v>
                </c:pt>
                <c:pt idx="217">
                  <c:v>0.74980445344013691</c:v>
                </c:pt>
                <c:pt idx="218">
                  <c:v>0.74980955761233414</c:v>
                </c:pt>
                <c:pt idx="219">
                  <c:v>0.74981452855501385</c:v>
                </c:pt>
                <c:pt idx="220">
                  <c:v>0.7498193697457437</c:v>
                </c:pt>
                <c:pt idx="221">
                  <c:v>0.74982408457131977</c:v>
                </c:pt>
                <c:pt idx="222">
                  <c:v>0.74982867633013539</c:v>
                </c:pt>
                <c:pt idx="223">
                  <c:v>0.74983314823448932</c:v>
                </c:pt>
                <c:pt idx="224">
                  <c:v>0.7498375034128324</c:v>
                </c:pt>
                <c:pt idx="225">
                  <c:v>0.74984174491195643</c:v>
                </c:pt>
                <c:pt idx="226">
                  <c:v>0.74984587569912553</c:v>
                </c:pt>
                <c:pt idx="227">
                  <c:v>0.7498498986641523</c:v>
                </c:pt>
                <c:pt idx="228">
                  <c:v>0.74985381662141903</c:v>
                </c:pt>
                <c:pt idx="229">
                  <c:v>0.74985763231184677</c:v>
                </c:pt>
                <c:pt idx="230">
                  <c:v>0.74986134840481289</c:v>
                </c:pt>
                <c:pt idx="231">
                  <c:v>0.7498649675000183</c:v>
                </c:pt>
                <c:pt idx="232">
                  <c:v>0.74986849212930662</c:v>
                </c:pt>
                <c:pt idx="233">
                  <c:v>0.74987192475843489</c:v>
                </c:pt>
                <c:pt idx="234">
                  <c:v>0.74987526778879865</c:v>
                </c:pt>
                <c:pt idx="235">
                  <c:v>0.74987852355911211</c:v>
                </c:pt>
                <c:pt idx="236">
                  <c:v>0.74988169434704433</c:v>
                </c:pt>
                <c:pt idx="237">
                  <c:v>0.74988478237081224</c:v>
                </c:pt>
                <c:pt idx="238">
                  <c:v>0.74988778979073278</c:v>
                </c:pt>
                <c:pt idx="239">
                  <c:v>0.74989071871073409</c:v>
                </c:pt>
                <c:pt idx="240">
                  <c:v>0.74989357117982758</c:v>
                </c:pt>
                <c:pt idx="241">
                  <c:v>0.74989634919354098</c:v>
                </c:pt>
                <c:pt idx="242">
                  <c:v>0.74989905469531459</c:v>
                </c:pt>
                <c:pt idx="243">
                  <c:v>0.74990168957786119</c:v>
                </c:pt>
                <c:pt idx="244">
                  <c:v>0.74990425568448926</c:v>
                </c:pt>
                <c:pt idx="245">
                  <c:v>0.74990675481039371</c:v>
                </c:pt>
                <c:pt idx="246">
                  <c:v>0.74990918870391066</c:v>
                </c:pt>
                <c:pt idx="247">
                  <c:v>0.74991155906774121</c:v>
                </c:pt>
                <c:pt idx="248">
                  <c:v>0.74991386756014244</c:v>
                </c:pt>
                <c:pt idx="249">
                  <c:v>0.74991611579608741</c:v>
                </c:pt>
                <c:pt idx="250">
                  <c:v>0.74991830534839499</c:v>
                </c:pt>
                <c:pt idx="251">
                  <c:v>0.74992043774883033</c:v>
                </c:pt>
                <c:pt idx="252">
                  <c:v>0.74992251448917624</c:v>
                </c:pt>
                <c:pt idx="253">
                  <c:v>0.74992453702227679</c:v>
                </c:pt>
                <c:pt idx="254">
                  <c:v>0.74992650676305406</c:v>
                </c:pt>
                <c:pt idx="255">
                  <c:v>0.74992842508949753</c:v>
                </c:pt>
                <c:pt idx="256">
                  <c:v>0.74993029334362815</c:v>
                </c:pt>
                <c:pt idx="257">
                  <c:v>0.74993211283243766</c:v>
                </c:pt>
                <c:pt idx="258">
                  <c:v>0.74993388482880241</c:v>
                </c:pt>
                <c:pt idx="259">
                  <c:v>0.74993561057237412</c:v>
                </c:pt>
                <c:pt idx="260">
                  <c:v>0.74993729127044673</c:v>
                </c:pt>
                <c:pt idx="261">
                  <c:v>0.7499389280988018</c:v>
                </c:pt>
                <c:pt idx="262">
                  <c:v>0.74994052220253005</c:v>
                </c:pt>
                <c:pt idx="263">
                  <c:v>0.74994207469683327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A4-4C1E-8BD2-60FA58B0E843}"/>
            </c:ext>
          </c:extLst>
        </c:ser>
        <c:ser>
          <c:idx val="9"/>
          <c:order val="3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system'!$B$5:$B$279</c:f>
              <c:numCache>
                <c:formatCode>General</c:formatCode>
                <c:ptCount val="275"/>
                <c:pt idx="0">
                  <c:v>0.63468360299323179</c:v>
                </c:pt>
                <c:pt idx="1">
                  <c:v>0.63769360095941929</c:v>
                </c:pt>
                <c:pt idx="2">
                  <c:v>0.64062503171407725</c:v>
                </c:pt>
                <c:pt idx="3">
                  <c:v>0.64347994602494607</c:v>
                </c:pt>
                <c:pt idx="4">
                  <c:v>0.64626034113045983</c:v>
                </c:pt>
                <c:pt idx="5">
                  <c:v>0.64896816213697261</c:v>
                </c:pt>
                <c:pt idx="6">
                  <c:v>0.65160530337951461</c:v>
                </c:pt>
                <c:pt idx="7">
                  <c:v>0.65417360974702898</c:v>
                </c:pt>
                <c:pt idx="8">
                  <c:v>0.65667487797301771</c:v>
                </c:pt>
                <c:pt idx="9">
                  <c:v>0.65911085789249901</c:v>
                </c:pt>
                <c:pt idx="10">
                  <c:v>0.66148325366615512</c:v>
                </c:pt>
                <c:pt idx="11">
                  <c:v>0.66379372497252764</c:v>
                </c:pt>
                <c:pt idx="12">
                  <c:v>0.66604388816909432</c:v>
                </c:pt>
                <c:pt idx="13">
                  <c:v>0.66823531742303821</c:v>
                </c:pt>
                <c:pt idx="14">
                  <c:v>0.67036954581250285</c:v>
                </c:pt>
                <c:pt idx="15">
                  <c:v>0.67244806639910149</c:v>
                </c:pt>
                <c:pt idx="16">
                  <c:v>0.67447233327243183</c:v>
                </c:pt>
                <c:pt idx="17">
                  <c:v>0.67644376256732675</c:v>
                </c:pt>
                <c:pt idx="18">
                  <c:v>0.67836373345455236</c:v>
                </c:pt>
                <c:pt idx="19">
                  <c:v>0.68023358910564768</c:v>
                </c:pt>
                <c:pt idx="20">
                  <c:v>0.68205463763257901</c:v>
                </c:pt>
                <c:pt idx="21">
                  <c:v>0.6838281530028677</c:v>
                </c:pt>
                <c:pt idx="22">
                  <c:v>0.68555537593083127</c:v>
                </c:pt>
                <c:pt idx="23">
                  <c:v>0.68723751474556138</c:v>
                </c:pt>
                <c:pt idx="24">
                  <c:v>0.68887574623624559</c:v>
                </c:pt>
                <c:pt idx="25">
                  <c:v>0.69047121647542442</c:v>
                </c:pt>
                <c:pt idx="26">
                  <c:v>0.69202504162075973</c:v>
                </c:pt>
                <c:pt idx="27">
                  <c:v>0.69353830869587552</c:v>
                </c:pt>
                <c:pt idx="28">
                  <c:v>0.69501207635081663</c:v>
                </c:pt>
                <c:pt idx="29">
                  <c:v>0.69644737560265846</c:v>
                </c:pt>
                <c:pt idx="30">
                  <c:v>0.69784521055678506</c:v>
                </c:pt>
                <c:pt idx="31">
                  <c:v>0.69920655910934004</c:v>
                </c:pt>
                <c:pt idx="32">
                  <c:v>0.70053237363134224</c:v>
                </c:pt>
                <c:pt idx="33">
                  <c:v>0.70182358163494518</c:v>
                </c:pt>
                <c:pt idx="34">
                  <c:v>0.70308108642230427</c:v>
                </c:pt>
                <c:pt idx="35">
                  <c:v>0.70430576771750897</c:v>
                </c:pt>
                <c:pt idx="36">
                  <c:v>0.70549848228201906</c:v>
                </c:pt>
                <c:pt idx="37">
                  <c:v>0.70666006451403685</c:v>
                </c:pt>
                <c:pt idx="38">
                  <c:v>0.70779132703223535</c:v>
                </c:pt>
                <c:pt idx="39">
                  <c:v>0.70889306124424845</c:v>
                </c:pt>
                <c:pt idx="40">
                  <c:v>0.70996603790032398</c:v>
                </c:pt>
                <c:pt idx="41">
                  <c:v>0.71101100763252423</c:v>
                </c:pt>
                <c:pt idx="42">
                  <c:v>0.71202870147985209</c:v>
                </c:pt>
                <c:pt idx="43">
                  <c:v>0.71301983139967118</c:v>
                </c:pt>
                <c:pt idx="44">
                  <c:v>0.7139850907657761</c:v>
                </c:pt>
                <c:pt idx="45">
                  <c:v>0.71492515485346242</c:v>
                </c:pt>
                <c:pt idx="46">
                  <c:v>0.7158406813119349</c:v>
                </c:pt>
                <c:pt idx="47">
                  <c:v>0.71673231062438558</c:v>
                </c:pt>
                <c:pt idx="48">
                  <c:v>0.71760066655606181</c:v>
                </c:pt>
                <c:pt idx="49">
                  <c:v>0.71844635659063993</c:v>
                </c:pt>
                <c:pt idx="50">
                  <c:v>0.71926997235520818</c:v>
                </c:pt>
                <c:pt idx="51">
                  <c:v>0.72007209003415606</c:v>
                </c:pt>
                <c:pt idx="52">
                  <c:v>0.7208532707722618</c:v>
                </c:pt>
                <c:pt idx="53">
                  <c:v>0.72161406106725645</c:v>
                </c:pt>
                <c:pt idx="54">
                  <c:v>0.72235499315214347</c:v>
                </c:pt>
                <c:pt idx="55">
                  <c:v>0.72307658536753683</c:v>
                </c:pt>
                <c:pt idx="56">
                  <c:v>0.72377934252428167</c:v>
                </c:pt>
                <c:pt idx="57">
                  <c:v>0.72446375625660953</c:v>
                </c:pt>
                <c:pt idx="58">
                  <c:v>0.72513030536607548</c:v>
                </c:pt>
                <c:pt idx="59">
                  <c:v>0.72577945615651696</c:v>
                </c:pt>
                <c:pt idx="60">
                  <c:v>0.72641166276027136</c:v>
                </c:pt>
                <c:pt idx="61">
                  <c:v>0.72702736745587648</c:v>
                </c:pt>
                <c:pt idx="62">
                  <c:v>0.7276270009774799</c:v>
                </c:pt>
                <c:pt idx="63">
                  <c:v>0.72821098281617147</c:v>
                </c:pt>
                <c:pt idx="64">
                  <c:v>0.7287797215134505</c:v>
                </c:pt>
                <c:pt idx="65">
                  <c:v>0.72933361494703308</c:v>
                </c:pt>
                <c:pt idx="66">
                  <c:v>0.72987305060919849</c:v>
                </c:pt>
                <c:pt idx="67">
                  <c:v>0.7303984058778713</c:v>
                </c:pt>
                <c:pt idx="68">
                  <c:v>0.73091004828062678</c:v>
                </c:pt>
                <c:pt idx="69">
                  <c:v>0.73140833575180531</c:v>
                </c:pt>
                <c:pt idx="70">
                  <c:v>0.73189361688291654</c:v>
                </c:pt>
                <c:pt idx="71">
                  <c:v>0.73236623116650557</c:v>
                </c:pt>
                <c:pt idx="72">
                  <c:v>0.73282650923365611</c:v>
                </c:pt>
                <c:pt idx="73">
                  <c:v>0.7332747730852921</c:v>
                </c:pt>
                <c:pt idx="74">
                  <c:v>0.73371133631744323</c:v>
                </c:pt>
                <c:pt idx="75">
                  <c:v>0.73413650434063016</c:v>
                </c:pt>
                <c:pt idx="76">
                  <c:v>0.73455057459352335</c:v>
                </c:pt>
                <c:pt idx="77">
                  <c:v>0.73495383675102499</c:v>
                </c:pt>
                <c:pt idx="78">
                  <c:v>0.73534657292691918</c:v>
                </c:pt>
                <c:pt idx="79">
                  <c:v>0.73572905787123344</c:v>
                </c:pt>
                <c:pt idx="80">
                  <c:v>0.73610155916244746</c:v>
                </c:pt>
                <c:pt idx="81">
                  <c:v>0.73646433739468575</c:v>
                </c:pt>
                <c:pt idx="82">
                  <c:v>0.736817646360024</c:v>
                </c:pt>
                <c:pt idx="83">
                  <c:v>0.7371617332260364</c:v>
                </c:pt>
                <c:pt idx="84">
                  <c:v>0.73749683870870886</c:v>
                </c:pt>
                <c:pt idx="85">
                  <c:v>0.73782319724083922</c:v>
                </c:pt>
                <c:pt idx="86">
                  <c:v>0.73814103713604162</c:v>
                </c:pt>
                <c:pt idx="87">
                  <c:v>0.73845058074846914</c:v>
                </c:pt>
                <c:pt idx="88">
                  <c:v>0.73875204462836919</c:v>
                </c:pt>
                <c:pt idx="89">
                  <c:v>0.73904563967357673</c:v>
                </c:pt>
                <c:pt idx="90">
                  <c:v>0.73933157127705451</c:v>
                </c:pt>
                <c:pt idx="91">
                  <c:v>0.73961003947058124</c:v>
                </c:pt>
                <c:pt idx="92">
                  <c:v>0.73988123906468994</c:v>
                </c:pt>
                <c:pt idx="93">
                  <c:v>0.74014535978495344</c:v>
                </c:pt>
                <c:pt idx="94">
                  <c:v>0.74040258640471213</c:v>
                </c:pt>
                <c:pt idx="95">
                  <c:v>0.74065309887433761</c:v>
                </c:pt>
                <c:pt idx="96">
                  <c:v>0.74089707244712233</c:v>
                </c:pt>
                <c:pt idx="97">
                  <c:v>0.74113467780188291</c:v>
                </c:pt>
                <c:pt idx="98">
                  <c:v>0.74136608116236402</c:v>
                </c:pt>
                <c:pt idx="99">
                  <c:v>0.74159144441352409</c:v>
                </c:pt>
                <c:pt idx="100">
                  <c:v>0.74181092521478753</c:v>
                </c:pt>
                <c:pt idx="101">
                  <c:v>0.74202467711033981</c:v>
                </c:pt>
                <c:pt idx="102">
                  <c:v>0.74223284963654312</c:v>
                </c:pt>
                <c:pt idx="103">
                  <c:v>0.74243558842654978</c:v>
                </c:pt>
                <c:pt idx="104">
                  <c:v>0.7426330353121835</c:v>
                </c:pt>
                <c:pt idx="105">
                  <c:v>0.74282532842316229</c:v>
                </c:pt>
                <c:pt idx="106">
                  <c:v>0.74301260228373112</c:v>
                </c:pt>
                <c:pt idx="107">
                  <c:v>0.74319498790677208</c:v>
                </c:pt>
                <c:pt idx="108">
                  <c:v>0.74337261288545831</c:v>
                </c:pt>
                <c:pt idx="109">
                  <c:v>0.74354560148251558</c:v>
                </c:pt>
                <c:pt idx="110">
                  <c:v>0.74371407471715412</c:v>
                </c:pt>
                <c:pt idx="111">
                  <c:v>0.74387815044973071</c:v>
                </c:pt>
                <c:pt idx="112">
                  <c:v>0.74403794346420138</c:v>
                </c:pt>
                <c:pt idx="113">
                  <c:v>0.74419356554842242</c:v>
                </c:pt>
                <c:pt idx="114">
                  <c:v>0.74434512557235399</c:v>
                </c:pt>
                <c:pt idx="115">
                  <c:v>0.74449272956422397</c:v>
                </c:pt>
                <c:pt idx="116">
                  <c:v>0.74463648078470268</c:v>
                </c:pt>
                <c:pt idx="117">
                  <c:v>0.74477647979914208</c:v>
                </c:pt>
                <c:pt idx="118">
                  <c:v>0.74491282454792918</c:v>
                </c:pt>
                <c:pt idx="119">
                  <c:v>0.74504561041500306</c:v>
                </c:pt>
                <c:pt idx="120">
                  <c:v>0.74517493029458326</c:v>
                </c:pt>
                <c:pt idx="121">
                  <c:v>0.74530087465615713</c:v>
                </c:pt>
                <c:pt idx="122">
                  <c:v>0.74542353160776997</c:v>
                </c:pt>
                <c:pt idx="123">
                  <c:v>0.74554298695766374</c:v>
                </c:pt>
                <c:pt idx="124">
                  <c:v>0.7456593242743067</c:v>
                </c:pt>
                <c:pt idx="125">
                  <c:v>0.74577262494485619</c:v>
                </c:pt>
                <c:pt idx="126">
                  <c:v>0.74588296823209532</c:v>
                </c:pt>
                <c:pt idx="127">
                  <c:v>0.74599043132988352</c:v>
                </c:pt>
                <c:pt idx="128">
                  <c:v>0.74609508941715996</c:v>
                </c:pt>
                <c:pt idx="129">
                  <c:v>0.74619701571053698</c:v>
                </c:pt>
                <c:pt idx="130">
                  <c:v>0.74629628151552097</c:v>
                </c:pt>
                <c:pt idx="131">
                  <c:v>0.74639295627639612</c:v>
                </c:pt>
                <c:pt idx="132">
                  <c:v>0.7464871076248063</c:v>
                </c:pt>
                <c:pt idx="133">
                  <c:v>0.74657880142706889</c:v>
                </c:pt>
                <c:pt idx="134">
                  <c:v>0.74666810183025301</c:v>
                </c:pt>
                <c:pt idx="135">
                  <c:v>0.74675507130705598</c:v>
                </c:pt>
                <c:pt idx="136">
                  <c:v>0.74683977069950758</c:v>
                </c:pt>
                <c:pt idx="137">
                  <c:v>0.7469222592615341</c:v>
                </c:pt>
                <c:pt idx="138">
                  <c:v>0.74700259470041097</c:v>
                </c:pt>
                <c:pt idx="139">
                  <c:v>0.74708083321713359</c:v>
                </c:pt>
                <c:pt idx="140">
                  <c:v>0.74715702954573437</c:v>
                </c:pt>
                <c:pt idx="141">
                  <c:v>0.74723123699157379</c:v>
                </c:pt>
                <c:pt idx="142">
                  <c:v>0.74730350746863117</c:v>
                </c:pt>
                <c:pt idx="143">
                  <c:v>0.74737389153582312</c:v>
                </c:pt>
                <c:pt idx="144">
                  <c:v>0.74744243843237324</c:v>
                </c:pt>
                <c:pt idx="145">
                  <c:v>0.74750919611225897</c:v>
                </c:pt>
                <c:pt idx="146">
                  <c:v>0.74757421127775914</c:v>
                </c:pt>
                <c:pt idx="147">
                  <c:v>0.74763752941212569</c:v>
                </c:pt>
                <c:pt idx="148">
                  <c:v>0.74769919481140334</c:v>
                </c:pt>
                <c:pt idx="149">
                  <c:v>0.74775925061541759</c:v>
                </c:pt>
                <c:pt idx="150">
                  <c:v>0.74781773883795488</c:v>
                </c:pt>
                <c:pt idx="151">
                  <c:v>0.74787470039615433</c:v>
                </c:pt>
                <c:pt idx="152">
                  <c:v>0.7479301751391324</c:v>
                </c:pt>
                <c:pt idx="153">
                  <c:v>0.74798420187586101</c:v>
                </c:pt>
                <c:pt idx="154">
                  <c:v>0.74803681840231684</c:v>
                </c:pt>
                <c:pt idx="155">
                  <c:v>0.74808806152792318</c:v>
                </c:pt>
                <c:pt idx="156">
                  <c:v>0.74813796710130043</c:v>
                </c:pt>
                <c:pt idx="157">
                  <c:v>0.74818657003534572</c:v>
                </c:pt>
                <c:pt idx="158">
                  <c:v>0.74823390433165671</c:v>
                </c:pt>
                <c:pt idx="159">
                  <c:v>0.74828000310431864</c:v>
                </c:pt>
                <c:pt idx="160">
                  <c:v>0.74832489860307017</c:v>
                </c:pt>
                <c:pt idx="161">
                  <c:v>0.74836862223586476</c:v>
                </c:pt>
                <c:pt idx="162">
                  <c:v>0.74841120459084276</c:v>
                </c:pt>
                <c:pt idx="163">
                  <c:v>0.74845267545773064</c:v>
                </c:pt>
                <c:pt idx="164">
                  <c:v>0.74849306384868075</c:v>
                </c:pt>
                <c:pt idx="165">
                  <c:v>0.74853239801856786</c:v>
                </c:pt>
                <c:pt idx="166">
                  <c:v>0.74857070548475613</c:v>
                </c:pt>
                <c:pt idx="167">
                  <c:v>0.74860801304634872</c:v>
                </c:pt>
                <c:pt idx="168">
                  <c:v>0.74864434680293679</c:v>
                </c:pt>
                <c:pt idx="169">
                  <c:v>0.74867973217285755</c:v>
                </c:pt>
                <c:pt idx="170">
                  <c:v>0.74871419391097693</c:v>
                </c:pt>
                <c:pt idx="171">
                  <c:v>0.7487477561260073</c:v>
                </c:pt>
                <c:pt idx="172">
                  <c:v>0.74878044229737351</c:v>
                </c:pt>
                <c:pt idx="173">
                  <c:v>0.7488122752916383</c:v>
                </c:pt>
                <c:pt idx="174">
                  <c:v>0.74884327737849976</c:v>
                </c:pt>
                <c:pt idx="175">
                  <c:v>0.74887347024637052</c:v>
                </c:pt>
                <c:pt idx="176">
                  <c:v>0.74890287501755048</c:v>
                </c:pt>
                <c:pt idx="177">
                  <c:v>0.74893151226300336</c:v>
                </c:pt>
                <c:pt idx="178">
                  <c:v>0.74895940201674815</c:v>
                </c:pt>
                <c:pt idx="179">
                  <c:v>0.74898656378987416</c:v>
                </c:pt>
                <c:pt idx="180">
                  <c:v>0.74901301658419062</c:v>
                </c:pt>
                <c:pt idx="181">
                  <c:v>0.74903877890552018</c:v>
                </c:pt>
                <c:pt idx="182">
                  <c:v>0.74906386877664466</c:v>
                </c:pt>
                <c:pt idx="183">
                  <c:v>0.74908830374991398</c:v>
                </c:pt>
                <c:pt idx="184">
                  <c:v>0.7491121009195254</c:v>
                </c:pt>
                <c:pt idx="185">
                  <c:v>0.74913527693348159</c:v>
                </c:pt>
                <c:pt idx="186">
                  <c:v>0.74915784800523799</c:v>
                </c:pt>
                <c:pt idx="187">
                  <c:v>0.74917982992504517</c:v>
                </c:pt>
                <c:pt idx="188">
                  <c:v>0.74920123807099515</c:v>
                </c:pt>
                <c:pt idx="189">
                  <c:v>0.74922208741977969</c:v>
                </c:pt>
                <c:pt idx="190">
                  <c:v>0.74924239255716785</c:v>
                </c:pt>
                <c:pt idx="191">
                  <c:v>0.74926216768820986</c:v>
                </c:pt>
                <c:pt idx="192">
                  <c:v>0.74928142664717423</c:v>
                </c:pt>
                <c:pt idx="193">
                  <c:v>0.74930018290722666</c:v>
                </c:pt>
                <c:pt idx="194">
                  <c:v>0.74931844958985483</c:v>
                </c:pt>
                <c:pt idx="195">
                  <c:v>0.74933623947404859</c:v>
                </c:pt>
                <c:pt idx="196">
                  <c:v>0.74935356500523931</c:v>
                </c:pt>
                <c:pt idx="197">
                  <c:v>0.74937043830400696</c:v>
                </c:pt>
                <c:pt idx="198">
                  <c:v>0.74938687117455893</c:v>
                </c:pt>
                <c:pt idx="199">
                  <c:v>0.74940287511298831</c:v>
                </c:pt>
                <c:pt idx="200">
                  <c:v>0.74941846131531609</c:v>
                </c:pt>
                <c:pt idx="201">
                  <c:v>0.74943364068532414</c:v>
                </c:pt>
                <c:pt idx="202">
                  <c:v>0.74944842384218258</c:v>
                </c:pt>
                <c:pt idx="203">
                  <c:v>0.74946282112787932</c:v>
                </c:pt>
                <c:pt idx="204">
                  <c:v>0.7494768426144548</c:v>
                </c:pt>
                <c:pt idx="205">
                  <c:v>0.74949049811104818</c:v>
                </c:pt>
                <c:pt idx="206">
                  <c:v>0.74950379717075977</c:v>
                </c:pt>
                <c:pt idx="207">
                  <c:v>0.7495167490973339</c:v>
                </c:pt>
                <c:pt idx="208">
                  <c:v>0.74952936295166805</c:v>
                </c:pt>
                <c:pt idx="209">
                  <c:v>0.74954164755815134</c:v>
                </c:pt>
                <c:pt idx="210">
                  <c:v>0.74955361151083777</c:v>
                </c:pt>
                <c:pt idx="211">
                  <c:v>0.74956526317945893</c:v>
                </c:pt>
                <c:pt idx="212">
                  <c:v>0.74957661071527881</c:v>
                </c:pt>
                <c:pt idx="213">
                  <c:v>0.7495876620567965</c:v>
                </c:pt>
                <c:pt idx="214">
                  <c:v>0.74959842493529982</c:v>
                </c:pt>
                <c:pt idx="215">
                  <c:v>0.74960890688027382</c:v>
                </c:pt>
                <c:pt idx="216">
                  <c:v>0.74961911522466818</c:v>
                </c:pt>
                <c:pt idx="217">
                  <c:v>0.74962905711002759</c:v>
                </c:pt>
                <c:pt idx="218">
                  <c:v>0.7496387394914874</c:v>
                </c:pt>
                <c:pt idx="219">
                  <c:v>0.74964816914263943</c:v>
                </c:pt>
                <c:pt idx="220">
                  <c:v>0.74965735266027089</c:v>
                </c:pt>
                <c:pt idx="221">
                  <c:v>0.74966629646897864</c:v>
                </c:pt>
                <c:pt idx="222">
                  <c:v>0.74967500682566479</c:v>
                </c:pt>
                <c:pt idx="223">
                  <c:v>0.74968348982391275</c:v>
                </c:pt>
                <c:pt idx="224">
                  <c:v>0.74969175139825106</c:v>
                </c:pt>
                <c:pt idx="225">
                  <c:v>0.74969979732830461</c:v>
                </c:pt>
                <c:pt idx="226">
                  <c:v>0.74970763324283807</c:v>
                </c:pt>
                <c:pt idx="227">
                  <c:v>0.74971526462369353</c:v>
                </c:pt>
                <c:pt idx="228">
                  <c:v>0.74972269680962567</c:v>
                </c:pt>
                <c:pt idx="229">
                  <c:v>0.74972993500003671</c:v>
                </c:pt>
                <c:pt idx="230">
                  <c:v>0.74973698425861335</c:v>
                </c:pt>
                <c:pt idx="231">
                  <c:v>0.74974384951686979</c:v>
                </c:pt>
                <c:pt idx="232">
                  <c:v>0.74975053557759719</c:v>
                </c:pt>
                <c:pt idx="233">
                  <c:v>0.74975704711822422</c:v>
                </c:pt>
                <c:pt idx="234">
                  <c:v>0.74976338869408854</c:v>
                </c:pt>
                <c:pt idx="235">
                  <c:v>0.74976956474162437</c:v>
                </c:pt>
                <c:pt idx="236">
                  <c:v>0.74977557958146546</c:v>
                </c:pt>
                <c:pt idx="237">
                  <c:v>0.74978143742146819</c:v>
                </c:pt>
                <c:pt idx="238">
                  <c:v>0.74978714235965516</c:v>
                </c:pt>
                <c:pt idx="239">
                  <c:v>0.74979269838708196</c:v>
                </c:pt>
                <c:pt idx="240">
                  <c:v>0.7497981093906293</c:v>
                </c:pt>
                <c:pt idx="241">
                  <c:v>0.74980337915572226</c:v>
                </c:pt>
                <c:pt idx="242">
                  <c:v>0.74980851136897864</c:v>
                </c:pt>
                <c:pt idx="243">
                  <c:v>0.74981350962078741</c:v>
                </c:pt>
                <c:pt idx="244">
                  <c:v>0.74981837740782131</c:v>
                </c:pt>
                <c:pt idx="245">
                  <c:v>0.74982311813548241</c:v>
                </c:pt>
                <c:pt idx="246">
                  <c:v>0.74982773512028489</c:v>
                </c:pt>
                <c:pt idx="247">
                  <c:v>0.74983223159217482</c:v>
                </c:pt>
                <c:pt idx="248">
                  <c:v>0.74983661069678997</c:v>
                </c:pt>
                <c:pt idx="249">
                  <c:v>0.74984087549766065</c:v>
                </c:pt>
                <c:pt idx="250">
                  <c:v>0.74984502897835248</c:v>
                </c:pt>
                <c:pt idx="251">
                  <c:v>0.7498490740445537</c:v>
                </c:pt>
                <c:pt idx="252">
                  <c:v>0.74985301352610811</c:v>
                </c:pt>
                <c:pt idx="253">
                  <c:v>0.74985685017899495</c:v>
                </c:pt>
                <c:pt idx="254">
                  <c:v>0.7498605866872563</c:v>
                </c:pt>
                <c:pt idx="255">
                  <c:v>0.74986422566487532</c:v>
                </c:pt>
                <c:pt idx="256">
                  <c:v>0.74986776965760493</c:v>
                </c:pt>
                <c:pt idx="257">
                  <c:v>0.74987122114474813</c:v>
                </c:pt>
                <c:pt idx="258">
                  <c:v>0.74987458254089356</c:v>
                </c:pt>
                <c:pt idx="259">
                  <c:v>0.7498778561976035</c:v>
                </c:pt>
                <c:pt idx="260">
                  <c:v>0.74988104440506009</c:v>
                </c:pt>
                <c:pt idx="261">
                  <c:v>0.74988414939366643</c:v>
                </c:pt>
                <c:pt idx="262">
                  <c:v>0.74988717333560784</c:v>
                </c:pt>
                <c:pt idx="263">
                  <c:v>0.74989011834637098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A4-4C1E-8BD2-60FA58B0E843}"/>
            </c:ext>
          </c:extLst>
        </c:ser>
        <c:ser>
          <c:idx val="10"/>
          <c:order val="4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system'!$D$5:$D$278</c:f>
              <c:numCache>
                <c:formatCode>0.00</c:formatCode>
                <c:ptCount val="27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A4-4C1E-8BD2-60FA58B0E843}"/>
            </c:ext>
          </c:extLst>
        </c:ser>
        <c:ser>
          <c:idx val="11"/>
          <c:order val="5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system'!$F$5:$F$278</c:f>
              <c:numCache>
                <c:formatCode>0.00</c:formatCode>
                <c:ptCount val="274"/>
                <c:pt idx="0">
                  <c:v>0.75</c:v>
                </c:pt>
                <c:pt idx="1">
                  <c:v>0.75</c:v>
                </c:pt>
                <c:pt idx="2">
                  <c:v>0.69234180149661595</c:v>
                </c:pt>
                <c:pt idx="3">
                  <c:v>0.6938468004797097</c:v>
                </c:pt>
                <c:pt idx="4">
                  <c:v>0.69531251585703868</c:v>
                </c:pt>
                <c:pt idx="5">
                  <c:v>0.69673997301247304</c:v>
                </c:pt>
                <c:pt idx="6">
                  <c:v>0.69813017056522986</c:v>
                </c:pt>
                <c:pt idx="7">
                  <c:v>0.69948408106848636</c:v>
                </c:pt>
                <c:pt idx="8">
                  <c:v>0.70080265168975731</c:v>
                </c:pt>
                <c:pt idx="9">
                  <c:v>0.70208680487351449</c:v>
                </c:pt>
                <c:pt idx="10">
                  <c:v>0.70333743898650891</c:v>
                </c:pt>
                <c:pt idx="11">
                  <c:v>0.70455542894624956</c:v>
                </c:pt>
                <c:pt idx="12">
                  <c:v>0.70574162683307751</c:v>
                </c:pt>
                <c:pt idx="13">
                  <c:v>0.70689686248626382</c:v>
                </c:pt>
                <c:pt idx="14">
                  <c:v>0.70802194408454711</c:v>
                </c:pt>
                <c:pt idx="15">
                  <c:v>0.70911765871151911</c:v>
                </c:pt>
                <c:pt idx="16">
                  <c:v>0.71018477290625137</c:v>
                </c:pt>
                <c:pt idx="17">
                  <c:v>0.71122403319955074</c:v>
                </c:pt>
                <c:pt idx="18">
                  <c:v>0.71223616663621592</c:v>
                </c:pt>
                <c:pt idx="19">
                  <c:v>0.71322188128366337</c:v>
                </c:pt>
                <c:pt idx="20">
                  <c:v>0.71418186672727613</c:v>
                </c:pt>
                <c:pt idx="21">
                  <c:v>0.71511679455282384</c:v>
                </c:pt>
                <c:pt idx="22">
                  <c:v>0.71602731881628956</c:v>
                </c:pt>
                <c:pt idx="23">
                  <c:v>0.71691407650143379</c:v>
                </c:pt>
                <c:pt idx="24">
                  <c:v>0.71777768796541563</c:v>
                </c:pt>
                <c:pt idx="25">
                  <c:v>0.71861875737278069</c:v>
                </c:pt>
                <c:pt idx="26">
                  <c:v>0.71943787311812279</c:v>
                </c:pt>
                <c:pt idx="27">
                  <c:v>0.72023560823771227</c:v>
                </c:pt>
                <c:pt idx="28">
                  <c:v>0.72101252081037992</c:v>
                </c:pt>
                <c:pt idx="29">
                  <c:v>0.72176915434793776</c:v>
                </c:pt>
                <c:pt idx="30">
                  <c:v>0.72250603817540826</c:v>
                </c:pt>
                <c:pt idx="31">
                  <c:v>0.72322368780132928</c:v>
                </c:pt>
                <c:pt idx="32">
                  <c:v>0.72392260527839258</c:v>
                </c:pt>
                <c:pt idx="33">
                  <c:v>0.72460327955466997</c:v>
                </c:pt>
                <c:pt idx="34">
                  <c:v>0.72526618681567112</c:v>
                </c:pt>
                <c:pt idx="35">
                  <c:v>0.72591179081747259</c:v>
                </c:pt>
                <c:pt idx="36">
                  <c:v>0.72654054321115213</c:v>
                </c:pt>
                <c:pt idx="37">
                  <c:v>0.72715288385875443</c:v>
                </c:pt>
                <c:pt idx="38">
                  <c:v>0.72774924114100947</c:v>
                </c:pt>
                <c:pt idx="39">
                  <c:v>0.72833003225701842</c:v>
                </c:pt>
                <c:pt idx="40">
                  <c:v>0.72889566351611768</c:v>
                </c:pt>
                <c:pt idx="41">
                  <c:v>0.73521235047246269</c:v>
                </c:pt>
                <c:pt idx="42">
                  <c:v>0.73574883880050046</c:v>
                </c:pt>
                <c:pt idx="43">
                  <c:v>0.73627132366660053</c:v>
                </c:pt>
                <c:pt idx="44">
                  <c:v>0.73678017059026446</c:v>
                </c:pt>
                <c:pt idx="45">
                  <c:v>0.73727573555017401</c:v>
                </c:pt>
                <c:pt idx="46">
                  <c:v>0.73775836523322647</c:v>
                </c:pt>
                <c:pt idx="47">
                  <c:v>0.73822839727706957</c:v>
                </c:pt>
                <c:pt idx="48">
                  <c:v>0.73868616050630587</c:v>
                </c:pt>
                <c:pt idx="49">
                  <c:v>0.73913197516253115</c:v>
                </c:pt>
                <c:pt idx="50">
                  <c:v>0.73956615312836926</c:v>
                </c:pt>
                <c:pt idx="51">
                  <c:v>0.73998899814565844</c:v>
                </c:pt>
                <c:pt idx="52">
                  <c:v>0.74040080602794245</c:v>
                </c:pt>
                <c:pt idx="53">
                  <c:v>0.7408018648674165</c:v>
                </c:pt>
                <c:pt idx="54">
                  <c:v>0.74119245523646926</c:v>
                </c:pt>
                <c:pt idx="55">
                  <c:v>0.7415728503839667</c:v>
                </c:pt>
                <c:pt idx="56">
                  <c:v>0.7419433164264102</c:v>
                </c:pt>
                <c:pt idx="57">
                  <c:v>0.74230411253410677</c:v>
                </c:pt>
                <c:pt idx="58">
                  <c:v>0.74265549111247919</c:v>
                </c:pt>
                <c:pt idx="59">
                  <c:v>0.74299769797864323</c:v>
                </c:pt>
                <c:pt idx="60">
                  <c:v>0.7433309725333761</c:v>
                </c:pt>
                <c:pt idx="61">
                  <c:v>0.74365554792859689</c:v>
                </c:pt>
                <c:pt idx="62">
                  <c:v>0.74397165123047415</c:v>
                </c:pt>
                <c:pt idx="63">
                  <c:v>0.74427950357827666</c:v>
                </c:pt>
                <c:pt idx="64">
                  <c:v>0.74457932033907837</c:v>
                </c:pt>
                <c:pt idx="65">
                  <c:v>0.7448713112584241</c:v>
                </c:pt>
                <c:pt idx="66">
                  <c:v>0.74515568060706372</c:v>
                </c:pt>
                <c:pt idx="67">
                  <c:v>0.74543262732385496</c:v>
                </c:pt>
                <c:pt idx="68">
                  <c:v>0.74570234515493772</c:v>
                </c:pt>
                <c:pt idx="69">
                  <c:v>0.74596502278927412</c:v>
                </c:pt>
                <c:pt idx="70">
                  <c:v>0.74622084399065181</c:v>
                </c:pt>
                <c:pt idx="71">
                  <c:v>0.74646998772624107</c:v>
                </c:pt>
                <c:pt idx="72">
                  <c:v>0.74671262829179663</c:v>
                </c:pt>
                <c:pt idx="73">
                  <c:v>0.7469489354335912</c:v>
                </c:pt>
                <c:pt idx="74">
                  <c:v>0.74717907446716647</c:v>
                </c:pt>
                <c:pt idx="75">
                  <c:v>0.74740320639298452</c:v>
                </c:pt>
                <c:pt idx="76">
                  <c:v>0.74762148800906003</c:v>
                </c:pt>
                <c:pt idx="77">
                  <c:v>0.74783407202065344</c:v>
                </c:pt>
                <c:pt idx="78">
                  <c:v>0.74804110714710015</c:v>
                </c:pt>
                <c:pt idx="79">
                  <c:v>0.74824273822585086</c:v>
                </c:pt>
                <c:pt idx="80">
                  <c:v>0.74843910631379806</c:v>
                </c:pt>
                <c:pt idx="81">
                  <c:v>0.74863034878595514</c:v>
                </c:pt>
                <c:pt idx="82">
                  <c:v>0.74881659943156209</c:v>
                </c:pt>
                <c:pt idx="83">
                  <c:v>0.74899798854768129</c:v>
                </c:pt>
                <c:pt idx="84">
                  <c:v>0.74917464303035042</c:v>
                </c:pt>
                <c:pt idx="85">
                  <c:v>0.74934668646335656</c:v>
                </c:pt>
                <c:pt idx="86">
                  <c:v>0.74951423920469284</c:v>
                </c:pt>
                <c:pt idx="87">
                  <c:v>0.74967741847075808</c:v>
                </c:pt>
                <c:pt idx="88">
                  <c:v>0.74983633841835917</c:v>
                </c:pt>
                <c:pt idx="89">
                  <c:v>0.74999111022457299</c:v>
                </c:pt>
                <c:pt idx="90">
                  <c:v>0.75014184216452306</c:v>
                </c:pt>
                <c:pt idx="91">
                  <c:v>0.75028863968712678</c:v>
                </c:pt>
                <c:pt idx="92">
                  <c:v>0.75043160548886567</c:v>
                </c:pt>
                <c:pt idx="93">
                  <c:v>0.75057083958562898</c:v>
                </c:pt>
                <c:pt idx="94">
                  <c:v>0.75070643938268344</c:v>
                </c:pt>
                <c:pt idx="95">
                  <c:v>0.75083849974281514</c:v>
                </c:pt>
                <c:pt idx="96">
                  <c:v>0.75096711305269448</c:v>
                </c:pt>
                <c:pt idx="97">
                  <c:v>0.75109236928750722</c:v>
                </c:pt>
                <c:pt idx="98">
                  <c:v>0.75121435607389953</c:v>
                </c:pt>
                <c:pt idx="99">
                  <c:v>0.75133315875127993</c:v>
                </c:pt>
                <c:pt idx="100">
                  <c:v>0.75144886043152037</c:v>
                </c:pt>
                <c:pt idx="101">
                  <c:v>0.75156154205710046</c:v>
                </c:pt>
                <c:pt idx="102">
                  <c:v>0.75167128245773218</c:v>
                </c:pt>
                <c:pt idx="103">
                  <c:v>0.75177815840550832</c:v>
                </c:pt>
                <c:pt idx="104">
                  <c:v>0.75188224466860998</c:v>
                </c:pt>
                <c:pt idx="105">
                  <c:v>0.75198361406361325</c:v>
                </c:pt>
                <c:pt idx="106">
                  <c:v>0.75208233750643017</c:v>
                </c:pt>
                <c:pt idx="107">
                  <c:v>0.75217848406191956</c:v>
                </c:pt>
                <c:pt idx="108">
                  <c:v>0.75227212099220397</c:v>
                </c:pt>
                <c:pt idx="109">
                  <c:v>0.75236331380372445</c:v>
                </c:pt>
                <c:pt idx="110">
                  <c:v>0.75245212629306757</c:v>
                </c:pt>
                <c:pt idx="111">
                  <c:v>0.75253862059159626</c:v>
                </c:pt>
                <c:pt idx="112">
                  <c:v>0.75262285720891553</c:v>
                </c:pt>
                <c:pt idx="113">
                  <c:v>0.75270489507520377</c:v>
                </c:pt>
                <c:pt idx="114">
                  <c:v>0.75278479158243916</c:v>
                </c:pt>
                <c:pt idx="115">
                  <c:v>0.75286260262454963</c:v>
                </c:pt>
                <c:pt idx="116">
                  <c:v>0.75293838263651547</c:v>
                </c:pt>
                <c:pt idx="117">
                  <c:v>0.75301218463245034</c:v>
                </c:pt>
                <c:pt idx="118">
                  <c:v>0.7530840602426897</c:v>
                </c:pt>
                <c:pt idx="119">
                  <c:v>0.75315405974990945</c:v>
                </c:pt>
                <c:pt idx="120">
                  <c:v>0.75322223212430306</c:v>
                </c:pt>
                <c:pt idx="121">
                  <c:v>0.75328862505783989</c:v>
                </c:pt>
                <c:pt idx="122">
                  <c:v>0.75335328499762999</c:v>
                </c:pt>
                <c:pt idx="123">
                  <c:v>0.75341625717841698</c:v>
                </c:pt>
                <c:pt idx="124">
                  <c:v>0.7534775856542234</c:v>
                </c:pt>
                <c:pt idx="125">
                  <c:v>0.75353731332917029</c:v>
                </c:pt>
                <c:pt idx="126">
                  <c:v>0.75359548198749182</c:v>
                </c:pt>
                <c:pt idx="127">
                  <c:v>0.75365213232276651</c:v>
                </c:pt>
                <c:pt idx="128">
                  <c:v>0.75370730396638608</c:v>
                </c:pt>
                <c:pt idx="129">
                  <c:v>0.75376103551528018</c:v>
                </c:pt>
                <c:pt idx="130">
                  <c:v>0.75381336455891834</c:v>
                </c:pt>
                <c:pt idx="131">
                  <c:v>0.75386432770560685</c:v>
                </c:pt>
                <c:pt idx="132">
                  <c:v>0.7539139606080989</c:v>
                </c:pt>
                <c:pt idx="133">
                  <c:v>0.75396229798853642</c:v>
                </c:pt>
                <c:pt idx="134">
                  <c:v>0.75400937366274157</c:v>
                </c:pt>
                <c:pt idx="135">
                  <c:v>0.75405522056387286</c:v>
                </c:pt>
                <c:pt idx="136">
                  <c:v>0.75409987076546492</c:v>
                </c:pt>
                <c:pt idx="137">
                  <c:v>0.75414335550386635</c:v>
                </c:pt>
                <c:pt idx="138">
                  <c:v>0.7541857052000922</c:v>
                </c:pt>
                <c:pt idx="139">
                  <c:v>0.75422694948110547</c:v>
                </c:pt>
                <c:pt idx="140">
                  <c:v>0.75426711720054385</c:v>
                </c:pt>
                <c:pt idx="141">
                  <c:v>0.75430623645890515</c:v>
                </c:pt>
                <c:pt idx="142">
                  <c:v>0.7543443346232056</c:v>
                </c:pt>
                <c:pt idx="143">
                  <c:v>0.75438143834612525</c:v>
                </c:pt>
                <c:pt idx="144">
                  <c:v>0.754417573584654</c:v>
                </c:pt>
                <c:pt idx="145">
                  <c:v>0.75445276561824992</c:v>
                </c:pt>
                <c:pt idx="146">
                  <c:v>0.75448703906652503</c:v>
                </c:pt>
                <c:pt idx="147">
                  <c:v>0.75452041790646796</c:v>
                </c:pt>
                <c:pt idx="148">
                  <c:v>0.75455292548921793</c:v>
                </c:pt>
                <c:pt idx="149">
                  <c:v>0.75458458455640132</c:v>
                </c:pt>
                <c:pt idx="150">
                  <c:v>0.75461541725604009</c:v>
                </c:pt>
                <c:pt idx="151">
                  <c:v>0.75464544515804721</c:v>
                </c:pt>
                <c:pt idx="152">
                  <c:v>0.75467468926931591</c:v>
                </c:pt>
                <c:pt idx="153">
                  <c:v>0.75470317004841558</c:v>
                </c:pt>
                <c:pt idx="154">
                  <c:v>0.75473090741990467</c:v>
                </c:pt>
                <c:pt idx="155">
                  <c:v>0.75475792078826898</c:v>
                </c:pt>
                <c:pt idx="156">
                  <c:v>0.75478422905149689</c:v>
                </c:pt>
                <c:pt idx="157">
                  <c:v>0.75480985061430006</c:v>
                </c:pt>
                <c:pt idx="158">
                  <c:v>0.75483480340098863</c:v>
                </c:pt>
                <c:pt idx="159">
                  <c:v>0.75485910486801133</c:v>
                </c:pt>
                <c:pt idx="160">
                  <c:v>0.75488277201616683</c:v>
                </c:pt>
                <c:pt idx="161">
                  <c:v>0.75490582140249773</c:v>
                </c:pt>
                <c:pt idx="162">
                  <c:v>0.7549282691518735</c:v>
                </c:pt>
                <c:pt idx="163">
                  <c:v>0.75495013096827079</c:v>
                </c:pt>
                <c:pt idx="164">
                  <c:v>0.75497142214575985</c:v>
                </c:pt>
                <c:pt idx="165">
                  <c:v>0.75499215757920368</c:v>
                </c:pt>
                <c:pt idx="166">
                  <c:v>0.75501235177467874</c:v>
                </c:pt>
                <c:pt idx="167">
                  <c:v>0.75503201885962234</c:v>
                </c:pt>
                <c:pt idx="168">
                  <c:v>0.75505117259271648</c:v>
                </c:pt>
                <c:pt idx="169">
                  <c:v>0.75506982637351283</c:v>
                </c:pt>
                <c:pt idx="170">
                  <c:v>0.75508799325180675</c:v>
                </c:pt>
                <c:pt idx="171">
                  <c:v>0.75510568593676719</c:v>
                </c:pt>
                <c:pt idx="172">
                  <c:v>0.75512291680582688</c:v>
                </c:pt>
                <c:pt idx="173">
                  <c:v>0.75513969791334212</c:v>
                </c:pt>
                <c:pt idx="174">
                  <c:v>0.75515604099902511</c:v>
                </c:pt>
                <c:pt idx="175">
                  <c:v>0.75517195749615751</c:v>
                </c:pt>
                <c:pt idx="176">
                  <c:v>0.75518745853958835</c:v>
                </c:pt>
                <c:pt idx="177">
                  <c:v>0.75520255497352373</c:v>
                </c:pt>
                <c:pt idx="178">
                  <c:v>0.7552172573591136</c:v>
                </c:pt>
                <c:pt idx="179">
                  <c:v>0.7552315759818401</c:v>
                </c:pt>
                <c:pt idx="180">
                  <c:v>0.75524552085871244</c:v>
                </c:pt>
                <c:pt idx="181">
                  <c:v>0.75525910174527544</c:v>
                </c:pt>
                <c:pt idx="182">
                  <c:v>0.75527232814243372</c:v>
                </c:pt>
                <c:pt idx="183">
                  <c:v>0.7552852093030985</c:v>
                </c:pt>
                <c:pt idx="184">
                  <c:v>0.75529775423866075</c:v>
                </c:pt>
                <c:pt idx="185">
                  <c:v>0.75530997172529546</c:v>
                </c:pt>
                <c:pt idx="186">
                  <c:v>0.75532187031010112</c:v>
                </c:pt>
                <c:pt idx="187">
                  <c:v>0.75533345831707921</c:v>
                </c:pt>
                <c:pt idx="188">
                  <c:v>0.75534474385295747</c:v>
                </c:pt>
                <c:pt idx="189">
                  <c:v>0.755355734812861</c:v>
                </c:pt>
                <c:pt idx="190">
                  <c:v>0.75536643888583599</c:v>
                </c:pt>
                <c:pt idx="191">
                  <c:v>0.75537686356022826</c:v>
                </c:pt>
                <c:pt idx="192">
                  <c:v>0.75538701612892234</c:v>
                </c:pt>
                <c:pt idx="193">
                  <c:v>0.75539690369444334</c:v>
                </c:pt>
                <c:pt idx="194">
                  <c:v>0.75540653317392559</c:v>
                </c:pt>
                <c:pt idx="195">
                  <c:v>0.75541591130395169</c:v>
                </c:pt>
                <c:pt idx="196">
                  <c:v>0.75542504464526583</c:v>
                </c:pt>
                <c:pt idx="197">
                  <c:v>0.75543393958736271</c:v>
                </c:pt>
                <c:pt idx="198">
                  <c:v>0.75544260235295813</c:v>
                </c:pt>
                <c:pt idx="199">
                  <c:v>0.7554510390023419</c:v>
                </c:pt>
                <c:pt idx="200">
                  <c:v>0.75545925543761794</c:v>
                </c:pt>
                <c:pt idx="201">
                  <c:v>0.75546725740683252</c:v>
                </c:pt>
                <c:pt idx="202">
                  <c:v>0.75547505050799646</c:v>
                </c:pt>
                <c:pt idx="203">
                  <c:v>0.75548264019300049</c:v>
                </c:pt>
                <c:pt idx="204">
                  <c:v>0.7554900317714297</c:v>
                </c:pt>
                <c:pt idx="205">
                  <c:v>0.75549723041427808</c:v>
                </c:pt>
                <c:pt idx="206">
                  <c:v>0.75550424115756587</c:v>
                </c:pt>
                <c:pt idx="207">
                  <c:v>0.7555110689058625</c:v>
                </c:pt>
                <c:pt idx="208">
                  <c:v>0.75551771843571836</c:v>
                </c:pt>
                <c:pt idx="209">
                  <c:v>0.75552419439900542</c:v>
                </c:pt>
                <c:pt idx="210">
                  <c:v>0.7555305013261725</c:v>
                </c:pt>
                <c:pt idx="211">
                  <c:v>0.75553664362941408</c:v>
                </c:pt>
                <c:pt idx="212">
                  <c:v>0.75554262560575736</c:v>
                </c:pt>
                <c:pt idx="213">
                  <c:v>0.75554845144006788</c:v>
                </c:pt>
                <c:pt idx="214">
                  <c:v>0.75555412520797782</c:v>
                </c:pt>
                <c:pt idx="215">
                  <c:v>0.75555965087873667</c:v>
                </c:pt>
                <c:pt idx="216">
                  <c:v>0.75556503231798833</c:v>
                </c:pt>
                <c:pt idx="217">
                  <c:v>0.75557027329047532</c:v>
                </c:pt>
                <c:pt idx="218">
                  <c:v>0.75557537746267256</c:v>
                </c:pt>
                <c:pt idx="219">
                  <c:v>0.75558034840535226</c:v>
                </c:pt>
                <c:pt idx="220">
                  <c:v>0.75558518959608212</c:v>
                </c:pt>
                <c:pt idx="221">
                  <c:v>0.75558990442165819</c:v>
                </c:pt>
                <c:pt idx="222">
                  <c:v>0.75559449618047381</c:v>
                </c:pt>
                <c:pt idx="223">
                  <c:v>0.75559896808482774</c:v>
                </c:pt>
                <c:pt idx="224">
                  <c:v>0.75560332326317081</c:v>
                </c:pt>
                <c:pt idx="225">
                  <c:v>0.75560756476229485</c:v>
                </c:pt>
                <c:pt idx="226">
                  <c:v>0.75561169554946395</c:v>
                </c:pt>
                <c:pt idx="227">
                  <c:v>0.75561571851449072</c:v>
                </c:pt>
                <c:pt idx="228">
                  <c:v>0.75561963647175745</c:v>
                </c:pt>
                <c:pt idx="229">
                  <c:v>0.75562345216218518</c:v>
                </c:pt>
                <c:pt idx="230">
                  <c:v>0.7556271682551513</c:v>
                </c:pt>
                <c:pt idx="231">
                  <c:v>0.75563078735035671</c:v>
                </c:pt>
                <c:pt idx="232">
                  <c:v>0.75563431197964503</c:v>
                </c:pt>
                <c:pt idx="233">
                  <c:v>0.75563774460877331</c:v>
                </c:pt>
                <c:pt idx="234">
                  <c:v>0.75564108763913707</c:v>
                </c:pt>
                <c:pt idx="235">
                  <c:v>0.75564434340945053</c:v>
                </c:pt>
                <c:pt idx="236">
                  <c:v>0.75564751419738274</c:v>
                </c:pt>
                <c:pt idx="237">
                  <c:v>0.75565060222115066</c:v>
                </c:pt>
                <c:pt idx="238">
                  <c:v>0.7556536096410712</c:v>
                </c:pt>
                <c:pt idx="239">
                  <c:v>0.75565653856107251</c:v>
                </c:pt>
                <c:pt idx="240">
                  <c:v>0.75565939103016599</c:v>
                </c:pt>
                <c:pt idx="241">
                  <c:v>0.75566216904387939</c:v>
                </c:pt>
                <c:pt idx="242">
                  <c:v>0.75566487454565301</c:v>
                </c:pt>
                <c:pt idx="243">
                  <c:v>0.7556675094281996</c:v>
                </c:pt>
                <c:pt idx="244">
                  <c:v>0.75567007553482768</c:v>
                </c:pt>
                <c:pt idx="245">
                  <c:v>0.75567257466073212</c:v>
                </c:pt>
                <c:pt idx="246">
                  <c:v>0.75567500855424907</c:v>
                </c:pt>
                <c:pt idx="247">
                  <c:v>0.75567737891807962</c:v>
                </c:pt>
                <c:pt idx="248">
                  <c:v>0.75567968741048086</c:v>
                </c:pt>
                <c:pt idx="249">
                  <c:v>0.75568193564642583</c:v>
                </c:pt>
                <c:pt idx="250">
                  <c:v>0.7556841251987334</c:v>
                </c:pt>
                <c:pt idx="251">
                  <c:v>0.75568625759916874</c:v>
                </c:pt>
                <c:pt idx="252">
                  <c:v>0.75568833433951466</c:v>
                </c:pt>
                <c:pt idx="253">
                  <c:v>0.75569035687261521</c:v>
                </c:pt>
                <c:pt idx="254">
                  <c:v>0.75569232661339247</c:v>
                </c:pt>
                <c:pt idx="255">
                  <c:v>0.75569424493983595</c:v>
                </c:pt>
                <c:pt idx="256">
                  <c:v>0.75569611319396657</c:v>
                </c:pt>
                <c:pt idx="257">
                  <c:v>0.75569793268277607</c:v>
                </c:pt>
                <c:pt idx="258">
                  <c:v>0.75569970467914083</c:v>
                </c:pt>
                <c:pt idx="259">
                  <c:v>0.75570143042271254</c:v>
                </c:pt>
                <c:pt idx="260">
                  <c:v>0.75570311112078514</c:v>
                </c:pt>
                <c:pt idx="261">
                  <c:v>0.75570474794914022</c:v>
                </c:pt>
                <c:pt idx="262">
                  <c:v>0.75570634205286846</c:v>
                </c:pt>
                <c:pt idx="263">
                  <c:v>0.75570789454717169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0A4-4C1E-8BD2-60FA58B0E843}"/>
            </c:ext>
          </c:extLst>
        </c:ser>
        <c:ser>
          <c:idx val="0"/>
          <c:order val="6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system'!$B$5:$B$279</c:f>
              <c:numCache>
                <c:formatCode>General</c:formatCode>
                <c:ptCount val="275"/>
                <c:pt idx="0">
                  <c:v>0.63468360299323179</c:v>
                </c:pt>
                <c:pt idx="1">
                  <c:v>0.63769360095941929</c:v>
                </c:pt>
                <c:pt idx="2">
                  <c:v>0.64062503171407725</c:v>
                </c:pt>
                <c:pt idx="3">
                  <c:v>0.64347994602494607</c:v>
                </c:pt>
                <c:pt idx="4">
                  <c:v>0.64626034113045983</c:v>
                </c:pt>
                <c:pt idx="5">
                  <c:v>0.64896816213697261</c:v>
                </c:pt>
                <c:pt idx="6">
                  <c:v>0.65160530337951461</c:v>
                </c:pt>
                <c:pt idx="7">
                  <c:v>0.65417360974702898</c:v>
                </c:pt>
                <c:pt idx="8">
                  <c:v>0.65667487797301771</c:v>
                </c:pt>
                <c:pt idx="9">
                  <c:v>0.65911085789249901</c:v>
                </c:pt>
                <c:pt idx="10">
                  <c:v>0.66148325366615512</c:v>
                </c:pt>
                <c:pt idx="11">
                  <c:v>0.66379372497252764</c:v>
                </c:pt>
                <c:pt idx="12">
                  <c:v>0.66604388816909432</c:v>
                </c:pt>
                <c:pt idx="13">
                  <c:v>0.66823531742303821</c:v>
                </c:pt>
                <c:pt idx="14">
                  <c:v>0.67036954581250285</c:v>
                </c:pt>
                <c:pt idx="15">
                  <c:v>0.67244806639910149</c:v>
                </c:pt>
                <c:pt idx="16">
                  <c:v>0.67447233327243183</c:v>
                </c:pt>
                <c:pt idx="17">
                  <c:v>0.67644376256732675</c:v>
                </c:pt>
                <c:pt idx="18">
                  <c:v>0.67836373345455236</c:v>
                </c:pt>
                <c:pt idx="19">
                  <c:v>0.68023358910564768</c:v>
                </c:pt>
                <c:pt idx="20">
                  <c:v>0.68205463763257901</c:v>
                </c:pt>
                <c:pt idx="21">
                  <c:v>0.6838281530028677</c:v>
                </c:pt>
                <c:pt idx="22">
                  <c:v>0.68555537593083127</c:v>
                </c:pt>
                <c:pt idx="23">
                  <c:v>0.68723751474556138</c:v>
                </c:pt>
                <c:pt idx="24">
                  <c:v>0.68887574623624559</c:v>
                </c:pt>
                <c:pt idx="25">
                  <c:v>0.69047121647542442</c:v>
                </c:pt>
                <c:pt idx="26">
                  <c:v>0.69202504162075973</c:v>
                </c:pt>
                <c:pt idx="27">
                  <c:v>0.69353830869587552</c:v>
                </c:pt>
                <c:pt idx="28">
                  <c:v>0.69501207635081663</c:v>
                </c:pt>
                <c:pt idx="29">
                  <c:v>0.69644737560265846</c:v>
                </c:pt>
                <c:pt idx="30">
                  <c:v>0.69784521055678506</c:v>
                </c:pt>
                <c:pt idx="31">
                  <c:v>0.69920655910934004</c:v>
                </c:pt>
                <c:pt idx="32">
                  <c:v>0.70053237363134224</c:v>
                </c:pt>
                <c:pt idx="33">
                  <c:v>0.70182358163494518</c:v>
                </c:pt>
                <c:pt idx="34">
                  <c:v>0.70308108642230427</c:v>
                </c:pt>
                <c:pt idx="35">
                  <c:v>0.70430576771750897</c:v>
                </c:pt>
                <c:pt idx="36">
                  <c:v>0.70549848228201906</c:v>
                </c:pt>
                <c:pt idx="37">
                  <c:v>0.70666006451403685</c:v>
                </c:pt>
                <c:pt idx="38">
                  <c:v>0.70779132703223535</c:v>
                </c:pt>
                <c:pt idx="39">
                  <c:v>0.70889306124424845</c:v>
                </c:pt>
                <c:pt idx="40">
                  <c:v>0.70996603790032398</c:v>
                </c:pt>
                <c:pt idx="41">
                  <c:v>0.71101100763252423</c:v>
                </c:pt>
                <c:pt idx="42">
                  <c:v>0.71202870147985209</c:v>
                </c:pt>
                <c:pt idx="43">
                  <c:v>0.71301983139967118</c:v>
                </c:pt>
                <c:pt idx="44">
                  <c:v>0.7139850907657761</c:v>
                </c:pt>
                <c:pt idx="45">
                  <c:v>0.71492515485346242</c:v>
                </c:pt>
                <c:pt idx="46">
                  <c:v>0.7158406813119349</c:v>
                </c:pt>
                <c:pt idx="47">
                  <c:v>0.71673231062438558</c:v>
                </c:pt>
                <c:pt idx="48">
                  <c:v>0.71760066655606181</c:v>
                </c:pt>
                <c:pt idx="49">
                  <c:v>0.71844635659063993</c:v>
                </c:pt>
                <c:pt idx="50">
                  <c:v>0.71926997235520818</c:v>
                </c:pt>
                <c:pt idx="51">
                  <c:v>0.72007209003415606</c:v>
                </c:pt>
                <c:pt idx="52">
                  <c:v>0.7208532707722618</c:v>
                </c:pt>
                <c:pt idx="53">
                  <c:v>0.72161406106725645</c:v>
                </c:pt>
                <c:pt idx="54">
                  <c:v>0.72235499315214347</c:v>
                </c:pt>
                <c:pt idx="55">
                  <c:v>0.72307658536753683</c:v>
                </c:pt>
                <c:pt idx="56">
                  <c:v>0.72377934252428167</c:v>
                </c:pt>
                <c:pt idx="57">
                  <c:v>0.72446375625660953</c:v>
                </c:pt>
                <c:pt idx="58">
                  <c:v>0.72513030536607548</c:v>
                </c:pt>
                <c:pt idx="59">
                  <c:v>0.72577945615651696</c:v>
                </c:pt>
                <c:pt idx="60">
                  <c:v>0.72641166276027136</c:v>
                </c:pt>
                <c:pt idx="61">
                  <c:v>0.72702736745587648</c:v>
                </c:pt>
                <c:pt idx="62">
                  <c:v>0.7276270009774799</c:v>
                </c:pt>
                <c:pt idx="63">
                  <c:v>0.72821098281617147</c:v>
                </c:pt>
                <c:pt idx="64">
                  <c:v>0.7287797215134505</c:v>
                </c:pt>
                <c:pt idx="65">
                  <c:v>0.72933361494703308</c:v>
                </c:pt>
                <c:pt idx="66">
                  <c:v>0.72987305060919849</c:v>
                </c:pt>
                <c:pt idx="67">
                  <c:v>0.7303984058778713</c:v>
                </c:pt>
                <c:pt idx="68">
                  <c:v>0.73091004828062678</c:v>
                </c:pt>
                <c:pt idx="69">
                  <c:v>0.73140833575180531</c:v>
                </c:pt>
                <c:pt idx="70">
                  <c:v>0.73189361688291654</c:v>
                </c:pt>
                <c:pt idx="71">
                  <c:v>0.73236623116650557</c:v>
                </c:pt>
                <c:pt idx="72">
                  <c:v>0.73282650923365611</c:v>
                </c:pt>
                <c:pt idx="73">
                  <c:v>0.7332747730852921</c:v>
                </c:pt>
                <c:pt idx="74">
                  <c:v>0.73371133631744323</c:v>
                </c:pt>
                <c:pt idx="75">
                  <c:v>0.73413650434063016</c:v>
                </c:pt>
                <c:pt idx="76">
                  <c:v>0.73455057459352335</c:v>
                </c:pt>
                <c:pt idx="77">
                  <c:v>0.73495383675102499</c:v>
                </c:pt>
                <c:pt idx="78">
                  <c:v>0.73534657292691918</c:v>
                </c:pt>
                <c:pt idx="79">
                  <c:v>0.73572905787123344</c:v>
                </c:pt>
                <c:pt idx="80">
                  <c:v>0.73610155916244746</c:v>
                </c:pt>
                <c:pt idx="81">
                  <c:v>0.73646433739468575</c:v>
                </c:pt>
                <c:pt idx="82">
                  <c:v>0.736817646360024</c:v>
                </c:pt>
                <c:pt idx="83">
                  <c:v>0.7371617332260364</c:v>
                </c:pt>
                <c:pt idx="84">
                  <c:v>0.73749683870870886</c:v>
                </c:pt>
                <c:pt idx="85">
                  <c:v>0.73782319724083922</c:v>
                </c:pt>
                <c:pt idx="86">
                  <c:v>0.73814103713604162</c:v>
                </c:pt>
                <c:pt idx="87">
                  <c:v>0.73845058074846914</c:v>
                </c:pt>
                <c:pt idx="88">
                  <c:v>0.73875204462836919</c:v>
                </c:pt>
                <c:pt idx="89">
                  <c:v>0.73904563967357673</c:v>
                </c:pt>
                <c:pt idx="90">
                  <c:v>0.73933157127705451</c:v>
                </c:pt>
                <c:pt idx="91">
                  <c:v>0.73961003947058124</c:v>
                </c:pt>
                <c:pt idx="92">
                  <c:v>0.73988123906468994</c:v>
                </c:pt>
                <c:pt idx="93">
                  <c:v>0.74014535978495344</c:v>
                </c:pt>
                <c:pt idx="94">
                  <c:v>0.74040258640471213</c:v>
                </c:pt>
                <c:pt idx="95">
                  <c:v>0.74065309887433761</c:v>
                </c:pt>
                <c:pt idx="96">
                  <c:v>0.74089707244712233</c:v>
                </c:pt>
                <c:pt idx="97">
                  <c:v>0.74113467780188291</c:v>
                </c:pt>
                <c:pt idx="98">
                  <c:v>0.74136608116236402</c:v>
                </c:pt>
                <c:pt idx="99">
                  <c:v>0.74159144441352409</c:v>
                </c:pt>
                <c:pt idx="100">
                  <c:v>0.74181092521478753</c:v>
                </c:pt>
                <c:pt idx="101">
                  <c:v>0.74202467711033981</c:v>
                </c:pt>
                <c:pt idx="102">
                  <c:v>0.74223284963654312</c:v>
                </c:pt>
                <c:pt idx="103">
                  <c:v>0.74243558842654978</c:v>
                </c:pt>
                <c:pt idx="104">
                  <c:v>0.7426330353121835</c:v>
                </c:pt>
                <c:pt idx="105">
                  <c:v>0.74282532842316229</c:v>
                </c:pt>
                <c:pt idx="106">
                  <c:v>0.74301260228373112</c:v>
                </c:pt>
                <c:pt idx="107">
                  <c:v>0.74319498790677208</c:v>
                </c:pt>
                <c:pt idx="108">
                  <c:v>0.74337261288545831</c:v>
                </c:pt>
                <c:pt idx="109">
                  <c:v>0.74354560148251558</c:v>
                </c:pt>
                <c:pt idx="110">
                  <c:v>0.74371407471715412</c:v>
                </c:pt>
                <c:pt idx="111">
                  <c:v>0.74387815044973071</c:v>
                </c:pt>
                <c:pt idx="112">
                  <c:v>0.74403794346420138</c:v>
                </c:pt>
                <c:pt idx="113">
                  <c:v>0.74419356554842242</c:v>
                </c:pt>
                <c:pt idx="114">
                  <c:v>0.74434512557235399</c:v>
                </c:pt>
                <c:pt idx="115">
                  <c:v>0.74449272956422397</c:v>
                </c:pt>
                <c:pt idx="116">
                  <c:v>0.74463648078470268</c:v>
                </c:pt>
                <c:pt idx="117">
                  <c:v>0.74477647979914208</c:v>
                </c:pt>
                <c:pt idx="118">
                  <c:v>0.74491282454792918</c:v>
                </c:pt>
                <c:pt idx="119">
                  <c:v>0.74504561041500306</c:v>
                </c:pt>
                <c:pt idx="120">
                  <c:v>0.74517493029458326</c:v>
                </c:pt>
                <c:pt idx="121">
                  <c:v>0.74530087465615713</c:v>
                </c:pt>
                <c:pt idx="122">
                  <c:v>0.74542353160776997</c:v>
                </c:pt>
                <c:pt idx="123">
                  <c:v>0.74554298695766374</c:v>
                </c:pt>
                <c:pt idx="124">
                  <c:v>0.7456593242743067</c:v>
                </c:pt>
                <c:pt idx="125">
                  <c:v>0.74577262494485619</c:v>
                </c:pt>
                <c:pt idx="126">
                  <c:v>0.74588296823209532</c:v>
                </c:pt>
                <c:pt idx="127">
                  <c:v>0.74599043132988352</c:v>
                </c:pt>
                <c:pt idx="128">
                  <c:v>0.74609508941715996</c:v>
                </c:pt>
                <c:pt idx="129">
                  <c:v>0.74619701571053698</c:v>
                </c:pt>
                <c:pt idx="130">
                  <c:v>0.74629628151552097</c:v>
                </c:pt>
                <c:pt idx="131">
                  <c:v>0.74639295627639612</c:v>
                </c:pt>
                <c:pt idx="132">
                  <c:v>0.7464871076248063</c:v>
                </c:pt>
                <c:pt idx="133">
                  <c:v>0.74657880142706889</c:v>
                </c:pt>
                <c:pt idx="134">
                  <c:v>0.74666810183025301</c:v>
                </c:pt>
                <c:pt idx="135">
                  <c:v>0.74675507130705598</c:v>
                </c:pt>
                <c:pt idx="136">
                  <c:v>0.74683977069950758</c:v>
                </c:pt>
                <c:pt idx="137">
                  <c:v>0.7469222592615341</c:v>
                </c:pt>
                <c:pt idx="138">
                  <c:v>0.74700259470041097</c:v>
                </c:pt>
                <c:pt idx="139">
                  <c:v>0.74708083321713359</c:v>
                </c:pt>
                <c:pt idx="140">
                  <c:v>0.74715702954573437</c:v>
                </c:pt>
                <c:pt idx="141">
                  <c:v>0.74723123699157379</c:v>
                </c:pt>
                <c:pt idx="142">
                  <c:v>0.74730350746863117</c:v>
                </c:pt>
                <c:pt idx="143">
                  <c:v>0.74737389153582312</c:v>
                </c:pt>
                <c:pt idx="144">
                  <c:v>0.74744243843237324</c:v>
                </c:pt>
                <c:pt idx="145">
                  <c:v>0.74750919611225897</c:v>
                </c:pt>
                <c:pt idx="146">
                  <c:v>0.74757421127775914</c:v>
                </c:pt>
                <c:pt idx="147">
                  <c:v>0.74763752941212569</c:v>
                </c:pt>
                <c:pt idx="148">
                  <c:v>0.74769919481140334</c:v>
                </c:pt>
                <c:pt idx="149">
                  <c:v>0.74775925061541759</c:v>
                </c:pt>
                <c:pt idx="150">
                  <c:v>0.74781773883795488</c:v>
                </c:pt>
                <c:pt idx="151">
                  <c:v>0.74787470039615433</c:v>
                </c:pt>
                <c:pt idx="152">
                  <c:v>0.7479301751391324</c:v>
                </c:pt>
                <c:pt idx="153">
                  <c:v>0.74798420187586101</c:v>
                </c:pt>
                <c:pt idx="154">
                  <c:v>0.74803681840231684</c:v>
                </c:pt>
                <c:pt idx="155">
                  <c:v>0.74808806152792318</c:v>
                </c:pt>
                <c:pt idx="156">
                  <c:v>0.74813796710130043</c:v>
                </c:pt>
                <c:pt idx="157">
                  <c:v>0.74818657003534572</c:v>
                </c:pt>
                <c:pt idx="158">
                  <c:v>0.74823390433165671</c:v>
                </c:pt>
                <c:pt idx="159">
                  <c:v>0.74828000310431864</c:v>
                </c:pt>
                <c:pt idx="160">
                  <c:v>0.74832489860307017</c:v>
                </c:pt>
                <c:pt idx="161">
                  <c:v>0.74836862223586476</c:v>
                </c:pt>
                <c:pt idx="162">
                  <c:v>0.74841120459084276</c:v>
                </c:pt>
                <c:pt idx="163">
                  <c:v>0.74845267545773064</c:v>
                </c:pt>
                <c:pt idx="164">
                  <c:v>0.74849306384868075</c:v>
                </c:pt>
                <c:pt idx="165">
                  <c:v>0.74853239801856786</c:v>
                </c:pt>
                <c:pt idx="166">
                  <c:v>0.74857070548475613</c:v>
                </c:pt>
                <c:pt idx="167">
                  <c:v>0.74860801304634872</c:v>
                </c:pt>
                <c:pt idx="168">
                  <c:v>0.74864434680293679</c:v>
                </c:pt>
                <c:pt idx="169">
                  <c:v>0.74867973217285755</c:v>
                </c:pt>
                <c:pt idx="170">
                  <c:v>0.74871419391097693</c:v>
                </c:pt>
                <c:pt idx="171">
                  <c:v>0.7487477561260073</c:v>
                </c:pt>
                <c:pt idx="172">
                  <c:v>0.74878044229737351</c:v>
                </c:pt>
                <c:pt idx="173">
                  <c:v>0.7488122752916383</c:v>
                </c:pt>
                <c:pt idx="174">
                  <c:v>0.74884327737849976</c:v>
                </c:pt>
                <c:pt idx="175">
                  <c:v>0.74887347024637052</c:v>
                </c:pt>
                <c:pt idx="176">
                  <c:v>0.74890287501755048</c:v>
                </c:pt>
                <c:pt idx="177">
                  <c:v>0.74893151226300336</c:v>
                </c:pt>
                <c:pt idx="178">
                  <c:v>0.74895940201674815</c:v>
                </c:pt>
                <c:pt idx="179">
                  <c:v>0.74898656378987416</c:v>
                </c:pt>
                <c:pt idx="180">
                  <c:v>0.74901301658419062</c:v>
                </c:pt>
                <c:pt idx="181">
                  <c:v>0.74903877890552018</c:v>
                </c:pt>
                <c:pt idx="182">
                  <c:v>0.74906386877664466</c:v>
                </c:pt>
                <c:pt idx="183">
                  <c:v>0.74908830374991398</c:v>
                </c:pt>
                <c:pt idx="184">
                  <c:v>0.7491121009195254</c:v>
                </c:pt>
                <c:pt idx="185">
                  <c:v>0.74913527693348159</c:v>
                </c:pt>
                <c:pt idx="186">
                  <c:v>0.74915784800523799</c:v>
                </c:pt>
                <c:pt idx="187">
                  <c:v>0.74917982992504517</c:v>
                </c:pt>
                <c:pt idx="188">
                  <c:v>0.74920123807099515</c:v>
                </c:pt>
                <c:pt idx="189">
                  <c:v>0.74922208741977969</c:v>
                </c:pt>
                <c:pt idx="190">
                  <c:v>0.74924239255716785</c:v>
                </c:pt>
                <c:pt idx="191">
                  <c:v>0.74926216768820986</c:v>
                </c:pt>
                <c:pt idx="192">
                  <c:v>0.74928142664717423</c:v>
                </c:pt>
                <c:pt idx="193">
                  <c:v>0.74930018290722666</c:v>
                </c:pt>
                <c:pt idx="194">
                  <c:v>0.74931844958985483</c:v>
                </c:pt>
                <c:pt idx="195">
                  <c:v>0.74933623947404859</c:v>
                </c:pt>
                <c:pt idx="196">
                  <c:v>0.74935356500523931</c:v>
                </c:pt>
                <c:pt idx="197">
                  <c:v>0.74937043830400696</c:v>
                </c:pt>
                <c:pt idx="198">
                  <c:v>0.74938687117455893</c:v>
                </c:pt>
                <c:pt idx="199">
                  <c:v>0.74940287511298831</c:v>
                </c:pt>
                <c:pt idx="200">
                  <c:v>0.74941846131531609</c:v>
                </c:pt>
                <c:pt idx="201">
                  <c:v>0.74943364068532414</c:v>
                </c:pt>
                <c:pt idx="202">
                  <c:v>0.74944842384218258</c:v>
                </c:pt>
                <c:pt idx="203">
                  <c:v>0.74946282112787932</c:v>
                </c:pt>
                <c:pt idx="204">
                  <c:v>0.7494768426144548</c:v>
                </c:pt>
                <c:pt idx="205">
                  <c:v>0.74949049811104818</c:v>
                </c:pt>
                <c:pt idx="206">
                  <c:v>0.74950379717075977</c:v>
                </c:pt>
                <c:pt idx="207">
                  <c:v>0.7495167490973339</c:v>
                </c:pt>
                <c:pt idx="208">
                  <c:v>0.74952936295166805</c:v>
                </c:pt>
                <c:pt idx="209">
                  <c:v>0.74954164755815134</c:v>
                </c:pt>
                <c:pt idx="210">
                  <c:v>0.74955361151083777</c:v>
                </c:pt>
                <c:pt idx="211">
                  <c:v>0.74956526317945893</c:v>
                </c:pt>
                <c:pt idx="212">
                  <c:v>0.74957661071527881</c:v>
                </c:pt>
                <c:pt idx="213">
                  <c:v>0.7495876620567965</c:v>
                </c:pt>
                <c:pt idx="214">
                  <c:v>0.74959842493529982</c:v>
                </c:pt>
                <c:pt idx="215">
                  <c:v>0.74960890688027382</c:v>
                </c:pt>
                <c:pt idx="216">
                  <c:v>0.74961911522466818</c:v>
                </c:pt>
                <c:pt idx="217">
                  <c:v>0.74962905711002759</c:v>
                </c:pt>
                <c:pt idx="218">
                  <c:v>0.7496387394914874</c:v>
                </c:pt>
                <c:pt idx="219">
                  <c:v>0.74964816914263943</c:v>
                </c:pt>
                <c:pt idx="220">
                  <c:v>0.74965735266027089</c:v>
                </c:pt>
                <c:pt idx="221">
                  <c:v>0.74966629646897864</c:v>
                </c:pt>
                <c:pt idx="222">
                  <c:v>0.74967500682566479</c:v>
                </c:pt>
                <c:pt idx="223">
                  <c:v>0.74968348982391275</c:v>
                </c:pt>
                <c:pt idx="224">
                  <c:v>0.74969175139825106</c:v>
                </c:pt>
                <c:pt idx="225">
                  <c:v>0.74969979732830461</c:v>
                </c:pt>
                <c:pt idx="226">
                  <c:v>0.74970763324283807</c:v>
                </c:pt>
                <c:pt idx="227">
                  <c:v>0.74971526462369353</c:v>
                </c:pt>
                <c:pt idx="228">
                  <c:v>0.74972269680962567</c:v>
                </c:pt>
                <c:pt idx="229">
                  <c:v>0.74972993500003671</c:v>
                </c:pt>
                <c:pt idx="230">
                  <c:v>0.74973698425861335</c:v>
                </c:pt>
                <c:pt idx="231">
                  <c:v>0.74974384951686979</c:v>
                </c:pt>
                <c:pt idx="232">
                  <c:v>0.74975053557759719</c:v>
                </c:pt>
                <c:pt idx="233">
                  <c:v>0.74975704711822422</c:v>
                </c:pt>
                <c:pt idx="234">
                  <c:v>0.74976338869408854</c:v>
                </c:pt>
                <c:pt idx="235">
                  <c:v>0.74976956474162437</c:v>
                </c:pt>
                <c:pt idx="236">
                  <c:v>0.74977557958146546</c:v>
                </c:pt>
                <c:pt idx="237">
                  <c:v>0.74978143742146819</c:v>
                </c:pt>
                <c:pt idx="238">
                  <c:v>0.74978714235965516</c:v>
                </c:pt>
                <c:pt idx="239">
                  <c:v>0.74979269838708196</c:v>
                </c:pt>
                <c:pt idx="240">
                  <c:v>0.7497981093906293</c:v>
                </c:pt>
                <c:pt idx="241">
                  <c:v>0.74980337915572226</c:v>
                </c:pt>
                <c:pt idx="242">
                  <c:v>0.74980851136897864</c:v>
                </c:pt>
                <c:pt idx="243">
                  <c:v>0.74981350962078741</c:v>
                </c:pt>
                <c:pt idx="244">
                  <c:v>0.74981837740782131</c:v>
                </c:pt>
                <c:pt idx="245">
                  <c:v>0.74982311813548241</c:v>
                </c:pt>
                <c:pt idx="246">
                  <c:v>0.74982773512028489</c:v>
                </c:pt>
                <c:pt idx="247">
                  <c:v>0.74983223159217482</c:v>
                </c:pt>
                <c:pt idx="248">
                  <c:v>0.74983661069678997</c:v>
                </c:pt>
                <c:pt idx="249">
                  <c:v>0.74984087549766065</c:v>
                </c:pt>
                <c:pt idx="250">
                  <c:v>0.74984502897835248</c:v>
                </c:pt>
                <c:pt idx="251">
                  <c:v>0.7498490740445537</c:v>
                </c:pt>
                <c:pt idx="252">
                  <c:v>0.74985301352610811</c:v>
                </c:pt>
                <c:pt idx="253">
                  <c:v>0.74985685017899495</c:v>
                </c:pt>
                <c:pt idx="254">
                  <c:v>0.7498605866872563</c:v>
                </c:pt>
                <c:pt idx="255">
                  <c:v>0.74986422566487532</c:v>
                </c:pt>
                <c:pt idx="256">
                  <c:v>0.74986776965760493</c:v>
                </c:pt>
                <c:pt idx="257">
                  <c:v>0.74987122114474813</c:v>
                </c:pt>
                <c:pt idx="258">
                  <c:v>0.74987458254089356</c:v>
                </c:pt>
                <c:pt idx="259">
                  <c:v>0.7498778561976035</c:v>
                </c:pt>
                <c:pt idx="260">
                  <c:v>0.74988104440506009</c:v>
                </c:pt>
                <c:pt idx="261">
                  <c:v>0.74988414939366643</c:v>
                </c:pt>
                <c:pt idx="262">
                  <c:v>0.74988717333560784</c:v>
                </c:pt>
                <c:pt idx="263">
                  <c:v>0.74989011834637098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A4-4C1E-8BD2-60FA58B0E843}"/>
            </c:ext>
          </c:extLst>
        </c:ser>
        <c:ser>
          <c:idx val="4"/>
          <c:order val="7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system'!$D$5:$D$278</c:f>
              <c:numCache>
                <c:formatCode>0.00</c:formatCode>
                <c:ptCount val="27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A4-4C1E-8BD2-60FA58B0E843}"/>
            </c:ext>
          </c:extLst>
        </c:ser>
        <c:ser>
          <c:idx val="1"/>
          <c:order val="8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system'!$B$5:$B$279</c:f>
              <c:numCache>
                <c:formatCode>General</c:formatCode>
                <c:ptCount val="275"/>
                <c:pt idx="0">
                  <c:v>0.63468360299323179</c:v>
                </c:pt>
                <c:pt idx="1">
                  <c:v>0.63769360095941929</c:v>
                </c:pt>
                <c:pt idx="2">
                  <c:v>0.64062503171407725</c:v>
                </c:pt>
                <c:pt idx="3">
                  <c:v>0.64347994602494607</c:v>
                </c:pt>
                <c:pt idx="4">
                  <c:v>0.64626034113045983</c:v>
                </c:pt>
                <c:pt idx="5">
                  <c:v>0.64896816213697261</c:v>
                </c:pt>
                <c:pt idx="6">
                  <c:v>0.65160530337951461</c:v>
                </c:pt>
                <c:pt idx="7">
                  <c:v>0.65417360974702898</c:v>
                </c:pt>
                <c:pt idx="8">
                  <c:v>0.65667487797301771</c:v>
                </c:pt>
                <c:pt idx="9">
                  <c:v>0.65911085789249901</c:v>
                </c:pt>
                <c:pt idx="10">
                  <c:v>0.66148325366615512</c:v>
                </c:pt>
                <c:pt idx="11">
                  <c:v>0.66379372497252764</c:v>
                </c:pt>
                <c:pt idx="12">
                  <c:v>0.66604388816909432</c:v>
                </c:pt>
                <c:pt idx="13">
                  <c:v>0.66823531742303821</c:v>
                </c:pt>
                <c:pt idx="14">
                  <c:v>0.67036954581250285</c:v>
                </c:pt>
                <c:pt idx="15">
                  <c:v>0.67244806639910149</c:v>
                </c:pt>
                <c:pt idx="16">
                  <c:v>0.67447233327243183</c:v>
                </c:pt>
                <c:pt idx="17">
                  <c:v>0.67644376256732675</c:v>
                </c:pt>
                <c:pt idx="18">
                  <c:v>0.67836373345455236</c:v>
                </c:pt>
                <c:pt idx="19">
                  <c:v>0.68023358910564768</c:v>
                </c:pt>
                <c:pt idx="20">
                  <c:v>0.68205463763257901</c:v>
                </c:pt>
                <c:pt idx="21">
                  <c:v>0.6838281530028677</c:v>
                </c:pt>
                <c:pt idx="22">
                  <c:v>0.68555537593083127</c:v>
                </c:pt>
                <c:pt idx="23">
                  <c:v>0.68723751474556138</c:v>
                </c:pt>
                <c:pt idx="24">
                  <c:v>0.68887574623624559</c:v>
                </c:pt>
                <c:pt idx="25">
                  <c:v>0.69047121647542442</c:v>
                </c:pt>
                <c:pt idx="26">
                  <c:v>0.69202504162075973</c:v>
                </c:pt>
                <c:pt idx="27">
                  <c:v>0.69353830869587552</c:v>
                </c:pt>
                <c:pt idx="28">
                  <c:v>0.69501207635081663</c:v>
                </c:pt>
                <c:pt idx="29">
                  <c:v>0.69644737560265846</c:v>
                </c:pt>
                <c:pt idx="30">
                  <c:v>0.69784521055678506</c:v>
                </c:pt>
                <c:pt idx="31">
                  <c:v>0.69920655910934004</c:v>
                </c:pt>
                <c:pt idx="32">
                  <c:v>0.70053237363134224</c:v>
                </c:pt>
                <c:pt idx="33">
                  <c:v>0.70182358163494518</c:v>
                </c:pt>
                <c:pt idx="34">
                  <c:v>0.70308108642230427</c:v>
                </c:pt>
                <c:pt idx="35">
                  <c:v>0.70430576771750897</c:v>
                </c:pt>
                <c:pt idx="36">
                  <c:v>0.70549848228201906</c:v>
                </c:pt>
                <c:pt idx="37">
                  <c:v>0.70666006451403685</c:v>
                </c:pt>
                <c:pt idx="38">
                  <c:v>0.70779132703223535</c:v>
                </c:pt>
                <c:pt idx="39">
                  <c:v>0.70889306124424845</c:v>
                </c:pt>
                <c:pt idx="40">
                  <c:v>0.70996603790032398</c:v>
                </c:pt>
                <c:pt idx="41">
                  <c:v>0.71101100763252423</c:v>
                </c:pt>
                <c:pt idx="42">
                  <c:v>0.71202870147985209</c:v>
                </c:pt>
                <c:pt idx="43">
                  <c:v>0.71301983139967118</c:v>
                </c:pt>
                <c:pt idx="44">
                  <c:v>0.7139850907657761</c:v>
                </c:pt>
                <c:pt idx="45">
                  <c:v>0.71492515485346242</c:v>
                </c:pt>
                <c:pt idx="46">
                  <c:v>0.7158406813119349</c:v>
                </c:pt>
                <c:pt idx="47">
                  <c:v>0.71673231062438558</c:v>
                </c:pt>
                <c:pt idx="48">
                  <c:v>0.71760066655606181</c:v>
                </c:pt>
                <c:pt idx="49">
                  <c:v>0.71844635659063993</c:v>
                </c:pt>
                <c:pt idx="50">
                  <c:v>0.71926997235520818</c:v>
                </c:pt>
                <c:pt idx="51">
                  <c:v>0.72007209003415606</c:v>
                </c:pt>
                <c:pt idx="52">
                  <c:v>0.7208532707722618</c:v>
                </c:pt>
                <c:pt idx="53">
                  <c:v>0.72161406106725645</c:v>
                </c:pt>
                <c:pt idx="54">
                  <c:v>0.72235499315214347</c:v>
                </c:pt>
                <c:pt idx="55">
                  <c:v>0.72307658536753683</c:v>
                </c:pt>
                <c:pt idx="56">
                  <c:v>0.72377934252428167</c:v>
                </c:pt>
                <c:pt idx="57">
                  <c:v>0.72446375625660953</c:v>
                </c:pt>
                <c:pt idx="58">
                  <c:v>0.72513030536607548</c:v>
                </c:pt>
                <c:pt idx="59">
                  <c:v>0.72577945615651696</c:v>
                </c:pt>
                <c:pt idx="60">
                  <c:v>0.72641166276027136</c:v>
                </c:pt>
                <c:pt idx="61">
                  <c:v>0.72702736745587648</c:v>
                </c:pt>
                <c:pt idx="62">
                  <c:v>0.7276270009774799</c:v>
                </c:pt>
                <c:pt idx="63">
                  <c:v>0.72821098281617147</c:v>
                </c:pt>
                <c:pt idx="64">
                  <c:v>0.7287797215134505</c:v>
                </c:pt>
                <c:pt idx="65">
                  <c:v>0.72933361494703308</c:v>
                </c:pt>
                <c:pt idx="66">
                  <c:v>0.72987305060919849</c:v>
                </c:pt>
                <c:pt idx="67">
                  <c:v>0.7303984058778713</c:v>
                </c:pt>
                <c:pt idx="68">
                  <c:v>0.73091004828062678</c:v>
                </c:pt>
                <c:pt idx="69">
                  <c:v>0.73140833575180531</c:v>
                </c:pt>
                <c:pt idx="70">
                  <c:v>0.73189361688291654</c:v>
                </c:pt>
                <c:pt idx="71">
                  <c:v>0.73236623116650557</c:v>
                </c:pt>
                <c:pt idx="72">
                  <c:v>0.73282650923365611</c:v>
                </c:pt>
                <c:pt idx="73">
                  <c:v>0.7332747730852921</c:v>
                </c:pt>
                <c:pt idx="74">
                  <c:v>0.73371133631744323</c:v>
                </c:pt>
                <c:pt idx="75">
                  <c:v>0.73413650434063016</c:v>
                </c:pt>
                <c:pt idx="76">
                  <c:v>0.73455057459352335</c:v>
                </c:pt>
                <c:pt idx="77">
                  <c:v>0.73495383675102499</c:v>
                </c:pt>
                <c:pt idx="78">
                  <c:v>0.73534657292691918</c:v>
                </c:pt>
                <c:pt idx="79">
                  <c:v>0.73572905787123344</c:v>
                </c:pt>
                <c:pt idx="80">
                  <c:v>0.73610155916244746</c:v>
                </c:pt>
                <c:pt idx="81">
                  <c:v>0.73646433739468575</c:v>
                </c:pt>
                <c:pt idx="82">
                  <c:v>0.736817646360024</c:v>
                </c:pt>
                <c:pt idx="83">
                  <c:v>0.7371617332260364</c:v>
                </c:pt>
                <c:pt idx="84">
                  <c:v>0.73749683870870886</c:v>
                </c:pt>
                <c:pt idx="85">
                  <c:v>0.73782319724083922</c:v>
                </c:pt>
                <c:pt idx="86">
                  <c:v>0.73814103713604162</c:v>
                </c:pt>
                <c:pt idx="87">
                  <c:v>0.73845058074846914</c:v>
                </c:pt>
                <c:pt idx="88">
                  <c:v>0.73875204462836919</c:v>
                </c:pt>
                <c:pt idx="89">
                  <c:v>0.73904563967357673</c:v>
                </c:pt>
                <c:pt idx="90">
                  <c:v>0.73933157127705451</c:v>
                </c:pt>
                <c:pt idx="91">
                  <c:v>0.73961003947058124</c:v>
                </c:pt>
                <c:pt idx="92">
                  <c:v>0.73988123906468994</c:v>
                </c:pt>
                <c:pt idx="93">
                  <c:v>0.74014535978495344</c:v>
                </c:pt>
                <c:pt idx="94">
                  <c:v>0.74040258640471213</c:v>
                </c:pt>
                <c:pt idx="95">
                  <c:v>0.74065309887433761</c:v>
                </c:pt>
                <c:pt idx="96">
                  <c:v>0.74089707244712233</c:v>
                </c:pt>
                <c:pt idx="97">
                  <c:v>0.74113467780188291</c:v>
                </c:pt>
                <c:pt idx="98">
                  <c:v>0.74136608116236402</c:v>
                </c:pt>
                <c:pt idx="99">
                  <c:v>0.74159144441352409</c:v>
                </c:pt>
                <c:pt idx="100">
                  <c:v>0.74181092521478753</c:v>
                </c:pt>
                <c:pt idx="101">
                  <c:v>0.74202467711033981</c:v>
                </c:pt>
                <c:pt idx="102">
                  <c:v>0.74223284963654312</c:v>
                </c:pt>
                <c:pt idx="103">
                  <c:v>0.74243558842654978</c:v>
                </c:pt>
                <c:pt idx="104">
                  <c:v>0.7426330353121835</c:v>
                </c:pt>
                <c:pt idx="105">
                  <c:v>0.74282532842316229</c:v>
                </c:pt>
                <c:pt idx="106">
                  <c:v>0.74301260228373112</c:v>
                </c:pt>
                <c:pt idx="107">
                  <c:v>0.74319498790677208</c:v>
                </c:pt>
                <c:pt idx="108">
                  <c:v>0.74337261288545831</c:v>
                </c:pt>
                <c:pt idx="109">
                  <c:v>0.74354560148251558</c:v>
                </c:pt>
                <c:pt idx="110">
                  <c:v>0.74371407471715412</c:v>
                </c:pt>
                <c:pt idx="111">
                  <c:v>0.74387815044973071</c:v>
                </c:pt>
                <c:pt idx="112">
                  <c:v>0.74403794346420138</c:v>
                </c:pt>
                <c:pt idx="113">
                  <c:v>0.74419356554842242</c:v>
                </c:pt>
                <c:pt idx="114">
                  <c:v>0.74434512557235399</c:v>
                </c:pt>
                <c:pt idx="115">
                  <c:v>0.74449272956422397</c:v>
                </c:pt>
                <c:pt idx="116">
                  <c:v>0.74463648078470268</c:v>
                </c:pt>
                <c:pt idx="117">
                  <c:v>0.74477647979914208</c:v>
                </c:pt>
                <c:pt idx="118">
                  <c:v>0.74491282454792918</c:v>
                </c:pt>
                <c:pt idx="119">
                  <c:v>0.74504561041500306</c:v>
                </c:pt>
                <c:pt idx="120">
                  <c:v>0.74517493029458326</c:v>
                </c:pt>
                <c:pt idx="121">
                  <c:v>0.74530087465615713</c:v>
                </c:pt>
                <c:pt idx="122">
                  <c:v>0.74542353160776997</c:v>
                </c:pt>
                <c:pt idx="123">
                  <c:v>0.74554298695766374</c:v>
                </c:pt>
                <c:pt idx="124">
                  <c:v>0.7456593242743067</c:v>
                </c:pt>
                <c:pt idx="125">
                  <c:v>0.74577262494485619</c:v>
                </c:pt>
                <c:pt idx="126">
                  <c:v>0.74588296823209532</c:v>
                </c:pt>
                <c:pt idx="127">
                  <c:v>0.74599043132988352</c:v>
                </c:pt>
                <c:pt idx="128">
                  <c:v>0.74609508941715996</c:v>
                </c:pt>
                <c:pt idx="129">
                  <c:v>0.74619701571053698</c:v>
                </c:pt>
                <c:pt idx="130">
                  <c:v>0.74629628151552097</c:v>
                </c:pt>
                <c:pt idx="131">
                  <c:v>0.74639295627639612</c:v>
                </c:pt>
                <c:pt idx="132">
                  <c:v>0.7464871076248063</c:v>
                </c:pt>
                <c:pt idx="133">
                  <c:v>0.74657880142706889</c:v>
                </c:pt>
                <c:pt idx="134">
                  <c:v>0.74666810183025301</c:v>
                </c:pt>
                <c:pt idx="135">
                  <c:v>0.74675507130705598</c:v>
                </c:pt>
                <c:pt idx="136">
                  <c:v>0.74683977069950758</c:v>
                </c:pt>
                <c:pt idx="137">
                  <c:v>0.7469222592615341</c:v>
                </c:pt>
                <c:pt idx="138">
                  <c:v>0.74700259470041097</c:v>
                </c:pt>
                <c:pt idx="139">
                  <c:v>0.74708083321713359</c:v>
                </c:pt>
                <c:pt idx="140">
                  <c:v>0.74715702954573437</c:v>
                </c:pt>
                <c:pt idx="141">
                  <c:v>0.74723123699157379</c:v>
                </c:pt>
                <c:pt idx="142">
                  <c:v>0.74730350746863117</c:v>
                </c:pt>
                <c:pt idx="143">
                  <c:v>0.74737389153582312</c:v>
                </c:pt>
                <c:pt idx="144">
                  <c:v>0.74744243843237324</c:v>
                </c:pt>
                <c:pt idx="145">
                  <c:v>0.74750919611225897</c:v>
                </c:pt>
                <c:pt idx="146">
                  <c:v>0.74757421127775914</c:v>
                </c:pt>
                <c:pt idx="147">
                  <c:v>0.74763752941212569</c:v>
                </c:pt>
                <c:pt idx="148">
                  <c:v>0.74769919481140334</c:v>
                </c:pt>
                <c:pt idx="149">
                  <c:v>0.74775925061541759</c:v>
                </c:pt>
                <c:pt idx="150">
                  <c:v>0.74781773883795488</c:v>
                </c:pt>
                <c:pt idx="151">
                  <c:v>0.74787470039615433</c:v>
                </c:pt>
                <c:pt idx="152">
                  <c:v>0.7479301751391324</c:v>
                </c:pt>
                <c:pt idx="153">
                  <c:v>0.74798420187586101</c:v>
                </c:pt>
                <c:pt idx="154">
                  <c:v>0.74803681840231684</c:v>
                </c:pt>
                <c:pt idx="155">
                  <c:v>0.74808806152792318</c:v>
                </c:pt>
                <c:pt idx="156">
                  <c:v>0.74813796710130043</c:v>
                </c:pt>
                <c:pt idx="157">
                  <c:v>0.74818657003534572</c:v>
                </c:pt>
                <c:pt idx="158">
                  <c:v>0.74823390433165671</c:v>
                </c:pt>
                <c:pt idx="159">
                  <c:v>0.74828000310431864</c:v>
                </c:pt>
                <c:pt idx="160">
                  <c:v>0.74832489860307017</c:v>
                </c:pt>
                <c:pt idx="161">
                  <c:v>0.74836862223586476</c:v>
                </c:pt>
                <c:pt idx="162">
                  <c:v>0.74841120459084276</c:v>
                </c:pt>
                <c:pt idx="163">
                  <c:v>0.74845267545773064</c:v>
                </c:pt>
                <c:pt idx="164">
                  <c:v>0.74849306384868075</c:v>
                </c:pt>
                <c:pt idx="165">
                  <c:v>0.74853239801856786</c:v>
                </c:pt>
                <c:pt idx="166">
                  <c:v>0.74857070548475613</c:v>
                </c:pt>
                <c:pt idx="167">
                  <c:v>0.74860801304634872</c:v>
                </c:pt>
                <c:pt idx="168">
                  <c:v>0.74864434680293679</c:v>
                </c:pt>
                <c:pt idx="169">
                  <c:v>0.74867973217285755</c:v>
                </c:pt>
                <c:pt idx="170">
                  <c:v>0.74871419391097693</c:v>
                </c:pt>
                <c:pt idx="171">
                  <c:v>0.7487477561260073</c:v>
                </c:pt>
                <c:pt idx="172">
                  <c:v>0.74878044229737351</c:v>
                </c:pt>
                <c:pt idx="173">
                  <c:v>0.7488122752916383</c:v>
                </c:pt>
                <c:pt idx="174">
                  <c:v>0.74884327737849976</c:v>
                </c:pt>
                <c:pt idx="175">
                  <c:v>0.74887347024637052</c:v>
                </c:pt>
                <c:pt idx="176">
                  <c:v>0.74890287501755048</c:v>
                </c:pt>
                <c:pt idx="177">
                  <c:v>0.74893151226300336</c:v>
                </c:pt>
                <c:pt idx="178">
                  <c:v>0.74895940201674815</c:v>
                </c:pt>
                <c:pt idx="179">
                  <c:v>0.74898656378987416</c:v>
                </c:pt>
                <c:pt idx="180">
                  <c:v>0.74901301658419062</c:v>
                </c:pt>
                <c:pt idx="181">
                  <c:v>0.74903877890552018</c:v>
                </c:pt>
                <c:pt idx="182">
                  <c:v>0.74906386877664466</c:v>
                </c:pt>
                <c:pt idx="183">
                  <c:v>0.74908830374991398</c:v>
                </c:pt>
                <c:pt idx="184">
                  <c:v>0.7491121009195254</c:v>
                </c:pt>
                <c:pt idx="185">
                  <c:v>0.74913527693348159</c:v>
                </c:pt>
                <c:pt idx="186">
                  <c:v>0.74915784800523799</c:v>
                </c:pt>
                <c:pt idx="187">
                  <c:v>0.74917982992504517</c:v>
                </c:pt>
                <c:pt idx="188">
                  <c:v>0.74920123807099515</c:v>
                </c:pt>
                <c:pt idx="189">
                  <c:v>0.74922208741977969</c:v>
                </c:pt>
                <c:pt idx="190">
                  <c:v>0.74924239255716785</c:v>
                </c:pt>
                <c:pt idx="191">
                  <c:v>0.74926216768820986</c:v>
                </c:pt>
                <c:pt idx="192">
                  <c:v>0.74928142664717423</c:v>
                </c:pt>
                <c:pt idx="193">
                  <c:v>0.74930018290722666</c:v>
                </c:pt>
                <c:pt idx="194">
                  <c:v>0.74931844958985483</c:v>
                </c:pt>
                <c:pt idx="195">
                  <c:v>0.74933623947404859</c:v>
                </c:pt>
                <c:pt idx="196">
                  <c:v>0.74935356500523931</c:v>
                </c:pt>
                <c:pt idx="197">
                  <c:v>0.74937043830400696</c:v>
                </c:pt>
                <c:pt idx="198">
                  <c:v>0.74938687117455893</c:v>
                </c:pt>
                <c:pt idx="199">
                  <c:v>0.74940287511298831</c:v>
                </c:pt>
                <c:pt idx="200">
                  <c:v>0.74941846131531609</c:v>
                </c:pt>
                <c:pt idx="201">
                  <c:v>0.74943364068532414</c:v>
                </c:pt>
                <c:pt idx="202">
                  <c:v>0.74944842384218258</c:v>
                </c:pt>
                <c:pt idx="203">
                  <c:v>0.74946282112787932</c:v>
                </c:pt>
                <c:pt idx="204">
                  <c:v>0.7494768426144548</c:v>
                </c:pt>
                <c:pt idx="205">
                  <c:v>0.74949049811104818</c:v>
                </c:pt>
                <c:pt idx="206">
                  <c:v>0.74950379717075977</c:v>
                </c:pt>
                <c:pt idx="207">
                  <c:v>0.7495167490973339</c:v>
                </c:pt>
                <c:pt idx="208">
                  <c:v>0.74952936295166805</c:v>
                </c:pt>
                <c:pt idx="209">
                  <c:v>0.74954164755815134</c:v>
                </c:pt>
                <c:pt idx="210">
                  <c:v>0.74955361151083777</c:v>
                </c:pt>
                <c:pt idx="211">
                  <c:v>0.74956526317945893</c:v>
                </c:pt>
                <c:pt idx="212">
                  <c:v>0.74957661071527881</c:v>
                </c:pt>
                <c:pt idx="213">
                  <c:v>0.7495876620567965</c:v>
                </c:pt>
                <c:pt idx="214">
                  <c:v>0.74959842493529982</c:v>
                </c:pt>
                <c:pt idx="215">
                  <c:v>0.74960890688027382</c:v>
                </c:pt>
                <c:pt idx="216">
                  <c:v>0.74961911522466818</c:v>
                </c:pt>
                <c:pt idx="217">
                  <c:v>0.74962905711002759</c:v>
                </c:pt>
                <c:pt idx="218">
                  <c:v>0.7496387394914874</c:v>
                </c:pt>
                <c:pt idx="219">
                  <c:v>0.74964816914263943</c:v>
                </c:pt>
                <c:pt idx="220">
                  <c:v>0.74965735266027089</c:v>
                </c:pt>
                <c:pt idx="221">
                  <c:v>0.74966629646897864</c:v>
                </c:pt>
                <c:pt idx="222">
                  <c:v>0.74967500682566479</c:v>
                </c:pt>
                <c:pt idx="223">
                  <c:v>0.74968348982391275</c:v>
                </c:pt>
                <c:pt idx="224">
                  <c:v>0.74969175139825106</c:v>
                </c:pt>
                <c:pt idx="225">
                  <c:v>0.74969979732830461</c:v>
                </c:pt>
                <c:pt idx="226">
                  <c:v>0.74970763324283807</c:v>
                </c:pt>
                <c:pt idx="227">
                  <c:v>0.74971526462369353</c:v>
                </c:pt>
                <c:pt idx="228">
                  <c:v>0.74972269680962567</c:v>
                </c:pt>
                <c:pt idx="229">
                  <c:v>0.74972993500003671</c:v>
                </c:pt>
                <c:pt idx="230">
                  <c:v>0.74973698425861335</c:v>
                </c:pt>
                <c:pt idx="231">
                  <c:v>0.74974384951686979</c:v>
                </c:pt>
                <c:pt idx="232">
                  <c:v>0.74975053557759719</c:v>
                </c:pt>
                <c:pt idx="233">
                  <c:v>0.74975704711822422</c:v>
                </c:pt>
                <c:pt idx="234">
                  <c:v>0.74976338869408854</c:v>
                </c:pt>
                <c:pt idx="235">
                  <c:v>0.74976956474162437</c:v>
                </c:pt>
                <c:pt idx="236">
                  <c:v>0.74977557958146546</c:v>
                </c:pt>
                <c:pt idx="237">
                  <c:v>0.74978143742146819</c:v>
                </c:pt>
                <c:pt idx="238">
                  <c:v>0.74978714235965516</c:v>
                </c:pt>
                <c:pt idx="239">
                  <c:v>0.74979269838708196</c:v>
                </c:pt>
                <c:pt idx="240">
                  <c:v>0.7497981093906293</c:v>
                </c:pt>
                <c:pt idx="241">
                  <c:v>0.74980337915572226</c:v>
                </c:pt>
                <c:pt idx="242">
                  <c:v>0.74980851136897864</c:v>
                </c:pt>
                <c:pt idx="243">
                  <c:v>0.74981350962078741</c:v>
                </c:pt>
                <c:pt idx="244">
                  <c:v>0.74981837740782131</c:v>
                </c:pt>
                <c:pt idx="245">
                  <c:v>0.74982311813548241</c:v>
                </c:pt>
                <c:pt idx="246">
                  <c:v>0.74982773512028489</c:v>
                </c:pt>
                <c:pt idx="247">
                  <c:v>0.74983223159217482</c:v>
                </c:pt>
                <c:pt idx="248">
                  <c:v>0.74983661069678997</c:v>
                </c:pt>
                <c:pt idx="249">
                  <c:v>0.74984087549766065</c:v>
                </c:pt>
                <c:pt idx="250">
                  <c:v>0.74984502897835248</c:v>
                </c:pt>
                <c:pt idx="251">
                  <c:v>0.7498490740445537</c:v>
                </c:pt>
                <c:pt idx="252">
                  <c:v>0.74985301352610811</c:v>
                </c:pt>
                <c:pt idx="253">
                  <c:v>0.74985685017899495</c:v>
                </c:pt>
                <c:pt idx="254">
                  <c:v>0.7498605866872563</c:v>
                </c:pt>
                <c:pt idx="255">
                  <c:v>0.74986422566487532</c:v>
                </c:pt>
                <c:pt idx="256">
                  <c:v>0.74986776965760493</c:v>
                </c:pt>
                <c:pt idx="257">
                  <c:v>0.74987122114474813</c:v>
                </c:pt>
                <c:pt idx="258">
                  <c:v>0.74987458254089356</c:v>
                </c:pt>
                <c:pt idx="259">
                  <c:v>0.7498778561976035</c:v>
                </c:pt>
                <c:pt idx="260">
                  <c:v>0.74988104440506009</c:v>
                </c:pt>
                <c:pt idx="261">
                  <c:v>0.74988414939366643</c:v>
                </c:pt>
                <c:pt idx="262">
                  <c:v>0.74988717333560784</c:v>
                </c:pt>
                <c:pt idx="263">
                  <c:v>0.74989011834637098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A4-4C1E-8BD2-60FA58B0E843}"/>
            </c:ext>
          </c:extLst>
        </c:ser>
        <c:ser>
          <c:idx val="3"/>
          <c:order val="9"/>
          <c:marker>
            <c:symbol val="none"/>
          </c:marker>
          <c:xVal>
            <c:numRef>
              <c:f>'Overdamped system'!$A$5:$A$1048576</c:f>
              <c:numCache>
                <c:formatCode>General</c:formatCode>
                <c:ptCount val="1048572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system'!$F$5:$F$278</c:f>
              <c:numCache>
                <c:formatCode>0.00</c:formatCode>
                <c:ptCount val="274"/>
                <c:pt idx="0">
                  <c:v>0.75</c:v>
                </c:pt>
                <c:pt idx="1">
                  <c:v>0.75</c:v>
                </c:pt>
                <c:pt idx="2">
                  <c:v>0.69234180149661595</c:v>
                </c:pt>
                <c:pt idx="3">
                  <c:v>0.6938468004797097</c:v>
                </c:pt>
                <c:pt idx="4">
                  <c:v>0.69531251585703868</c:v>
                </c:pt>
                <c:pt idx="5">
                  <c:v>0.69673997301247304</c:v>
                </c:pt>
                <c:pt idx="6">
                  <c:v>0.69813017056522986</c:v>
                </c:pt>
                <c:pt idx="7">
                  <c:v>0.69948408106848636</c:v>
                </c:pt>
                <c:pt idx="8">
                  <c:v>0.70080265168975731</c:v>
                </c:pt>
                <c:pt idx="9">
                  <c:v>0.70208680487351449</c:v>
                </c:pt>
                <c:pt idx="10">
                  <c:v>0.70333743898650891</c:v>
                </c:pt>
                <c:pt idx="11">
                  <c:v>0.70455542894624956</c:v>
                </c:pt>
                <c:pt idx="12">
                  <c:v>0.70574162683307751</c:v>
                </c:pt>
                <c:pt idx="13">
                  <c:v>0.70689686248626382</c:v>
                </c:pt>
                <c:pt idx="14">
                  <c:v>0.70802194408454711</c:v>
                </c:pt>
                <c:pt idx="15">
                  <c:v>0.70911765871151911</c:v>
                </c:pt>
                <c:pt idx="16">
                  <c:v>0.71018477290625137</c:v>
                </c:pt>
                <c:pt idx="17">
                  <c:v>0.71122403319955074</c:v>
                </c:pt>
                <c:pt idx="18">
                  <c:v>0.71223616663621592</c:v>
                </c:pt>
                <c:pt idx="19">
                  <c:v>0.71322188128366337</c:v>
                </c:pt>
                <c:pt idx="20">
                  <c:v>0.71418186672727613</c:v>
                </c:pt>
                <c:pt idx="21">
                  <c:v>0.71511679455282384</c:v>
                </c:pt>
                <c:pt idx="22">
                  <c:v>0.71602731881628956</c:v>
                </c:pt>
                <c:pt idx="23">
                  <c:v>0.71691407650143379</c:v>
                </c:pt>
                <c:pt idx="24">
                  <c:v>0.71777768796541563</c:v>
                </c:pt>
                <c:pt idx="25">
                  <c:v>0.71861875737278069</c:v>
                </c:pt>
                <c:pt idx="26">
                  <c:v>0.71943787311812279</c:v>
                </c:pt>
                <c:pt idx="27">
                  <c:v>0.72023560823771227</c:v>
                </c:pt>
                <c:pt idx="28">
                  <c:v>0.72101252081037992</c:v>
                </c:pt>
                <c:pt idx="29">
                  <c:v>0.72176915434793776</c:v>
                </c:pt>
                <c:pt idx="30">
                  <c:v>0.72250603817540826</c:v>
                </c:pt>
                <c:pt idx="31">
                  <c:v>0.72322368780132928</c:v>
                </c:pt>
                <c:pt idx="32">
                  <c:v>0.72392260527839258</c:v>
                </c:pt>
                <c:pt idx="33">
                  <c:v>0.72460327955466997</c:v>
                </c:pt>
                <c:pt idx="34">
                  <c:v>0.72526618681567112</c:v>
                </c:pt>
                <c:pt idx="35">
                  <c:v>0.72591179081747259</c:v>
                </c:pt>
                <c:pt idx="36">
                  <c:v>0.72654054321115213</c:v>
                </c:pt>
                <c:pt idx="37">
                  <c:v>0.72715288385875443</c:v>
                </c:pt>
                <c:pt idx="38">
                  <c:v>0.72774924114100947</c:v>
                </c:pt>
                <c:pt idx="39">
                  <c:v>0.72833003225701842</c:v>
                </c:pt>
                <c:pt idx="40">
                  <c:v>0.72889566351611768</c:v>
                </c:pt>
                <c:pt idx="41">
                  <c:v>0.73521235047246269</c:v>
                </c:pt>
                <c:pt idx="42">
                  <c:v>0.73574883880050046</c:v>
                </c:pt>
                <c:pt idx="43">
                  <c:v>0.73627132366660053</c:v>
                </c:pt>
                <c:pt idx="44">
                  <c:v>0.73678017059026446</c:v>
                </c:pt>
                <c:pt idx="45">
                  <c:v>0.73727573555017401</c:v>
                </c:pt>
                <c:pt idx="46">
                  <c:v>0.73775836523322647</c:v>
                </c:pt>
                <c:pt idx="47">
                  <c:v>0.73822839727706957</c:v>
                </c:pt>
                <c:pt idx="48">
                  <c:v>0.73868616050630587</c:v>
                </c:pt>
                <c:pt idx="49">
                  <c:v>0.73913197516253115</c:v>
                </c:pt>
                <c:pt idx="50">
                  <c:v>0.73956615312836926</c:v>
                </c:pt>
                <c:pt idx="51">
                  <c:v>0.73998899814565844</c:v>
                </c:pt>
                <c:pt idx="52">
                  <c:v>0.74040080602794245</c:v>
                </c:pt>
                <c:pt idx="53">
                  <c:v>0.7408018648674165</c:v>
                </c:pt>
                <c:pt idx="54">
                  <c:v>0.74119245523646926</c:v>
                </c:pt>
                <c:pt idx="55">
                  <c:v>0.7415728503839667</c:v>
                </c:pt>
                <c:pt idx="56">
                  <c:v>0.7419433164264102</c:v>
                </c:pt>
                <c:pt idx="57">
                  <c:v>0.74230411253410677</c:v>
                </c:pt>
                <c:pt idx="58">
                  <c:v>0.74265549111247919</c:v>
                </c:pt>
                <c:pt idx="59">
                  <c:v>0.74299769797864323</c:v>
                </c:pt>
                <c:pt idx="60">
                  <c:v>0.7433309725333761</c:v>
                </c:pt>
                <c:pt idx="61">
                  <c:v>0.74365554792859689</c:v>
                </c:pt>
                <c:pt idx="62">
                  <c:v>0.74397165123047415</c:v>
                </c:pt>
                <c:pt idx="63">
                  <c:v>0.74427950357827666</c:v>
                </c:pt>
                <c:pt idx="64">
                  <c:v>0.74457932033907837</c:v>
                </c:pt>
                <c:pt idx="65">
                  <c:v>0.7448713112584241</c:v>
                </c:pt>
                <c:pt idx="66">
                  <c:v>0.74515568060706372</c:v>
                </c:pt>
                <c:pt idx="67">
                  <c:v>0.74543262732385496</c:v>
                </c:pt>
                <c:pt idx="68">
                  <c:v>0.74570234515493772</c:v>
                </c:pt>
                <c:pt idx="69">
                  <c:v>0.74596502278927412</c:v>
                </c:pt>
                <c:pt idx="70">
                  <c:v>0.74622084399065181</c:v>
                </c:pt>
                <c:pt idx="71">
                  <c:v>0.74646998772624107</c:v>
                </c:pt>
                <c:pt idx="72">
                  <c:v>0.74671262829179663</c:v>
                </c:pt>
                <c:pt idx="73">
                  <c:v>0.7469489354335912</c:v>
                </c:pt>
                <c:pt idx="74">
                  <c:v>0.74717907446716647</c:v>
                </c:pt>
                <c:pt idx="75">
                  <c:v>0.74740320639298452</c:v>
                </c:pt>
                <c:pt idx="76">
                  <c:v>0.74762148800906003</c:v>
                </c:pt>
                <c:pt idx="77">
                  <c:v>0.74783407202065344</c:v>
                </c:pt>
                <c:pt idx="78">
                  <c:v>0.74804110714710015</c:v>
                </c:pt>
                <c:pt idx="79">
                  <c:v>0.74824273822585086</c:v>
                </c:pt>
                <c:pt idx="80">
                  <c:v>0.74843910631379806</c:v>
                </c:pt>
                <c:pt idx="81">
                  <c:v>0.74863034878595514</c:v>
                </c:pt>
                <c:pt idx="82">
                  <c:v>0.74881659943156209</c:v>
                </c:pt>
                <c:pt idx="83">
                  <c:v>0.74899798854768129</c:v>
                </c:pt>
                <c:pt idx="84">
                  <c:v>0.74917464303035042</c:v>
                </c:pt>
                <c:pt idx="85">
                  <c:v>0.74934668646335656</c:v>
                </c:pt>
                <c:pt idx="86">
                  <c:v>0.74951423920469284</c:v>
                </c:pt>
                <c:pt idx="87">
                  <c:v>0.74967741847075808</c:v>
                </c:pt>
                <c:pt idx="88">
                  <c:v>0.74983633841835917</c:v>
                </c:pt>
                <c:pt idx="89">
                  <c:v>0.74999111022457299</c:v>
                </c:pt>
                <c:pt idx="90">
                  <c:v>0.75014184216452306</c:v>
                </c:pt>
                <c:pt idx="91">
                  <c:v>0.75028863968712678</c:v>
                </c:pt>
                <c:pt idx="92">
                  <c:v>0.75043160548886567</c:v>
                </c:pt>
                <c:pt idx="93">
                  <c:v>0.75057083958562898</c:v>
                </c:pt>
                <c:pt idx="94">
                  <c:v>0.75070643938268344</c:v>
                </c:pt>
                <c:pt idx="95">
                  <c:v>0.75083849974281514</c:v>
                </c:pt>
                <c:pt idx="96">
                  <c:v>0.75096711305269448</c:v>
                </c:pt>
                <c:pt idx="97">
                  <c:v>0.75109236928750722</c:v>
                </c:pt>
                <c:pt idx="98">
                  <c:v>0.75121435607389953</c:v>
                </c:pt>
                <c:pt idx="99">
                  <c:v>0.75133315875127993</c:v>
                </c:pt>
                <c:pt idx="100">
                  <c:v>0.75144886043152037</c:v>
                </c:pt>
                <c:pt idx="101">
                  <c:v>0.75156154205710046</c:v>
                </c:pt>
                <c:pt idx="102">
                  <c:v>0.75167128245773218</c:v>
                </c:pt>
                <c:pt idx="103">
                  <c:v>0.75177815840550832</c:v>
                </c:pt>
                <c:pt idx="104">
                  <c:v>0.75188224466860998</c:v>
                </c:pt>
                <c:pt idx="105">
                  <c:v>0.75198361406361325</c:v>
                </c:pt>
                <c:pt idx="106">
                  <c:v>0.75208233750643017</c:v>
                </c:pt>
                <c:pt idx="107">
                  <c:v>0.75217848406191956</c:v>
                </c:pt>
                <c:pt idx="108">
                  <c:v>0.75227212099220397</c:v>
                </c:pt>
                <c:pt idx="109">
                  <c:v>0.75236331380372445</c:v>
                </c:pt>
                <c:pt idx="110">
                  <c:v>0.75245212629306757</c:v>
                </c:pt>
                <c:pt idx="111">
                  <c:v>0.75253862059159626</c:v>
                </c:pt>
                <c:pt idx="112">
                  <c:v>0.75262285720891553</c:v>
                </c:pt>
                <c:pt idx="113">
                  <c:v>0.75270489507520377</c:v>
                </c:pt>
                <c:pt idx="114">
                  <c:v>0.75278479158243916</c:v>
                </c:pt>
                <c:pt idx="115">
                  <c:v>0.75286260262454963</c:v>
                </c:pt>
                <c:pt idx="116">
                  <c:v>0.75293838263651547</c:v>
                </c:pt>
                <c:pt idx="117">
                  <c:v>0.75301218463245034</c:v>
                </c:pt>
                <c:pt idx="118">
                  <c:v>0.7530840602426897</c:v>
                </c:pt>
                <c:pt idx="119">
                  <c:v>0.75315405974990945</c:v>
                </c:pt>
                <c:pt idx="120">
                  <c:v>0.75322223212430306</c:v>
                </c:pt>
                <c:pt idx="121">
                  <c:v>0.75328862505783989</c:v>
                </c:pt>
                <c:pt idx="122">
                  <c:v>0.75335328499762999</c:v>
                </c:pt>
                <c:pt idx="123">
                  <c:v>0.75341625717841698</c:v>
                </c:pt>
                <c:pt idx="124">
                  <c:v>0.7534775856542234</c:v>
                </c:pt>
                <c:pt idx="125">
                  <c:v>0.75353731332917029</c:v>
                </c:pt>
                <c:pt idx="126">
                  <c:v>0.75359548198749182</c:v>
                </c:pt>
                <c:pt idx="127">
                  <c:v>0.75365213232276651</c:v>
                </c:pt>
                <c:pt idx="128">
                  <c:v>0.75370730396638608</c:v>
                </c:pt>
                <c:pt idx="129">
                  <c:v>0.75376103551528018</c:v>
                </c:pt>
                <c:pt idx="130">
                  <c:v>0.75381336455891834</c:v>
                </c:pt>
                <c:pt idx="131">
                  <c:v>0.75386432770560685</c:v>
                </c:pt>
                <c:pt idx="132">
                  <c:v>0.7539139606080989</c:v>
                </c:pt>
                <c:pt idx="133">
                  <c:v>0.75396229798853642</c:v>
                </c:pt>
                <c:pt idx="134">
                  <c:v>0.75400937366274157</c:v>
                </c:pt>
                <c:pt idx="135">
                  <c:v>0.75405522056387286</c:v>
                </c:pt>
                <c:pt idx="136">
                  <c:v>0.75409987076546492</c:v>
                </c:pt>
                <c:pt idx="137">
                  <c:v>0.75414335550386635</c:v>
                </c:pt>
                <c:pt idx="138">
                  <c:v>0.7541857052000922</c:v>
                </c:pt>
                <c:pt idx="139">
                  <c:v>0.75422694948110547</c:v>
                </c:pt>
                <c:pt idx="140">
                  <c:v>0.75426711720054385</c:v>
                </c:pt>
                <c:pt idx="141">
                  <c:v>0.75430623645890515</c:v>
                </c:pt>
                <c:pt idx="142">
                  <c:v>0.7543443346232056</c:v>
                </c:pt>
                <c:pt idx="143">
                  <c:v>0.75438143834612525</c:v>
                </c:pt>
                <c:pt idx="144">
                  <c:v>0.754417573584654</c:v>
                </c:pt>
                <c:pt idx="145">
                  <c:v>0.75445276561824992</c:v>
                </c:pt>
                <c:pt idx="146">
                  <c:v>0.75448703906652503</c:v>
                </c:pt>
                <c:pt idx="147">
                  <c:v>0.75452041790646796</c:v>
                </c:pt>
                <c:pt idx="148">
                  <c:v>0.75455292548921793</c:v>
                </c:pt>
                <c:pt idx="149">
                  <c:v>0.75458458455640132</c:v>
                </c:pt>
                <c:pt idx="150">
                  <c:v>0.75461541725604009</c:v>
                </c:pt>
                <c:pt idx="151">
                  <c:v>0.75464544515804721</c:v>
                </c:pt>
                <c:pt idx="152">
                  <c:v>0.75467468926931591</c:v>
                </c:pt>
                <c:pt idx="153">
                  <c:v>0.75470317004841558</c:v>
                </c:pt>
                <c:pt idx="154">
                  <c:v>0.75473090741990467</c:v>
                </c:pt>
                <c:pt idx="155">
                  <c:v>0.75475792078826898</c:v>
                </c:pt>
                <c:pt idx="156">
                  <c:v>0.75478422905149689</c:v>
                </c:pt>
                <c:pt idx="157">
                  <c:v>0.75480985061430006</c:v>
                </c:pt>
                <c:pt idx="158">
                  <c:v>0.75483480340098863</c:v>
                </c:pt>
                <c:pt idx="159">
                  <c:v>0.75485910486801133</c:v>
                </c:pt>
                <c:pt idx="160">
                  <c:v>0.75488277201616683</c:v>
                </c:pt>
                <c:pt idx="161">
                  <c:v>0.75490582140249773</c:v>
                </c:pt>
                <c:pt idx="162">
                  <c:v>0.7549282691518735</c:v>
                </c:pt>
                <c:pt idx="163">
                  <c:v>0.75495013096827079</c:v>
                </c:pt>
                <c:pt idx="164">
                  <c:v>0.75497142214575985</c:v>
                </c:pt>
                <c:pt idx="165">
                  <c:v>0.75499215757920368</c:v>
                </c:pt>
                <c:pt idx="166">
                  <c:v>0.75501235177467874</c:v>
                </c:pt>
                <c:pt idx="167">
                  <c:v>0.75503201885962234</c:v>
                </c:pt>
                <c:pt idx="168">
                  <c:v>0.75505117259271648</c:v>
                </c:pt>
                <c:pt idx="169">
                  <c:v>0.75506982637351283</c:v>
                </c:pt>
                <c:pt idx="170">
                  <c:v>0.75508799325180675</c:v>
                </c:pt>
                <c:pt idx="171">
                  <c:v>0.75510568593676719</c:v>
                </c:pt>
                <c:pt idx="172">
                  <c:v>0.75512291680582688</c:v>
                </c:pt>
                <c:pt idx="173">
                  <c:v>0.75513969791334212</c:v>
                </c:pt>
                <c:pt idx="174">
                  <c:v>0.75515604099902511</c:v>
                </c:pt>
                <c:pt idx="175">
                  <c:v>0.75517195749615751</c:v>
                </c:pt>
                <c:pt idx="176">
                  <c:v>0.75518745853958835</c:v>
                </c:pt>
                <c:pt idx="177">
                  <c:v>0.75520255497352373</c:v>
                </c:pt>
                <c:pt idx="178">
                  <c:v>0.7552172573591136</c:v>
                </c:pt>
                <c:pt idx="179">
                  <c:v>0.7552315759818401</c:v>
                </c:pt>
                <c:pt idx="180">
                  <c:v>0.75524552085871244</c:v>
                </c:pt>
                <c:pt idx="181">
                  <c:v>0.75525910174527544</c:v>
                </c:pt>
                <c:pt idx="182">
                  <c:v>0.75527232814243372</c:v>
                </c:pt>
                <c:pt idx="183">
                  <c:v>0.7552852093030985</c:v>
                </c:pt>
                <c:pt idx="184">
                  <c:v>0.75529775423866075</c:v>
                </c:pt>
                <c:pt idx="185">
                  <c:v>0.75530997172529546</c:v>
                </c:pt>
                <c:pt idx="186">
                  <c:v>0.75532187031010112</c:v>
                </c:pt>
                <c:pt idx="187">
                  <c:v>0.75533345831707921</c:v>
                </c:pt>
                <c:pt idx="188">
                  <c:v>0.75534474385295747</c:v>
                </c:pt>
                <c:pt idx="189">
                  <c:v>0.755355734812861</c:v>
                </c:pt>
                <c:pt idx="190">
                  <c:v>0.75536643888583599</c:v>
                </c:pt>
                <c:pt idx="191">
                  <c:v>0.75537686356022826</c:v>
                </c:pt>
                <c:pt idx="192">
                  <c:v>0.75538701612892234</c:v>
                </c:pt>
                <c:pt idx="193">
                  <c:v>0.75539690369444334</c:v>
                </c:pt>
                <c:pt idx="194">
                  <c:v>0.75540653317392559</c:v>
                </c:pt>
                <c:pt idx="195">
                  <c:v>0.75541591130395169</c:v>
                </c:pt>
                <c:pt idx="196">
                  <c:v>0.75542504464526583</c:v>
                </c:pt>
                <c:pt idx="197">
                  <c:v>0.75543393958736271</c:v>
                </c:pt>
                <c:pt idx="198">
                  <c:v>0.75544260235295813</c:v>
                </c:pt>
                <c:pt idx="199">
                  <c:v>0.7554510390023419</c:v>
                </c:pt>
                <c:pt idx="200">
                  <c:v>0.75545925543761794</c:v>
                </c:pt>
                <c:pt idx="201">
                  <c:v>0.75546725740683252</c:v>
                </c:pt>
                <c:pt idx="202">
                  <c:v>0.75547505050799646</c:v>
                </c:pt>
                <c:pt idx="203">
                  <c:v>0.75548264019300049</c:v>
                </c:pt>
                <c:pt idx="204">
                  <c:v>0.7554900317714297</c:v>
                </c:pt>
                <c:pt idx="205">
                  <c:v>0.75549723041427808</c:v>
                </c:pt>
                <c:pt idx="206">
                  <c:v>0.75550424115756587</c:v>
                </c:pt>
                <c:pt idx="207">
                  <c:v>0.7555110689058625</c:v>
                </c:pt>
                <c:pt idx="208">
                  <c:v>0.75551771843571836</c:v>
                </c:pt>
                <c:pt idx="209">
                  <c:v>0.75552419439900542</c:v>
                </c:pt>
                <c:pt idx="210">
                  <c:v>0.7555305013261725</c:v>
                </c:pt>
                <c:pt idx="211">
                  <c:v>0.75553664362941408</c:v>
                </c:pt>
                <c:pt idx="212">
                  <c:v>0.75554262560575736</c:v>
                </c:pt>
                <c:pt idx="213">
                  <c:v>0.75554845144006788</c:v>
                </c:pt>
                <c:pt idx="214">
                  <c:v>0.75555412520797782</c:v>
                </c:pt>
                <c:pt idx="215">
                  <c:v>0.75555965087873667</c:v>
                </c:pt>
                <c:pt idx="216">
                  <c:v>0.75556503231798833</c:v>
                </c:pt>
                <c:pt idx="217">
                  <c:v>0.75557027329047532</c:v>
                </c:pt>
                <c:pt idx="218">
                  <c:v>0.75557537746267256</c:v>
                </c:pt>
                <c:pt idx="219">
                  <c:v>0.75558034840535226</c:v>
                </c:pt>
                <c:pt idx="220">
                  <c:v>0.75558518959608212</c:v>
                </c:pt>
                <c:pt idx="221">
                  <c:v>0.75558990442165819</c:v>
                </c:pt>
                <c:pt idx="222">
                  <c:v>0.75559449618047381</c:v>
                </c:pt>
                <c:pt idx="223">
                  <c:v>0.75559896808482774</c:v>
                </c:pt>
                <c:pt idx="224">
                  <c:v>0.75560332326317081</c:v>
                </c:pt>
                <c:pt idx="225">
                  <c:v>0.75560756476229485</c:v>
                </c:pt>
                <c:pt idx="226">
                  <c:v>0.75561169554946395</c:v>
                </c:pt>
                <c:pt idx="227">
                  <c:v>0.75561571851449072</c:v>
                </c:pt>
                <c:pt idx="228">
                  <c:v>0.75561963647175745</c:v>
                </c:pt>
                <c:pt idx="229">
                  <c:v>0.75562345216218518</c:v>
                </c:pt>
                <c:pt idx="230">
                  <c:v>0.7556271682551513</c:v>
                </c:pt>
                <c:pt idx="231">
                  <c:v>0.75563078735035671</c:v>
                </c:pt>
                <c:pt idx="232">
                  <c:v>0.75563431197964503</c:v>
                </c:pt>
                <c:pt idx="233">
                  <c:v>0.75563774460877331</c:v>
                </c:pt>
                <c:pt idx="234">
                  <c:v>0.75564108763913707</c:v>
                </c:pt>
                <c:pt idx="235">
                  <c:v>0.75564434340945053</c:v>
                </c:pt>
                <c:pt idx="236">
                  <c:v>0.75564751419738274</c:v>
                </c:pt>
                <c:pt idx="237">
                  <c:v>0.75565060222115066</c:v>
                </c:pt>
                <c:pt idx="238">
                  <c:v>0.7556536096410712</c:v>
                </c:pt>
                <c:pt idx="239">
                  <c:v>0.75565653856107251</c:v>
                </c:pt>
                <c:pt idx="240">
                  <c:v>0.75565939103016599</c:v>
                </c:pt>
                <c:pt idx="241">
                  <c:v>0.75566216904387939</c:v>
                </c:pt>
                <c:pt idx="242">
                  <c:v>0.75566487454565301</c:v>
                </c:pt>
                <c:pt idx="243">
                  <c:v>0.7556675094281996</c:v>
                </c:pt>
                <c:pt idx="244">
                  <c:v>0.75567007553482768</c:v>
                </c:pt>
                <c:pt idx="245">
                  <c:v>0.75567257466073212</c:v>
                </c:pt>
                <c:pt idx="246">
                  <c:v>0.75567500855424907</c:v>
                </c:pt>
                <c:pt idx="247">
                  <c:v>0.75567737891807962</c:v>
                </c:pt>
                <c:pt idx="248">
                  <c:v>0.75567968741048086</c:v>
                </c:pt>
                <c:pt idx="249">
                  <c:v>0.75568193564642583</c:v>
                </c:pt>
                <c:pt idx="250">
                  <c:v>0.7556841251987334</c:v>
                </c:pt>
                <c:pt idx="251">
                  <c:v>0.75568625759916874</c:v>
                </c:pt>
                <c:pt idx="252">
                  <c:v>0.75568833433951466</c:v>
                </c:pt>
                <c:pt idx="253">
                  <c:v>0.75569035687261521</c:v>
                </c:pt>
                <c:pt idx="254">
                  <c:v>0.75569232661339247</c:v>
                </c:pt>
                <c:pt idx="255">
                  <c:v>0.75569424493983595</c:v>
                </c:pt>
                <c:pt idx="256">
                  <c:v>0.75569611319396657</c:v>
                </c:pt>
                <c:pt idx="257">
                  <c:v>0.75569793268277607</c:v>
                </c:pt>
                <c:pt idx="258">
                  <c:v>0.75569970467914083</c:v>
                </c:pt>
                <c:pt idx="259">
                  <c:v>0.75570143042271254</c:v>
                </c:pt>
                <c:pt idx="260">
                  <c:v>0.75570311112078514</c:v>
                </c:pt>
                <c:pt idx="261">
                  <c:v>0.75570474794914022</c:v>
                </c:pt>
                <c:pt idx="262">
                  <c:v>0.75570634205286846</c:v>
                </c:pt>
                <c:pt idx="263">
                  <c:v>0.75570789454717169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0A4-4C1E-8BD2-60FA58B0E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626264"/>
        <c:axId val="631627344"/>
      </c:scatterChart>
      <c:valAx>
        <c:axId val="631626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627344"/>
        <c:crosses val="autoZero"/>
        <c:crossBetween val="midCat"/>
      </c:valAx>
      <c:valAx>
        <c:axId val="631627344"/>
        <c:scaling>
          <c:orientation val="minMax"/>
          <c:min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626264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2969816272965879E-2"/>
          <c:y val="0.17171296296296296"/>
          <c:w val="0.88055796150481191"/>
          <c:h val="0.74440616797900261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'Overdamped V2'!#REF!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'Overdamped V2'!$A$5:$A$268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V2'!$C$5:$C$268</c:f>
              <c:numCache>
                <c:formatCode>General</c:formatCode>
                <c:ptCount val="264"/>
                <c:pt idx="0">
                  <c:v>0.63468360299323179</c:v>
                </c:pt>
                <c:pt idx="1">
                  <c:v>0.63481277344959608</c:v>
                </c:pt>
                <c:pt idx="2">
                  <c:v>0.63517929354857372</c:v>
                </c:pt>
                <c:pt idx="3">
                  <c:v>0.63575412102784212</c:v>
                </c:pt>
                <c:pt idx="4">
                  <c:v>0.6365112118411681</c:v>
                </c:pt>
                <c:pt idx="5">
                  <c:v>0.63742722059241708</c:v>
                </c:pt>
                <c:pt idx="6">
                  <c:v>0.63848123068897866</c:v>
                </c:pt>
                <c:pt idx="7">
                  <c:v>0.63965451127084305</c:v>
                </c:pt>
                <c:pt idx="8">
                  <c:v>0.64093029826304926</c:v>
                </c:pt>
                <c:pt idx="9">
                  <c:v>0.64229359716184586</c:v>
                </c:pt>
                <c:pt idx="10">
                  <c:v>0.64373100540152695</c:v>
                </c:pt>
                <c:pt idx="11">
                  <c:v>0.64523055236210058</c:v>
                </c:pt>
                <c:pt idx="12">
                  <c:v>0.64678155527002945</c:v>
                </c:pt>
                <c:pt idx="13">
                  <c:v>0.64837448941735265</c:v>
                </c:pt>
                <c:pt idx="14">
                  <c:v>0.65000087128042672</c:v>
                </c:pt>
                <c:pt idx="15">
                  <c:v>0.65165315326001783</c:v>
                </c:pt>
                <c:pt idx="16">
                  <c:v>0.65332462889105913</c:v>
                </c:pt>
                <c:pt idx="17">
                  <c:v>0.65500934748443507</c:v>
                </c:pt>
                <c:pt idx="18">
                  <c:v>0.65670203726591292</c:v>
                </c:pt>
                <c:pt idx="19">
                  <c:v>0.65839803616992421</c:v>
                </c:pt>
                <c:pt idx="20">
                  <c:v>0.66009322952931349</c:v>
                </c:pt>
                <c:pt idx="21">
                  <c:v>0.66178399397733012</c:v>
                </c:pt>
                <c:pt idx="22">
                  <c:v>0.66346714694585263</c:v>
                </c:pt>
                <c:pt idx="23">
                  <c:v>0.6651399012048469</c:v>
                </c:pt>
                <c:pt idx="24">
                  <c:v>0.66679982394302706</c:v>
                </c:pt>
                <c:pt idx="25">
                  <c:v>0.66844479993921679</c:v>
                </c:pt>
                <c:pt idx="26">
                  <c:v>0.67007299841852952</c:v>
                </c:pt>
                <c:pt idx="27">
                  <c:v>0.67168284322769145</c:v>
                </c:pt>
                <c:pt idx="28">
                  <c:v>0.67327298600005503</c:v>
                </c:pt>
                <c:pt idx="29">
                  <c:v>0.67484228201348573</c:v>
                </c:pt>
                <c:pt idx="30">
                  <c:v>0.67638976847371102</c:v>
                </c:pt>
                <c:pt idx="31">
                  <c:v>0.67791464498221421</c:v>
                </c:pt>
                <c:pt idx="32">
                  <c:v>0.67941625597162303</c:v>
                </c:pt>
                <c:pt idx="33">
                  <c:v>0.68089407491305343</c:v>
                </c:pt>
                <c:pt idx="34">
                  <c:v>0.68234769011924079</c:v>
                </c:pt>
                <c:pt idx="35">
                  <c:v>0.68377679198475239</c:v>
                </c:pt>
                <c:pt idx="36">
                  <c:v>0.68518116152030129</c:v>
                </c:pt>
                <c:pt idx="37">
                  <c:v>0.68656066005235461</c:v>
                </c:pt>
                <c:pt idx="38">
                  <c:v>0.68791521997199723</c:v>
                </c:pt>
                <c:pt idx="39">
                  <c:v>0.68924483642851464</c:v>
                </c:pt>
                <c:pt idx="40">
                  <c:v>0.69054955987352207</c:v>
                </c:pt>
                <c:pt idx="41">
                  <c:v>0.69182948937080779</c:v>
                </c:pt>
                <c:pt idx="42">
                  <c:v>0.6930847665954688</c:v>
                </c:pt>
                <c:pt idx="43">
                  <c:v>0.69431557045349701</c:v>
                </c:pt>
                <c:pt idx="44">
                  <c:v>0.69552211225980476</c:v>
                </c:pt>
                <c:pt idx="45">
                  <c:v>0.69670463141882943</c:v>
                </c:pt>
                <c:pt idx="46">
                  <c:v>0.6978633915574004</c:v>
                </c:pt>
                <c:pt idx="47">
                  <c:v>0.69899867706454577</c:v>
                </c:pt>
                <c:pt idx="48">
                  <c:v>0.70011078999741683</c:v>
                </c:pt>
                <c:pt idx="49">
                  <c:v>0.70120004731655905</c:v>
                </c:pt>
                <c:pt idx="50">
                  <c:v>0.7022667784174127</c:v>
                </c:pt>
                <c:pt idx="51">
                  <c:v>0.70331132292821585</c:v>
                </c:pt>
                <c:pt idx="52">
                  <c:v>0.70433402874744666</c:v>
                </c:pt>
                <c:pt idx="53">
                  <c:v>0.70533525029661148</c:v>
                </c:pt>
                <c:pt idx="54">
                  <c:v>0.70631534696659171</c:v>
                </c:pt>
                <c:pt idx="55">
                  <c:v>0.70727468173793129</c:v>
                </c:pt>
                <c:pt idx="56">
                  <c:v>0.70821361995739618</c:v>
                </c:pt>
                <c:pt idx="57">
                  <c:v>0.70913252825489792</c:v>
                </c:pt>
                <c:pt idx="58">
                  <c:v>0.71003177358645952</c:v>
                </c:pt>
                <c:pt idx="59">
                  <c:v>0.71091172239032618</c:v>
                </c:pt>
                <c:pt idx="60">
                  <c:v>0.71177273984461198</c:v>
                </c:pt>
                <c:pt idx="61">
                  <c:v>0.71261518921603084</c:v>
                </c:pt>
                <c:pt idx="62">
                  <c:v>0.71343943129030474</c:v>
                </c:pt>
                <c:pt idx="63">
                  <c:v>0.71424582387578039</c:v>
                </c:pt>
                <c:pt idx="64">
                  <c:v>0.7150347213726348</c:v>
                </c:pt>
                <c:pt idx="65">
                  <c:v>0.71580647440081069</c:v>
                </c:pt>
                <c:pt idx="66">
                  <c:v>0.71656142948051138</c:v>
                </c:pt>
                <c:pt idx="67">
                  <c:v>0.71729992875970272</c:v>
                </c:pt>
                <c:pt idx="68">
                  <c:v>0.71802230978362713</c:v>
                </c:pt>
                <c:pt idx="69">
                  <c:v>0.71872890530183808</c:v>
                </c:pt>
                <c:pt idx="70">
                  <c:v>0.71942004310871299</c:v>
                </c:pt>
                <c:pt idx="71">
                  <c:v>0.72009604591381282</c:v>
                </c:pt>
                <c:pt idx="72">
                  <c:v>0.72075723123882118</c:v>
                </c:pt>
                <c:pt idx="73">
                  <c:v>0.72140391133812665</c:v>
                </c:pt>
                <c:pt idx="74">
                  <c:v>0.72203639314041013</c:v>
                </c:pt>
                <c:pt idx="75">
                  <c:v>0.72265497820886626</c:v>
                </c:pt>
                <c:pt idx="76">
                  <c:v>0.72325996271792892</c:v>
                </c:pt>
                <c:pt idx="77">
                  <c:v>0.72385163744458869</c:v>
                </c:pt>
                <c:pt idx="78">
                  <c:v>0.724430287772585</c:v>
                </c:pt>
                <c:pt idx="79">
                  <c:v>0.72499619370793211</c:v>
                </c:pt>
                <c:pt idx="80">
                  <c:v>0.72554962990439675</c:v>
                </c:pt>
                <c:pt idx="81">
                  <c:v>0.72609086569768722</c:v>
                </c:pt>
                <c:pt idx="82">
                  <c:v>0.72662016514724215</c:v>
                </c:pt>
                <c:pt idx="83">
                  <c:v>0.7271377870846244</c:v>
                </c:pt>
                <c:pt idx="84">
                  <c:v>0.72764398516762618</c:v>
                </c:pt>
                <c:pt idx="85">
                  <c:v>0.72813900793928932</c:v>
                </c:pt>
                <c:pt idx="86">
                  <c:v>0.72862309889112398</c:v>
                </c:pt>
                <c:pt idx="87">
                  <c:v>0.72909649652989061</c:v>
                </c:pt>
                <c:pt idx="88">
                  <c:v>0.7295594344473717</c:v>
                </c:pt>
                <c:pt idx="89">
                  <c:v>0.73001214139262682</c:v>
                </c:pt>
                <c:pt idx="90">
                  <c:v>0.73045484134627514</c:v>
                </c:pt>
                <c:pt idx="91">
                  <c:v>0.73088775359640357</c:v>
                </c:pt>
                <c:pt idx="92">
                  <c:v>0.7313110928157377</c:v>
                </c:pt>
                <c:pt idx="93">
                  <c:v>0.73172506913975821</c:v>
                </c:pt>
                <c:pt idx="94">
                  <c:v>0.73212988824547842</c:v>
                </c:pt>
                <c:pt idx="95">
                  <c:v>0.73252575143063048</c:v>
                </c:pt>
                <c:pt idx="96">
                  <c:v>0.7329128556930391</c:v>
                </c:pt>
                <c:pt idx="97">
                  <c:v>0.73329139380998565</c:v>
                </c:pt>
                <c:pt idx="98">
                  <c:v>0.73366155441739012</c:v>
                </c:pt>
                <c:pt idx="99">
                  <c:v>0.73402352208865795</c:v>
                </c:pt>
                <c:pt idx="100">
                  <c:v>0.73437747741306014</c:v>
                </c:pt>
                <c:pt idx="101">
                  <c:v>0.73472359707352852</c:v>
                </c:pt>
                <c:pt idx="102">
                  <c:v>0.73506205392376678</c:v>
                </c:pt>
                <c:pt idx="103">
                  <c:v>0.73539301706458748</c:v>
                </c:pt>
                <c:pt idx="104">
                  <c:v>0.73571665191940205</c:v>
                </c:pt>
                <c:pt idx="105">
                  <c:v>0.73603312030879675</c:v>
                </c:pt>
                <c:pt idx="106">
                  <c:v>0.73634258052414059</c:v>
                </c:pt>
                <c:pt idx="107">
                  <c:v>0.73664518740017992</c:v>
                </c:pt>
                <c:pt idx="108">
                  <c:v>0.73694109238657846</c:v>
                </c:pt>
                <c:pt idx="109">
                  <c:v>0.73723044361837409</c:v>
                </c:pt>
                <c:pt idx="110">
                  <c:v>0.7375133859853249</c:v>
                </c:pt>
                <c:pt idx="111">
                  <c:v>0.7377900612001248</c:v>
                </c:pt>
                <c:pt idx="112">
                  <c:v>0.73806060786547412</c:v>
                </c:pt>
                <c:pt idx="113">
                  <c:v>0.73832516153999328</c:v>
                </c:pt>
                <c:pt idx="114">
                  <c:v>0.73858385480297428</c:v>
                </c:pt>
                <c:pt idx="115">
                  <c:v>0.73883681731796369</c:v>
                </c:pt>
                <c:pt idx="116">
                  <c:v>0.73908417589517905</c:v>
                </c:pt>
                <c:pt idx="117">
                  <c:v>0.73932605455275913</c:v>
                </c:pt>
                <c:pt idx="118">
                  <c:v>0.73956257457685304</c:v>
                </c:pt>
                <c:pt idx="119">
                  <c:v>0.73979385458055391</c:v>
                </c:pt>
                <c:pt idx="120">
                  <c:v>0.74002001056168643</c:v>
                </c:pt>
                <c:pt idx="121">
                  <c:v>0.74024115595945572</c:v>
                </c:pt>
                <c:pt idx="122">
                  <c:v>0.74045740170997199</c:v>
                </c:pt>
                <c:pt idx="123">
                  <c:v>0.74066885630065893</c:v>
                </c:pt>
                <c:pt idx="124">
                  <c:v>0.74087562582356292</c:v>
                </c:pt>
                <c:pt idx="125">
                  <c:v>0.74107781402757467</c:v>
                </c:pt>
                <c:pt idx="126">
                  <c:v>0.74127552236957828</c:v>
                </c:pt>
                <c:pt idx="127">
                  <c:v>0.74146885006454488</c:v>
                </c:pt>
                <c:pt idx="128">
                  <c:v>0.74165789413458327</c:v>
                </c:pt>
                <c:pt idx="129">
                  <c:v>0.74184274945696782</c:v>
                </c:pt>
                <c:pt idx="130">
                  <c:v>0.74202350881115708</c:v>
                </c:pt>
                <c:pt idx="131">
                  <c:v>0.742200262924821</c:v>
                </c:pt>
                <c:pt idx="132">
                  <c:v>0.74237310051889382</c:v>
                </c:pt>
                <c:pt idx="133">
                  <c:v>0.74254210835167012</c:v>
                </c:pt>
                <c:pt idx="134">
                  <c:v>0.74270737126195985</c:v>
                </c:pt>
                <c:pt idx="135">
                  <c:v>0.74286897221132098</c:v>
                </c:pt>
                <c:pt idx="136">
                  <c:v>0.7430269923253856</c:v>
                </c:pt>
                <c:pt idx="137">
                  <c:v>0.74318151093429852</c:v>
                </c:pt>
                <c:pt idx="138">
                  <c:v>0.74333260561228209</c:v>
                </c:pt>
                <c:pt idx="139">
                  <c:v>0.74348035221634845</c:v>
                </c:pt>
                <c:pt idx="140">
                  <c:v>0.74362482492417226</c:v>
                </c:pt>
                <c:pt idx="141">
                  <c:v>0.74376609627114221</c:v>
                </c:pt>
                <c:pt idx="142">
                  <c:v>0.74390423718660803</c:v>
                </c:pt>
                <c:pt idx="143">
                  <c:v>0.74403931702933779</c:v>
                </c:pt>
                <c:pt idx="144">
                  <c:v>0.74417140362220402</c:v>
                </c:pt>
                <c:pt idx="145">
                  <c:v>0.74430056328611105</c:v>
                </c:pt>
                <c:pt idx="146">
                  <c:v>0.74442686087318277</c:v>
                </c:pt>
                <c:pt idx="147">
                  <c:v>0.74455035979922324</c:v>
                </c:pt>
                <c:pt idx="148">
                  <c:v>0.74467112207546771</c:v>
                </c:pt>
                <c:pt idx="149">
                  <c:v>0.74478920833963658</c:v>
                </c:pt>
                <c:pt idx="150">
                  <c:v>0.74490467788630876</c:v>
                </c:pt>
                <c:pt idx="151">
                  <c:v>0.74501758869662904</c:v>
                </c:pt>
                <c:pt idx="152">
                  <c:v>0.74512799746736114</c:v>
                </c:pt>
                <c:pt idx="153">
                  <c:v>0.745235959639303</c:v>
                </c:pt>
                <c:pt idx="154">
                  <c:v>0.7453415294250777</c:v>
                </c:pt>
                <c:pt idx="155">
                  <c:v>0.74544475983631087</c:v>
                </c:pt>
                <c:pt idx="156">
                  <c:v>0.74554570271021148</c:v>
                </c:pt>
                <c:pt idx="157">
                  <c:v>0.74564440873556515</c:v>
                </c:pt>
                <c:pt idx="158">
                  <c:v>0.74574092747815646</c:v>
                </c:pt>
                <c:pt idx="159">
                  <c:v>0.74583530740562876</c:v>
                </c:pt>
                <c:pt idx="160">
                  <c:v>0.74592759591179691</c:v>
                </c:pt>
                <c:pt idx="161">
                  <c:v>0.74601783934042243</c:v>
                </c:pt>
                <c:pt idx="162">
                  <c:v>0.7461060830084647</c:v>
                </c:pt>
                <c:pt idx="163">
                  <c:v>0.74619237122881832</c:v>
                </c:pt>
                <c:pt idx="164">
                  <c:v>0.74627674733254801</c:v>
                </c:pt>
                <c:pt idx="165">
                  <c:v>0.7463592536906325</c:v>
                </c:pt>
                <c:pt idx="166">
                  <c:v>0.74643993173522805</c:v>
                </c:pt>
                <c:pt idx="167">
                  <c:v>0.74651882198046149</c:v>
                </c:pt>
                <c:pt idx="168">
                  <c:v>0.74659596404276418</c:v>
                </c:pt>
                <c:pt idx="169">
                  <c:v>0.74667139666075544</c:v>
                </c:pt>
                <c:pt idx="170">
                  <c:v>0.74674515771468764</c:v>
                </c:pt>
                <c:pt idx="171">
                  <c:v>0.74681728424545946</c:v>
                </c:pt>
                <c:pt idx="172">
                  <c:v>0.74688781247321001</c:v>
                </c:pt>
                <c:pt idx="173">
                  <c:v>0.74695677781550029</c:v>
                </c:pt>
                <c:pt idx="174">
                  <c:v>0.74702421490509385</c:v>
                </c:pt>
                <c:pt idx="175">
                  <c:v>0.74709015760734188</c:v>
                </c:pt>
                <c:pt idx="176">
                  <c:v>0.74715463903718582</c:v>
                </c:pt>
                <c:pt idx="177">
                  <c:v>0.74721769157578177</c:v>
                </c:pt>
                <c:pt idx="178">
                  <c:v>0.74727934688675768</c:v>
                </c:pt>
                <c:pt idx="179">
                  <c:v>0.74733963593211084</c:v>
                </c:pt>
                <c:pt idx="180">
                  <c:v>0.74739858898775269</c:v>
                </c:pt>
                <c:pt idx="181">
                  <c:v>0.74745623565871011</c:v>
                </c:pt>
                <c:pt idx="182">
                  <c:v>0.74751260489398974</c:v>
                </c:pt>
                <c:pt idx="183">
                  <c:v>0.7475677250011129</c:v>
                </c:pt>
                <c:pt idx="184">
                  <c:v>0.74762162366032969</c:v>
                </c:pt>
                <c:pt idx="185">
                  <c:v>0.74767432793851674</c:v>
                </c:pt>
                <c:pt idx="186">
                  <c:v>0.74772586430276811</c:v>
                </c:pt>
                <c:pt idx="187">
                  <c:v>0.74777625863368558</c:v>
                </c:pt>
                <c:pt idx="188">
                  <c:v>0.74782553623837322</c:v>
                </c:pt>
                <c:pt idx="189">
                  <c:v>0.74787372186314538</c:v>
                </c:pt>
                <c:pt idx="190">
                  <c:v>0.74792083970595225</c:v>
                </c:pt>
                <c:pt idx="191">
                  <c:v>0.74796691342853117</c:v>
                </c:pt>
                <c:pt idx="192">
                  <c:v>0.7480119661682878</c:v>
                </c:pt>
                <c:pt idx="193">
                  <c:v>0.7480560205499146</c:v>
                </c:pt>
                <c:pt idx="194">
                  <c:v>0.74809909869675151</c:v>
                </c:pt>
                <c:pt idx="195">
                  <c:v>0.74814122224189583</c:v>
                </c:pt>
                <c:pt idx="196">
                  <c:v>0.74818241233906491</c:v>
                </c:pt>
                <c:pt idx="197">
                  <c:v>0.74822268967321859</c:v>
                </c:pt>
                <c:pt idx="198">
                  <c:v>0.74826207447094661</c:v>
                </c:pt>
                <c:pt idx="199">
                  <c:v>0.74830058651062548</c:v>
                </c:pt>
                <c:pt idx="200">
                  <c:v>0.74833824513235037</c:v>
                </c:pt>
                <c:pt idx="201">
                  <c:v>0.74837506924764718</c:v>
                </c:pt>
                <c:pt idx="202">
                  <c:v>0.74841107734896906</c:v>
                </c:pt>
                <c:pt idx="203">
                  <c:v>0.7484462875189829</c:v>
                </c:pt>
                <c:pt idx="204">
                  <c:v>0.74848071743964983</c:v>
                </c:pt>
                <c:pt idx="205">
                  <c:v>0.7485143844011044</c:v>
                </c:pt>
                <c:pt idx="206">
                  <c:v>0.74854730531033731</c:v>
                </c:pt>
                <c:pt idx="207">
                  <c:v>0.74857949669968571</c:v>
                </c:pt>
                <c:pt idx="208">
                  <c:v>0.74861097473513538</c:v>
                </c:pt>
                <c:pt idx="209">
                  <c:v>0.74864175522443832</c:v>
                </c:pt>
                <c:pt idx="210">
                  <c:v>0.74867185362505162</c:v>
                </c:pt>
                <c:pt idx="211">
                  <c:v>0.74870128505189948</c:v>
                </c:pt>
                <c:pt idx="212">
                  <c:v>0.74873006428496369</c:v>
                </c:pt>
                <c:pt idx="213">
                  <c:v>0.74875820577670571</c:v>
                </c:pt>
                <c:pt idx="214">
                  <c:v>0.7487857236593245</c:v>
                </c:pt>
                <c:pt idx="215">
                  <c:v>0.7488126317518532</c:v>
                </c:pt>
                <c:pt idx="216">
                  <c:v>0.7488389435670989</c:v>
                </c:pt>
                <c:pt idx="217">
                  <c:v>0.74886467231842835</c:v>
                </c:pt>
                <c:pt idx="218">
                  <c:v>0.7488898309264036</c:v>
                </c:pt>
                <c:pt idx="219">
                  <c:v>0.7489144320252703</c:v>
                </c:pt>
                <c:pt idx="220">
                  <c:v>0.74893848796930262</c:v>
                </c:pt>
                <c:pt idx="221">
                  <c:v>0.74896201083900682</c:v>
                </c:pt>
                <c:pt idx="222">
                  <c:v>0.74898501244718829</c:v>
                </c:pt>
                <c:pt idx="223">
                  <c:v>0.74900750434488361</c:v>
                </c:pt>
                <c:pt idx="224">
                  <c:v>0.74902949782716111</c:v>
                </c:pt>
                <c:pt idx="225">
                  <c:v>0.74905100393879342</c:v>
                </c:pt>
                <c:pt idx="226">
                  <c:v>0.74907203347980333</c:v>
                </c:pt>
                <c:pt idx="227">
                  <c:v>0.74909259701088793</c:v>
                </c:pt>
                <c:pt idx="228">
                  <c:v>0.74911270485872172</c:v>
                </c:pt>
                <c:pt idx="229">
                  <c:v>0.74913236712114262</c:v>
                </c:pt>
                <c:pt idx="230">
                  <c:v>0.74915159367222273</c:v>
                </c:pt>
                <c:pt idx="231">
                  <c:v>0.74917039416722719</c:v>
                </c:pt>
                <c:pt idx="232">
                  <c:v>0.74918877804746253</c:v>
                </c:pt>
                <c:pt idx="233">
                  <c:v>0.74920675454501839</c:v>
                </c:pt>
                <c:pt idx="234">
                  <c:v>0.74922433268740318</c:v>
                </c:pt>
                <c:pt idx="235">
                  <c:v>0.749241521302078</c:v>
                </c:pt>
                <c:pt idx="236">
                  <c:v>0.7492583290208894</c:v>
                </c:pt>
                <c:pt idx="237">
                  <c:v>0.74927476428440409</c:v>
                </c:pt>
                <c:pt idx="238">
                  <c:v>0.74929083534614804</c:v>
                </c:pt>
                <c:pt idx="239">
                  <c:v>0.74930655027675075</c:v>
                </c:pt>
                <c:pt idx="240">
                  <c:v>0.74932191696799855</c:v>
                </c:pt>
                <c:pt idx="241">
                  <c:v>0.74933694313679733</c:v>
                </c:pt>
                <c:pt idx="242">
                  <c:v>0.74935163632904844</c:v>
                </c:pt>
                <c:pt idx="243">
                  <c:v>0.74936600392343766</c:v>
                </c:pt>
                <c:pt idx="244">
                  <c:v>0.74938005313514056</c:v>
                </c:pt>
                <c:pt idx="245">
                  <c:v>0.74939379101944636</c:v>
                </c:pt>
                <c:pt idx="246">
                  <c:v>0.74940722447530062</c:v>
                </c:pt>
                <c:pt idx="247">
                  <c:v>0.74942036024876957</c:v>
                </c:pt>
                <c:pt idx="248">
                  <c:v>0.7494332049364284</c:v>
                </c:pt>
                <c:pt idx="249">
                  <c:v>0.74944576498867366</c:v>
                </c:pt>
                <c:pt idx="250">
                  <c:v>0.74945804671296246</c:v>
                </c:pt>
                <c:pt idx="251">
                  <c:v>0.74947005627698005</c:v>
                </c:pt>
                <c:pt idx="252">
                  <c:v>0.74948179971173734</c:v>
                </c:pt>
                <c:pt idx="253">
                  <c:v>0.74949328291459938</c:v>
                </c:pt>
                <c:pt idx="254">
                  <c:v>0.74950451165224663</c:v>
                </c:pt>
                <c:pt idx="255">
                  <c:v>0.74951549156357156</c:v>
                </c:pt>
                <c:pt idx="256">
                  <c:v>0.74952622816250991</c:v>
                </c:pt>
                <c:pt idx="257">
                  <c:v>0.74953672684080996</c:v>
                </c:pt>
                <c:pt idx="258">
                  <c:v>0.74954699287073978</c:v>
                </c:pt>
                <c:pt idx="259">
                  <c:v>0.74955703140773533</c:v>
                </c:pt>
                <c:pt idx="260">
                  <c:v>0.74956684749298941</c:v>
                </c:pt>
                <c:pt idx="261">
                  <c:v>0.74957644605598295</c:v>
                </c:pt>
                <c:pt idx="262">
                  <c:v>0.7495858319169606</c:v>
                </c:pt>
                <c:pt idx="263">
                  <c:v>0.74959500978935156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62-4A2F-AEFA-2CAB75EF7567}"/>
            </c:ext>
          </c:extLst>
        </c:ser>
        <c:ser>
          <c:idx val="2"/>
          <c:order val="1"/>
          <c:tx>
            <c:strRef>
              <c:f>'Overdamped V2'!$D$4</c:f>
              <c:strCache>
                <c:ptCount val="1"/>
                <c:pt idx="0">
                  <c:v>valeur Haute (Multiplié par marge haute + tunnel)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'Overdamped V2'!$A$5:$A$268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V2'!$D$5:$D$268</c:f>
              <c:numCache>
                <c:formatCode>General</c:formatCode>
                <c:ptCount val="264"/>
                <c:pt idx="0">
                  <c:v>0.57125958463950932</c:v>
                </c:pt>
                <c:pt idx="1">
                  <c:v>0.5714533403240557</c:v>
                </c:pt>
                <c:pt idx="2">
                  <c:v>0.57200312047252222</c:v>
                </c:pt>
                <c:pt idx="3">
                  <c:v>0.57286536169142488</c:v>
                </c:pt>
                <c:pt idx="4">
                  <c:v>0.57400099791141368</c:v>
                </c:pt>
                <c:pt idx="5">
                  <c:v>0.57537501103828725</c:v>
                </c:pt>
                <c:pt idx="6">
                  <c:v>0.57695602618312958</c:v>
                </c:pt>
                <c:pt idx="7">
                  <c:v>0.57871594705592622</c:v>
                </c:pt>
                <c:pt idx="8">
                  <c:v>0.58062962754423553</c:v>
                </c:pt>
                <c:pt idx="9">
                  <c:v>0.58267457589243044</c:v>
                </c:pt>
                <c:pt idx="10">
                  <c:v>0.58483068825195195</c:v>
                </c:pt>
                <c:pt idx="11">
                  <c:v>0.58708000869281241</c:v>
                </c:pt>
                <c:pt idx="12">
                  <c:v>0.58940651305470582</c:v>
                </c:pt>
                <c:pt idx="13">
                  <c:v>0.59179591427569056</c:v>
                </c:pt>
                <c:pt idx="14">
                  <c:v>0.59423548707030172</c:v>
                </c:pt>
                <c:pt idx="15">
                  <c:v>0.59671391003968832</c:v>
                </c:pt>
                <c:pt idx="16">
                  <c:v>0.59922112348625034</c:v>
                </c:pt>
                <c:pt idx="17">
                  <c:v>0.60174820137631413</c:v>
                </c:pt>
                <c:pt idx="18">
                  <c:v>0.60428723604853085</c:v>
                </c:pt>
                <c:pt idx="19">
                  <c:v>0.60683123440454789</c:v>
                </c:pt>
                <c:pt idx="20">
                  <c:v>0.60937402444363187</c:v>
                </c:pt>
                <c:pt idx="21">
                  <c:v>0.61191017111565671</c:v>
                </c:pt>
                <c:pt idx="22">
                  <c:v>0.61443490056844052</c:v>
                </c:pt>
                <c:pt idx="23">
                  <c:v>0.61694403195693193</c:v>
                </c:pt>
                <c:pt idx="24">
                  <c:v>0.61943391606420217</c:v>
                </c:pt>
                <c:pt idx="25">
                  <c:v>0.62190138005848683</c:v>
                </c:pt>
                <c:pt idx="26">
                  <c:v>0.62434367777745592</c:v>
                </c:pt>
                <c:pt idx="27">
                  <c:v>0.6267584449911987</c:v>
                </c:pt>
                <c:pt idx="28">
                  <c:v>0.62914365914974413</c:v>
                </c:pt>
                <c:pt idx="29">
                  <c:v>0.63149760316989012</c:v>
                </c:pt>
                <c:pt idx="30">
                  <c:v>0.63381883286022822</c:v>
                </c:pt>
                <c:pt idx="31">
                  <c:v>0.6361061476229829</c:v>
                </c:pt>
                <c:pt idx="32">
                  <c:v>0.63835856410709613</c:v>
                </c:pt>
                <c:pt idx="33">
                  <c:v>0.64057529251924161</c:v>
                </c:pt>
                <c:pt idx="34">
                  <c:v>0.64275571532852271</c:v>
                </c:pt>
                <c:pt idx="35">
                  <c:v>0.64489936812679027</c:v>
                </c:pt>
                <c:pt idx="36">
                  <c:v>0.64700592243011346</c:v>
                </c:pt>
                <c:pt idx="37">
                  <c:v>0.64907517022819339</c:v>
                </c:pt>
                <c:pt idx="38">
                  <c:v>0.65110701010765748</c:v>
                </c:pt>
                <c:pt idx="39">
                  <c:v>0.65310143479243365</c:v>
                </c:pt>
                <c:pt idx="40">
                  <c:v>0.65505851995994469</c:v>
                </c:pt>
                <c:pt idx="41">
                  <c:v>0.65697841420587333</c:v>
                </c:pt>
                <c:pt idx="42">
                  <c:v>0.65886133004286473</c:v>
                </c:pt>
                <c:pt idx="43">
                  <c:v>0.66070753582990704</c:v>
                </c:pt>
                <c:pt idx="44">
                  <c:v>0.66251734853936872</c:v>
                </c:pt>
                <c:pt idx="45">
                  <c:v>0.66429112727790585</c:v>
                </c:pt>
                <c:pt idx="46">
                  <c:v>0.66602926748576208</c:v>
                </c:pt>
                <c:pt idx="47">
                  <c:v>0.66773219574648024</c:v>
                </c:pt>
                <c:pt idx="48">
                  <c:v>0.66940036514578694</c:v>
                </c:pt>
                <c:pt idx="49">
                  <c:v>0.67103425112450021</c:v>
                </c:pt>
                <c:pt idx="50">
                  <c:v>0.67263434777578068</c:v>
                </c:pt>
                <c:pt idx="51">
                  <c:v>0.67420116454198542</c:v>
                </c:pt>
                <c:pt idx="52">
                  <c:v>0.67573522327083169</c:v>
                </c:pt>
                <c:pt idx="53">
                  <c:v>0.6772370555945787</c:v>
                </c:pt>
                <c:pt idx="54">
                  <c:v>0.67870720059954914</c:v>
                </c:pt>
                <c:pt idx="55">
                  <c:v>0.68014620275655857</c:v>
                </c:pt>
                <c:pt idx="56">
                  <c:v>0.6815546100857558</c:v>
                </c:pt>
                <c:pt idx="57">
                  <c:v>0.68293297253200835</c:v>
                </c:pt>
                <c:pt idx="58">
                  <c:v>0.68428184052935082</c:v>
                </c:pt>
                <c:pt idx="59">
                  <c:v>0.6856017637351508</c:v>
                </c:pt>
                <c:pt idx="60">
                  <c:v>0.6868932899165795</c:v>
                </c:pt>
                <c:pt idx="61">
                  <c:v>0.68815696397370785</c:v>
                </c:pt>
                <c:pt idx="62">
                  <c:v>0.6893933270851188</c:v>
                </c:pt>
                <c:pt idx="63">
                  <c:v>0.69060291596333223</c:v>
                </c:pt>
                <c:pt idx="64">
                  <c:v>0.69178626220861383</c:v>
                </c:pt>
                <c:pt idx="65">
                  <c:v>0.69294389175087767</c:v>
                </c:pt>
                <c:pt idx="66">
                  <c:v>0.69407632437042865</c:v>
                </c:pt>
                <c:pt idx="67">
                  <c:v>0.69518407328921561</c:v>
                </c:pt>
                <c:pt idx="68">
                  <c:v>0.69626764482510228</c:v>
                </c:pt>
                <c:pt idx="69">
                  <c:v>0.69732753810241865</c:v>
                </c:pt>
                <c:pt idx="70">
                  <c:v>0.69836424481273107</c:v>
                </c:pt>
                <c:pt idx="71">
                  <c:v>0.69937824902038093</c:v>
                </c:pt>
                <c:pt idx="72">
                  <c:v>0.70037002700789341</c:v>
                </c:pt>
                <c:pt idx="73">
                  <c:v>0.7013400471568515</c:v>
                </c:pt>
                <c:pt idx="74">
                  <c:v>0.70228876986027666</c:v>
                </c:pt>
                <c:pt idx="75">
                  <c:v>0.70321664746296086</c:v>
                </c:pt>
                <c:pt idx="76">
                  <c:v>0.7041241242265549</c:v>
                </c:pt>
                <c:pt idx="77">
                  <c:v>0.70501163631654462</c:v>
                </c:pt>
                <c:pt idx="78">
                  <c:v>0.70587961180853909</c:v>
                </c:pt>
                <c:pt idx="79">
                  <c:v>0.70672847071155975</c:v>
                </c:pt>
                <c:pt idx="80">
                  <c:v>0.70755862500625677</c:v>
                </c:pt>
                <c:pt idx="81">
                  <c:v>0.70837047869619241</c:v>
                </c:pt>
                <c:pt idx="82">
                  <c:v>0.70916442787052481</c:v>
                </c:pt>
                <c:pt idx="83">
                  <c:v>0.70994086077659813</c:v>
                </c:pt>
                <c:pt idx="84">
                  <c:v>0.71070015790110097</c:v>
                </c:pt>
                <c:pt idx="85">
                  <c:v>0.71144269205859556</c:v>
                </c:pt>
                <c:pt idx="86">
                  <c:v>0.71216882848634755</c:v>
                </c:pt>
                <c:pt idx="87">
                  <c:v>0.71287892494449745</c:v>
                </c:pt>
                <c:pt idx="88">
                  <c:v>0.71357333182071914</c:v>
                </c:pt>
                <c:pt idx="89">
                  <c:v>0.71425239223860171</c:v>
                </c:pt>
                <c:pt idx="90">
                  <c:v>0.71491644216907435</c:v>
                </c:pt>
                <c:pt idx="91">
                  <c:v>0.71556581054426704</c:v>
                </c:pt>
                <c:pt idx="92">
                  <c:v>0.71620081937326818</c:v>
                </c:pt>
                <c:pt idx="93">
                  <c:v>0.71682178385929896</c:v>
                </c:pt>
                <c:pt idx="94">
                  <c:v>0.71742901251787916</c:v>
                </c:pt>
                <c:pt idx="95">
                  <c:v>0.7180228072956073</c:v>
                </c:pt>
                <c:pt idx="96">
                  <c:v>0.71860346368922012</c:v>
                </c:pt>
                <c:pt idx="97">
                  <c:v>0.71917127086464006</c:v>
                </c:pt>
                <c:pt idx="98">
                  <c:v>0.71972651177574676</c:v>
                </c:pt>
                <c:pt idx="99">
                  <c:v>0.72026946328264851</c:v>
                </c:pt>
                <c:pt idx="100">
                  <c:v>0.72080039626925185</c:v>
                </c:pt>
                <c:pt idx="101">
                  <c:v>0.72131957575995442</c:v>
                </c:pt>
                <c:pt idx="102">
                  <c:v>0.7218272610353117</c:v>
                </c:pt>
                <c:pt idx="103">
                  <c:v>0.72232370574654281</c:v>
                </c:pt>
                <c:pt idx="104">
                  <c:v>0.72280915802876466</c:v>
                </c:pt>
                <c:pt idx="105">
                  <c:v>0.72328386061285665</c:v>
                </c:pt>
                <c:pt idx="106">
                  <c:v>0.72374805093587258</c:v>
                </c:pt>
                <c:pt idx="107">
                  <c:v>0.72420196124993141</c:v>
                </c:pt>
                <c:pt idx="108">
                  <c:v>0.72464581872952927</c:v>
                </c:pt>
                <c:pt idx="109">
                  <c:v>0.72507984557722271</c:v>
                </c:pt>
                <c:pt idx="110">
                  <c:v>0.72550425912764893</c:v>
                </c:pt>
                <c:pt idx="111">
                  <c:v>0.72591927194984884</c:v>
                </c:pt>
                <c:pt idx="112">
                  <c:v>0.72632509194787265</c:v>
                </c:pt>
                <c:pt idx="113">
                  <c:v>0.7267219224596515</c:v>
                </c:pt>
                <c:pt idx="114">
                  <c:v>0.72710996235412306</c:v>
                </c:pt>
                <c:pt idx="115">
                  <c:v>0.72748940612660717</c:v>
                </c:pt>
                <c:pt idx="116">
                  <c:v>0.72786044399243011</c:v>
                </c:pt>
                <c:pt idx="117">
                  <c:v>0.72822326197880027</c:v>
                </c:pt>
                <c:pt idx="118">
                  <c:v>0.72857804201494114</c:v>
                </c:pt>
                <c:pt idx="119">
                  <c:v>0.72892496202049251</c:v>
                </c:pt>
                <c:pt idx="120">
                  <c:v>0.72926419599219117</c:v>
                </c:pt>
                <c:pt idx="121">
                  <c:v>0.72959591408884528</c:v>
                </c:pt>
                <c:pt idx="122">
                  <c:v>0.72992028271461951</c:v>
                </c:pt>
                <c:pt idx="123">
                  <c:v>0.73023746460064998</c:v>
                </c:pt>
                <c:pt idx="124">
                  <c:v>0.73054761888500597</c:v>
                </c:pt>
                <c:pt idx="125">
                  <c:v>0.73085090119102347</c:v>
                </c:pt>
                <c:pt idx="126">
                  <c:v>0.73114746370402905</c:v>
                </c:pt>
                <c:pt idx="127">
                  <c:v>0.73143745524647885</c:v>
                </c:pt>
                <c:pt idx="128">
                  <c:v>0.73172102135153649</c:v>
                </c:pt>
                <c:pt idx="129">
                  <c:v>0.73199830433511337</c:v>
                </c:pt>
                <c:pt idx="130">
                  <c:v>0.73226944336639721</c:v>
                </c:pt>
                <c:pt idx="131">
                  <c:v>0.73253457453689297</c:v>
                </c:pt>
                <c:pt idx="132">
                  <c:v>0.73279383092800232</c:v>
                </c:pt>
                <c:pt idx="133">
                  <c:v>0.73304734267716676</c:v>
                </c:pt>
                <c:pt idx="134">
                  <c:v>0.73329523704260136</c:v>
                </c:pt>
                <c:pt idx="135">
                  <c:v>0.73353763846664299</c:v>
                </c:pt>
                <c:pt idx="136">
                  <c:v>0.7337746686377401</c:v>
                </c:pt>
                <c:pt idx="137">
                  <c:v>0.73400644655110925</c:v>
                </c:pt>
                <c:pt idx="138">
                  <c:v>0.73423308856808467</c:v>
                </c:pt>
                <c:pt idx="139">
                  <c:v>0.73445470847418426</c:v>
                </c:pt>
                <c:pt idx="140">
                  <c:v>0.73467141753592002</c:v>
                </c:pt>
                <c:pt idx="141">
                  <c:v>0.73488332455637495</c:v>
                </c:pt>
                <c:pt idx="142">
                  <c:v>0.73509053592957352</c:v>
                </c:pt>
                <c:pt idx="143">
                  <c:v>0.73529315569366827</c:v>
                </c:pt>
                <c:pt idx="144">
                  <c:v>0.73549128558296761</c:v>
                </c:pt>
                <c:pt idx="145">
                  <c:v>0.73568502507882816</c:v>
                </c:pt>
                <c:pt idx="146">
                  <c:v>0.73587447145943563</c:v>
                </c:pt>
                <c:pt idx="147">
                  <c:v>0.7360597198484965</c:v>
                </c:pt>
                <c:pt idx="148">
                  <c:v>0.7362408632628632</c:v>
                </c:pt>
                <c:pt idx="149">
                  <c:v>0.73641799265911634</c:v>
                </c:pt>
                <c:pt idx="150">
                  <c:v>0.73659119697912478</c:v>
                </c:pt>
                <c:pt idx="151">
                  <c:v>0.73676056319460526</c:v>
                </c:pt>
                <c:pt idx="152">
                  <c:v>0.73692617635070323</c:v>
                </c:pt>
                <c:pt idx="153">
                  <c:v>0.73708811960861609</c:v>
                </c:pt>
                <c:pt idx="154">
                  <c:v>0.73724647428727808</c:v>
                </c:pt>
                <c:pt idx="155">
                  <c:v>0.73740131990412794</c:v>
                </c:pt>
                <c:pt idx="156">
                  <c:v>0.73755273421497869</c:v>
                </c:pt>
                <c:pt idx="157">
                  <c:v>0.7377007932530093</c:v>
                </c:pt>
                <c:pt idx="158">
                  <c:v>0.73784557136689632</c:v>
                </c:pt>
                <c:pt idx="159">
                  <c:v>0.73798714125810483</c:v>
                </c:pt>
                <c:pt idx="160">
                  <c:v>0.7381255740173569</c:v>
                </c:pt>
                <c:pt idx="161">
                  <c:v>0.73826093916029512</c:v>
                </c:pt>
                <c:pt idx="162">
                  <c:v>0.73839330466235864</c:v>
                </c:pt>
                <c:pt idx="163">
                  <c:v>0.73852273699288906</c:v>
                </c:pt>
                <c:pt idx="164">
                  <c:v>0.73864930114848359</c:v>
                </c:pt>
                <c:pt idx="165">
                  <c:v>0.73877306068561044</c:v>
                </c:pt>
                <c:pt idx="166">
                  <c:v>0.73889407775250371</c:v>
                </c:pt>
                <c:pt idx="167">
                  <c:v>0.73901241312035382</c:v>
                </c:pt>
                <c:pt idx="168">
                  <c:v>0.73912812621380775</c:v>
                </c:pt>
                <c:pt idx="169">
                  <c:v>0.73924127514079474</c:v>
                </c:pt>
                <c:pt idx="170">
                  <c:v>0.73935191672169309</c:v>
                </c:pt>
                <c:pt idx="171">
                  <c:v>0.73946010651785088</c:v>
                </c:pt>
                <c:pt idx="172">
                  <c:v>0.73956589885947654</c:v>
                </c:pt>
                <c:pt idx="173">
                  <c:v>0.73966934687291208</c:v>
                </c:pt>
                <c:pt idx="174">
                  <c:v>0.73977050250730225</c:v>
                </c:pt>
                <c:pt idx="175">
                  <c:v>0.7398694165606744</c:v>
                </c:pt>
                <c:pt idx="176">
                  <c:v>0.73996613870544037</c:v>
                </c:pt>
                <c:pt idx="177">
                  <c:v>0.74006071751333424</c:v>
                </c:pt>
                <c:pt idx="178">
                  <c:v>0.74015320047979816</c:v>
                </c:pt>
                <c:pt idx="179">
                  <c:v>0.74024363404782778</c:v>
                </c:pt>
                <c:pt idx="180">
                  <c:v>0.74033206363129067</c:v>
                </c:pt>
                <c:pt idx="181">
                  <c:v>0.74041853363772681</c:v>
                </c:pt>
                <c:pt idx="182">
                  <c:v>0.74050308749064608</c:v>
                </c:pt>
                <c:pt idx="183">
                  <c:v>0.740585767651331</c:v>
                </c:pt>
                <c:pt idx="184">
                  <c:v>0.74066661564015612</c:v>
                </c:pt>
                <c:pt idx="185">
                  <c:v>0.74074567205743658</c:v>
                </c:pt>
                <c:pt idx="186">
                  <c:v>0.7408229766038138</c:v>
                </c:pt>
                <c:pt idx="187">
                  <c:v>0.74089856810019006</c:v>
                </c:pt>
                <c:pt idx="188">
                  <c:v>0.74097248450722142</c:v>
                </c:pt>
                <c:pt idx="189">
                  <c:v>0.7410447629443796</c:v>
                </c:pt>
                <c:pt idx="190">
                  <c:v>0.74111543970858995</c:v>
                </c:pt>
                <c:pt idx="191">
                  <c:v>0.74118455029245833</c:v>
                </c:pt>
                <c:pt idx="192">
                  <c:v>0.74125212940209328</c:v>
                </c:pt>
                <c:pt idx="193">
                  <c:v>0.74131821097453343</c:v>
                </c:pt>
                <c:pt idx="194">
                  <c:v>0.74138282819478885</c:v>
                </c:pt>
                <c:pt idx="195">
                  <c:v>0.74144601351250539</c:v>
                </c:pt>
                <c:pt idx="196">
                  <c:v>0.74150779865825889</c:v>
                </c:pt>
                <c:pt idx="197">
                  <c:v>0.74156821465948941</c:v>
                </c:pt>
                <c:pt idx="198">
                  <c:v>0.74162729185608145</c:v>
                </c:pt>
                <c:pt idx="199">
                  <c:v>0.74168505991559974</c:v>
                </c:pt>
                <c:pt idx="200">
                  <c:v>0.74174154784818713</c:v>
                </c:pt>
                <c:pt idx="201">
                  <c:v>0.74179678402113236</c:v>
                </c:pt>
                <c:pt idx="202">
                  <c:v>0.74185079617311522</c:v>
                </c:pt>
                <c:pt idx="203">
                  <c:v>0.74190361142813599</c:v>
                </c:pt>
                <c:pt idx="204">
                  <c:v>0.74195525630913628</c:v>
                </c:pt>
                <c:pt idx="205">
                  <c:v>0.74200575675131808</c:v>
                </c:pt>
                <c:pt idx="206">
                  <c:v>0.74205513811516755</c:v>
                </c:pt>
                <c:pt idx="207">
                  <c:v>0.74210342519919026</c:v>
                </c:pt>
                <c:pt idx="208">
                  <c:v>0.7421506422523646</c:v>
                </c:pt>
                <c:pt idx="209">
                  <c:v>0.74219681298631901</c:v>
                </c:pt>
                <c:pt idx="210">
                  <c:v>0.74224196058723901</c:v>
                </c:pt>
                <c:pt idx="211">
                  <c:v>0.7422861077275108</c:v>
                </c:pt>
                <c:pt idx="212">
                  <c:v>0.74232927657710712</c:v>
                </c:pt>
                <c:pt idx="213">
                  <c:v>0.74237148881472026</c:v>
                </c:pt>
                <c:pt idx="214">
                  <c:v>0.74241276563864844</c:v>
                </c:pt>
                <c:pt idx="215">
                  <c:v>0.74245312777744144</c:v>
                </c:pt>
                <c:pt idx="216">
                  <c:v>0.74249259550030999</c:v>
                </c:pt>
                <c:pt idx="217">
                  <c:v>0.74253118862730416</c:v>
                </c:pt>
                <c:pt idx="218">
                  <c:v>0.74256892653926698</c:v>
                </c:pt>
                <c:pt idx="219">
                  <c:v>0.74260582818756715</c:v>
                </c:pt>
                <c:pt idx="220">
                  <c:v>0.74264191210361552</c:v>
                </c:pt>
                <c:pt idx="221">
                  <c:v>0.74267719640817176</c:v>
                </c:pt>
                <c:pt idx="222">
                  <c:v>0.74271169882044397</c:v>
                </c:pt>
                <c:pt idx="223">
                  <c:v>0.74274543666698689</c:v>
                </c:pt>
                <c:pt idx="224">
                  <c:v>0.7427784268904033</c:v>
                </c:pt>
                <c:pt idx="225">
                  <c:v>0.74281068605785172</c:v>
                </c:pt>
                <c:pt idx="226">
                  <c:v>0.74284223036936659</c:v>
                </c:pt>
                <c:pt idx="227">
                  <c:v>0.74287307566599348</c:v>
                </c:pt>
                <c:pt idx="228">
                  <c:v>0.74290323743774422</c:v>
                </c:pt>
                <c:pt idx="229">
                  <c:v>0.74293273083137557</c:v>
                </c:pt>
                <c:pt idx="230">
                  <c:v>0.74296157065799573</c:v>
                </c:pt>
                <c:pt idx="231">
                  <c:v>0.74298977140050237</c:v>
                </c:pt>
                <c:pt idx="232">
                  <c:v>0.74301734722085544</c:v>
                </c:pt>
                <c:pt idx="233">
                  <c:v>0.74304431196718912</c:v>
                </c:pt>
                <c:pt idx="234">
                  <c:v>0.7430706791807663</c:v>
                </c:pt>
                <c:pt idx="235">
                  <c:v>0.74309646210277858</c:v>
                </c:pt>
                <c:pt idx="236">
                  <c:v>0.74312167368099558</c:v>
                </c:pt>
                <c:pt idx="237">
                  <c:v>0.74314632657626778</c:v>
                </c:pt>
                <c:pt idx="238">
                  <c:v>0.74317043316888365</c:v>
                </c:pt>
                <c:pt idx="239">
                  <c:v>0.74319400556478776</c:v>
                </c:pt>
                <c:pt idx="240">
                  <c:v>0.7432170556016594</c:v>
                </c:pt>
                <c:pt idx="241">
                  <c:v>0.74323959485485758</c:v>
                </c:pt>
                <c:pt idx="242">
                  <c:v>0.74326163464323425</c:v>
                </c:pt>
                <c:pt idx="243">
                  <c:v>0.74328318603481802</c:v>
                </c:pt>
                <c:pt idx="244">
                  <c:v>0.74330425985237247</c:v>
                </c:pt>
                <c:pt idx="245">
                  <c:v>0.74332486667883124</c:v>
                </c:pt>
                <c:pt idx="246">
                  <c:v>0.74334501686261256</c:v>
                </c:pt>
                <c:pt idx="247">
                  <c:v>0.74336472052281599</c:v>
                </c:pt>
                <c:pt idx="248">
                  <c:v>0.74338398755430424</c:v>
                </c:pt>
                <c:pt idx="249">
                  <c:v>0.74340282763267207</c:v>
                </c:pt>
                <c:pt idx="250">
                  <c:v>0.74342125021910521</c:v>
                </c:pt>
                <c:pt idx="251">
                  <c:v>0.74343926456513176</c:v>
                </c:pt>
                <c:pt idx="252">
                  <c:v>0.7434568797172677</c:v>
                </c:pt>
                <c:pt idx="253">
                  <c:v>0.7434741045215606</c:v>
                </c:pt>
                <c:pt idx="254">
                  <c:v>0.74349094762803147</c:v>
                </c:pt>
                <c:pt idx="255">
                  <c:v>0.74350741749501892</c:v>
                </c:pt>
                <c:pt idx="256">
                  <c:v>0.74352352239342656</c:v>
                </c:pt>
                <c:pt idx="257">
                  <c:v>0.74353927041087653</c:v>
                </c:pt>
                <c:pt idx="258">
                  <c:v>0.7435546694557712</c:v>
                </c:pt>
                <c:pt idx="259">
                  <c:v>0.74356972726126469</c:v>
                </c:pt>
                <c:pt idx="260">
                  <c:v>0.74358445138914575</c:v>
                </c:pt>
                <c:pt idx="261">
                  <c:v>0.74359884923363595</c:v>
                </c:pt>
                <c:pt idx="262">
                  <c:v>0.74361292802510248</c:v>
                </c:pt>
                <c:pt idx="263">
                  <c:v>0.74362669483368904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62-4A2F-AEFA-2CAB75EF7567}"/>
            </c:ext>
          </c:extLst>
        </c:ser>
        <c:ser>
          <c:idx val="3"/>
          <c:order val="2"/>
          <c:tx>
            <c:strRef>
              <c:f>'Overdamped V2'!$E$4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'Overdamped V2'!$A$5:$A$268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V2'!$E$5:$E$268</c:f>
              <c:numCache>
                <c:formatCode>0.00</c:formatCode>
                <c:ptCount val="26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162-4A2F-AEFA-2CAB75EF7567}"/>
            </c:ext>
          </c:extLst>
        </c:ser>
        <c:ser>
          <c:idx val="5"/>
          <c:order val="3"/>
          <c:tx>
            <c:strRef>
              <c:f>'Overdamped V2'!$G$4</c:f>
              <c:strCache>
                <c:ptCount val="1"/>
                <c:pt idx="0">
                  <c:v>valeur bassee (Multiplié par marge basse + tunnel)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'Overdamped V2'!$A$5:$A$268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'Overdamped V2'!$G$5:$G$268</c:f>
              <c:numCache>
                <c:formatCode>0.00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0.69234180149661595</c:v>
                </c:pt>
                <c:pt idx="3">
                  <c:v>0.69240638672479804</c:v>
                </c:pt>
                <c:pt idx="4">
                  <c:v>0.69258964677428692</c:v>
                </c:pt>
                <c:pt idx="5">
                  <c:v>0.69287706051392106</c:v>
                </c:pt>
                <c:pt idx="6">
                  <c:v>0.69325560592058399</c:v>
                </c:pt>
                <c:pt idx="7">
                  <c:v>0.69371361029620859</c:v>
                </c:pt>
                <c:pt idx="8">
                  <c:v>0.69424061534448933</c:v>
                </c:pt>
                <c:pt idx="9">
                  <c:v>0.69482725563542158</c:v>
                </c:pt>
                <c:pt idx="10">
                  <c:v>0.69546514913152468</c:v>
                </c:pt>
                <c:pt idx="11">
                  <c:v>0.69614679858092288</c:v>
                </c:pt>
                <c:pt idx="12">
                  <c:v>0.69686550270076353</c:v>
                </c:pt>
                <c:pt idx="13">
                  <c:v>0.69761527618105024</c:v>
                </c:pt>
                <c:pt idx="14">
                  <c:v>0.69839077763501478</c:v>
                </c:pt>
                <c:pt idx="15">
                  <c:v>0.69918724470867633</c:v>
                </c:pt>
                <c:pt idx="16">
                  <c:v>0.70000043564021341</c:v>
                </c:pt>
                <c:pt idx="17">
                  <c:v>0.70082657663000891</c:v>
                </c:pt>
                <c:pt idx="18">
                  <c:v>0.70166231444552962</c:v>
                </c:pt>
                <c:pt idx="19">
                  <c:v>0.70250467374221748</c:v>
                </c:pt>
                <c:pt idx="20">
                  <c:v>0.70335101863295646</c:v>
                </c:pt>
                <c:pt idx="21">
                  <c:v>0.7041990180849621</c:v>
                </c:pt>
                <c:pt idx="22">
                  <c:v>0.7050466147646568</c:v>
                </c:pt>
                <c:pt idx="23">
                  <c:v>0.705891996988665</c:v>
                </c:pt>
                <c:pt idx="24">
                  <c:v>0.70673357347292631</c:v>
                </c:pt>
                <c:pt idx="25">
                  <c:v>0.70756995060242345</c:v>
                </c:pt>
                <c:pt idx="26">
                  <c:v>0.70839991197151353</c:v>
                </c:pt>
                <c:pt idx="27">
                  <c:v>0.70922239996960845</c:v>
                </c:pt>
                <c:pt idx="28">
                  <c:v>0.7100364992092647</c:v>
                </c:pt>
                <c:pt idx="29">
                  <c:v>0.71084142161384567</c:v>
                </c:pt>
                <c:pt idx="30">
                  <c:v>0.71163649300002751</c:v>
                </c:pt>
                <c:pt idx="31">
                  <c:v>0.71242114100674281</c:v>
                </c:pt>
                <c:pt idx="32">
                  <c:v>0.71319488423685551</c:v>
                </c:pt>
                <c:pt idx="33">
                  <c:v>0.7139573224911071</c:v>
                </c:pt>
                <c:pt idx="34">
                  <c:v>0.71470812798581151</c:v>
                </c:pt>
                <c:pt idx="35">
                  <c:v>0.71544703745652671</c:v>
                </c:pt>
                <c:pt idx="36">
                  <c:v>0.71617384505962045</c:v>
                </c:pt>
                <c:pt idx="37">
                  <c:v>0.71688839599237619</c:v>
                </c:pt>
                <c:pt idx="38">
                  <c:v>0.71759058076015059</c:v>
                </c:pt>
                <c:pt idx="39">
                  <c:v>0.7182803300261773</c:v>
                </c:pt>
                <c:pt idx="40">
                  <c:v>0.71895760998599867</c:v>
                </c:pt>
                <c:pt idx="41">
                  <c:v>0.72538823806459574</c:v>
                </c:pt>
                <c:pt idx="42">
                  <c:v>0.72604059978709945</c:v>
                </c:pt>
                <c:pt idx="43">
                  <c:v>0.72668056453574237</c:v>
                </c:pt>
                <c:pt idx="44">
                  <c:v>0.72730820314807276</c:v>
                </c:pt>
                <c:pt idx="45">
                  <c:v>0.72792360507708687</c:v>
                </c:pt>
                <c:pt idx="46">
                  <c:v>0.7285268759802408</c:v>
                </c:pt>
                <c:pt idx="47">
                  <c:v>0.72911813555975313</c:v>
                </c:pt>
                <c:pt idx="48">
                  <c:v>0.72969751562903862</c:v>
                </c:pt>
                <c:pt idx="49">
                  <c:v>0.7302651583826113</c:v>
                </c:pt>
                <c:pt idx="50">
                  <c:v>0.73082121484904683</c:v>
                </c:pt>
                <c:pt idx="51">
                  <c:v>0.731365843508618</c:v>
                </c:pt>
                <c:pt idx="52">
                  <c:v>0.73189920905904471</c:v>
                </c:pt>
                <c:pt idx="53">
                  <c:v>0.7324214813144464</c:v>
                </c:pt>
                <c:pt idx="54">
                  <c:v>0.73293283422406175</c:v>
                </c:pt>
                <c:pt idx="55">
                  <c:v>0.73343344499864416</c:v>
                </c:pt>
                <c:pt idx="56">
                  <c:v>0.73392349333363427</c:v>
                </c:pt>
                <c:pt idx="57">
                  <c:v>0.73440316071930412</c:v>
                </c:pt>
                <c:pt idx="58">
                  <c:v>0.73487262982903645</c:v>
                </c:pt>
                <c:pt idx="59">
                  <c:v>0.73533208397778738</c:v>
                </c:pt>
                <c:pt idx="60">
                  <c:v>0.73578170664356812</c:v>
                </c:pt>
                <c:pt idx="61">
                  <c:v>0.73622168104550145</c:v>
                </c:pt>
                <c:pt idx="62">
                  <c:v>0.73665218977264435</c:v>
                </c:pt>
                <c:pt idx="63">
                  <c:v>0.73707341445835384</c:v>
                </c:pt>
                <c:pt idx="64">
                  <c:v>0.73748553549549078</c:v>
                </c:pt>
                <c:pt idx="65">
                  <c:v>0.73788873178822867</c:v>
                </c:pt>
                <c:pt idx="66">
                  <c:v>0.73828318053665587</c:v>
                </c:pt>
                <c:pt idx="67">
                  <c:v>0.73866905705074382</c:v>
                </c:pt>
                <c:pt idx="68">
                  <c:v>0.73904653459059411</c:v>
                </c:pt>
                <c:pt idx="69">
                  <c:v>0.73941578423018972</c:v>
                </c:pt>
                <c:pt idx="70">
                  <c:v>0.73977697474215198</c:v>
                </c:pt>
                <c:pt idx="71">
                  <c:v>0.7401302725012574</c:v>
                </c:pt>
                <c:pt idx="72">
                  <c:v>0.74047584140469491</c:v>
                </c:pt>
                <c:pt idx="73">
                  <c:v>0.74081384280724483</c:v>
                </c:pt>
                <c:pt idx="74">
                  <c:v>0.74114443546974906</c:v>
                </c:pt>
                <c:pt idx="75">
                  <c:v>0.74146777551940168</c:v>
                </c:pt>
                <c:pt idx="76">
                  <c:v>0.74178401642054348</c:v>
                </c:pt>
                <c:pt idx="77">
                  <c:v>0.74209330895477155</c:v>
                </c:pt>
                <c:pt idx="78">
                  <c:v>0.74239580120930293</c:v>
                </c:pt>
                <c:pt idx="79">
                  <c:v>0.74269163857263276</c:v>
                </c:pt>
                <c:pt idx="80">
                  <c:v>0.74298096373663092</c:v>
                </c:pt>
                <c:pt idx="81">
                  <c:v>0.74326391670430447</c:v>
                </c:pt>
                <c:pt idx="82">
                  <c:v>0.74354063480253685</c:v>
                </c:pt>
                <c:pt idx="83">
                  <c:v>0.74381125269918202</c:v>
                </c:pt>
                <c:pt idx="84">
                  <c:v>0.74407590242395949</c:v>
                </c:pt>
                <c:pt idx="85">
                  <c:v>0.74433471339265056</c:v>
                </c:pt>
                <c:pt idx="86">
                  <c:v>0.74458781243415151</c:v>
                </c:pt>
                <c:pt idx="87">
                  <c:v>0.74483532381998308</c:v>
                </c:pt>
                <c:pt idx="88">
                  <c:v>0.7450773692959004</c:v>
                </c:pt>
                <c:pt idx="89">
                  <c:v>0.74531406811528367</c:v>
                </c:pt>
                <c:pt idx="90">
                  <c:v>0.74554553707402427</c:v>
                </c:pt>
                <c:pt idx="91">
                  <c:v>0.74577189054665183</c:v>
                </c:pt>
                <c:pt idx="92">
                  <c:v>0.74599324052347604</c:v>
                </c:pt>
                <c:pt idx="93">
                  <c:v>0.7462096966485402</c:v>
                </c:pt>
                <c:pt idx="94">
                  <c:v>0.74642136625820732</c:v>
                </c:pt>
                <c:pt idx="95">
                  <c:v>0.74662835442021758</c:v>
                </c:pt>
                <c:pt idx="96">
                  <c:v>0.74683076397307757</c:v>
                </c:pt>
                <c:pt idx="97">
                  <c:v>0.74702869556565366</c:v>
                </c:pt>
                <c:pt idx="98">
                  <c:v>0.74722224769685797</c:v>
                </c:pt>
                <c:pt idx="99">
                  <c:v>0.74741151675533124</c:v>
                </c:pt>
                <c:pt idx="100">
                  <c:v>0.74759659705903347</c:v>
                </c:pt>
                <c:pt idx="101">
                  <c:v>0.74777758089466739</c:v>
                </c:pt>
                <c:pt idx="102">
                  <c:v>0.74795455855686843</c:v>
                </c:pt>
                <c:pt idx="103">
                  <c:v>0.74812761838710273</c:v>
                </c:pt>
                <c:pt idx="104">
                  <c:v>0.74829684681222175</c:v>
                </c:pt>
                <c:pt idx="105">
                  <c:v>0.74846232838263216</c:v>
                </c:pt>
                <c:pt idx="106">
                  <c:v>0.74862414581003944</c:v>
                </c:pt>
                <c:pt idx="107">
                  <c:v>0.74878238000473674</c:v>
                </c:pt>
                <c:pt idx="108">
                  <c:v>0.74893711011240871</c:v>
                </c:pt>
                <c:pt idx="109">
                  <c:v>0.74908841355042832</c:v>
                </c:pt>
                <c:pt idx="110">
                  <c:v>0.74923636604362764</c:v>
                </c:pt>
                <c:pt idx="111">
                  <c:v>0.74938104165952546</c:v>
                </c:pt>
                <c:pt idx="112">
                  <c:v>0.74952251284300087</c:v>
                </c:pt>
                <c:pt idx="113">
                  <c:v>0.74966085045040087</c:v>
                </c:pt>
                <c:pt idx="114">
                  <c:v>0.74979612378307547</c:v>
                </c:pt>
                <c:pt idx="115">
                  <c:v>0.74992840062033506</c:v>
                </c:pt>
                <c:pt idx="116">
                  <c:v>0.75005774725182561</c:v>
                </c:pt>
                <c:pt idx="117">
                  <c:v>0.75018422850932032</c:v>
                </c:pt>
                <c:pt idx="118">
                  <c:v>0.75030790779792789</c:v>
                </c:pt>
                <c:pt idx="119">
                  <c:v>0.75042884712671798</c:v>
                </c:pt>
                <c:pt idx="120">
                  <c:v>0.75054710713876494</c:v>
                </c:pt>
                <c:pt idx="121">
                  <c:v>0.75066274714061543</c:v>
                </c:pt>
                <c:pt idx="122">
                  <c:v>0.75077582513118157</c:v>
                </c:pt>
                <c:pt idx="123">
                  <c:v>0.75088639783006628</c:v>
                </c:pt>
                <c:pt idx="124">
                  <c:v>0.75099452070532435</c:v>
                </c:pt>
                <c:pt idx="125">
                  <c:v>0.75110024800066788</c:v>
                </c:pt>
                <c:pt idx="126">
                  <c:v>0.75120363276211988</c:v>
                </c:pt>
                <c:pt idx="127">
                  <c:v>0.75130472686412575</c:v>
                </c:pt>
                <c:pt idx="128">
                  <c:v>0.75140358103512761</c:v>
                </c:pt>
                <c:pt idx="129">
                  <c:v>0.7515002448826108</c:v>
                </c:pt>
                <c:pt idx="130">
                  <c:v>0.75159476691763005</c:v>
                </c:pt>
                <c:pt idx="131">
                  <c:v>0.75168719457882238</c:v>
                </c:pt>
                <c:pt idx="132">
                  <c:v>0.75177757425591696</c:v>
                </c:pt>
                <c:pt idx="133">
                  <c:v>0.75186595131274891</c:v>
                </c:pt>
                <c:pt idx="134">
                  <c:v>0.75195237010978533</c:v>
                </c:pt>
                <c:pt idx="135">
                  <c:v>0.75203687402617347</c:v>
                </c:pt>
                <c:pt idx="136">
                  <c:v>0.75211950548131834</c:v>
                </c:pt>
                <c:pt idx="137">
                  <c:v>0.75220030595599885</c:v>
                </c:pt>
                <c:pt idx="138">
                  <c:v>0.75227931601303122</c:v>
                </c:pt>
                <c:pt idx="139">
                  <c:v>0.75235657531748767</c:v>
                </c:pt>
                <c:pt idx="140">
                  <c:v>0.75243212265647941</c:v>
                </c:pt>
                <c:pt idx="141">
                  <c:v>0.75250599595851264</c:v>
                </c:pt>
                <c:pt idx="142">
                  <c:v>0.7525782323124246</c:v>
                </c:pt>
                <c:pt idx="143">
                  <c:v>0.75264886798590958</c:v>
                </c:pt>
                <c:pt idx="144">
                  <c:v>0.75271793844364243</c:v>
                </c:pt>
                <c:pt idx="145">
                  <c:v>0.75278547836500731</c:v>
                </c:pt>
                <c:pt idx="146">
                  <c:v>0.75285152166144043</c:v>
                </c:pt>
                <c:pt idx="147">
                  <c:v>0.75291610149339394</c:v>
                </c:pt>
                <c:pt idx="148">
                  <c:v>0.7529792502869298</c:v>
                </c:pt>
                <c:pt idx="149">
                  <c:v>0.75304099974995009</c:v>
                </c:pt>
                <c:pt idx="150">
                  <c:v>0.75310138088807232</c:v>
                </c:pt>
                <c:pt idx="151">
                  <c:v>0.7531604240201567</c:v>
                </c:pt>
                <c:pt idx="152">
                  <c:v>0.75321815879349285</c:v>
                </c:pt>
                <c:pt idx="153">
                  <c:v>0.75327461419865294</c:v>
                </c:pt>
                <c:pt idx="154">
                  <c:v>0.75332981858401893</c:v>
                </c:pt>
                <c:pt idx="155">
                  <c:v>0.75338379966998992</c:v>
                </c:pt>
                <c:pt idx="156">
                  <c:v>0.75343658456287721</c:v>
                </c:pt>
                <c:pt idx="157">
                  <c:v>0.7534881997684939</c:v>
                </c:pt>
                <c:pt idx="158">
                  <c:v>0.75353867120544415</c:v>
                </c:pt>
                <c:pt idx="159">
                  <c:v>0.75358802421812099</c:v>
                </c:pt>
                <c:pt idx="160">
                  <c:v>0.7536362835894167</c:v>
                </c:pt>
                <c:pt idx="161">
                  <c:v>0.75368347355315279</c:v>
                </c:pt>
                <c:pt idx="162">
                  <c:v>0.75372961780623682</c:v>
                </c:pt>
                <c:pt idx="163">
                  <c:v>0.75377473952054963</c:v>
                </c:pt>
                <c:pt idx="164">
                  <c:v>0.75381886135457077</c:v>
                </c:pt>
                <c:pt idx="165">
                  <c:v>0.75386200546474758</c:v>
                </c:pt>
                <c:pt idx="166">
                  <c:v>0.75390419351661242</c:v>
                </c:pt>
                <c:pt idx="167">
                  <c:v>0.75394544669565466</c:v>
                </c:pt>
                <c:pt idx="168">
                  <c:v>0.75398578571795249</c:v>
                </c:pt>
                <c:pt idx="169">
                  <c:v>0.75402523084056916</c:v>
                </c:pt>
                <c:pt idx="170">
                  <c:v>0.75406380187172051</c:v>
                </c:pt>
                <c:pt idx="171">
                  <c:v>0.75410151818071613</c:v>
                </c:pt>
                <c:pt idx="172">
                  <c:v>0.75413839870768229</c:v>
                </c:pt>
                <c:pt idx="173">
                  <c:v>0.75417446197306814</c:v>
                </c:pt>
                <c:pt idx="174">
                  <c:v>0.75420972608694337</c:v>
                </c:pt>
                <c:pt idx="175">
                  <c:v>0.75424420875808862</c:v>
                </c:pt>
                <c:pt idx="176">
                  <c:v>0.75427792730288534</c:v>
                </c:pt>
                <c:pt idx="177">
                  <c:v>0.75431089865400935</c:v>
                </c:pt>
                <c:pt idx="178">
                  <c:v>0.75434313936893138</c:v>
                </c:pt>
                <c:pt idx="179">
                  <c:v>0.7543746656382293</c:v>
                </c:pt>
                <c:pt idx="180">
                  <c:v>0.75440549329371731</c:v>
                </c:pt>
                <c:pt idx="181">
                  <c:v>0.75443563781639378</c:v>
                </c:pt>
                <c:pt idx="182">
                  <c:v>0.75446511434421482</c:v>
                </c:pt>
                <c:pt idx="183">
                  <c:v>0.75449393767969353</c:v>
                </c:pt>
                <c:pt idx="184">
                  <c:v>0.75452212229733329</c:v>
                </c:pt>
                <c:pt idx="185">
                  <c:v>0.75454968235089492</c:v>
                </c:pt>
                <c:pt idx="186">
                  <c:v>0.75457663168050326</c:v>
                </c:pt>
                <c:pt idx="187">
                  <c:v>0.75460298381959678</c:v>
                </c:pt>
                <c:pt idx="188">
                  <c:v>0.75462875200172252</c:v>
                </c:pt>
                <c:pt idx="189">
                  <c:v>0.7546539491671812</c:v>
                </c:pt>
                <c:pt idx="190">
                  <c:v>0.75467858796952503</c:v>
                </c:pt>
                <c:pt idx="191">
                  <c:v>0.75470268078191105</c:v>
                </c:pt>
                <c:pt idx="192">
                  <c:v>0.75472623970331454</c:v>
                </c:pt>
                <c:pt idx="193">
                  <c:v>0.754749276564604</c:v>
                </c:pt>
                <c:pt idx="194">
                  <c:v>0.75477180293448232</c:v>
                </c:pt>
                <c:pt idx="195">
                  <c:v>0.75479383012529566</c:v>
                </c:pt>
                <c:pt idx="196">
                  <c:v>0.75481536919871417</c:v>
                </c:pt>
                <c:pt idx="197">
                  <c:v>0.75483643097128639</c:v>
                </c:pt>
                <c:pt idx="198">
                  <c:v>0.75485702601987081</c:v>
                </c:pt>
                <c:pt idx="199">
                  <c:v>0.75487716468694765</c:v>
                </c:pt>
                <c:pt idx="200">
                  <c:v>0.75489685708581167</c:v>
                </c:pt>
                <c:pt idx="201">
                  <c:v>0.7549161131056511</c:v>
                </c:pt>
                <c:pt idx="202">
                  <c:v>0.7549349424165136</c:v>
                </c:pt>
                <c:pt idx="203">
                  <c:v>0.75495335447416201</c:v>
                </c:pt>
                <c:pt idx="204">
                  <c:v>0.754971358524823</c:v>
                </c:pt>
                <c:pt idx="205">
                  <c:v>0.75498896360982992</c:v>
                </c:pt>
                <c:pt idx="206">
                  <c:v>0.75500617857016328</c:v>
                </c:pt>
                <c:pt idx="207">
                  <c:v>0.75502301205089062</c:v>
                </c:pt>
                <c:pt idx="208">
                  <c:v>0.75503947250550707</c:v>
                </c:pt>
                <c:pt idx="209">
                  <c:v>0.75505556820018127</c:v>
                </c:pt>
                <c:pt idx="210">
                  <c:v>0.75507130721790605</c:v>
                </c:pt>
                <c:pt idx="211">
                  <c:v>0.75508669746255752</c:v>
                </c:pt>
                <c:pt idx="212">
                  <c:v>0.75510174666286423</c:v>
                </c:pt>
                <c:pt idx="213">
                  <c:v>0.75511646237628816</c:v>
                </c:pt>
                <c:pt idx="214">
                  <c:v>0.75513085199282026</c:v>
                </c:pt>
                <c:pt idx="215">
                  <c:v>0.75514492273869127</c:v>
                </c:pt>
                <c:pt idx="216">
                  <c:v>0.75515868168000067</c:v>
                </c:pt>
                <c:pt idx="217">
                  <c:v>0.75517213572626507</c:v>
                </c:pt>
                <c:pt idx="218">
                  <c:v>0.75518529163388792</c:v>
                </c:pt>
                <c:pt idx="219">
                  <c:v>0.75519815600955265</c:v>
                </c:pt>
                <c:pt idx="220">
                  <c:v>0.75521073531354022</c:v>
                </c:pt>
                <c:pt idx="221">
                  <c:v>0.75522303586297357</c:v>
                </c:pt>
                <c:pt idx="222">
                  <c:v>0.75523506383498973</c:v>
                </c:pt>
                <c:pt idx="223">
                  <c:v>0.75524682526984177</c:v>
                </c:pt>
                <c:pt idx="224">
                  <c:v>0.75525832607393251</c:v>
                </c:pt>
                <c:pt idx="225">
                  <c:v>0.75526957202278022</c:v>
                </c:pt>
                <c:pt idx="226">
                  <c:v>0.75528056876391902</c:v>
                </c:pt>
                <c:pt idx="227">
                  <c:v>0.75529132181973513</c:v>
                </c:pt>
                <c:pt idx="228">
                  <c:v>0.75530183659024008</c:v>
                </c:pt>
                <c:pt idx="229">
                  <c:v>0.75531211835578238</c:v>
                </c:pt>
                <c:pt idx="230">
                  <c:v>0.75532217227969933</c:v>
                </c:pt>
                <c:pt idx="231">
                  <c:v>0.75533200341090978</c:v>
                </c:pt>
                <c:pt idx="232">
                  <c:v>0.75534161668644983</c:v>
                </c:pt>
                <c:pt idx="233">
                  <c:v>0.75535101693395201</c:v>
                </c:pt>
                <c:pt idx="234">
                  <c:v>0.75536020887406974</c:v>
                </c:pt>
                <c:pt idx="235">
                  <c:v>0.75536919712284756</c:v>
                </c:pt>
                <c:pt idx="236">
                  <c:v>0.75537798619403995</c:v>
                </c:pt>
                <c:pt idx="237">
                  <c:v>0.75538658050137741</c:v>
                </c:pt>
                <c:pt idx="238">
                  <c:v>0.75539498436078312</c:v>
                </c:pt>
                <c:pt idx="239">
                  <c:v>0.75540320199254052</c:v>
                </c:pt>
                <c:pt idx="240">
                  <c:v>0.75541123752341244</c:v>
                </c:pt>
                <c:pt idx="241">
                  <c:v>0.75541909498871385</c:v>
                </c:pt>
                <c:pt idx="242">
                  <c:v>0.75542677833433769</c:v>
                </c:pt>
                <c:pt idx="243">
                  <c:v>0.75543429141873708</c:v>
                </c:pt>
                <c:pt idx="244">
                  <c:v>0.75544163801486264</c:v>
                </c:pt>
                <c:pt idx="245">
                  <c:v>0.75544882181205719</c:v>
                </c:pt>
                <c:pt idx="246">
                  <c:v>0.75545584641790875</c:v>
                </c:pt>
                <c:pt idx="247">
                  <c:v>0.7554627153600616</c:v>
                </c:pt>
                <c:pt idx="248">
                  <c:v>0.75546943208798878</c:v>
                </c:pt>
                <c:pt idx="249">
                  <c:v>0.75547599997472326</c:v>
                </c:pt>
                <c:pt idx="250">
                  <c:v>0.75548242231855267</c:v>
                </c:pt>
                <c:pt idx="251">
                  <c:v>0.75548870234467524</c:v>
                </c:pt>
                <c:pt idx="252">
                  <c:v>0.75549484320681959</c:v>
                </c:pt>
                <c:pt idx="253">
                  <c:v>0.75550084798882844</c:v>
                </c:pt>
                <c:pt idx="254">
                  <c:v>0.75550671970620709</c:v>
                </c:pt>
                <c:pt idx="255">
                  <c:v>0.75551246130763805</c:v>
                </c:pt>
                <c:pt idx="256">
                  <c:v>0.75551807567646168</c:v>
                </c:pt>
                <c:pt idx="257">
                  <c:v>0.75552356563212419</c:v>
                </c:pt>
                <c:pt idx="258">
                  <c:v>0.75552893393159337</c:v>
                </c:pt>
                <c:pt idx="259">
                  <c:v>0.7555341832707434</c:v>
                </c:pt>
                <c:pt idx="260">
                  <c:v>0.75553931628570825</c:v>
                </c:pt>
                <c:pt idx="261">
                  <c:v>0.75554433555420608</c:v>
                </c:pt>
                <c:pt idx="262">
                  <c:v>0.75554924359683318</c:v>
                </c:pt>
                <c:pt idx="263">
                  <c:v>0.75555404287832983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162-4A2F-AEFA-2CAB75EF7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3780440"/>
        <c:axId val="733788360"/>
      </c:scatterChart>
      <c:valAx>
        <c:axId val="733780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3788360"/>
        <c:crosses val="autoZero"/>
        <c:crossBetween val="midCat"/>
      </c:valAx>
      <c:valAx>
        <c:axId val="733788360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3780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'Second Order system'!$A$7:$A$270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system'!$G$7:$G$270</c:f>
              <c:numCache>
                <c:formatCode>General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0.45646735307368097</c:v>
                </c:pt>
                <c:pt idx="3">
                  <c:v>0.47116689760850472</c:v>
                </c:pt>
                <c:pt idx="4">
                  <c:v>0.48830581088162567</c:v>
                </c:pt>
                <c:pt idx="5">
                  <c:v>0.50744388897373582</c:v>
                </c:pt>
                <c:pt idx="6">
                  <c:v>0.52815251003530095</c:v>
                </c:pt>
                <c:pt idx="7">
                  <c:v>0.55001934043179712</c:v>
                </c:pt>
                <c:pt idx="8">
                  <c:v>0.57265241519699306</c:v>
                </c:pt>
                <c:pt idx="9">
                  <c:v>0.59568359274702976</c:v>
                </c:pt>
                <c:pt idx="10">
                  <c:v>0.61877139215075827</c:v>
                </c:pt>
                <c:pt idx="11">
                  <c:v>0.641603228759556</c:v>
                </c:pt>
                <c:pt idx="12">
                  <c:v>0.66389707064511694</c:v>
                </c:pt>
                <c:pt idx="13">
                  <c:v>0.68540254406281864</c:v>
                </c:pt>
                <c:pt idx="14">
                  <c:v>0.70590152105042303</c:v>
                </c:pt>
                <c:pt idx="15">
                  <c:v>0.72520822629801018</c:v>
                </c:pt>
                <c:pt idx="16">
                  <c:v>0.74316890360672705</c:v>
                </c:pt>
                <c:pt idx="17">
                  <c:v>0.77935326469263189</c:v>
                </c:pt>
                <c:pt idx="18">
                  <c:v>0.79918500824226379</c:v>
                </c:pt>
                <c:pt idx="19">
                  <c:v>0.82579941399680079</c:v>
                </c:pt>
                <c:pt idx="20">
                  <c:v>0.84909278456673953</c:v>
                </c:pt>
                <c:pt idx="21">
                  <c:v>0.86904307818211257</c:v>
                </c:pt>
                <c:pt idx="22">
                  <c:v>0.88567471682772281</c:v>
                </c:pt>
                <c:pt idx="23">
                  <c:v>0.89905422634282384</c:v>
                </c:pt>
                <c:pt idx="24">
                  <c:v>0.90928569401516879</c:v>
                </c:pt>
                <c:pt idx="25">
                  <c:v>0.91650612004854315</c:v>
                </c:pt>
                <c:pt idx="26">
                  <c:v>0.92088073406513171</c:v>
                </c:pt>
                <c:pt idx="27">
                  <c:v>0.92259834209106972</c:v>
                </c:pt>
                <c:pt idx="28">
                  <c:v>0.91459194991892256</c:v>
                </c:pt>
                <c:pt idx="29">
                  <c:v>0.90728394102204746</c:v>
                </c:pt>
                <c:pt idx="30">
                  <c:v>0.90030041332891964</c:v>
                </c:pt>
                <c:pt idx="31">
                  <c:v>0.893626959625061</c:v>
                </c:pt>
                <c:pt idx="32">
                  <c:v>0.88724981238737344</c:v>
                </c:pt>
                <c:pt idx="33">
                  <c:v>0.88115581538135068</c:v>
                </c:pt>
                <c:pt idx="34">
                  <c:v>0.87533239651939554</c:v>
                </c:pt>
                <c:pt idx="35">
                  <c:v>0.86976754192424921</c:v>
                </c:pt>
                <c:pt idx="36">
                  <c:v>0.86444977114402322</c:v>
                </c:pt>
                <c:pt idx="37">
                  <c:v>0.85936811346770392</c:v>
                </c:pt>
                <c:pt idx="38">
                  <c:v>0.85451208529226674</c:v>
                </c:pt>
                <c:pt idx="39">
                  <c:v>0.84987166849470719</c:v>
                </c:pt>
                <c:pt idx="40">
                  <c:v>0.84543728976437071</c:v>
                </c:pt>
                <c:pt idx="41">
                  <c:v>0.84119980085294321</c:v>
                </c:pt>
                <c:pt idx="42">
                  <c:v>0.83715045970135682</c:v>
                </c:pt>
                <c:pt idx="43">
                  <c:v>0.8332809124046755</c:v>
                </c:pt>
                <c:pt idx="44">
                  <c:v>0.82958317597775388</c:v>
                </c:pt>
                <c:pt idx="45">
                  <c:v>0.82604962188611397</c:v>
                </c:pt>
                <c:pt idx="46">
                  <c:v>0.82267296030806314</c:v>
                </c:pt>
                <c:pt idx="47">
                  <c:v>0.81944622509558651</c:v>
                </c:pt>
                <c:pt idx="48">
                  <c:v>0.81636275940298764</c:v>
                </c:pt>
                <c:pt idx="49">
                  <c:v>0.81341620195362818</c:v>
                </c:pt>
                <c:pt idx="50">
                  <c:v>0.81060047391643408</c:v>
                </c:pt>
                <c:pt idx="51">
                  <c:v>0.80790976636509693</c:v>
                </c:pt>
                <c:pt idx="52">
                  <c:v>0.80533852829409436</c:v>
                </c:pt>
                <c:pt idx="53">
                  <c:v>0.80288145516680942</c:v>
                </c:pt>
                <c:pt idx="54">
                  <c:v>0.80053347797212215</c:v>
                </c:pt>
                <c:pt idx="55">
                  <c:v>0.79828975276689651</c:v>
                </c:pt>
                <c:pt idx="56">
                  <c:v>0.79614565068278964</c:v>
                </c:pt>
                <c:pt idx="57">
                  <c:v>0.79409674837676536</c:v>
                </c:pt>
                <c:pt idx="58">
                  <c:v>0.79213881890561322</c:v>
                </c:pt>
                <c:pt idx="59">
                  <c:v>0.79026782300564524</c:v>
                </c:pt>
                <c:pt idx="60">
                  <c:v>0.78847990075958152</c:v>
                </c:pt>
                <c:pt idx="61">
                  <c:v>0.78677136363343159</c:v>
                </c:pt>
                <c:pt idx="62">
                  <c:v>0.78513868686694499</c:v>
                </c:pt>
                <c:pt idx="63">
                  <c:v>0.7835785022019317</c:v>
                </c:pt>
                <c:pt idx="64">
                  <c:v>0.78208759093345026</c:v>
                </c:pt>
                <c:pt idx="65">
                  <c:v>0.78066287726952888</c:v>
                </c:pt>
                <c:pt idx="66">
                  <c:v>0.77935326469263189</c:v>
                </c:pt>
                <c:pt idx="67">
                  <c:v>0.77935326469263189</c:v>
                </c:pt>
                <c:pt idx="68">
                  <c:v>0.77935326469263189</c:v>
                </c:pt>
                <c:pt idx="69">
                  <c:v>0.77935326469263189</c:v>
                </c:pt>
                <c:pt idx="70">
                  <c:v>0.77935326469263189</c:v>
                </c:pt>
                <c:pt idx="71">
                  <c:v>0.77935326469263189</c:v>
                </c:pt>
                <c:pt idx="72">
                  <c:v>0.77935326469263189</c:v>
                </c:pt>
                <c:pt idx="73">
                  <c:v>0.77935326469263189</c:v>
                </c:pt>
                <c:pt idx="74">
                  <c:v>0.77935326469263189</c:v>
                </c:pt>
                <c:pt idx="75">
                  <c:v>0.77935326469263189</c:v>
                </c:pt>
                <c:pt idx="76">
                  <c:v>0.77935326469263189</c:v>
                </c:pt>
                <c:pt idx="77">
                  <c:v>0.77935326469263189</c:v>
                </c:pt>
                <c:pt idx="78">
                  <c:v>0.77935326469263189</c:v>
                </c:pt>
                <c:pt idx="79">
                  <c:v>0.77935326469263189</c:v>
                </c:pt>
                <c:pt idx="80">
                  <c:v>0.77935326469263189</c:v>
                </c:pt>
                <c:pt idx="81">
                  <c:v>0.77935326469263189</c:v>
                </c:pt>
                <c:pt idx="82">
                  <c:v>0.77935326469263189</c:v>
                </c:pt>
                <c:pt idx="83">
                  <c:v>0.77935326469263189</c:v>
                </c:pt>
                <c:pt idx="84">
                  <c:v>0.77935326469263189</c:v>
                </c:pt>
                <c:pt idx="85">
                  <c:v>0.77935326469263189</c:v>
                </c:pt>
                <c:pt idx="86">
                  <c:v>0.77935326469263189</c:v>
                </c:pt>
                <c:pt idx="87">
                  <c:v>0.77935326469263189</c:v>
                </c:pt>
                <c:pt idx="88">
                  <c:v>0.77935326469263189</c:v>
                </c:pt>
                <c:pt idx="89">
                  <c:v>0.77935326469263189</c:v>
                </c:pt>
                <c:pt idx="90">
                  <c:v>0.77935326469263189</c:v>
                </c:pt>
                <c:pt idx="91">
                  <c:v>0.77935326469263189</c:v>
                </c:pt>
                <c:pt idx="92">
                  <c:v>0.77935326469263189</c:v>
                </c:pt>
                <c:pt idx="93">
                  <c:v>0.77935326469263189</c:v>
                </c:pt>
                <c:pt idx="94">
                  <c:v>0.77935326469263189</c:v>
                </c:pt>
                <c:pt idx="95">
                  <c:v>0.77935326469263189</c:v>
                </c:pt>
                <c:pt idx="96">
                  <c:v>0.77935326469263189</c:v>
                </c:pt>
                <c:pt idx="97">
                  <c:v>0.77935326469263189</c:v>
                </c:pt>
                <c:pt idx="98">
                  <c:v>0.77935326469263189</c:v>
                </c:pt>
                <c:pt idx="99">
                  <c:v>0.77935326469263189</c:v>
                </c:pt>
                <c:pt idx="100">
                  <c:v>0.77935326469263189</c:v>
                </c:pt>
                <c:pt idx="101">
                  <c:v>0.77935326469263189</c:v>
                </c:pt>
                <c:pt idx="102">
                  <c:v>0.77935326469263189</c:v>
                </c:pt>
                <c:pt idx="103">
                  <c:v>0.77935326469263189</c:v>
                </c:pt>
                <c:pt idx="104">
                  <c:v>0.77935326469263189</c:v>
                </c:pt>
                <c:pt idx="105">
                  <c:v>0.77935326469263189</c:v>
                </c:pt>
                <c:pt idx="106">
                  <c:v>0.77935326469263189</c:v>
                </c:pt>
                <c:pt idx="107">
                  <c:v>0.77935326469263189</c:v>
                </c:pt>
                <c:pt idx="108">
                  <c:v>0.77935326469263189</c:v>
                </c:pt>
                <c:pt idx="109">
                  <c:v>0.77935326469263189</c:v>
                </c:pt>
                <c:pt idx="110">
                  <c:v>0.77935326469263189</c:v>
                </c:pt>
                <c:pt idx="111">
                  <c:v>0.77935326469263189</c:v>
                </c:pt>
                <c:pt idx="112">
                  <c:v>0.77935326469263189</c:v>
                </c:pt>
                <c:pt idx="113">
                  <c:v>0.77935326469263189</c:v>
                </c:pt>
                <c:pt idx="114">
                  <c:v>0.77935326469263189</c:v>
                </c:pt>
                <c:pt idx="115">
                  <c:v>0.77935326469263189</c:v>
                </c:pt>
                <c:pt idx="116">
                  <c:v>0.77935326469263189</c:v>
                </c:pt>
                <c:pt idx="117">
                  <c:v>0.77935326469263189</c:v>
                </c:pt>
                <c:pt idx="118">
                  <c:v>0.77935326469263189</c:v>
                </c:pt>
                <c:pt idx="119">
                  <c:v>0.77935326469263189</c:v>
                </c:pt>
                <c:pt idx="120">
                  <c:v>0.77935326469263189</c:v>
                </c:pt>
                <c:pt idx="121">
                  <c:v>0.77935326469263189</c:v>
                </c:pt>
                <c:pt idx="122">
                  <c:v>0.77935326469263189</c:v>
                </c:pt>
                <c:pt idx="123">
                  <c:v>0.77935326469263189</c:v>
                </c:pt>
                <c:pt idx="124">
                  <c:v>0.77935326469263189</c:v>
                </c:pt>
                <c:pt idx="125">
                  <c:v>0.77935326469263189</c:v>
                </c:pt>
                <c:pt idx="126">
                  <c:v>0.77935326469263189</c:v>
                </c:pt>
                <c:pt idx="127">
                  <c:v>0.77935326469263189</c:v>
                </c:pt>
                <c:pt idx="128">
                  <c:v>0.77935326469263189</c:v>
                </c:pt>
                <c:pt idx="129">
                  <c:v>0.77935326469263189</c:v>
                </c:pt>
                <c:pt idx="130">
                  <c:v>0.77935326469263189</c:v>
                </c:pt>
                <c:pt idx="131">
                  <c:v>0.77935326469263189</c:v>
                </c:pt>
                <c:pt idx="132">
                  <c:v>0.77935326469263189</c:v>
                </c:pt>
                <c:pt idx="133">
                  <c:v>0.77935326469263189</c:v>
                </c:pt>
                <c:pt idx="134">
                  <c:v>0.77935326469263189</c:v>
                </c:pt>
                <c:pt idx="135">
                  <c:v>0.77935326469263189</c:v>
                </c:pt>
                <c:pt idx="136">
                  <c:v>0.77935326469263189</c:v>
                </c:pt>
                <c:pt idx="137">
                  <c:v>0.77935326469263189</c:v>
                </c:pt>
                <c:pt idx="138">
                  <c:v>0.77935326469263189</c:v>
                </c:pt>
                <c:pt idx="139">
                  <c:v>0.77935326469263189</c:v>
                </c:pt>
                <c:pt idx="140">
                  <c:v>0.77935326469263189</c:v>
                </c:pt>
                <c:pt idx="141">
                  <c:v>0.77935326469263189</c:v>
                </c:pt>
                <c:pt idx="142">
                  <c:v>0.77935326469263189</c:v>
                </c:pt>
                <c:pt idx="143">
                  <c:v>0.77935326469263189</c:v>
                </c:pt>
                <c:pt idx="144">
                  <c:v>0.77935326469263189</c:v>
                </c:pt>
                <c:pt idx="145">
                  <c:v>0.77935326469263189</c:v>
                </c:pt>
                <c:pt idx="146">
                  <c:v>0.77935326469263189</c:v>
                </c:pt>
                <c:pt idx="147">
                  <c:v>0.77935326469263189</c:v>
                </c:pt>
                <c:pt idx="148">
                  <c:v>0.77935326469263189</c:v>
                </c:pt>
                <c:pt idx="149">
                  <c:v>0.77935326469263189</c:v>
                </c:pt>
                <c:pt idx="150">
                  <c:v>0.77935326469263189</c:v>
                </c:pt>
                <c:pt idx="151">
                  <c:v>0.77935326469263189</c:v>
                </c:pt>
                <c:pt idx="152">
                  <c:v>0.77935326469263189</c:v>
                </c:pt>
                <c:pt idx="153">
                  <c:v>0.77935326469263189</c:v>
                </c:pt>
                <c:pt idx="154">
                  <c:v>0.77935326469263189</c:v>
                </c:pt>
                <c:pt idx="155">
                  <c:v>0.77935326469263189</c:v>
                </c:pt>
                <c:pt idx="156">
                  <c:v>0.77935326469263189</c:v>
                </c:pt>
                <c:pt idx="157">
                  <c:v>0.77935326469263189</c:v>
                </c:pt>
                <c:pt idx="158">
                  <c:v>0.77935326469263189</c:v>
                </c:pt>
                <c:pt idx="159">
                  <c:v>0.77935326469263189</c:v>
                </c:pt>
                <c:pt idx="160">
                  <c:v>0.77935326469263189</c:v>
                </c:pt>
                <c:pt idx="161">
                  <c:v>0.77935326469263189</c:v>
                </c:pt>
                <c:pt idx="162">
                  <c:v>0.77935326469263189</c:v>
                </c:pt>
                <c:pt idx="163">
                  <c:v>0.77935326469263189</c:v>
                </c:pt>
                <c:pt idx="164">
                  <c:v>0.77935326469263189</c:v>
                </c:pt>
                <c:pt idx="165">
                  <c:v>0.77935326469263189</c:v>
                </c:pt>
                <c:pt idx="166">
                  <c:v>0.77935326469263189</c:v>
                </c:pt>
                <c:pt idx="167">
                  <c:v>0.77935326469263189</c:v>
                </c:pt>
                <c:pt idx="168">
                  <c:v>0.77935326469263189</c:v>
                </c:pt>
                <c:pt idx="169">
                  <c:v>0.77935326469263189</c:v>
                </c:pt>
                <c:pt idx="170">
                  <c:v>0.77935326469263189</c:v>
                </c:pt>
                <c:pt idx="171">
                  <c:v>0.77935326469263189</c:v>
                </c:pt>
                <c:pt idx="172">
                  <c:v>0.77935326469263189</c:v>
                </c:pt>
                <c:pt idx="173">
                  <c:v>0.77935326469263189</c:v>
                </c:pt>
                <c:pt idx="174">
                  <c:v>0.77935326469263189</c:v>
                </c:pt>
                <c:pt idx="175">
                  <c:v>0.77935326469263189</c:v>
                </c:pt>
                <c:pt idx="176">
                  <c:v>0.77935326469263189</c:v>
                </c:pt>
                <c:pt idx="177">
                  <c:v>0.77935326469263189</c:v>
                </c:pt>
                <c:pt idx="178">
                  <c:v>0.77935326469263189</c:v>
                </c:pt>
                <c:pt idx="179">
                  <c:v>0.77935326469263189</c:v>
                </c:pt>
                <c:pt idx="180">
                  <c:v>0.77935326469263189</c:v>
                </c:pt>
                <c:pt idx="181">
                  <c:v>0.77935326469263189</c:v>
                </c:pt>
                <c:pt idx="182">
                  <c:v>0.77935326469263189</c:v>
                </c:pt>
                <c:pt idx="183">
                  <c:v>0.77935326469263189</c:v>
                </c:pt>
                <c:pt idx="184">
                  <c:v>0.77935326469263189</c:v>
                </c:pt>
                <c:pt idx="185">
                  <c:v>0.77935326469263189</c:v>
                </c:pt>
                <c:pt idx="186">
                  <c:v>0.77935326469263189</c:v>
                </c:pt>
                <c:pt idx="187">
                  <c:v>0.77935326469263189</c:v>
                </c:pt>
                <c:pt idx="188">
                  <c:v>0.77935326469263189</c:v>
                </c:pt>
                <c:pt idx="189">
                  <c:v>0.77935326469263189</c:v>
                </c:pt>
                <c:pt idx="190">
                  <c:v>0.77935326469263189</c:v>
                </c:pt>
                <c:pt idx="191">
                  <c:v>0.77935326469263189</c:v>
                </c:pt>
                <c:pt idx="192">
                  <c:v>0.77935326469263189</c:v>
                </c:pt>
                <c:pt idx="193">
                  <c:v>0.77935326469263189</c:v>
                </c:pt>
                <c:pt idx="194">
                  <c:v>0.77935326469263189</c:v>
                </c:pt>
                <c:pt idx="195">
                  <c:v>0.77935326469263189</c:v>
                </c:pt>
                <c:pt idx="196">
                  <c:v>0.77935326469263189</c:v>
                </c:pt>
                <c:pt idx="197">
                  <c:v>0.77935326469263189</c:v>
                </c:pt>
                <c:pt idx="198">
                  <c:v>0.77935326469263189</c:v>
                </c:pt>
                <c:pt idx="199">
                  <c:v>0.77935326469263189</c:v>
                </c:pt>
                <c:pt idx="200">
                  <c:v>0.77935326469263189</c:v>
                </c:pt>
                <c:pt idx="201">
                  <c:v>0.77935326469263189</c:v>
                </c:pt>
                <c:pt idx="202">
                  <c:v>0.77935326469263189</c:v>
                </c:pt>
                <c:pt idx="203">
                  <c:v>0.77935326469263189</c:v>
                </c:pt>
                <c:pt idx="204">
                  <c:v>0.77935326469263189</c:v>
                </c:pt>
                <c:pt idx="205">
                  <c:v>0.77935326469263189</c:v>
                </c:pt>
                <c:pt idx="206">
                  <c:v>0.77935326469263189</c:v>
                </c:pt>
                <c:pt idx="207">
                  <c:v>0.77935326469263189</c:v>
                </c:pt>
                <c:pt idx="208">
                  <c:v>0.77935326469263189</c:v>
                </c:pt>
                <c:pt idx="209">
                  <c:v>0.77935326469263189</c:v>
                </c:pt>
                <c:pt idx="210">
                  <c:v>0.77935326469263189</c:v>
                </c:pt>
                <c:pt idx="211">
                  <c:v>0.77935326469263189</c:v>
                </c:pt>
                <c:pt idx="212">
                  <c:v>0.77935326469263189</c:v>
                </c:pt>
                <c:pt idx="213">
                  <c:v>0.77935326469263189</c:v>
                </c:pt>
                <c:pt idx="214">
                  <c:v>0.77935326469263189</c:v>
                </c:pt>
                <c:pt idx="215">
                  <c:v>0.77935326469263189</c:v>
                </c:pt>
                <c:pt idx="216">
                  <c:v>0.77935326469263189</c:v>
                </c:pt>
                <c:pt idx="217">
                  <c:v>0.77935326469263189</c:v>
                </c:pt>
                <c:pt idx="218">
                  <c:v>0.77935326469263189</c:v>
                </c:pt>
                <c:pt idx="219">
                  <c:v>0.77935326469263189</c:v>
                </c:pt>
                <c:pt idx="220">
                  <c:v>0.77935326469263189</c:v>
                </c:pt>
                <c:pt idx="221">
                  <c:v>0.77935326469263189</c:v>
                </c:pt>
                <c:pt idx="222">
                  <c:v>0.77935326469263189</c:v>
                </c:pt>
                <c:pt idx="223">
                  <c:v>0.77935326469263189</c:v>
                </c:pt>
                <c:pt idx="224">
                  <c:v>0.77935326469263189</c:v>
                </c:pt>
                <c:pt idx="225">
                  <c:v>0.77935326469263189</c:v>
                </c:pt>
                <c:pt idx="226">
                  <c:v>0.77935326469263189</c:v>
                </c:pt>
                <c:pt idx="227">
                  <c:v>0.77935326469263189</c:v>
                </c:pt>
                <c:pt idx="228">
                  <c:v>0.77935326469263189</c:v>
                </c:pt>
                <c:pt idx="229">
                  <c:v>0.77935326469263189</c:v>
                </c:pt>
                <c:pt idx="230">
                  <c:v>0.77935326469263189</c:v>
                </c:pt>
                <c:pt idx="231">
                  <c:v>0.77935326469263189</c:v>
                </c:pt>
                <c:pt idx="232">
                  <c:v>0.77935326469263189</c:v>
                </c:pt>
                <c:pt idx="233">
                  <c:v>0.77935326469263189</c:v>
                </c:pt>
                <c:pt idx="234">
                  <c:v>0.77935326469263189</c:v>
                </c:pt>
                <c:pt idx="235">
                  <c:v>0.77935326469263189</c:v>
                </c:pt>
                <c:pt idx="236">
                  <c:v>0.77935326469263189</c:v>
                </c:pt>
                <c:pt idx="237">
                  <c:v>0.77935326469263189</c:v>
                </c:pt>
                <c:pt idx="238">
                  <c:v>0.77935326469263189</c:v>
                </c:pt>
                <c:pt idx="239">
                  <c:v>0.77935326469263189</c:v>
                </c:pt>
                <c:pt idx="240">
                  <c:v>0.77935326469263189</c:v>
                </c:pt>
                <c:pt idx="241">
                  <c:v>0.77935326469263189</c:v>
                </c:pt>
                <c:pt idx="242">
                  <c:v>0.77935326469263189</c:v>
                </c:pt>
                <c:pt idx="243">
                  <c:v>0.77935326469263189</c:v>
                </c:pt>
                <c:pt idx="244">
                  <c:v>0.77935326469263189</c:v>
                </c:pt>
                <c:pt idx="245">
                  <c:v>0.77935326469263189</c:v>
                </c:pt>
                <c:pt idx="246">
                  <c:v>0.77935326469263189</c:v>
                </c:pt>
                <c:pt idx="247">
                  <c:v>0.77935326469263189</c:v>
                </c:pt>
                <c:pt idx="248">
                  <c:v>0.77935326469263189</c:v>
                </c:pt>
                <c:pt idx="249">
                  <c:v>0.77935326469263189</c:v>
                </c:pt>
                <c:pt idx="250">
                  <c:v>0.77935326469263189</c:v>
                </c:pt>
                <c:pt idx="251">
                  <c:v>0.77935326469263189</c:v>
                </c:pt>
                <c:pt idx="252">
                  <c:v>0.77935326469263189</c:v>
                </c:pt>
                <c:pt idx="253">
                  <c:v>0.77935326469263189</c:v>
                </c:pt>
                <c:pt idx="254">
                  <c:v>0.77935326469263189</c:v>
                </c:pt>
                <c:pt idx="255">
                  <c:v>0.77935326469263189</c:v>
                </c:pt>
                <c:pt idx="256">
                  <c:v>0.77935326469263189</c:v>
                </c:pt>
                <c:pt idx="257">
                  <c:v>0.77935326469263189</c:v>
                </c:pt>
                <c:pt idx="258">
                  <c:v>0.77935326469263189</c:v>
                </c:pt>
                <c:pt idx="259">
                  <c:v>0.77935326469263189</c:v>
                </c:pt>
                <c:pt idx="260">
                  <c:v>0.77935326469263189</c:v>
                </c:pt>
                <c:pt idx="261">
                  <c:v>0.77935326469263189</c:v>
                </c:pt>
                <c:pt idx="262">
                  <c:v>0.77935326469263189</c:v>
                </c:pt>
                <c:pt idx="263">
                  <c:v>0.77935326469263189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A35-470C-B634-B0646A4E14ED}"/>
            </c:ext>
          </c:extLst>
        </c:ser>
        <c:ser>
          <c:idx val="4"/>
          <c:order val="1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'Second Order system'!$A$7:$A$270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system'!$H$7:$H$270</c:f>
              <c:numCache>
                <c:formatCode>General</c:formatCode>
                <c:ptCount val="264"/>
                <c:pt idx="0">
                  <c:v>0.16293470614736194</c:v>
                </c:pt>
                <c:pt idx="1">
                  <c:v>0.18900085575331205</c:v>
                </c:pt>
                <c:pt idx="2">
                  <c:v>0.2139096483115972</c:v>
                </c:pt>
                <c:pt idx="3">
                  <c:v>0.23771247136337836</c:v>
                </c:pt>
                <c:pt idx="4">
                  <c:v>0.26045843080355008</c:v>
                </c:pt>
                <c:pt idx="5">
                  <c:v>0.28219445218758593</c:v>
                </c:pt>
                <c:pt idx="6">
                  <c:v>0.30296537754028219</c:v>
                </c:pt>
                <c:pt idx="7">
                  <c:v>0.32281405786611889</c:v>
                </c:pt>
                <c:pt idx="8">
                  <c:v>0.34178144155209017</c:v>
                </c:pt>
                <c:pt idx="9">
                  <c:v>0.35990665884538059</c:v>
                </c:pt>
                <c:pt idx="10">
                  <c:v>0.37722710258016834</c:v>
                </c:pt>
                <c:pt idx="11">
                  <c:v>0.39377850532009562</c:v>
                </c:pt>
                <c:pt idx="12">
                  <c:v>0.4095950130755554</c:v>
                </c:pt>
                <c:pt idx="13">
                  <c:v>0.42470925574787272</c:v>
                </c:pt>
                <c:pt idx="14">
                  <c:v>0.43915241444571118</c:v>
                </c:pt>
                <c:pt idx="15">
                  <c:v>0.45295428581257874</c:v>
                </c:pt>
                <c:pt idx="16">
                  <c:v>0.46614334349814374</c:v>
                </c:pt>
                <c:pt idx="17">
                  <c:v>0.47874679690017607</c:v>
                </c:pt>
                <c:pt idx="18">
                  <c:v>0.49079064729830224</c:v>
                </c:pt>
                <c:pt idx="19">
                  <c:v>0.50229974149537793</c:v>
                </c:pt>
                <c:pt idx="20">
                  <c:v>0.51329782307714267</c:v>
                </c:pt>
                <c:pt idx="21">
                  <c:v>0.52380758139590644</c:v>
                </c:pt>
                <c:pt idx="22">
                  <c:v>0.5338506983793232</c:v>
                </c:pt>
                <c:pt idx="23">
                  <c:v>0.54344789326081866</c:v>
                </c:pt>
                <c:pt idx="24">
                  <c:v>0.55261896532395294</c:v>
                </c:pt>
                <c:pt idx="25">
                  <c:v>0.56138283474890061</c:v>
                </c:pt>
                <c:pt idx="26">
                  <c:v>0.56975758164531565</c:v>
                </c:pt>
                <c:pt idx="27">
                  <c:v>0.57776048335210728</c:v>
                </c:pt>
                <c:pt idx="28">
                  <c:v>0.58540805008107744</c:v>
                </c:pt>
                <c:pt idx="29">
                  <c:v>0.59271605897795254</c:v>
                </c:pt>
                <c:pt idx="30">
                  <c:v>0.59969958667108036</c:v>
                </c:pt>
                <c:pt idx="31">
                  <c:v>0.606373040374939</c:v>
                </c:pt>
                <c:pt idx="32">
                  <c:v>0.61275018761262656</c:v>
                </c:pt>
                <c:pt idx="33">
                  <c:v>0.61884418461864932</c:v>
                </c:pt>
                <c:pt idx="34">
                  <c:v>0.62466760348060446</c:v>
                </c:pt>
                <c:pt idx="35">
                  <c:v>0.63023245807575079</c:v>
                </c:pt>
                <c:pt idx="36">
                  <c:v>0.63555022885597678</c:v>
                </c:pt>
                <c:pt idx="37">
                  <c:v>0.64063188653229608</c:v>
                </c:pt>
                <c:pt idx="38">
                  <c:v>0.64548791470773326</c:v>
                </c:pt>
                <c:pt idx="39">
                  <c:v>0.65012833150529281</c:v>
                </c:pt>
                <c:pt idx="40">
                  <c:v>0.65456271023562929</c:v>
                </c:pt>
                <c:pt idx="41">
                  <c:v>0.65880019914705679</c:v>
                </c:pt>
                <c:pt idx="42">
                  <c:v>0.66284954029864318</c:v>
                </c:pt>
                <c:pt idx="43">
                  <c:v>0.6667190875953245</c:v>
                </c:pt>
                <c:pt idx="44">
                  <c:v>0.67041682402224612</c:v>
                </c:pt>
                <c:pt idx="45">
                  <c:v>0.67395037811388603</c:v>
                </c:pt>
                <c:pt idx="46">
                  <c:v>0.67732703969193686</c:v>
                </c:pt>
                <c:pt idx="47">
                  <c:v>0.68055377490441349</c:v>
                </c:pt>
                <c:pt idx="48">
                  <c:v>0.68363724059701236</c:v>
                </c:pt>
                <c:pt idx="49">
                  <c:v>0.68658379804637182</c:v>
                </c:pt>
                <c:pt idx="50">
                  <c:v>0.68939952608356592</c:v>
                </c:pt>
                <c:pt idx="51">
                  <c:v>0.69209023363490307</c:v>
                </c:pt>
                <c:pt idx="52">
                  <c:v>0.69466147170590564</c:v>
                </c:pt>
                <c:pt idx="53">
                  <c:v>0.69711854483319058</c:v>
                </c:pt>
                <c:pt idx="54">
                  <c:v>0.69946652202787785</c:v>
                </c:pt>
                <c:pt idx="55">
                  <c:v>0.70171024723310349</c:v>
                </c:pt>
                <c:pt idx="56">
                  <c:v>0.70385434931721036</c:v>
                </c:pt>
                <c:pt idx="57">
                  <c:v>0.70590325162323464</c:v>
                </c:pt>
                <c:pt idx="58">
                  <c:v>0.70786118109438678</c:v>
                </c:pt>
                <c:pt idx="59">
                  <c:v>0.70973217699435476</c:v>
                </c:pt>
                <c:pt idx="60">
                  <c:v>0.71152009924041848</c:v>
                </c:pt>
                <c:pt idx="61">
                  <c:v>0.71322863636656841</c:v>
                </c:pt>
                <c:pt idx="62">
                  <c:v>0.71486131313305501</c:v>
                </c:pt>
                <c:pt idx="63">
                  <c:v>0.7164214977980683</c:v>
                </c:pt>
                <c:pt idx="64">
                  <c:v>0.71791240906654974</c:v>
                </c:pt>
                <c:pt idx="65">
                  <c:v>0.71933712273047112</c:v>
                </c:pt>
                <c:pt idx="66">
                  <c:v>0.72064673530736811</c:v>
                </c:pt>
                <c:pt idx="67">
                  <c:v>0.72064673530736811</c:v>
                </c:pt>
                <c:pt idx="68">
                  <c:v>0.72064673530736811</c:v>
                </c:pt>
                <c:pt idx="69">
                  <c:v>0.72064673530736811</c:v>
                </c:pt>
                <c:pt idx="70">
                  <c:v>0.72064673530736811</c:v>
                </c:pt>
                <c:pt idx="71">
                  <c:v>0.72064673530736811</c:v>
                </c:pt>
                <c:pt idx="72">
                  <c:v>0.72064673530736811</c:v>
                </c:pt>
                <c:pt idx="73">
                  <c:v>0.72064673530736811</c:v>
                </c:pt>
                <c:pt idx="74">
                  <c:v>0.72064673530736811</c:v>
                </c:pt>
                <c:pt idx="75">
                  <c:v>0.72064673530736811</c:v>
                </c:pt>
                <c:pt idx="76">
                  <c:v>0.72064673530736811</c:v>
                </c:pt>
                <c:pt idx="77">
                  <c:v>0.72064673530736811</c:v>
                </c:pt>
                <c:pt idx="78">
                  <c:v>0.72064673530736811</c:v>
                </c:pt>
                <c:pt idx="79">
                  <c:v>0.72064673530736811</c:v>
                </c:pt>
                <c:pt idx="80">
                  <c:v>0.72064673530736811</c:v>
                </c:pt>
                <c:pt idx="81">
                  <c:v>0.72064673530736811</c:v>
                </c:pt>
                <c:pt idx="82">
                  <c:v>0.72064673530736811</c:v>
                </c:pt>
                <c:pt idx="83">
                  <c:v>0.72064673530736811</c:v>
                </c:pt>
                <c:pt idx="84">
                  <c:v>0.72064673530736811</c:v>
                </c:pt>
                <c:pt idx="85">
                  <c:v>0.72064673530736811</c:v>
                </c:pt>
                <c:pt idx="86">
                  <c:v>0.72064673530736811</c:v>
                </c:pt>
                <c:pt idx="87">
                  <c:v>0.72064673530736811</c:v>
                </c:pt>
                <c:pt idx="88">
                  <c:v>0.72064673530736811</c:v>
                </c:pt>
                <c:pt idx="89">
                  <c:v>0.72064673530736811</c:v>
                </c:pt>
                <c:pt idx="90">
                  <c:v>0.72064673530736811</c:v>
                </c:pt>
                <c:pt idx="91">
                  <c:v>0.72064673530736811</c:v>
                </c:pt>
                <c:pt idx="92">
                  <c:v>0.72064673530736811</c:v>
                </c:pt>
                <c:pt idx="93">
                  <c:v>0.72064673530736811</c:v>
                </c:pt>
                <c:pt idx="94">
                  <c:v>0.72064673530736811</c:v>
                </c:pt>
                <c:pt idx="95">
                  <c:v>0.72064673530736811</c:v>
                </c:pt>
                <c:pt idx="96">
                  <c:v>0.72064673530736811</c:v>
                </c:pt>
                <c:pt idx="97">
                  <c:v>0.72064673530736811</c:v>
                </c:pt>
                <c:pt idx="98">
                  <c:v>0.72064673530736811</c:v>
                </c:pt>
                <c:pt idx="99">
                  <c:v>0.72064673530736811</c:v>
                </c:pt>
                <c:pt idx="100">
                  <c:v>0.72064673530736811</c:v>
                </c:pt>
                <c:pt idx="101">
                  <c:v>0.72064673530736811</c:v>
                </c:pt>
                <c:pt idx="102">
                  <c:v>0.72064673530736811</c:v>
                </c:pt>
                <c:pt idx="103">
                  <c:v>0.72064673530736811</c:v>
                </c:pt>
                <c:pt idx="104">
                  <c:v>0.72064673530736811</c:v>
                </c:pt>
                <c:pt idx="105">
                  <c:v>0.72064673530736811</c:v>
                </c:pt>
                <c:pt idx="106">
                  <c:v>0.72064673530736811</c:v>
                </c:pt>
                <c:pt idx="107">
                  <c:v>0.72064673530736811</c:v>
                </c:pt>
                <c:pt idx="108">
                  <c:v>0.72064673530736811</c:v>
                </c:pt>
                <c:pt idx="109">
                  <c:v>0.72064673530736811</c:v>
                </c:pt>
                <c:pt idx="110">
                  <c:v>0.72064673530736811</c:v>
                </c:pt>
                <c:pt idx="111">
                  <c:v>0.72064673530736811</c:v>
                </c:pt>
                <c:pt idx="112">
                  <c:v>0.72064673530736811</c:v>
                </c:pt>
                <c:pt idx="113">
                  <c:v>0.72064673530736811</c:v>
                </c:pt>
                <c:pt idx="114">
                  <c:v>0.72064673530736811</c:v>
                </c:pt>
                <c:pt idx="115">
                  <c:v>0.72064673530736811</c:v>
                </c:pt>
                <c:pt idx="116">
                  <c:v>0.72064673530736811</c:v>
                </c:pt>
                <c:pt idx="117">
                  <c:v>0.72064673530736811</c:v>
                </c:pt>
                <c:pt idx="118">
                  <c:v>0.72064673530736811</c:v>
                </c:pt>
                <c:pt idx="119">
                  <c:v>0.72064673530736811</c:v>
                </c:pt>
                <c:pt idx="120">
                  <c:v>0.72064673530736811</c:v>
                </c:pt>
                <c:pt idx="121">
                  <c:v>0.72064673530736811</c:v>
                </c:pt>
                <c:pt idx="122">
                  <c:v>0.72064673530736811</c:v>
                </c:pt>
                <c:pt idx="123">
                  <c:v>0.72064673530736811</c:v>
                </c:pt>
                <c:pt idx="124">
                  <c:v>0.72064673530736811</c:v>
                </c:pt>
                <c:pt idx="125">
                  <c:v>0.72064673530736811</c:v>
                </c:pt>
                <c:pt idx="126">
                  <c:v>0.72064673530736811</c:v>
                </c:pt>
                <c:pt idx="127">
                  <c:v>0.72064673530736811</c:v>
                </c:pt>
                <c:pt idx="128">
                  <c:v>0.72064673530736811</c:v>
                </c:pt>
                <c:pt idx="129">
                  <c:v>0.72064673530736811</c:v>
                </c:pt>
                <c:pt idx="130">
                  <c:v>0.72064673530736811</c:v>
                </c:pt>
                <c:pt idx="131">
                  <c:v>0.72064673530736811</c:v>
                </c:pt>
                <c:pt idx="132">
                  <c:v>0.72064673530736811</c:v>
                </c:pt>
                <c:pt idx="133">
                  <c:v>0.72064673530736811</c:v>
                </c:pt>
                <c:pt idx="134">
                  <c:v>0.72064673530736811</c:v>
                </c:pt>
                <c:pt idx="135">
                  <c:v>0.72064673530736811</c:v>
                </c:pt>
                <c:pt idx="136">
                  <c:v>0.72064673530736811</c:v>
                </c:pt>
                <c:pt idx="137">
                  <c:v>0.72064673530736811</c:v>
                </c:pt>
                <c:pt idx="138">
                  <c:v>0.72064673530736811</c:v>
                </c:pt>
                <c:pt idx="139">
                  <c:v>0.72064673530736811</c:v>
                </c:pt>
                <c:pt idx="140">
                  <c:v>0.72064673530736811</c:v>
                </c:pt>
                <c:pt idx="141">
                  <c:v>0.72064673530736811</c:v>
                </c:pt>
                <c:pt idx="142">
                  <c:v>0.72064673530736811</c:v>
                </c:pt>
                <c:pt idx="143">
                  <c:v>0.72064673530736811</c:v>
                </c:pt>
                <c:pt idx="144">
                  <c:v>0.72064673530736811</c:v>
                </c:pt>
                <c:pt idx="145">
                  <c:v>0.72064673530736811</c:v>
                </c:pt>
                <c:pt idx="146">
                  <c:v>0.72064673530736811</c:v>
                </c:pt>
                <c:pt idx="147">
                  <c:v>0.72064673530736811</c:v>
                </c:pt>
                <c:pt idx="148">
                  <c:v>0.72064673530736811</c:v>
                </c:pt>
                <c:pt idx="149">
                  <c:v>0.72064673530736811</c:v>
                </c:pt>
                <c:pt idx="150">
                  <c:v>0.72064673530736811</c:v>
                </c:pt>
                <c:pt idx="151">
                  <c:v>0.72064673530736811</c:v>
                </c:pt>
                <c:pt idx="152">
                  <c:v>0.72064673530736811</c:v>
                </c:pt>
                <c:pt idx="153">
                  <c:v>0.72064673530736811</c:v>
                </c:pt>
                <c:pt idx="154">
                  <c:v>0.72064673530736811</c:v>
                </c:pt>
                <c:pt idx="155">
                  <c:v>0.72064673530736811</c:v>
                </c:pt>
                <c:pt idx="156">
                  <c:v>0.72064673530736811</c:v>
                </c:pt>
                <c:pt idx="157">
                  <c:v>0.72064673530736811</c:v>
                </c:pt>
                <c:pt idx="158">
                  <c:v>0.72064673530736811</c:v>
                </c:pt>
                <c:pt idx="159">
                  <c:v>0.72064673530736811</c:v>
                </c:pt>
                <c:pt idx="160">
                  <c:v>0.72064673530736811</c:v>
                </c:pt>
                <c:pt idx="161">
                  <c:v>0.72064673530736811</c:v>
                </c:pt>
                <c:pt idx="162">
                  <c:v>0.72064673530736811</c:v>
                </c:pt>
                <c:pt idx="163">
                  <c:v>0.72064673530736811</c:v>
                </c:pt>
                <c:pt idx="164">
                  <c:v>0.72064673530736811</c:v>
                </c:pt>
                <c:pt idx="165">
                  <c:v>0.72064673530736811</c:v>
                </c:pt>
                <c:pt idx="166">
                  <c:v>0.72064673530736811</c:v>
                </c:pt>
                <c:pt idx="167">
                  <c:v>0.72064673530736811</c:v>
                </c:pt>
                <c:pt idx="168">
                  <c:v>0.72064673530736811</c:v>
                </c:pt>
                <c:pt idx="169">
                  <c:v>0.72064673530736811</c:v>
                </c:pt>
                <c:pt idx="170">
                  <c:v>0.72064673530736811</c:v>
                </c:pt>
                <c:pt idx="171">
                  <c:v>0.72064673530736811</c:v>
                </c:pt>
                <c:pt idx="172">
                  <c:v>0.72064673530736811</c:v>
                </c:pt>
                <c:pt idx="173">
                  <c:v>0.72064673530736811</c:v>
                </c:pt>
                <c:pt idx="174">
                  <c:v>0.72064673530736811</c:v>
                </c:pt>
                <c:pt idx="175">
                  <c:v>0.72064673530736811</c:v>
                </c:pt>
                <c:pt idx="176">
                  <c:v>0.72064673530736811</c:v>
                </c:pt>
                <c:pt idx="177">
                  <c:v>0.72064673530736811</c:v>
                </c:pt>
                <c:pt idx="178">
                  <c:v>0.72064673530736811</c:v>
                </c:pt>
                <c:pt idx="179">
                  <c:v>0.72064673530736811</c:v>
                </c:pt>
                <c:pt idx="180">
                  <c:v>0.72064673530736811</c:v>
                </c:pt>
                <c:pt idx="181">
                  <c:v>0.72064673530736811</c:v>
                </c:pt>
                <c:pt idx="182">
                  <c:v>0.72064673530736811</c:v>
                </c:pt>
                <c:pt idx="183">
                  <c:v>0.72064673530736811</c:v>
                </c:pt>
                <c:pt idx="184">
                  <c:v>0.72064673530736811</c:v>
                </c:pt>
                <c:pt idx="185">
                  <c:v>0.72064673530736811</c:v>
                </c:pt>
                <c:pt idx="186">
                  <c:v>0.72064673530736811</c:v>
                </c:pt>
                <c:pt idx="187">
                  <c:v>0.72064673530736811</c:v>
                </c:pt>
                <c:pt idx="188">
                  <c:v>0.72064673530736811</c:v>
                </c:pt>
                <c:pt idx="189">
                  <c:v>0.72064673530736811</c:v>
                </c:pt>
                <c:pt idx="190">
                  <c:v>0.72064673530736811</c:v>
                </c:pt>
                <c:pt idx="191">
                  <c:v>0.72064673530736811</c:v>
                </c:pt>
                <c:pt idx="192">
                  <c:v>0.72064673530736811</c:v>
                </c:pt>
                <c:pt idx="193">
                  <c:v>0.72064673530736811</c:v>
                </c:pt>
                <c:pt idx="194">
                  <c:v>0.72064673530736811</c:v>
                </c:pt>
                <c:pt idx="195">
                  <c:v>0.72064673530736811</c:v>
                </c:pt>
                <c:pt idx="196">
                  <c:v>0.72064673530736811</c:v>
                </c:pt>
                <c:pt idx="197">
                  <c:v>0.72064673530736811</c:v>
                </c:pt>
                <c:pt idx="198">
                  <c:v>0.72064673530736811</c:v>
                </c:pt>
                <c:pt idx="199">
                  <c:v>0.72064673530736811</c:v>
                </c:pt>
                <c:pt idx="200">
                  <c:v>0.72064673530736811</c:v>
                </c:pt>
                <c:pt idx="201">
                  <c:v>0.72064673530736811</c:v>
                </c:pt>
                <c:pt idx="202">
                  <c:v>0.72064673530736811</c:v>
                </c:pt>
                <c:pt idx="203">
                  <c:v>0.72064673530736811</c:v>
                </c:pt>
                <c:pt idx="204">
                  <c:v>0.72064673530736811</c:v>
                </c:pt>
                <c:pt idx="205">
                  <c:v>0.72064673530736811</c:v>
                </c:pt>
                <c:pt idx="206">
                  <c:v>0.72064673530736811</c:v>
                </c:pt>
                <c:pt idx="207">
                  <c:v>0.72064673530736811</c:v>
                </c:pt>
                <c:pt idx="208">
                  <c:v>0.72064673530736811</c:v>
                </c:pt>
                <c:pt idx="209">
                  <c:v>0.72064673530736811</c:v>
                </c:pt>
                <c:pt idx="210">
                  <c:v>0.72064673530736811</c:v>
                </c:pt>
                <c:pt idx="211">
                  <c:v>0.72064673530736811</c:v>
                </c:pt>
                <c:pt idx="212">
                  <c:v>0.72064673530736811</c:v>
                </c:pt>
                <c:pt idx="213">
                  <c:v>0.72064673530736811</c:v>
                </c:pt>
                <c:pt idx="214">
                  <c:v>0.72064673530736811</c:v>
                </c:pt>
                <c:pt idx="215">
                  <c:v>0.72064673530736811</c:v>
                </c:pt>
                <c:pt idx="216">
                  <c:v>0.72064673530736811</c:v>
                </c:pt>
                <c:pt idx="217">
                  <c:v>0.72064673530736811</c:v>
                </c:pt>
                <c:pt idx="218">
                  <c:v>0.72064673530736811</c:v>
                </c:pt>
                <c:pt idx="219">
                  <c:v>0.72064673530736811</c:v>
                </c:pt>
                <c:pt idx="220">
                  <c:v>0.72064673530736811</c:v>
                </c:pt>
                <c:pt idx="221">
                  <c:v>0.72064673530736811</c:v>
                </c:pt>
                <c:pt idx="222">
                  <c:v>0.72064673530736811</c:v>
                </c:pt>
                <c:pt idx="223">
                  <c:v>0.72064673530736811</c:v>
                </c:pt>
                <c:pt idx="224">
                  <c:v>0.72064673530736811</c:v>
                </c:pt>
                <c:pt idx="225">
                  <c:v>0.72064673530736811</c:v>
                </c:pt>
                <c:pt idx="226">
                  <c:v>0.72064673530736811</c:v>
                </c:pt>
                <c:pt idx="227">
                  <c:v>0.72064673530736811</c:v>
                </c:pt>
                <c:pt idx="228">
                  <c:v>0.72064673530736811</c:v>
                </c:pt>
                <c:pt idx="229">
                  <c:v>0.72064673530736811</c:v>
                </c:pt>
                <c:pt idx="230">
                  <c:v>0.72064673530736811</c:v>
                </c:pt>
                <c:pt idx="231">
                  <c:v>0.72064673530736811</c:v>
                </c:pt>
                <c:pt idx="232">
                  <c:v>0.72064673530736811</c:v>
                </c:pt>
                <c:pt idx="233">
                  <c:v>0.72064673530736811</c:v>
                </c:pt>
                <c:pt idx="234">
                  <c:v>0.72064673530736811</c:v>
                </c:pt>
                <c:pt idx="235">
                  <c:v>0.72064673530736811</c:v>
                </c:pt>
                <c:pt idx="236">
                  <c:v>0.72064673530736811</c:v>
                </c:pt>
                <c:pt idx="237">
                  <c:v>0.72064673530736811</c:v>
                </c:pt>
                <c:pt idx="238">
                  <c:v>0.72064673530736811</c:v>
                </c:pt>
                <c:pt idx="239">
                  <c:v>0.72064673530736811</c:v>
                </c:pt>
                <c:pt idx="240">
                  <c:v>0.72064673530736811</c:v>
                </c:pt>
                <c:pt idx="241">
                  <c:v>0.72064673530736811</c:v>
                </c:pt>
                <c:pt idx="242">
                  <c:v>0.72064673530736811</c:v>
                </c:pt>
                <c:pt idx="243">
                  <c:v>0.72064673530736811</c:v>
                </c:pt>
                <c:pt idx="244">
                  <c:v>0.72064673530736811</c:v>
                </c:pt>
                <c:pt idx="245">
                  <c:v>0.72064673530736811</c:v>
                </c:pt>
                <c:pt idx="246">
                  <c:v>0.72064673530736811</c:v>
                </c:pt>
                <c:pt idx="247">
                  <c:v>0.72064673530736811</c:v>
                </c:pt>
                <c:pt idx="248">
                  <c:v>0.72064673530736811</c:v>
                </c:pt>
                <c:pt idx="249">
                  <c:v>0.72064673530736811</c:v>
                </c:pt>
                <c:pt idx="250">
                  <c:v>0.72064673530736811</c:v>
                </c:pt>
                <c:pt idx="251">
                  <c:v>0.72064673530736811</c:v>
                </c:pt>
                <c:pt idx="252">
                  <c:v>0.72064673530736811</c:v>
                </c:pt>
                <c:pt idx="253">
                  <c:v>0.72064673530736811</c:v>
                </c:pt>
                <c:pt idx="254">
                  <c:v>0.72064673530736811</c:v>
                </c:pt>
                <c:pt idx="255">
                  <c:v>0.72064673530736811</c:v>
                </c:pt>
                <c:pt idx="256">
                  <c:v>0.72064673530736811</c:v>
                </c:pt>
                <c:pt idx="257">
                  <c:v>0.72064673530736811</c:v>
                </c:pt>
                <c:pt idx="258">
                  <c:v>0.72064673530736811</c:v>
                </c:pt>
                <c:pt idx="259">
                  <c:v>0.72064673530736811</c:v>
                </c:pt>
                <c:pt idx="260">
                  <c:v>0.72064673530736811</c:v>
                </c:pt>
                <c:pt idx="261">
                  <c:v>0.72064673530736811</c:v>
                </c:pt>
                <c:pt idx="262">
                  <c:v>0.72064673530736811</c:v>
                </c:pt>
                <c:pt idx="263">
                  <c:v>0.72064673530736811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A35-470C-B634-B0646A4E1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38712"/>
        <c:axId val="623839432"/>
      </c:scatterChart>
      <c:valAx>
        <c:axId val="623838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3839432"/>
        <c:crosses val="autoZero"/>
        <c:crossBetween val="midCat"/>
      </c:valAx>
      <c:valAx>
        <c:axId val="62383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3838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'Second Order system'!$A$7:$A$270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system'!$B$7:$B$270</c:f>
              <c:numCache>
                <c:formatCode>General</c:formatCode>
                <c:ptCount val="264"/>
                <c:pt idx="0">
                  <c:v>0.16293470614736194</c:v>
                </c:pt>
                <c:pt idx="1">
                  <c:v>0.18900085575331205</c:v>
                </c:pt>
                <c:pt idx="2">
                  <c:v>0.2139096483115972</c:v>
                </c:pt>
                <c:pt idx="3">
                  <c:v>0.23771247136337836</c:v>
                </c:pt>
                <c:pt idx="4">
                  <c:v>0.26045843080355008</c:v>
                </c:pt>
                <c:pt idx="5">
                  <c:v>0.28219445218758593</c:v>
                </c:pt>
                <c:pt idx="6">
                  <c:v>0.30296537754028219</c:v>
                </c:pt>
                <c:pt idx="7">
                  <c:v>0.32281405786611889</c:v>
                </c:pt>
                <c:pt idx="8">
                  <c:v>0.34178144155209017</c:v>
                </c:pt>
                <c:pt idx="9">
                  <c:v>0.35990665884538059</c:v>
                </c:pt>
                <c:pt idx="10">
                  <c:v>0.37722710258016834</c:v>
                </c:pt>
                <c:pt idx="11">
                  <c:v>0.39377850532009562</c:v>
                </c:pt>
                <c:pt idx="12">
                  <c:v>0.4095950130755554</c:v>
                </c:pt>
                <c:pt idx="13">
                  <c:v>0.42470925574787272</c:v>
                </c:pt>
                <c:pt idx="14">
                  <c:v>0.43915241444571118</c:v>
                </c:pt>
                <c:pt idx="15">
                  <c:v>0.45295428581257874</c:v>
                </c:pt>
                <c:pt idx="16">
                  <c:v>0.46614334349814374</c:v>
                </c:pt>
                <c:pt idx="17">
                  <c:v>0.47874679690017607</c:v>
                </c:pt>
                <c:pt idx="18">
                  <c:v>0.49079064729830224</c:v>
                </c:pt>
                <c:pt idx="19">
                  <c:v>0.50229974149537793</c:v>
                </c:pt>
                <c:pt idx="20">
                  <c:v>0.51329782307714267</c:v>
                </c:pt>
                <c:pt idx="21">
                  <c:v>0.52380758139590644</c:v>
                </c:pt>
                <c:pt idx="22">
                  <c:v>0.5338506983793232</c:v>
                </c:pt>
                <c:pt idx="23">
                  <c:v>0.54344789326081866</c:v>
                </c:pt>
                <c:pt idx="24">
                  <c:v>0.55261896532395294</c:v>
                </c:pt>
                <c:pt idx="25">
                  <c:v>0.56138283474890061</c:v>
                </c:pt>
                <c:pt idx="26">
                  <c:v>0.56975758164531565</c:v>
                </c:pt>
                <c:pt idx="27">
                  <c:v>0.57776048335210728</c:v>
                </c:pt>
                <c:pt idx="28">
                  <c:v>0.58540805008107744</c:v>
                </c:pt>
                <c:pt idx="29">
                  <c:v>0.59271605897795254</c:v>
                </c:pt>
                <c:pt idx="30">
                  <c:v>0.59969958667108036</c:v>
                </c:pt>
                <c:pt idx="31">
                  <c:v>0.606373040374939</c:v>
                </c:pt>
                <c:pt idx="32">
                  <c:v>0.61275018761262656</c:v>
                </c:pt>
                <c:pt idx="33">
                  <c:v>0.61884418461864932</c:v>
                </c:pt>
                <c:pt idx="34">
                  <c:v>0.62466760348060446</c:v>
                </c:pt>
                <c:pt idx="35">
                  <c:v>0.63023245807575079</c:v>
                </c:pt>
                <c:pt idx="36">
                  <c:v>0.63555022885597678</c:v>
                </c:pt>
                <c:pt idx="37">
                  <c:v>0.64063188653229608</c:v>
                </c:pt>
                <c:pt idx="38">
                  <c:v>0.64548791470773326</c:v>
                </c:pt>
                <c:pt idx="39">
                  <c:v>0.65012833150529281</c:v>
                </c:pt>
                <c:pt idx="40">
                  <c:v>0.65456271023562929</c:v>
                </c:pt>
                <c:pt idx="41">
                  <c:v>0.65880019914705679</c:v>
                </c:pt>
                <c:pt idx="42">
                  <c:v>0.66284954029864318</c:v>
                </c:pt>
                <c:pt idx="43">
                  <c:v>0.6667190875953245</c:v>
                </c:pt>
                <c:pt idx="44">
                  <c:v>0.67041682402224612</c:v>
                </c:pt>
                <c:pt idx="45">
                  <c:v>0.67395037811388603</c:v>
                </c:pt>
                <c:pt idx="46">
                  <c:v>0.67732703969193686</c:v>
                </c:pt>
                <c:pt idx="47">
                  <c:v>0.68055377490441349</c:v>
                </c:pt>
                <c:pt idx="48">
                  <c:v>0.68363724059701236</c:v>
                </c:pt>
                <c:pt idx="49">
                  <c:v>0.68658379804637182</c:v>
                </c:pt>
                <c:pt idx="50">
                  <c:v>0.68939952608356592</c:v>
                </c:pt>
                <c:pt idx="51">
                  <c:v>0.69209023363490307</c:v>
                </c:pt>
                <c:pt idx="52">
                  <c:v>0.69466147170590564</c:v>
                </c:pt>
                <c:pt idx="53">
                  <c:v>0.69711854483319058</c:v>
                </c:pt>
                <c:pt idx="54">
                  <c:v>0.69946652202787785</c:v>
                </c:pt>
                <c:pt idx="55">
                  <c:v>0.70171024723310349</c:v>
                </c:pt>
                <c:pt idx="56">
                  <c:v>0.70385434931721036</c:v>
                </c:pt>
                <c:pt idx="57">
                  <c:v>0.70590325162323464</c:v>
                </c:pt>
                <c:pt idx="58">
                  <c:v>0.70786118109438678</c:v>
                </c:pt>
                <c:pt idx="59">
                  <c:v>0.70973217699435476</c:v>
                </c:pt>
                <c:pt idx="60">
                  <c:v>0.71152009924041848</c:v>
                </c:pt>
                <c:pt idx="61">
                  <c:v>0.71322863636656841</c:v>
                </c:pt>
                <c:pt idx="62">
                  <c:v>0.71486131313305501</c:v>
                </c:pt>
                <c:pt idx="63">
                  <c:v>0.7164214977980683</c:v>
                </c:pt>
                <c:pt idx="64">
                  <c:v>0.71791240906654974</c:v>
                </c:pt>
                <c:pt idx="65">
                  <c:v>0.71933712273047112</c:v>
                </c:pt>
                <c:pt idx="66">
                  <c:v>0.72069857801427983</c:v>
                </c:pt>
                <c:pt idx="67">
                  <c:v>0.72199958363860239</c:v>
                </c:pt>
                <c:pt idx="68">
                  <c:v>0.72324282361471359</c:v>
                </c:pt>
                <c:pt idx="69">
                  <c:v>0.72443086278172786</c:v>
                </c:pt>
                <c:pt idx="70">
                  <c:v>0.7255661520979344</c:v>
                </c:pt>
                <c:pt idx="71">
                  <c:v>0.72665103369719342</c:v>
                </c:pt>
                <c:pt idx="72">
                  <c:v>0.72768774572082395</c:v>
                </c:pt>
                <c:pt idx="73">
                  <c:v>0.72867842693495311</c:v>
                </c:pt>
                <c:pt idx="74">
                  <c:v>0.72962512114285016</c:v>
                </c:pt>
                <c:pt idx="75">
                  <c:v>0.73052978140135094</c:v>
                </c:pt>
                <c:pt idx="76">
                  <c:v>0.73139427405006874</c:v>
                </c:pt>
                <c:pt idx="77">
                  <c:v>0.73222038256170552</c:v>
                </c:pt>
                <c:pt idx="78">
                  <c:v>0.73300981122140663</c:v>
                </c:pt>
                <c:pt idx="79">
                  <c:v>0.73376418864274906</c:v>
                </c:pt>
                <c:pt idx="80">
                  <c:v>0.73448507112761674</c:v>
                </c:pt>
                <c:pt idx="81">
                  <c:v>0.73517394587689588</c:v>
                </c:pt>
                <c:pt idx="82">
                  <c:v>0.73583223405861176</c:v>
                </c:pt>
                <c:pt idx="83">
                  <c:v>0.7364612937398386</c:v>
                </c:pt>
                <c:pt idx="84">
                  <c:v>0.73706242268843047</c:v>
                </c:pt>
                <c:pt idx="85">
                  <c:v>0.73763686105035231</c:v>
                </c:pt>
                <c:pt idx="86">
                  <c:v>0.73818579390813688</c:v>
                </c:pt>
                <c:pt idx="87">
                  <c:v>0.73871035372574267</c:v>
                </c:pt>
                <c:pt idx="88">
                  <c:v>0.7392116226848594</c:v>
                </c:pt>
                <c:pt idx="89">
                  <c:v>0.73969063491747911</c:v>
                </c:pt>
                <c:pt idx="90">
                  <c:v>0.7401483786393398</c:v>
                </c:pt>
                <c:pt idx="91">
                  <c:v>0.74058579818864223</c:v>
                </c:pt>
                <c:pt idx="92">
                  <c:v>0.74100379597424637</c:v>
                </c:pt>
                <c:pt idx="93">
                  <c:v>0.74140323433736621</c:v>
                </c:pt>
                <c:pt idx="94">
                  <c:v>0.74178493733060391</c:v>
                </c:pt>
                <c:pt idx="95">
                  <c:v>0.74214969241799367</c:v>
                </c:pt>
                <c:pt idx="96">
                  <c:v>0.74249825209956233</c:v>
                </c:pt>
                <c:pt idx="97">
                  <c:v>0.74283133546375801</c:v>
                </c:pt>
                <c:pt idx="98">
                  <c:v>0.74314962967094966</c:v>
                </c:pt>
                <c:pt idx="99">
                  <c:v>0.7434537913710586</c:v>
                </c:pt>
                <c:pt idx="100">
                  <c:v>0.74374444805824569</c:v>
                </c:pt>
                <c:pt idx="101">
                  <c:v>0.74402219936544955</c:v>
                </c:pt>
                <c:pt idx="102">
                  <c:v>0.74428761830144585</c:v>
                </c:pt>
                <c:pt idx="103">
                  <c:v>0.74454125243298108</c:v>
                </c:pt>
                <c:pt idx="104">
                  <c:v>0.74478362501441797</c:v>
                </c:pt>
                <c:pt idx="105">
                  <c:v>0.74501523606722364</c:v>
                </c:pt>
                <c:pt idx="106">
                  <c:v>0.74523656341152877</c:v>
                </c:pt>
                <c:pt idx="107">
                  <c:v>0.7454480636518831</c:v>
                </c:pt>
                <c:pt idx="108">
                  <c:v>0.74565017311924431</c:v>
                </c:pt>
                <c:pt idx="109">
                  <c:v>0.74584330877114036</c:v>
                </c:pt>
                <c:pt idx="110">
                  <c:v>0.74602786905186502</c:v>
                </c:pt>
                <c:pt idx="111">
                  <c:v>0.74620423471447994</c:v>
                </c:pt>
                <c:pt idx="112">
                  <c:v>0.74637276960631815</c:v>
                </c:pt>
                <c:pt idx="113">
                  <c:v>0.74653382141961222</c:v>
                </c:pt>
                <c:pt idx="114">
                  <c:v>0.74668772240879244</c:v>
                </c:pt>
                <c:pt idx="115">
                  <c:v>0.74683479007593767</c:v>
                </c:pt>
                <c:pt idx="116">
                  <c:v>0.74697532782579068</c:v>
                </c:pt>
                <c:pt idx="117">
                  <c:v>0.74710962559169081</c:v>
                </c:pt>
                <c:pt idx="118">
                  <c:v>0.7472379604337146</c:v>
                </c:pt>
                <c:pt idx="119">
                  <c:v>0.74736059711025848</c:v>
                </c:pt>
                <c:pt idx="120">
                  <c:v>0.74747778862424297</c:v>
                </c:pt>
                <c:pt idx="121">
                  <c:v>0.74758977674506488</c:v>
                </c:pt>
                <c:pt idx="122">
                  <c:v>0.74769679250737409</c:v>
                </c:pt>
                <c:pt idx="123">
                  <c:v>0.74779905668770452</c:v>
                </c:pt>
                <c:pt idx="124">
                  <c:v>0.74789678025994299</c:v>
                </c:pt>
                <c:pt idx="125">
                  <c:v>0.74799016483057357</c:v>
                </c:pt>
                <c:pt idx="126">
                  <c:v>0.74807940305459764</c:v>
                </c:pt>
                <c:pt idx="127">
                  <c:v>0.74816467903298678</c:v>
                </c:pt>
                <c:pt idx="128">
                  <c:v>0.74824616869248806</c:v>
                </c:pt>
                <c:pt idx="129">
                  <c:v>0.74832404014856613</c:v>
                </c:pt>
                <c:pt idx="130">
                  <c:v>0.74839845405222982</c:v>
                </c:pt>
                <c:pt idx="131">
                  <c:v>0.74846956392145991</c:v>
                </c:pt>
                <c:pt idx="132">
                  <c:v>0.74853751645792099</c:v>
                </c:pt>
                <c:pt idx="133">
                  <c:v>0.74860245184961127</c:v>
                </c:pt>
                <c:pt idx="134">
                  <c:v>0.74866450406007412</c:v>
                </c:pt>
                <c:pt idx="135">
                  <c:v>0.74872380110476866</c:v>
                </c:pt>
                <c:pt idx="136">
                  <c:v>0.74878046531516984</c:v>
                </c:pt>
                <c:pt idx="137">
                  <c:v>0.74883461359114067</c:v>
                </c:pt>
                <c:pt idx="138">
                  <c:v>0.74888635764210076</c:v>
                </c:pt>
                <c:pt idx="139">
                  <c:v>0.74893580421748607</c:v>
                </c:pt>
                <c:pt idx="140">
                  <c:v>0.74898305532697507</c:v>
                </c:pt>
                <c:pt idx="141">
                  <c:v>0.74902820845093865</c:v>
                </c:pt>
                <c:pt idx="142">
                  <c:v>0.74907135674154424</c:v>
                </c:pt>
                <c:pt idx="143">
                  <c:v>0.74911258921493162</c:v>
                </c:pt>
                <c:pt idx="144">
                  <c:v>0.74915199093485574</c:v>
                </c:pt>
                <c:pt idx="145">
                  <c:v>0.74918964318817527</c:v>
                </c:pt>
                <c:pt idx="146">
                  <c:v>0.74922562365255019</c:v>
                </c:pt>
                <c:pt idx="147">
                  <c:v>0.74926000655669278</c:v>
                </c:pt>
                <c:pt idx="148">
                  <c:v>0.74929286283350327</c:v>
                </c:pt>
                <c:pt idx="149">
                  <c:v>0.74932426026640697</c:v>
                </c:pt>
                <c:pt idx="150">
                  <c:v>0.749354263629193</c:v>
                </c:pt>
                <c:pt idx="151">
                  <c:v>0.74938293481964435</c:v>
                </c:pt>
                <c:pt idx="152">
                  <c:v>0.74941033298723525</c:v>
                </c:pt>
                <c:pt idx="153">
                  <c:v>0.7494365146551577</c:v>
                </c:pt>
                <c:pt idx="154">
                  <c:v>0.74946153383693048</c:v>
                </c:pt>
                <c:pt idx="155">
                  <c:v>0.74948544214783097</c:v>
                </c:pt>
                <c:pt idx="156">
                  <c:v>0.74950828891137844</c:v>
                </c:pt>
                <c:pt idx="157">
                  <c:v>0.74953012126108998</c:v>
                </c:pt>
                <c:pt idx="158">
                  <c:v>0.74955098423771849</c:v>
                </c:pt>
                <c:pt idx="159">
                  <c:v>0.74957092088217292</c:v>
                </c:pt>
                <c:pt idx="160">
                  <c:v>0.74958997232431268</c:v>
                </c:pt>
                <c:pt idx="161">
                  <c:v>0.74960817786779987</c:v>
                </c:pt>
                <c:pt idx="162">
                  <c:v>0.74962557507118388</c:v>
                </c:pt>
                <c:pt idx="163">
                  <c:v>0.74964219982538571</c:v>
                </c:pt>
                <c:pt idx="164">
                  <c:v>0.74965808642774179</c:v>
                </c:pt>
                <c:pt idx="165">
                  <c:v>0.74967326765276077</c:v>
                </c:pt>
                <c:pt idx="166">
                  <c:v>0.74968777481973758</c:v>
                </c:pt>
                <c:pt idx="167">
                  <c:v>0.74970163785736676</c:v>
                </c:pt>
                <c:pt idx="168">
                  <c:v>0.74971488536548569</c:v>
                </c:pt>
                <c:pt idx="169">
                  <c:v>0.74972754467407698</c:v>
                </c:pt>
                <c:pt idx="170">
                  <c:v>0.74973964189965103</c:v>
                </c:pt>
                <c:pt idx="171">
                  <c:v>0.74975120199912526</c:v>
                </c:pt>
                <c:pt idx="172">
                  <c:v>0.74976224882131071</c:v>
                </c:pt>
                <c:pt idx="173">
                  <c:v>0.749772805156113</c:v>
                </c:pt>
                <c:pt idx="174">
                  <c:v>0.7497828927815483</c:v>
                </c:pt>
                <c:pt idx="175">
                  <c:v>0.74979253250867228</c:v>
                </c:pt>
                <c:pt idx="176">
                  <c:v>0.74980174422451373</c:v>
                </c:pt>
                <c:pt idx="177">
                  <c:v>0.74981054693310201</c:v>
                </c:pt>
                <c:pt idx="178">
                  <c:v>0.74981895879467308</c:v>
                </c:pt>
                <c:pt idx="179">
                  <c:v>0.7498269971631345</c:v>
                </c:pt>
                <c:pt idx="180">
                  <c:v>0.74983467862186692</c:v>
                </c:pt>
                <c:pt idx="181">
                  <c:v>0.74984201901793635</c:v>
                </c:pt>
                <c:pt idx="182">
                  <c:v>0.74984903349478671</c:v>
                </c:pt>
                <c:pt idx="183">
                  <c:v>0.74985573652348136</c:v>
                </c:pt>
                <c:pt idx="184">
                  <c:v>0.74986214193255762</c:v>
                </c:pt>
                <c:pt idx="185">
                  <c:v>0.74986826293655495</c:v>
                </c:pt>
                <c:pt idx="186">
                  <c:v>0.74987411216327704</c:v>
                </c:pt>
                <c:pt idx="187">
                  <c:v>0.74987970167984352</c:v>
                </c:pt>
                <c:pt idx="188">
                  <c:v>0.74988504301758463</c:v>
                </c:pt>
                <c:pt idx="189">
                  <c:v>0.74989014719583069</c:v>
                </c:pt>
                <c:pt idx="190">
                  <c:v>0.7498950247446452</c:v>
                </c:pt>
                <c:pt idx="191">
                  <c:v>0.74989968572654908</c:v>
                </c:pt>
                <c:pt idx="192">
                  <c:v>0.7499041397572791</c:v>
                </c:pt>
                <c:pt idx="193">
                  <c:v>0.74990839602562642</c:v>
                </c:pt>
                <c:pt idx="194">
                  <c:v>0.74991246331239247</c:v>
                </c:pt>
                <c:pt idx="195">
                  <c:v>0.74991635000850465</c:v>
                </c:pt>
                <c:pt idx="196">
                  <c:v>0.74992006413232648</c:v>
                </c:pt>
                <c:pt idx="197">
                  <c:v>0.74992361334620006</c:v>
                </c:pt>
                <c:pt idx="198">
                  <c:v>0.74992700497225373</c:v>
                </c:pt>
                <c:pt idx="199">
                  <c:v>0.74993024600750768</c:v>
                </c:pt>
                <c:pt idx="200">
                  <c:v>0.74993334313830884</c:v>
                </c:pt>
                <c:pt idx="201">
                  <c:v>0.74993630275412559</c:v>
                </c:pt>
                <c:pt idx="202">
                  <c:v>0.74993913096072851</c:v>
                </c:pt>
                <c:pt idx="203">
                  <c:v>0.74994183359278777</c:v>
                </c:pt>
                <c:pt idx="204">
                  <c:v>0.74994441622590935</c:v>
                </c:pt>
                <c:pt idx="205">
                  <c:v>0.74994688418813815</c:v>
                </c:pt>
                <c:pt idx="206">
                  <c:v>0.74994924257094997</c:v>
                </c:pt>
                <c:pt idx="207">
                  <c:v>0.74995149623975499</c:v>
                </c:pt>
                <c:pt idx="208">
                  <c:v>0.74995364984393531</c:v>
                </c:pt>
                <c:pt idx="209">
                  <c:v>0.74995570782643728</c:v>
                </c:pt>
                <c:pt idx="210">
                  <c:v>0.74995767443293671</c:v>
                </c:pt>
                <c:pt idx="211">
                  <c:v>0.74995955372059819</c:v>
                </c:pt>
                <c:pt idx="212">
                  <c:v>0.74996134956644522</c:v>
                </c:pt>
                <c:pt idx="213">
                  <c:v>0.74996306567535831</c:v>
                </c:pt>
                <c:pt idx="214">
                  <c:v>0.74996470558771866</c:v>
                </c:pt>
                <c:pt idx="215">
                  <c:v>0.74996627268671157</c:v>
                </c:pt>
                <c:pt idx="216">
                  <c:v>0.74996777020530647</c:v>
                </c:pt>
                <c:pt idx="217">
                  <c:v>0.74996920123292654</c:v>
                </c:pt>
                <c:pt idx="218">
                  <c:v>0.74997056872182188</c:v>
                </c:pt>
                <c:pt idx="219">
                  <c:v>0.7499718754931608</c:v>
                </c:pt>
                <c:pt idx="220">
                  <c:v>0.74997312424284934</c:v>
                </c:pt>
                <c:pt idx="221">
                  <c:v>0.74997431754709343</c:v>
                </c:pt>
                <c:pt idx="222">
                  <c:v>0.74997545786771314</c:v>
                </c:pt>
                <c:pt idx="223">
                  <c:v>0.74997654755722221</c:v>
                </c:pt>
                <c:pt idx="224">
                  <c:v>0.74997758886368071</c:v>
                </c:pt>
                <c:pt idx="225">
                  <c:v>0.74997858393533334</c:v>
                </c:pt>
                <c:pt idx="226">
                  <c:v>0.74997953482504087</c:v>
                </c:pt>
                <c:pt idx="227">
                  <c:v>0.74998044349451554</c:v>
                </c:pt>
                <c:pt idx="228">
                  <c:v>0.74998131181836825</c:v>
                </c:pt>
                <c:pt idx="229">
                  <c:v>0.74998214158797549</c:v>
                </c:pt>
                <c:pt idx="230">
                  <c:v>0.74998293451517528</c:v>
                </c:pt>
                <c:pt idx="231">
                  <c:v>0.74998369223579886</c:v>
                </c:pt>
                <c:pt idx="232">
                  <c:v>0.74998441631304513</c:v>
                </c:pt>
                <c:pt idx="233">
                  <c:v>0.74998510824070608</c:v>
                </c:pt>
                <c:pt idx="234">
                  <c:v>0.74998576944624784</c:v>
                </c:pt>
                <c:pt idx="235">
                  <c:v>0.74998640129375604</c:v>
                </c:pt>
                <c:pt idx="236">
                  <c:v>0.74998700508674998</c:v>
                </c:pt>
                <c:pt idx="237">
                  <c:v>0.74998758207087157</c:v>
                </c:pt>
                <c:pt idx="238">
                  <c:v>0.74998813343645532</c:v>
                </c:pt>
                <c:pt idx="239">
                  <c:v>0.74998866032098399</c:v>
                </c:pt>
                <c:pt idx="240">
                  <c:v>0.74998916381143521</c:v>
                </c:pt>
                <c:pt idx="241">
                  <c:v>0.74998964494652409</c:v>
                </c:pt>
                <c:pt idx="242">
                  <c:v>0.74999010471884564</c:v>
                </c:pt>
                <c:pt idx="243">
                  <c:v>0.74999054407692334</c:v>
                </c:pt>
                <c:pt idx="244">
                  <c:v>0.74999096392716513</c:v>
                </c:pt>
                <c:pt idx="245">
                  <c:v>0.74999136513573395</c:v>
                </c:pt>
                <c:pt idx="246">
                  <c:v>0.74999174853033446</c:v>
                </c:pt>
                <c:pt idx="247">
                  <c:v>0.74999211490192041</c:v>
                </c:pt>
                <c:pt idx="248">
                  <c:v>0.74999246500632677</c:v>
                </c:pt>
                <c:pt idx="249">
                  <c:v>0.74999279956582876</c:v>
                </c:pt>
                <c:pt idx="250">
                  <c:v>0.74999311927063217</c:v>
                </c:pt>
                <c:pt idx="251">
                  <c:v>0.74999342478029685</c:v>
                </c:pt>
                <c:pt idx="252">
                  <c:v>0.74999371672509807</c:v>
                </c:pt>
                <c:pt idx="253">
                  <c:v>0.74999399570732594</c:v>
                </c:pt>
                <c:pt idx="254">
                  <c:v>0.74999426230252886</c:v>
                </c:pt>
                <c:pt idx="255">
                  <c:v>0.74999451706070008</c:v>
                </c:pt>
                <c:pt idx="256">
                  <c:v>0.74999476050741298</c:v>
                </c:pt>
                <c:pt idx="257">
                  <c:v>0.74999499314490503</c:v>
                </c:pt>
                <c:pt idx="258">
                  <c:v>0.74999521545311398</c:v>
                </c:pt>
                <c:pt idx="259">
                  <c:v>0.74999542789066775</c:v>
                </c:pt>
                <c:pt idx="260">
                  <c:v>0.7499956308958311</c:v>
                </c:pt>
                <c:pt idx="261">
                  <c:v>0.74999582488740935</c:v>
                </c:pt>
                <c:pt idx="262">
                  <c:v>0.74999601026561269</c:v>
                </c:pt>
                <c:pt idx="263">
                  <c:v>0.74999618741288143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0C-4F1F-BA1B-6F1CC1F628D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'Second Order system'!$A$7:$A$270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system'!$C$7:$C$270</c:f>
              <c:numCache>
                <c:formatCode>General</c:formatCode>
                <c:ptCount val="264"/>
                <c:pt idx="0">
                  <c:v>1.3370652938526382</c:v>
                </c:pt>
                <c:pt idx="1">
                  <c:v>1.310999144246688</c:v>
                </c:pt>
                <c:pt idx="2">
                  <c:v>1.2860903516884028</c:v>
                </c:pt>
                <c:pt idx="3">
                  <c:v>1.2622875286366217</c:v>
                </c:pt>
                <c:pt idx="4">
                  <c:v>1.23954156919645</c:v>
                </c:pt>
                <c:pt idx="5">
                  <c:v>1.2178055478124141</c:v>
                </c:pt>
                <c:pt idx="6">
                  <c:v>1.1970346224597179</c:v>
                </c:pt>
                <c:pt idx="7">
                  <c:v>1.1771859421338811</c:v>
                </c:pt>
                <c:pt idx="8">
                  <c:v>1.1582185584479099</c:v>
                </c:pt>
                <c:pt idx="9">
                  <c:v>1.1400933411546195</c:v>
                </c:pt>
                <c:pt idx="10">
                  <c:v>1.1227728974198317</c:v>
                </c:pt>
                <c:pt idx="11">
                  <c:v>1.1062214946799043</c:v>
                </c:pt>
                <c:pt idx="12">
                  <c:v>1.0904049869244445</c:v>
                </c:pt>
                <c:pt idx="13">
                  <c:v>1.0752907442521273</c:v>
                </c:pt>
                <c:pt idx="14">
                  <c:v>1.0608475855542889</c:v>
                </c:pt>
                <c:pt idx="15">
                  <c:v>1.0470457141874212</c:v>
                </c:pt>
                <c:pt idx="16">
                  <c:v>1.0338566565018563</c:v>
                </c:pt>
                <c:pt idx="17">
                  <c:v>1.0212532030998238</c:v>
                </c:pt>
                <c:pt idx="18">
                  <c:v>1.0092093527016979</c:v>
                </c:pt>
                <c:pt idx="19">
                  <c:v>0.99770025850462207</c:v>
                </c:pt>
                <c:pt idx="20">
                  <c:v>0.98670217692285733</c:v>
                </c:pt>
                <c:pt idx="21">
                  <c:v>0.97619241860409356</c:v>
                </c:pt>
                <c:pt idx="22">
                  <c:v>0.9661493016206768</c:v>
                </c:pt>
                <c:pt idx="23">
                  <c:v>0.95655210673918134</c:v>
                </c:pt>
                <c:pt idx="24">
                  <c:v>0.94738103467604706</c:v>
                </c:pt>
                <c:pt idx="25">
                  <c:v>0.93861716525109939</c:v>
                </c:pt>
                <c:pt idx="26">
                  <c:v>0.93024241835468435</c:v>
                </c:pt>
                <c:pt idx="27">
                  <c:v>0.92223951664789272</c:v>
                </c:pt>
                <c:pt idx="28">
                  <c:v>0.91459194991892256</c:v>
                </c:pt>
                <c:pt idx="29">
                  <c:v>0.90728394102204746</c:v>
                </c:pt>
                <c:pt idx="30">
                  <c:v>0.90030041332891964</c:v>
                </c:pt>
                <c:pt idx="31">
                  <c:v>0.893626959625061</c:v>
                </c:pt>
                <c:pt idx="32">
                  <c:v>0.88724981238737344</c:v>
                </c:pt>
                <c:pt idx="33">
                  <c:v>0.88115581538135068</c:v>
                </c:pt>
                <c:pt idx="34">
                  <c:v>0.87533239651939554</c:v>
                </c:pt>
                <c:pt idx="35">
                  <c:v>0.86976754192424921</c:v>
                </c:pt>
                <c:pt idx="36">
                  <c:v>0.86444977114402322</c:v>
                </c:pt>
                <c:pt idx="37">
                  <c:v>0.85936811346770392</c:v>
                </c:pt>
                <c:pt idx="38">
                  <c:v>0.85451208529226674</c:v>
                </c:pt>
                <c:pt idx="39">
                  <c:v>0.84987166849470719</c:v>
                </c:pt>
                <c:pt idx="40">
                  <c:v>0.84543728976437071</c:v>
                </c:pt>
                <c:pt idx="41">
                  <c:v>0.84119980085294321</c:v>
                </c:pt>
                <c:pt idx="42">
                  <c:v>0.83715045970135682</c:v>
                </c:pt>
                <c:pt idx="43">
                  <c:v>0.8332809124046755</c:v>
                </c:pt>
                <c:pt idx="44">
                  <c:v>0.82958317597775388</c:v>
                </c:pt>
                <c:pt idx="45">
                  <c:v>0.82604962188611397</c:v>
                </c:pt>
                <c:pt idx="46">
                  <c:v>0.82267296030806314</c:v>
                </c:pt>
                <c:pt idx="47">
                  <c:v>0.81944622509558651</c:v>
                </c:pt>
                <c:pt idx="48">
                  <c:v>0.81636275940298764</c:v>
                </c:pt>
                <c:pt idx="49">
                  <c:v>0.81341620195362818</c:v>
                </c:pt>
                <c:pt idx="50">
                  <c:v>0.81060047391643408</c:v>
                </c:pt>
                <c:pt idx="51">
                  <c:v>0.80790976636509693</c:v>
                </c:pt>
                <c:pt idx="52">
                  <c:v>0.80533852829409436</c:v>
                </c:pt>
                <c:pt idx="53">
                  <c:v>0.80288145516680942</c:v>
                </c:pt>
                <c:pt idx="54">
                  <c:v>0.80053347797212215</c:v>
                </c:pt>
                <c:pt idx="55">
                  <c:v>0.79828975276689651</c:v>
                </c:pt>
                <c:pt idx="56">
                  <c:v>0.79614565068278964</c:v>
                </c:pt>
                <c:pt idx="57">
                  <c:v>0.79409674837676536</c:v>
                </c:pt>
                <c:pt idx="58">
                  <c:v>0.79213881890561322</c:v>
                </c:pt>
                <c:pt idx="59">
                  <c:v>0.79026782300564524</c:v>
                </c:pt>
                <c:pt idx="60">
                  <c:v>0.78847990075958152</c:v>
                </c:pt>
                <c:pt idx="61">
                  <c:v>0.78677136363343159</c:v>
                </c:pt>
                <c:pt idx="62">
                  <c:v>0.78513868686694499</c:v>
                </c:pt>
                <c:pt idx="63">
                  <c:v>0.7835785022019317</c:v>
                </c:pt>
                <c:pt idx="64">
                  <c:v>0.78208759093345026</c:v>
                </c:pt>
                <c:pt idx="65">
                  <c:v>0.78066287726952888</c:v>
                </c:pt>
                <c:pt idx="66">
                  <c:v>0.77930142198572017</c:v>
                </c:pt>
                <c:pt idx="67">
                  <c:v>0.77800041636139761</c:v>
                </c:pt>
                <c:pt idx="68">
                  <c:v>0.77675717638528641</c:v>
                </c:pt>
                <c:pt idx="69">
                  <c:v>0.77556913721827214</c:v>
                </c:pt>
                <c:pt idx="70">
                  <c:v>0.7744338479020656</c:v>
                </c:pt>
                <c:pt idx="71">
                  <c:v>0.77334896630280658</c:v>
                </c:pt>
                <c:pt idx="72">
                  <c:v>0.77231225427917605</c:v>
                </c:pt>
                <c:pt idx="73">
                  <c:v>0.77132157306504689</c:v>
                </c:pt>
                <c:pt idx="74">
                  <c:v>0.77037487885714984</c:v>
                </c:pt>
                <c:pt idx="75">
                  <c:v>0.76947021859864906</c:v>
                </c:pt>
                <c:pt idx="76">
                  <c:v>0.76860572594993126</c:v>
                </c:pt>
                <c:pt idx="77">
                  <c:v>0.76777961743829448</c:v>
                </c:pt>
                <c:pt idx="78">
                  <c:v>0.76699018877859337</c:v>
                </c:pt>
                <c:pt idx="79">
                  <c:v>0.76623581135725094</c:v>
                </c:pt>
                <c:pt idx="80">
                  <c:v>0.76551492887238326</c:v>
                </c:pt>
                <c:pt idx="81">
                  <c:v>0.76482605412310412</c:v>
                </c:pt>
                <c:pt idx="82">
                  <c:v>0.76416776594138824</c:v>
                </c:pt>
                <c:pt idx="83">
                  <c:v>0.7635387062601614</c:v>
                </c:pt>
                <c:pt idx="84">
                  <c:v>0.76293757731156953</c:v>
                </c:pt>
                <c:pt idx="85">
                  <c:v>0.76236313894964769</c:v>
                </c:pt>
                <c:pt idx="86">
                  <c:v>0.76181420609186312</c:v>
                </c:pt>
                <c:pt idx="87">
                  <c:v>0.76128964627425733</c:v>
                </c:pt>
                <c:pt idx="88">
                  <c:v>0.7607883773151406</c:v>
                </c:pt>
                <c:pt idx="89">
                  <c:v>0.76030936508252089</c:v>
                </c:pt>
                <c:pt idx="90">
                  <c:v>0.7598516213606602</c:v>
                </c:pt>
                <c:pt idx="91">
                  <c:v>0.75941420181135777</c:v>
                </c:pt>
                <c:pt idx="92">
                  <c:v>0.75899620402575363</c:v>
                </c:pt>
                <c:pt idx="93">
                  <c:v>0.75859676566263379</c:v>
                </c:pt>
                <c:pt idx="94">
                  <c:v>0.75821506266939609</c:v>
                </c:pt>
                <c:pt idx="95">
                  <c:v>0.75785030758200633</c:v>
                </c:pt>
                <c:pt idx="96">
                  <c:v>0.75750174790043767</c:v>
                </c:pt>
                <c:pt idx="97">
                  <c:v>0.75716866453624199</c:v>
                </c:pt>
                <c:pt idx="98">
                  <c:v>0.75685037032905034</c:v>
                </c:pt>
                <c:pt idx="99">
                  <c:v>0.7565462086289414</c:v>
                </c:pt>
                <c:pt idx="100">
                  <c:v>0.75625555194175431</c:v>
                </c:pt>
                <c:pt idx="101">
                  <c:v>0.75597780063455045</c:v>
                </c:pt>
                <c:pt idx="102">
                  <c:v>0.75571238169855415</c:v>
                </c:pt>
                <c:pt idx="103">
                  <c:v>0.75545874756701892</c:v>
                </c:pt>
                <c:pt idx="104">
                  <c:v>0.75521637498558203</c:v>
                </c:pt>
                <c:pt idx="105">
                  <c:v>0.75498476393277636</c:v>
                </c:pt>
                <c:pt idx="106">
                  <c:v>0.75476343658847123</c:v>
                </c:pt>
                <c:pt idx="107">
                  <c:v>0.7545519363481169</c:v>
                </c:pt>
                <c:pt idx="108">
                  <c:v>0.75434982688075569</c:v>
                </c:pt>
                <c:pt idx="109">
                  <c:v>0.75415669122885964</c:v>
                </c:pt>
                <c:pt idx="110">
                  <c:v>0.75397213094813498</c:v>
                </c:pt>
                <c:pt idx="111">
                  <c:v>0.75379576528552006</c:v>
                </c:pt>
                <c:pt idx="112">
                  <c:v>0.75362723039368185</c:v>
                </c:pt>
                <c:pt idx="113">
                  <c:v>0.75346617858038778</c:v>
                </c:pt>
                <c:pt idx="114">
                  <c:v>0.75331227759120756</c:v>
                </c:pt>
                <c:pt idx="115">
                  <c:v>0.75316520992406233</c:v>
                </c:pt>
                <c:pt idx="116">
                  <c:v>0.75302467217420932</c:v>
                </c:pt>
                <c:pt idx="117">
                  <c:v>0.75289037440830919</c:v>
                </c:pt>
                <c:pt idx="118">
                  <c:v>0.7527620395662854</c:v>
                </c:pt>
                <c:pt idx="119">
                  <c:v>0.75263940288974152</c:v>
                </c:pt>
                <c:pt idx="120">
                  <c:v>0.75252221137575703</c:v>
                </c:pt>
                <c:pt idx="121">
                  <c:v>0.75241022325493512</c:v>
                </c:pt>
                <c:pt idx="122">
                  <c:v>0.75230320749262591</c:v>
                </c:pt>
                <c:pt idx="123">
                  <c:v>0.75220094331229548</c:v>
                </c:pt>
                <c:pt idx="124">
                  <c:v>0.75210321974005701</c:v>
                </c:pt>
                <c:pt idx="125">
                  <c:v>0.75200983516942643</c:v>
                </c:pt>
                <c:pt idx="126">
                  <c:v>0.75192059694540236</c:v>
                </c:pt>
                <c:pt idx="127">
                  <c:v>0.75183532096701322</c:v>
                </c:pt>
                <c:pt idx="128">
                  <c:v>0.75175383130751194</c:v>
                </c:pt>
                <c:pt idx="129">
                  <c:v>0.75167595985143387</c:v>
                </c:pt>
                <c:pt idx="130">
                  <c:v>0.75160154594777018</c:v>
                </c:pt>
                <c:pt idx="131">
                  <c:v>0.75153043607854009</c:v>
                </c:pt>
                <c:pt idx="132">
                  <c:v>0.75146248354207901</c:v>
                </c:pt>
                <c:pt idx="133">
                  <c:v>0.75139754815038873</c:v>
                </c:pt>
                <c:pt idx="134">
                  <c:v>0.75133549593992588</c:v>
                </c:pt>
                <c:pt idx="135">
                  <c:v>0.75127619889523134</c:v>
                </c:pt>
                <c:pt idx="136">
                  <c:v>0.75121953468483016</c:v>
                </c:pt>
                <c:pt idx="137">
                  <c:v>0.75116538640885933</c:v>
                </c:pt>
                <c:pt idx="138">
                  <c:v>0.75111364235789924</c:v>
                </c:pt>
                <c:pt idx="139">
                  <c:v>0.75106419578251393</c:v>
                </c:pt>
                <c:pt idx="140">
                  <c:v>0.75101694467302493</c:v>
                </c:pt>
                <c:pt idx="141">
                  <c:v>0.75097179154906135</c:v>
                </c:pt>
                <c:pt idx="142">
                  <c:v>0.75092864325845576</c:v>
                </c:pt>
                <c:pt idx="143">
                  <c:v>0.75088741078506838</c:v>
                </c:pt>
                <c:pt idx="144">
                  <c:v>0.75084800906514426</c:v>
                </c:pt>
                <c:pt idx="145">
                  <c:v>0.75081035681182473</c:v>
                </c:pt>
                <c:pt idx="146">
                  <c:v>0.75077437634744981</c:v>
                </c:pt>
                <c:pt idx="147">
                  <c:v>0.75073999344330722</c:v>
                </c:pt>
                <c:pt idx="148">
                  <c:v>0.75070713716649673</c:v>
                </c:pt>
                <c:pt idx="149">
                  <c:v>0.75067573973359303</c:v>
                </c:pt>
                <c:pt idx="150">
                  <c:v>0.750645736370807</c:v>
                </c:pt>
                <c:pt idx="151">
                  <c:v>0.75061706518035565</c:v>
                </c:pt>
                <c:pt idx="152">
                  <c:v>0.75058966701276475</c:v>
                </c:pt>
                <c:pt idx="153">
                  <c:v>0.7505634853448423</c:v>
                </c:pt>
                <c:pt idx="154">
                  <c:v>0.75053846616306952</c:v>
                </c:pt>
                <c:pt idx="155">
                  <c:v>0.75051455785216903</c:v>
                </c:pt>
                <c:pt idx="156">
                  <c:v>0.75049171108862156</c:v>
                </c:pt>
                <c:pt idx="157">
                  <c:v>0.75046987873891002</c:v>
                </c:pt>
                <c:pt idx="158">
                  <c:v>0.75044901576228151</c:v>
                </c:pt>
                <c:pt idx="159">
                  <c:v>0.75042907911782708</c:v>
                </c:pt>
                <c:pt idx="160">
                  <c:v>0.75041002767568732</c:v>
                </c:pt>
                <c:pt idx="161">
                  <c:v>0.75039182213220013</c:v>
                </c:pt>
                <c:pt idx="162">
                  <c:v>0.75037442492881612</c:v>
                </c:pt>
                <c:pt idx="163">
                  <c:v>0.75035780017461429</c:v>
                </c:pt>
                <c:pt idx="164">
                  <c:v>0.75034191357225821</c:v>
                </c:pt>
                <c:pt idx="165">
                  <c:v>0.75032673234723923</c:v>
                </c:pt>
                <c:pt idx="166">
                  <c:v>0.75031222518026242</c:v>
                </c:pt>
                <c:pt idx="167">
                  <c:v>0.75029836214263324</c:v>
                </c:pt>
                <c:pt idx="168">
                  <c:v>0.75028511463451431</c:v>
                </c:pt>
                <c:pt idx="169">
                  <c:v>0.75027245532592302</c:v>
                </c:pt>
                <c:pt idx="170">
                  <c:v>0.75026035810034897</c:v>
                </c:pt>
                <c:pt idx="171">
                  <c:v>0.75024879800087474</c:v>
                </c:pt>
                <c:pt idx="172">
                  <c:v>0.75023775117868929</c:v>
                </c:pt>
                <c:pt idx="173">
                  <c:v>0.750227194843887</c:v>
                </c:pt>
                <c:pt idx="174">
                  <c:v>0.7502171072184517</c:v>
                </c:pt>
                <c:pt idx="175">
                  <c:v>0.75020746749132772</c:v>
                </c:pt>
                <c:pt idx="176">
                  <c:v>0.75019825577548627</c:v>
                </c:pt>
                <c:pt idx="177">
                  <c:v>0.75018945306689799</c:v>
                </c:pt>
                <c:pt idx="178">
                  <c:v>0.75018104120532692</c:v>
                </c:pt>
                <c:pt idx="179">
                  <c:v>0.7501730028368655</c:v>
                </c:pt>
                <c:pt idx="180">
                  <c:v>0.75016532137813308</c:v>
                </c:pt>
                <c:pt idx="181">
                  <c:v>0.75015798098206365</c:v>
                </c:pt>
                <c:pt idx="182">
                  <c:v>0.75015096650521329</c:v>
                </c:pt>
                <c:pt idx="183">
                  <c:v>0.75014426347651864</c:v>
                </c:pt>
                <c:pt idx="184">
                  <c:v>0.75013785806744238</c:v>
                </c:pt>
                <c:pt idx="185">
                  <c:v>0.75013173706344505</c:v>
                </c:pt>
                <c:pt idx="186">
                  <c:v>0.75012588783672296</c:v>
                </c:pt>
                <c:pt idx="187">
                  <c:v>0.75012029832015648</c:v>
                </c:pt>
                <c:pt idx="188">
                  <c:v>0.75011495698241537</c:v>
                </c:pt>
                <c:pt idx="189">
                  <c:v>0.75010985280416931</c:v>
                </c:pt>
                <c:pt idx="190">
                  <c:v>0.7501049752553548</c:v>
                </c:pt>
                <c:pt idx="191">
                  <c:v>0.75010031427345092</c:v>
                </c:pt>
                <c:pt idx="192">
                  <c:v>0.7500958602427209</c:v>
                </c:pt>
                <c:pt idx="193">
                  <c:v>0.75009160397437358</c:v>
                </c:pt>
                <c:pt idx="194">
                  <c:v>0.75008753668760753</c:v>
                </c:pt>
                <c:pt idx="195">
                  <c:v>0.75008364999149535</c:v>
                </c:pt>
                <c:pt idx="196">
                  <c:v>0.75007993586767352</c:v>
                </c:pt>
                <c:pt idx="197">
                  <c:v>0.75007638665379994</c:v>
                </c:pt>
                <c:pt idx="198">
                  <c:v>0.75007299502774627</c:v>
                </c:pt>
                <c:pt idx="199">
                  <c:v>0.75006975399249232</c:v>
                </c:pt>
                <c:pt idx="200">
                  <c:v>0.75006665686169116</c:v>
                </c:pt>
                <c:pt idx="201">
                  <c:v>0.75006369724587441</c:v>
                </c:pt>
                <c:pt idx="202">
                  <c:v>0.75006086903927149</c:v>
                </c:pt>
                <c:pt idx="203">
                  <c:v>0.75005816640721223</c:v>
                </c:pt>
                <c:pt idx="204">
                  <c:v>0.75005558377409065</c:v>
                </c:pt>
                <c:pt idx="205">
                  <c:v>0.75005311581186185</c:v>
                </c:pt>
                <c:pt idx="206">
                  <c:v>0.75005075742905003</c:v>
                </c:pt>
                <c:pt idx="207">
                  <c:v>0.75004850376024501</c:v>
                </c:pt>
                <c:pt idx="208">
                  <c:v>0.75004635015606469</c:v>
                </c:pt>
                <c:pt idx="209">
                  <c:v>0.75004429217356272</c:v>
                </c:pt>
                <c:pt idx="210">
                  <c:v>0.75004232556706329</c:v>
                </c:pt>
                <c:pt idx="211">
                  <c:v>0.75004044627940181</c:v>
                </c:pt>
                <c:pt idx="212">
                  <c:v>0.75003865043355478</c:v>
                </c:pt>
                <c:pt idx="213">
                  <c:v>0.75003693432464169</c:v>
                </c:pt>
                <c:pt idx="214">
                  <c:v>0.75003529441228134</c:v>
                </c:pt>
                <c:pt idx="215">
                  <c:v>0.75003372731328843</c:v>
                </c:pt>
                <c:pt idx="216">
                  <c:v>0.75003222979469353</c:v>
                </c:pt>
                <c:pt idx="217">
                  <c:v>0.75003079876707346</c:v>
                </c:pt>
                <c:pt idx="218">
                  <c:v>0.75002943127817812</c:v>
                </c:pt>
                <c:pt idx="219">
                  <c:v>0.7500281245068392</c:v>
                </c:pt>
                <c:pt idx="220">
                  <c:v>0.75002687575715066</c:v>
                </c:pt>
                <c:pt idx="221">
                  <c:v>0.75002568245290657</c:v>
                </c:pt>
                <c:pt idx="222">
                  <c:v>0.75002454213228686</c:v>
                </c:pt>
                <c:pt idx="223">
                  <c:v>0.75002345244277779</c:v>
                </c:pt>
                <c:pt idx="224">
                  <c:v>0.75002241113631929</c:v>
                </c:pt>
                <c:pt idx="225">
                  <c:v>0.75002141606466666</c:v>
                </c:pt>
                <c:pt idx="226">
                  <c:v>0.75002046517495913</c:v>
                </c:pt>
                <c:pt idx="227">
                  <c:v>0.75001955650548446</c:v>
                </c:pt>
                <c:pt idx="228">
                  <c:v>0.75001868818163175</c:v>
                </c:pt>
                <c:pt idx="229">
                  <c:v>0.75001785841202451</c:v>
                </c:pt>
                <c:pt idx="230">
                  <c:v>0.75001706548482472</c:v>
                </c:pt>
                <c:pt idx="231">
                  <c:v>0.75001630776420114</c:v>
                </c:pt>
                <c:pt idx="232">
                  <c:v>0.75001558368695487</c:v>
                </c:pt>
                <c:pt idx="233">
                  <c:v>0.75001489175929392</c:v>
                </c:pt>
                <c:pt idx="234">
                  <c:v>0.75001423055375216</c:v>
                </c:pt>
                <c:pt idx="235">
                  <c:v>0.75001359870624396</c:v>
                </c:pt>
                <c:pt idx="236">
                  <c:v>0.75001299491325002</c:v>
                </c:pt>
                <c:pt idx="237">
                  <c:v>0.75001241792912843</c:v>
                </c:pt>
                <c:pt idx="238">
                  <c:v>0.75001186656354468</c:v>
                </c:pt>
                <c:pt idx="239">
                  <c:v>0.75001133967901601</c:v>
                </c:pt>
                <c:pt idx="240">
                  <c:v>0.75001083618856479</c:v>
                </c:pt>
                <c:pt idx="241">
                  <c:v>0.75001035505347591</c:v>
                </c:pt>
                <c:pt idx="242">
                  <c:v>0.75000989528115436</c:v>
                </c:pt>
                <c:pt idx="243">
                  <c:v>0.75000945592307666</c:v>
                </c:pt>
                <c:pt idx="244">
                  <c:v>0.75000903607283487</c:v>
                </c:pt>
                <c:pt idx="245">
                  <c:v>0.75000863486426605</c:v>
                </c:pt>
                <c:pt idx="246">
                  <c:v>0.75000825146966554</c:v>
                </c:pt>
                <c:pt idx="247">
                  <c:v>0.75000788509807959</c:v>
                </c:pt>
                <c:pt idx="248">
                  <c:v>0.75000753499367323</c:v>
                </c:pt>
                <c:pt idx="249">
                  <c:v>0.75000720043417124</c:v>
                </c:pt>
                <c:pt idx="250">
                  <c:v>0.75000688072936783</c:v>
                </c:pt>
                <c:pt idx="251">
                  <c:v>0.75000657521970315</c:v>
                </c:pt>
                <c:pt idx="252">
                  <c:v>0.75000628327490193</c:v>
                </c:pt>
                <c:pt idx="253">
                  <c:v>0.75000600429267406</c:v>
                </c:pt>
                <c:pt idx="254">
                  <c:v>0.75000573769747114</c:v>
                </c:pt>
                <c:pt idx="255">
                  <c:v>0.75000548293929992</c:v>
                </c:pt>
                <c:pt idx="256">
                  <c:v>0.75000523949258702</c:v>
                </c:pt>
                <c:pt idx="257">
                  <c:v>0.75000500685509497</c:v>
                </c:pt>
                <c:pt idx="258">
                  <c:v>0.75000478454688602</c:v>
                </c:pt>
                <c:pt idx="259">
                  <c:v>0.75000457210933225</c:v>
                </c:pt>
                <c:pt idx="260">
                  <c:v>0.7500043691041689</c:v>
                </c:pt>
                <c:pt idx="261">
                  <c:v>0.75000417511259065</c:v>
                </c:pt>
                <c:pt idx="262">
                  <c:v>0.75000398973438731</c:v>
                </c:pt>
                <c:pt idx="263">
                  <c:v>0.75000381258711857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0C-4F1F-BA1B-6F1CC1F628D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'Second Order system'!$A$7:$A$270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system'!$D$7:$D$270</c:f>
              <c:numCache>
                <c:formatCode>General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0.45646735307368097</c:v>
                </c:pt>
                <c:pt idx="3">
                  <c:v>0.46950042787665602</c:v>
                </c:pt>
                <c:pt idx="4">
                  <c:v>0.4819548241557986</c:v>
                </c:pt>
                <c:pt idx="5">
                  <c:v>0.49385623568168918</c:v>
                </c:pt>
                <c:pt idx="6">
                  <c:v>0.50522921540177501</c:v>
                </c:pt>
                <c:pt idx="7">
                  <c:v>0.51609722609379294</c:v>
                </c:pt>
                <c:pt idx="8">
                  <c:v>0.52648268877014104</c:v>
                </c:pt>
                <c:pt idx="9">
                  <c:v>0.53640702893305947</c:v>
                </c:pt>
                <c:pt idx="10">
                  <c:v>0.54589072077604506</c:v>
                </c:pt>
                <c:pt idx="11">
                  <c:v>0.55495332942269027</c:v>
                </c:pt>
                <c:pt idx="12">
                  <c:v>0.56361355129008417</c:v>
                </c:pt>
                <c:pt idx="13">
                  <c:v>0.57188925266004786</c:v>
                </c:pt>
                <c:pt idx="14">
                  <c:v>0.57979750653777773</c:v>
                </c:pt>
                <c:pt idx="15">
                  <c:v>0.58735462787393633</c:v>
                </c:pt>
                <c:pt idx="16">
                  <c:v>0.59457620722285554</c:v>
                </c:pt>
                <c:pt idx="17">
                  <c:v>0.6014771429062894</c:v>
                </c:pt>
                <c:pt idx="18">
                  <c:v>0.60807167174907184</c:v>
                </c:pt>
                <c:pt idx="19">
                  <c:v>0.61437339845008809</c:v>
                </c:pt>
                <c:pt idx="20">
                  <c:v>0.62039532364915106</c:v>
                </c:pt>
                <c:pt idx="21">
                  <c:v>0.62614987074768902</c:v>
                </c:pt>
                <c:pt idx="22">
                  <c:v>0.63164891153857128</c:v>
                </c:pt>
                <c:pt idx="23">
                  <c:v>0.63690379069795322</c:v>
                </c:pt>
                <c:pt idx="24">
                  <c:v>0.6419253491896616</c:v>
                </c:pt>
                <c:pt idx="25">
                  <c:v>0.64672394663040933</c:v>
                </c:pt>
                <c:pt idx="26">
                  <c:v>0.65130948266197652</c:v>
                </c:pt>
                <c:pt idx="27">
                  <c:v>0.65569141737445036</c:v>
                </c:pt>
                <c:pt idx="28">
                  <c:v>0.65987879082265788</c:v>
                </c:pt>
                <c:pt idx="29">
                  <c:v>0.66388024167605364</c:v>
                </c:pt>
                <c:pt idx="30">
                  <c:v>0.66770402504053872</c:v>
                </c:pt>
                <c:pt idx="31">
                  <c:v>0.67135802948897627</c:v>
                </c:pt>
                <c:pt idx="32">
                  <c:v>0.67484979333554018</c:v>
                </c:pt>
                <c:pt idx="33">
                  <c:v>0.6781865201874695</c:v>
                </c:pt>
                <c:pt idx="34">
                  <c:v>0.68137509380631323</c:v>
                </c:pt>
                <c:pt idx="35">
                  <c:v>0.68442209230932471</c:v>
                </c:pt>
                <c:pt idx="36">
                  <c:v>0.68733380174030223</c:v>
                </c:pt>
                <c:pt idx="37">
                  <c:v>0.69011622903787539</c:v>
                </c:pt>
                <c:pt idx="38">
                  <c:v>0.69277511442798845</c:v>
                </c:pt>
                <c:pt idx="39">
                  <c:v>0.69531594326614798</c:v>
                </c:pt>
                <c:pt idx="40">
                  <c:v>0.69774395735386663</c:v>
                </c:pt>
                <c:pt idx="41">
                  <c:v>0.70006416575264641</c:v>
                </c:pt>
                <c:pt idx="42">
                  <c:v>0.70228135511781464</c:v>
                </c:pt>
                <c:pt idx="43">
                  <c:v>0.70440009957352834</c:v>
                </c:pt>
                <c:pt idx="44">
                  <c:v>0.70642477014932159</c:v>
                </c:pt>
                <c:pt idx="45">
                  <c:v>0.70835954379766231</c:v>
                </c:pt>
                <c:pt idx="46">
                  <c:v>0.71020841201112306</c:v>
                </c:pt>
                <c:pt idx="47">
                  <c:v>0.71197518905694301</c:v>
                </c:pt>
                <c:pt idx="48">
                  <c:v>0.71366351984596843</c:v>
                </c:pt>
                <c:pt idx="49">
                  <c:v>0.71527688745220674</c:v>
                </c:pt>
                <c:pt idx="50">
                  <c:v>0.71681862029850618</c:v>
                </c:pt>
                <c:pt idx="51">
                  <c:v>0.71829189902318591</c:v>
                </c:pt>
                <c:pt idx="52">
                  <c:v>0.71969976304178296</c:v>
                </c:pt>
                <c:pt idx="53">
                  <c:v>0.72104511681745154</c:v>
                </c:pt>
                <c:pt idx="54">
                  <c:v>0.72233073585295282</c:v>
                </c:pt>
                <c:pt idx="55">
                  <c:v>0.72355927241659523</c:v>
                </c:pt>
                <c:pt idx="56">
                  <c:v>0.72473326101393898</c:v>
                </c:pt>
                <c:pt idx="57">
                  <c:v>0.72585512361655169</c:v>
                </c:pt>
                <c:pt idx="58">
                  <c:v>0.72692717465860512</c:v>
                </c:pt>
                <c:pt idx="59">
                  <c:v>0.72795162581161732</c:v>
                </c:pt>
                <c:pt idx="60">
                  <c:v>0.72893059054719345</c:v>
                </c:pt>
                <c:pt idx="61">
                  <c:v>0.72986608849717738</c:v>
                </c:pt>
                <c:pt idx="62">
                  <c:v>0.73076004962020924</c:v>
                </c:pt>
                <c:pt idx="63">
                  <c:v>0.73161431818328426</c:v>
                </c:pt>
                <c:pt idx="64">
                  <c:v>0.7324306565665275</c:v>
                </c:pt>
                <c:pt idx="65">
                  <c:v>0.73321074889903415</c:v>
                </c:pt>
                <c:pt idx="66">
                  <c:v>0.73395620453327493</c:v>
                </c:pt>
                <c:pt idx="67">
                  <c:v>0.73466856136523551</c:v>
                </c:pt>
                <c:pt idx="68">
                  <c:v>0.73534928900713992</c:v>
                </c:pt>
                <c:pt idx="69">
                  <c:v>0.7359997918193012</c:v>
                </c:pt>
                <c:pt idx="70">
                  <c:v>0.73662141180735685</c:v>
                </c:pt>
                <c:pt idx="71">
                  <c:v>0.73721543139086398</c:v>
                </c:pt>
                <c:pt idx="72">
                  <c:v>0.7377830760489672</c:v>
                </c:pt>
                <c:pt idx="73">
                  <c:v>0.73832551684859671</c:v>
                </c:pt>
                <c:pt idx="74">
                  <c:v>0.73884387286041198</c:v>
                </c:pt>
                <c:pt idx="75">
                  <c:v>0.73933921346747655</c:v>
                </c:pt>
                <c:pt idx="76">
                  <c:v>0.73981256057142508</c:v>
                </c:pt>
                <c:pt idx="77">
                  <c:v>0.74026489070067547</c:v>
                </c:pt>
                <c:pt idx="78">
                  <c:v>0.74069713702503437</c:v>
                </c:pt>
                <c:pt idx="79">
                  <c:v>0.74111019128085276</c:v>
                </c:pt>
                <c:pt idx="80">
                  <c:v>0.74150490561070337</c:v>
                </c:pt>
                <c:pt idx="81">
                  <c:v>0.74188209432137453</c:v>
                </c:pt>
                <c:pt idx="82">
                  <c:v>0.74224253556380837</c:v>
                </c:pt>
                <c:pt idx="83">
                  <c:v>0.74258697293844789</c:v>
                </c:pt>
                <c:pt idx="84">
                  <c:v>0.74291611702930582</c:v>
                </c:pt>
                <c:pt idx="85">
                  <c:v>0.74323064686991935</c:v>
                </c:pt>
                <c:pt idx="86">
                  <c:v>0.74353121134421518</c:v>
                </c:pt>
                <c:pt idx="87">
                  <c:v>0.74381843052517616</c:v>
                </c:pt>
                <c:pt idx="88">
                  <c:v>0.74409289695406844</c:v>
                </c:pt>
                <c:pt idx="89">
                  <c:v>0.74435517686287134</c:v>
                </c:pt>
                <c:pt idx="90">
                  <c:v>0.74460581134242965</c:v>
                </c:pt>
                <c:pt idx="91">
                  <c:v>0.7448453174587395</c:v>
                </c:pt>
                <c:pt idx="92">
                  <c:v>0.74507418931966984</c:v>
                </c:pt>
                <c:pt idx="93">
                  <c:v>0.74529289909432117</c:v>
                </c:pt>
                <c:pt idx="94">
                  <c:v>0.74550189798712319</c:v>
                </c:pt>
                <c:pt idx="95">
                  <c:v>0.74570161716868311</c:v>
                </c:pt>
                <c:pt idx="96">
                  <c:v>0.7458924686653019</c:v>
                </c:pt>
                <c:pt idx="97">
                  <c:v>0.74607484620899689</c:v>
                </c:pt>
                <c:pt idx="98">
                  <c:v>0.74624912604978122</c:v>
                </c:pt>
                <c:pt idx="99">
                  <c:v>0.74641566773187895</c:v>
                </c:pt>
                <c:pt idx="100">
                  <c:v>0.74657481483547483</c:v>
                </c:pt>
                <c:pt idx="101">
                  <c:v>0.7467268956855293</c:v>
                </c:pt>
                <c:pt idx="102">
                  <c:v>0.7468722240291229</c:v>
                </c:pt>
                <c:pt idx="103">
                  <c:v>0.74701109968272472</c:v>
                </c:pt>
                <c:pt idx="104">
                  <c:v>0.74714380915072298</c:v>
                </c:pt>
                <c:pt idx="105">
                  <c:v>0.74727062621649054</c:v>
                </c:pt>
                <c:pt idx="106">
                  <c:v>0.74739181250720899</c:v>
                </c:pt>
                <c:pt idx="107">
                  <c:v>0.74750761803361188</c:v>
                </c:pt>
                <c:pt idx="108">
                  <c:v>0.74761828170576439</c:v>
                </c:pt>
                <c:pt idx="109">
                  <c:v>0.7477240318259416</c:v>
                </c:pt>
                <c:pt idx="110">
                  <c:v>0.7478250865596221</c:v>
                </c:pt>
                <c:pt idx="111">
                  <c:v>0.74792165438557012</c:v>
                </c:pt>
                <c:pt idx="112">
                  <c:v>0.74801393452593257</c:v>
                </c:pt>
                <c:pt idx="113">
                  <c:v>0.74810211735723997</c:v>
                </c:pt>
                <c:pt idx="114">
                  <c:v>0.74818638480315913</c:v>
                </c:pt>
                <c:pt idx="115">
                  <c:v>0.74826691070980611</c:v>
                </c:pt>
                <c:pt idx="116">
                  <c:v>0.74834386120439622</c:v>
                </c:pt>
                <c:pt idx="117">
                  <c:v>0.74841739503796889</c:v>
                </c:pt>
                <c:pt idx="118">
                  <c:v>0.74848766391289534</c:v>
                </c:pt>
                <c:pt idx="119">
                  <c:v>0.74855481279584546</c:v>
                </c:pt>
                <c:pt idx="120">
                  <c:v>0.74861898021685724</c:v>
                </c:pt>
                <c:pt idx="121">
                  <c:v>0.74868029855512919</c:v>
                </c:pt>
                <c:pt idx="122">
                  <c:v>0.74873889431212148</c:v>
                </c:pt>
                <c:pt idx="123">
                  <c:v>0.7487948883725325</c:v>
                </c:pt>
                <c:pt idx="124">
                  <c:v>0.74884839625368704</c:v>
                </c:pt>
                <c:pt idx="125">
                  <c:v>0.74889952834385232</c:v>
                </c:pt>
                <c:pt idx="126">
                  <c:v>0.7489483901299715</c:v>
                </c:pt>
                <c:pt idx="127">
                  <c:v>0.74899508241528678</c:v>
                </c:pt>
                <c:pt idx="128">
                  <c:v>0.74903970152729882</c:v>
                </c:pt>
                <c:pt idx="129">
                  <c:v>0.74908233951649339</c:v>
                </c:pt>
                <c:pt idx="130">
                  <c:v>0.74912308434624408</c:v>
                </c:pt>
                <c:pt idx="131">
                  <c:v>0.74916202007428312</c:v>
                </c:pt>
                <c:pt idx="132">
                  <c:v>0.74919922702611497</c:v>
                </c:pt>
                <c:pt idx="133">
                  <c:v>0.74923478196073001</c:v>
                </c:pt>
                <c:pt idx="134">
                  <c:v>0.74926875822896055</c:v>
                </c:pt>
                <c:pt idx="135">
                  <c:v>0.74930122592480564</c:v>
                </c:pt>
                <c:pt idx="136">
                  <c:v>0.74933225203003706</c:v>
                </c:pt>
                <c:pt idx="137">
                  <c:v>0.74936190055238439</c:v>
                </c:pt>
                <c:pt idx="138">
                  <c:v>0.74939023265758486</c:v>
                </c:pt>
                <c:pt idx="139">
                  <c:v>0.74941730679557028</c:v>
                </c:pt>
                <c:pt idx="140">
                  <c:v>0.74944317882105038</c:v>
                </c:pt>
                <c:pt idx="141">
                  <c:v>0.74946790210874303</c:v>
                </c:pt>
                <c:pt idx="142">
                  <c:v>0.74949152766348748</c:v>
                </c:pt>
                <c:pt idx="143">
                  <c:v>0.74951410422546927</c:v>
                </c:pt>
                <c:pt idx="144">
                  <c:v>0.74953567837077217</c:v>
                </c:pt>
                <c:pt idx="145">
                  <c:v>0.74955629460746587</c:v>
                </c:pt>
                <c:pt idx="146">
                  <c:v>0.74957599546742792</c:v>
                </c:pt>
                <c:pt idx="147">
                  <c:v>0.74959482159408763</c:v>
                </c:pt>
                <c:pt idx="148">
                  <c:v>0.74961281182627515</c:v>
                </c:pt>
                <c:pt idx="149">
                  <c:v>0.74963000327834639</c:v>
                </c:pt>
                <c:pt idx="150">
                  <c:v>0.74964643141675158</c:v>
                </c:pt>
                <c:pt idx="151">
                  <c:v>0.74966213013320349</c:v>
                </c:pt>
                <c:pt idx="152">
                  <c:v>0.7496771318145965</c:v>
                </c:pt>
                <c:pt idx="153">
                  <c:v>0.74969146740982218</c:v>
                </c:pt>
                <c:pt idx="154">
                  <c:v>0.74970516649361763</c:v>
                </c:pt>
                <c:pt idx="155">
                  <c:v>0.7497182573275788</c:v>
                </c:pt>
                <c:pt idx="156">
                  <c:v>0.7497307669184653</c:v>
                </c:pt>
                <c:pt idx="157">
                  <c:v>0.74974272107391549</c:v>
                </c:pt>
                <c:pt idx="158">
                  <c:v>0.74975414445568922</c:v>
                </c:pt>
                <c:pt idx="159">
                  <c:v>0.74976506063054493</c:v>
                </c:pt>
                <c:pt idx="160">
                  <c:v>0.7497754921188593</c:v>
                </c:pt>
                <c:pt idx="161">
                  <c:v>0.74978546044108652</c:v>
                </c:pt>
                <c:pt idx="162">
                  <c:v>0.74979498616215634</c:v>
                </c:pt>
                <c:pt idx="163">
                  <c:v>0.74980408893389994</c:v>
                </c:pt>
                <c:pt idx="164">
                  <c:v>0.74981278753559188</c:v>
                </c:pt>
                <c:pt idx="165">
                  <c:v>0.74982109991269286</c:v>
                </c:pt>
                <c:pt idx="166">
                  <c:v>0.74982904321387089</c:v>
                </c:pt>
                <c:pt idx="167">
                  <c:v>0.74983663382638033</c:v>
                </c:pt>
                <c:pt idx="168">
                  <c:v>0.74984388740986885</c:v>
                </c:pt>
                <c:pt idx="169">
                  <c:v>0.74985081892868344</c:v>
                </c:pt>
                <c:pt idx="170">
                  <c:v>0.74985744268274279</c:v>
                </c:pt>
                <c:pt idx="171">
                  <c:v>0.74986377233703849</c:v>
                </c:pt>
                <c:pt idx="172">
                  <c:v>0.74986982094982546</c:v>
                </c:pt>
                <c:pt idx="173">
                  <c:v>0.74987560099956263</c:v>
                </c:pt>
                <c:pt idx="174">
                  <c:v>0.74988112441065535</c:v>
                </c:pt>
                <c:pt idx="175">
                  <c:v>0.7498864025780565</c:v>
                </c:pt>
                <c:pt idx="176">
                  <c:v>0.74989144639077421</c:v>
                </c:pt>
                <c:pt idx="177">
                  <c:v>0.74989626625433614</c:v>
                </c:pt>
                <c:pt idx="178">
                  <c:v>0.74990087211225687</c:v>
                </c:pt>
                <c:pt idx="179">
                  <c:v>0.749905273466551</c:v>
                </c:pt>
                <c:pt idx="180">
                  <c:v>0.74990947939733654</c:v>
                </c:pt>
                <c:pt idx="181">
                  <c:v>0.74991349858156719</c:v>
                </c:pt>
                <c:pt idx="182">
                  <c:v>0.74991733931093352</c:v>
                </c:pt>
                <c:pt idx="183">
                  <c:v>0.74992100950896812</c:v>
                </c:pt>
                <c:pt idx="184">
                  <c:v>0.74992451674739335</c:v>
                </c:pt>
                <c:pt idx="185">
                  <c:v>0.74992786826174074</c:v>
                </c:pt>
                <c:pt idx="186">
                  <c:v>0.74993107096627887</c:v>
                </c:pt>
                <c:pt idx="187">
                  <c:v>0.74993413146827748</c:v>
                </c:pt>
                <c:pt idx="188">
                  <c:v>0.74993705608163852</c:v>
                </c:pt>
                <c:pt idx="189">
                  <c:v>0.74993985083992176</c:v>
                </c:pt>
                <c:pt idx="190">
                  <c:v>0.74994252150879226</c:v>
                </c:pt>
                <c:pt idx="191">
                  <c:v>0.74994507359791529</c:v>
                </c:pt>
                <c:pt idx="192">
                  <c:v>0.7499475123723226</c:v>
                </c:pt>
                <c:pt idx="193">
                  <c:v>0.74994984286327449</c:v>
                </c:pt>
                <c:pt idx="194">
                  <c:v>0.7499520698786396</c:v>
                </c:pt>
                <c:pt idx="195">
                  <c:v>0.74995419801281316</c:v>
                </c:pt>
                <c:pt idx="196">
                  <c:v>0.74995623165619629</c:v>
                </c:pt>
                <c:pt idx="197">
                  <c:v>0.74995817500425233</c:v>
                </c:pt>
                <c:pt idx="198">
                  <c:v>0.74996003206616324</c:v>
                </c:pt>
                <c:pt idx="199">
                  <c:v>0.74996180667310008</c:v>
                </c:pt>
                <c:pt idx="200">
                  <c:v>0.74996350248612687</c:v>
                </c:pt>
                <c:pt idx="201">
                  <c:v>0.74996512300375384</c:v>
                </c:pt>
                <c:pt idx="202">
                  <c:v>0.74996667156915442</c:v>
                </c:pt>
                <c:pt idx="203">
                  <c:v>0.74996815137706274</c:v>
                </c:pt>
                <c:pt idx="204">
                  <c:v>0.74996956548036431</c:v>
                </c:pt>
                <c:pt idx="205">
                  <c:v>0.74997091679639383</c:v>
                </c:pt>
                <c:pt idx="206">
                  <c:v>0.74997220811295462</c:v>
                </c:pt>
                <c:pt idx="207">
                  <c:v>0.74997344209406913</c:v>
                </c:pt>
                <c:pt idx="208">
                  <c:v>0.74997462128547498</c:v>
                </c:pt>
                <c:pt idx="209">
                  <c:v>0.74997574811987744</c:v>
                </c:pt>
                <c:pt idx="210">
                  <c:v>0.74997682492196771</c:v>
                </c:pt>
                <c:pt idx="211">
                  <c:v>0.74997785391321869</c:v>
                </c:pt>
                <c:pt idx="212">
                  <c:v>0.7499788372164683</c:v>
                </c:pt>
                <c:pt idx="213">
                  <c:v>0.74997977686029904</c:v>
                </c:pt>
                <c:pt idx="214">
                  <c:v>0.74998067478322261</c:v>
                </c:pt>
                <c:pt idx="215">
                  <c:v>0.74998153283767921</c:v>
                </c:pt>
                <c:pt idx="216">
                  <c:v>0.74998235279385927</c:v>
                </c:pt>
                <c:pt idx="217">
                  <c:v>0.74998313634335578</c:v>
                </c:pt>
                <c:pt idx="218">
                  <c:v>0.74998388510265324</c:v>
                </c:pt>
                <c:pt idx="219">
                  <c:v>0.74998460061646322</c:v>
                </c:pt>
                <c:pt idx="220">
                  <c:v>0.74998528436091094</c:v>
                </c:pt>
                <c:pt idx="221">
                  <c:v>0.7499859377465804</c:v>
                </c:pt>
                <c:pt idx="222">
                  <c:v>0.74998656212142467</c:v>
                </c:pt>
                <c:pt idx="223">
                  <c:v>0.74998715877354671</c:v>
                </c:pt>
                <c:pt idx="224">
                  <c:v>0.74998772893385657</c:v>
                </c:pt>
                <c:pt idx="225">
                  <c:v>0.7499882737786111</c:v>
                </c:pt>
                <c:pt idx="226">
                  <c:v>0.74998879443184041</c:v>
                </c:pt>
                <c:pt idx="227">
                  <c:v>0.74998929196766662</c:v>
                </c:pt>
                <c:pt idx="228">
                  <c:v>0.74998976741252044</c:v>
                </c:pt>
                <c:pt idx="229">
                  <c:v>0.74999022174725782</c:v>
                </c:pt>
                <c:pt idx="230">
                  <c:v>0.74999065590918412</c:v>
                </c:pt>
                <c:pt idx="231">
                  <c:v>0.74999107079398775</c:v>
                </c:pt>
                <c:pt idx="232">
                  <c:v>0.74999146725758759</c:v>
                </c:pt>
                <c:pt idx="233">
                  <c:v>0.74999184611789937</c:v>
                </c:pt>
                <c:pt idx="234">
                  <c:v>0.74999220815652257</c:v>
                </c:pt>
                <c:pt idx="235">
                  <c:v>0.74999255412035304</c:v>
                </c:pt>
                <c:pt idx="236">
                  <c:v>0.74999288472312386</c:v>
                </c:pt>
                <c:pt idx="237">
                  <c:v>0.74999320064687802</c:v>
                </c:pt>
                <c:pt idx="238">
                  <c:v>0.74999350254337493</c:v>
                </c:pt>
                <c:pt idx="239">
                  <c:v>0.74999379103543573</c:v>
                </c:pt>
                <c:pt idx="240">
                  <c:v>0.74999406671822766</c:v>
                </c:pt>
                <c:pt idx="241">
                  <c:v>0.749994330160492</c:v>
                </c:pt>
                <c:pt idx="242">
                  <c:v>0.74999458190571766</c:v>
                </c:pt>
                <c:pt idx="243">
                  <c:v>0.74999482247326199</c:v>
                </c:pt>
                <c:pt idx="244">
                  <c:v>0.74999505235942288</c:v>
                </c:pt>
                <c:pt idx="245">
                  <c:v>0.74999527203846161</c:v>
                </c:pt>
                <c:pt idx="246">
                  <c:v>0.74999548196358257</c:v>
                </c:pt>
                <c:pt idx="247">
                  <c:v>0.74999568256786697</c:v>
                </c:pt>
                <c:pt idx="248">
                  <c:v>0.74999587426516723</c:v>
                </c:pt>
                <c:pt idx="249">
                  <c:v>0.74999605745096021</c:v>
                </c:pt>
                <c:pt idx="250">
                  <c:v>0.74999623250316338</c:v>
                </c:pt>
                <c:pt idx="251">
                  <c:v>0.74999639978291444</c:v>
                </c:pt>
                <c:pt idx="252">
                  <c:v>0.74999655963531608</c:v>
                </c:pt>
                <c:pt idx="253">
                  <c:v>0.74999671239014842</c:v>
                </c:pt>
                <c:pt idx="254">
                  <c:v>0.74999685836254903</c:v>
                </c:pt>
                <c:pt idx="255">
                  <c:v>0.74999699785366292</c:v>
                </c:pt>
                <c:pt idx="256">
                  <c:v>0.74999713115126443</c:v>
                </c:pt>
                <c:pt idx="257">
                  <c:v>0.74999725853035004</c:v>
                </c:pt>
                <c:pt idx="258">
                  <c:v>0.74999738025370655</c:v>
                </c:pt>
                <c:pt idx="259">
                  <c:v>0.74999749657245252</c:v>
                </c:pt>
                <c:pt idx="260">
                  <c:v>0.74999760772655699</c:v>
                </c:pt>
                <c:pt idx="261">
                  <c:v>0.74999771394533388</c:v>
                </c:pt>
                <c:pt idx="262">
                  <c:v>0.74999781544791555</c:v>
                </c:pt>
                <c:pt idx="263">
                  <c:v>0.74999791244370462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0C-4F1F-BA1B-6F1CC1F628D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'Second Order system'!$A$7:$A$270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system'!$G$7:$G$270</c:f>
              <c:numCache>
                <c:formatCode>General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0.45646735307368097</c:v>
                </c:pt>
                <c:pt idx="3">
                  <c:v>0.47116689760850472</c:v>
                </c:pt>
                <c:pt idx="4">
                  <c:v>0.48830581088162567</c:v>
                </c:pt>
                <c:pt idx="5">
                  <c:v>0.50744388897373582</c:v>
                </c:pt>
                <c:pt idx="6">
                  <c:v>0.52815251003530095</c:v>
                </c:pt>
                <c:pt idx="7">
                  <c:v>0.55001934043179712</c:v>
                </c:pt>
                <c:pt idx="8">
                  <c:v>0.57265241519699306</c:v>
                </c:pt>
                <c:pt idx="9">
                  <c:v>0.59568359274702976</c:v>
                </c:pt>
                <c:pt idx="10">
                  <c:v>0.61877139215075827</c:v>
                </c:pt>
                <c:pt idx="11">
                  <c:v>0.641603228759556</c:v>
                </c:pt>
                <c:pt idx="12">
                  <c:v>0.66389707064511694</c:v>
                </c:pt>
                <c:pt idx="13">
                  <c:v>0.68540254406281864</c:v>
                </c:pt>
                <c:pt idx="14">
                  <c:v>0.70590152105042303</c:v>
                </c:pt>
                <c:pt idx="15">
                  <c:v>0.72520822629801018</c:v>
                </c:pt>
                <c:pt idx="16">
                  <c:v>0.74316890360672705</c:v>
                </c:pt>
                <c:pt idx="17">
                  <c:v>0.77935326469263189</c:v>
                </c:pt>
                <c:pt idx="18">
                  <c:v>0.79918500824226379</c:v>
                </c:pt>
                <c:pt idx="19">
                  <c:v>0.82579941399680079</c:v>
                </c:pt>
                <c:pt idx="20">
                  <c:v>0.84909278456673953</c:v>
                </c:pt>
                <c:pt idx="21">
                  <c:v>0.86904307818211257</c:v>
                </c:pt>
                <c:pt idx="22">
                  <c:v>0.88567471682772281</c:v>
                </c:pt>
                <c:pt idx="23">
                  <c:v>0.89905422634282384</c:v>
                </c:pt>
                <c:pt idx="24">
                  <c:v>0.90928569401516879</c:v>
                </c:pt>
                <c:pt idx="25">
                  <c:v>0.91650612004854315</c:v>
                </c:pt>
                <c:pt idx="26">
                  <c:v>0.92088073406513171</c:v>
                </c:pt>
                <c:pt idx="27">
                  <c:v>0.92259834209106972</c:v>
                </c:pt>
                <c:pt idx="28">
                  <c:v>0.91459194991892256</c:v>
                </c:pt>
                <c:pt idx="29">
                  <c:v>0.90728394102204746</c:v>
                </c:pt>
                <c:pt idx="30">
                  <c:v>0.90030041332891964</c:v>
                </c:pt>
                <c:pt idx="31">
                  <c:v>0.893626959625061</c:v>
                </c:pt>
                <c:pt idx="32">
                  <c:v>0.88724981238737344</c:v>
                </c:pt>
                <c:pt idx="33">
                  <c:v>0.88115581538135068</c:v>
                </c:pt>
                <c:pt idx="34">
                  <c:v>0.87533239651939554</c:v>
                </c:pt>
                <c:pt idx="35">
                  <c:v>0.86976754192424921</c:v>
                </c:pt>
                <c:pt idx="36">
                  <c:v>0.86444977114402322</c:v>
                </c:pt>
                <c:pt idx="37">
                  <c:v>0.85936811346770392</c:v>
                </c:pt>
                <c:pt idx="38">
                  <c:v>0.85451208529226674</c:v>
                </c:pt>
                <c:pt idx="39">
                  <c:v>0.84987166849470719</c:v>
                </c:pt>
                <c:pt idx="40">
                  <c:v>0.84543728976437071</c:v>
                </c:pt>
                <c:pt idx="41">
                  <c:v>0.84119980085294321</c:v>
                </c:pt>
                <c:pt idx="42">
                  <c:v>0.83715045970135682</c:v>
                </c:pt>
                <c:pt idx="43">
                  <c:v>0.8332809124046755</c:v>
                </c:pt>
                <c:pt idx="44">
                  <c:v>0.82958317597775388</c:v>
                </c:pt>
                <c:pt idx="45">
                  <c:v>0.82604962188611397</c:v>
                </c:pt>
                <c:pt idx="46">
                  <c:v>0.82267296030806314</c:v>
                </c:pt>
                <c:pt idx="47">
                  <c:v>0.81944622509558651</c:v>
                </c:pt>
                <c:pt idx="48">
                  <c:v>0.81636275940298764</c:v>
                </c:pt>
                <c:pt idx="49">
                  <c:v>0.81341620195362818</c:v>
                </c:pt>
                <c:pt idx="50">
                  <c:v>0.81060047391643408</c:v>
                </c:pt>
                <c:pt idx="51">
                  <c:v>0.80790976636509693</c:v>
                </c:pt>
                <c:pt idx="52">
                  <c:v>0.80533852829409436</c:v>
                </c:pt>
                <c:pt idx="53">
                  <c:v>0.80288145516680942</c:v>
                </c:pt>
                <c:pt idx="54">
                  <c:v>0.80053347797212215</c:v>
                </c:pt>
                <c:pt idx="55">
                  <c:v>0.79828975276689651</c:v>
                </c:pt>
                <c:pt idx="56">
                  <c:v>0.79614565068278964</c:v>
                </c:pt>
                <c:pt idx="57">
                  <c:v>0.79409674837676536</c:v>
                </c:pt>
                <c:pt idx="58">
                  <c:v>0.79213881890561322</c:v>
                </c:pt>
                <c:pt idx="59">
                  <c:v>0.79026782300564524</c:v>
                </c:pt>
                <c:pt idx="60">
                  <c:v>0.78847990075958152</c:v>
                </c:pt>
                <c:pt idx="61">
                  <c:v>0.78677136363343159</c:v>
                </c:pt>
                <c:pt idx="62">
                  <c:v>0.78513868686694499</c:v>
                </c:pt>
                <c:pt idx="63">
                  <c:v>0.7835785022019317</c:v>
                </c:pt>
                <c:pt idx="64">
                  <c:v>0.78208759093345026</c:v>
                </c:pt>
                <c:pt idx="65">
                  <c:v>0.78066287726952888</c:v>
                </c:pt>
                <c:pt idx="66">
                  <c:v>0.77935326469263189</c:v>
                </c:pt>
                <c:pt idx="67">
                  <c:v>0.77935326469263189</c:v>
                </c:pt>
                <c:pt idx="68">
                  <c:v>0.77935326469263189</c:v>
                </c:pt>
                <c:pt idx="69">
                  <c:v>0.77935326469263189</c:v>
                </c:pt>
                <c:pt idx="70">
                  <c:v>0.77935326469263189</c:v>
                </c:pt>
                <c:pt idx="71">
                  <c:v>0.77935326469263189</c:v>
                </c:pt>
                <c:pt idx="72">
                  <c:v>0.77935326469263189</c:v>
                </c:pt>
                <c:pt idx="73">
                  <c:v>0.77935326469263189</c:v>
                </c:pt>
                <c:pt idx="74">
                  <c:v>0.77935326469263189</c:v>
                </c:pt>
                <c:pt idx="75">
                  <c:v>0.77935326469263189</c:v>
                </c:pt>
                <c:pt idx="76">
                  <c:v>0.77935326469263189</c:v>
                </c:pt>
                <c:pt idx="77">
                  <c:v>0.77935326469263189</c:v>
                </c:pt>
                <c:pt idx="78">
                  <c:v>0.77935326469263189</c:v>
                </c:pt>
                <c:pt idx="79">
                  <c:v>0.77935326469263189</c:v>
                </c:pt>
                <c:pt idx="80">
                  <c:v>0.77935326469263189</c:v>
                </c:pt>
                <c:pt idx="81">
                  <c:v>0.77935326469263189</c:v>
                </c:pt>
                <c:pt idx="82">
                  <c:v>0.77935326469263189</c:v>
                </c:pt>
                <c:pt idx="83">
                  <c:v>0.77935326469263189</c:v>
                </c:pt>
                <c:pt idx="84">
                  <c:v>0.77935326469263189</c:v>
                </c:pt>
                <c:pt idx="85">
                  <c:v>0.77935326469263189</c:v>
                </c:pt>
                <c:pt idx="86">
                  <c:v>0.77935326469263189</c:v>
                </c:pt>
                <c:pt idx="87">
                  <c:v>0.77935326469263189</c:v>
                </c:pt>
                <c:pt idx="88">
                  <c:v>0.77935326469263189</c:v>
                </c:pt>
                <c:pt idx="89">
                  <c:v>0.77935326469263189</c:v>
                </c:pt>
                <c:pt idx="90">
                  <c:v>0.77935326469263189</c:v>
                </c:pt>
                <c:pt idx="91">
                  <c:v>0.77935326469263189</c:v>
                </c:pt>
                <c:pt idx="92">
                  <c:v>0.77935326469263189</c:v>
                </c:pt>
                <c:pt idx="93">
                  <c:v>0.77935326469263189</c:v>
                </c:pt>
                <c:pt idx="94">
                  <c:v>0.77935326469263189</c:v>
                </c:pt>
                <c:pt idx="95">
                  <c:v>0.77935326469263189</c:v>
                </c:pt>
                <c:pt idx="96">
                  <c:v>0.77935326469263189</c:v>
                </c:pt>
                <c:pt idx="97">
                  <c:v>0.77935326469263189</c:v>
                </c:pt>
                <c:pt idx="98">
                  <c:v>0.77935326469263189</c:v>
                </c:pt>
                <c:pt idx="99">
                  <c:v>0.77935326469263189</c:v>
                </c:pt>
                <c:pt idx="100">
                  <c:v>0.77935326469263189</c:v>
                </c:pt>
                <c:pt idx="101">
                  <c:v>0.77935326469263189</c:v>
                </c:pt>
                <c:pt idx="102">
                  <c:v>0.77935326469263189</c:v>
                </c:pt>
                <c:pt idx="103">
                  <c:v>0.77935326469263189</c:v>
                </c:pt>
                <c:pt idx="104">
                  <c:v>0.77935326469263189</c:v>
                </c:pt>
                <c:pt idx="105">
                  <c:v>0.77935326469263189</c:v>
                </c:pt>
                <c:pt idx="106">
                  <c:v>0.77935326469263189</c:v>
                </c:pt>
                <c:pt idx="107">
                  <c:v>0.77935326469263189</c:v>
                </c:pt>
                <c:pt idx="108">
                  <c:v>0.77935326469263189</c:v>
                </c:pt>
                <c:pt idx="109">
                  <c:v>0.77935326469263189</c:v>
                </c:pt>
                <c:pt idx="110">
                  <c:v>0.77935326469263189</c:v>
                </c:pt>
                <c:pt idx="111">
                  <c:v>0.77935326469263189</c:v>
                </c:pt>
                <c:pt idx="112">
                  <c:v>0.77935326469263189</c:v>
                </c:pt>
                <c:pt idx="113">
                  <c:v>0.77935326469263189</c:v>
                </c:pt>
                <c:pt idx="114">
                  <c:v>0.77935326469263189</c:v>
                </c:pt>
                <c:pt idx="115">
                  <c:v>0.77935326469263189</c:v>
                </c:pt>
                <c:pt idx="116">
                  <c:v>0.77935326469263189</c:v>
                </c:pt>
                <c:pt idx="117">
                  <c:v>0.77935326469263189</c:v>
                </c:pt>
                <c:pt idx="118">
                  <c:v>0.77935326469263189</c:v>
                </c:pt>
                <c:pt idx="119">
                  <c:v>0.77935326469263189</c:v>
                </c:pt>
                <c:pt idx="120">
                  <c:v>0.77935326469263189</c:v>
                </c:pt>
                <c:pt idx="121">
                  <c:v>0.77935326469263189</c:v>
                </c:pt>
                <c:pt idx="122">
                  <c:v>0.77935326469263189</c:v>
                </c:pt>
                <c:pt idx="123">
                  <c:v>0.77935326469263189</c:v>
                </c:pt>
                <c:pt idx="124">
                  <c:v>0.77935326469263189</c:v>
                </c:pt>
                <c:pt idx="125">
                  <c:v>0.77935326469263189</c:v>
                </c:pt>
                <c:pt idx="126">
                  <c:v>0.77935326469263189</c:v>
                </c:pt>
                <c:pt idx="127">
                  <c:v>0.77935326469263189</c:v>
                </c:pt>
                <c:pt idx="128">
                  <c:v>0.77935326469263189</c:v>
                </c:pt>
                <c:pt idx="129">
                  <c:v>0.77935326469263189</c:v>
                </c:pt>
                <c:pt idx="130">
                  <c:v>0.77935326469263189</c:v>
                </c:pt>
                <c:pt idx="131">
                  <c:v>0.77935326469263189</c:v>
                </c:pt>
                <c:pt idx="132">
                  <c:v>0.77935326469263189</c:v>
                </c:pt>
                <c:pt idx="133">
                  <c:v>0.77935326469263189</c:v>
                </c:pt>
                <c:pt idx="134">
                  <c:v>0.77935326469263189</c:v>
                </c:pt>
                <c:pt idx="135">
                  <c:v>0.77935326469263189</c:v>
                </c:pt>
                <c:pt idx="136">
                  <c:v>0.77935326469263189</c:v>
                </c:pt>
                <c:pt idx="137">
                  <c:v>0.77935326469263189</c:v>
                </c:pt>
                <c:pt idx="138">
                  <c:v>0.77935326469263189</c:v>
                </c:pt>
                <c:pt idx="139">
                  <c:v>0.77935326469263189</c:v>
                </c:pt>
                <c:pt idx="140">
                  <c:v>0.77935326469263189</c:v>
                </c:pt>
                <c:pt idx="141">
                  <c:v>0.77935326469263189</c:v>
                </c:pt>
                <c:pt idx="142">
                  <c:v>0.77935326469263189</c:v>
                </c:pt>
                <c:pt idx="143">
                  <c:v>0.77935326469263189</c:v>
                </c:pt>
                <c:pt idx="144">
                  <c:v>0.77935326469263189</c:v>
                </c:pt>
                <c:pt idx="145">
                  <c:v>0.77935326469263189</c:v>
                </c:pt>
                <c:pt idx="146">
                  <c:v>0.77935326469263189</c:v>
                </c:pt>
                <c:pt idx="147">
                  <c:v>0.77935326469263189</c:v>
                </c:pt>
                <c:pt idx="148">
                  <c:v>0.77935326469263189</c:v>
                </c:pt>
                <c:pt idx="149">
                  <c:v>0.77935326469263189</c:v>
                </c:pt>
                <c:pt idx="150">
                  <c:v>0.77935326469263189</c:v>
                </c:pt>
                <c:pt idx="151">
                  <c:v>0.77935326469263189</c:v>
                </c:pt>
                <c:pt idx="152">
                  <c:v>0.77935326469263189</c:v>
                </c:pt>
                <c:pt idx="153">
                  <c:v>0.77935326469263189</c:v>
                </c:pt>
                <c:pt idx="154">
                  <c:v>0.77935326469263189</c:v>
                </c:pt>
                <c:pt idx="155">
                  <c:v>0.77935326469263189</c:v>
                </c:pt>
                <c:pt idx="156">
                  <c:v>0.77935326469263189</c:v>
                </c:pt>
                <c:pt idx="157">
                  <c:v>0.77935326469263189</c:v>
                </c:pt>
                <c:pt idx="158">
                  <c:v>0.77935326469263189</c:v>
                </c:pt>
                <c:pt idx="159">
                  <c:v>0.77935326469263189</c:v>
                </c:pt>
                <c:pt idx="160">
                  <c:v>0.77935326469263189</c:v>
                </c:pt>
                <c:pt idx="161">
                  <c:v>0.77935326469263189</c:v>
                </c:pt>
                <c:pt idx="162">
                  <c:v>0.77935326469263189</c:v>
                </c:pt>
                <c:pt idx="163">
                  <c:v>0.77935326469263189</c:v>
                </c:pt>
                <c:pt idx="164">
                  <c:v>0.77935326469263189</c:v>
                </c:pt>
                <c:pt idx="165">
                  <c:v>0.77935326469263189</c:v>
                </c:pt>
                <c:pt idx="166">
                  <c:v>0.77935326469263189</c:v>
                </c:pt>
                <c:pt idx="167">
                  <c:v>0.77935326469263189</c:v>
                </c:pt>
                <c:pt idx="168">
                  <c:v>0.77935326469263189</c:v>
                </c:pt>
                <c:pt idx="169">
                  <c:v>0.77935326469263189</c:v>
                </c:pt>
                <c:pt idx="170">
                  <c:v>0.77935326469263189</c:v>
                </c:pt>
                <c:pt idx="171">
                  <c:v>0.77935326469263189</c:v>
                </c:pt>
                <c:pt idx="172">
                  <c:v>0.77935326469263189</c:v>
                </c:pt>
                <c:pt idx="173">
                  <c:v>0.77935326469263189</c:v>
                </c:pt>
                <c:pt idx="174">
                  <c:v>0.77935326469263189</c:v>
                </c:pt>
                <c:pt idx="175">
                  <c:v>0.77935326469263189</c:v>
                </c:pt>
                <c:pt idx="176">
                  <c:v>0.77935326469263189</c:v>
                </c:pt>
                <c:pt idx="177">
                  <c:v>0.77935326469263189</c:v>
                </c:pt>
                <c:pt idx="178">
                  <c:v>0.77935326469263189</c:v>
                </c:pt>
                <c:pt idx="179">
                  <c:v>0.77935326469263189</c:v>
                </c:pt>
                <c:pt idx="180">
                  <c:v>0.77935326469263189</c:v>
                </c:pt>
                <c:pt idx="181">
                  <c:v>0.77935326469263189</c:v>
                </c:pt>
                <c:pt idx="182">
                  <c:v>0.77935326469263189</c:v>
                </c:pt>
                <c:pt idx="183">
                  <c:v>0.77935326469263189</c:v>
                </c:pt>
                <c:pt idx="184">
                  <c:v>0.77935326469263189</c:v>
                </c:pt>
                <c:pt idx="185">
                  <c:v>0.77935326469263189</c:v>
                </c:pt>
                <c:pt idx="186">
                  <c:v>0.77935326469263189</c:v>
                </c:pt>
                <c:pt idx="187">
                  <c:v>0.77935326469263189</c:v>
                </c:pt>
                <c:pt idx="188">
                  <c:v>0.77935326469263189</c:v>
                </c:pt>
                <c:pt idx="189">
                  <c:v>0.77935326469263189</c:v>
                </c:pt>
                <c:pt idx="190">
                  <c:v>0.77935326469263189</c:v>
                </c:pt>
                <c:pt idx="191">
                  <c:v>0.77935326469263189</c:v>
                </c:pt>
                <c:pt idx="192">
                  <c:v>0.77935326469263189</c:v>
                </c:pt>
                <c:pt idx="193">
                  <c:v>0.77935326469263189</c:v>
                </c:pt>
                <c:pt idx="194">
                  <c:v>0.77935326469263189</c:v>
                </c:pt>
                <c:pt idx="195">
                  <c:v>0.77935326469263189</c:v>
                </c:pt>
                <c:pt idx="196">
                  <c:v>0.77935326469263189</c:v>
                </c:pt>
                <c:pt idx="197">
                  <c:v>0.77935326469263189</c:v>
                </c:pt>
                <c:pt idx="198">
                  <c:v>0.77935326469263189</c:v>
                </c:pt>
                <c:pt idx="199">
                  <c:v>0.77935326469263189</c:v>
                </c:pt>
                <c:pt idx="200">
                  <c:v>0.77935326469263189</c:v>
                </c:pt>
                <c:pt idx="201">
                  <c:v>0.77935326469263189</c:v>
                </c:pt>
                <c:pt idx="202">
                  <c:v>0.77935326469263189</c:v>
                </c:pt>
                <c:pt idx="203">
                  <c:v>0.77935326469263189</c:v>
                </c:pt>
                <c:pt idx="204">
                  <c:v>0.77935326469263189</c:v>
                </c:pt>
                <c:pt idx="205">
                  <c:v>0.77935326469263189</c:v>
                </c:pt>
                <c:pt idx="206">
                  <c:v>0.77935326469263189</c:v>
                </c:pt>
                <c:pt idx="207">
                  <c:v>0.77935326469263189</c:v>
                </c:pt>
                <c:pt idx="208">
                  <c:v>0.77935326469263189</c:v>
                </c:pt>
                <c:pt idx="209">
                  <c:v>0.77935326469263189</c:v>
                </c:pt>
                <c:pt idx="210">
                  <c:v>0.77935326469263189</c:v>
                </c:pt>
                <c:pt idx="211">
                  <c:v>0.77935326469263189</c:v>
                </c:pt>
                <c:pt idx="212">
                  <c:v>0.77935326469263189</c:v>
                </c:pt>
                <c:pt idx="213">
                  <c:v>0.77935326469263189</c:v>
                </c:pt>
                <c:pt idx="214">
                  <c:v>0.77935326469263189</c:v>
                </c:pt>
                <c:pt idx="215">
                  <c:v>0.77935326469263189</c:v>
                </c:pt>
                <c:pt idx="216">
                  <c:v>0.77935326469263189</c:v>
                </c:pt>
                <c:pt idx="217">
                  <c:v>0.77935326469263189</c:v>
                </c:pt>
                <c:pt idx="218">
                  <c:v>0.77935326469263189</c:v>
                </c:pt>
                <c:pt idx="219">
                  <c:v>0.77935326469263189</c:v>
                </c:pt>
                <c:pt idx="220">
                  <c:v>0.77935326469263189</c:v>
                </c:pt>
                <c:pt idx="221">
                  <c:v>0.77935326469263189</c:v>
                </c:pt>
                <c:pt idx="222">
                  <c:v>0.77935326469263189</c:v>
                </c:pt>
                <c:pt idx="223">
                  <c:v>0.77935326469263189</c:v>
                </c:pt>
                <c:pt idx="224">
                  <c:v>0.77935326469263189</c:v>
                </c:pt>
                <c:pt idx="225">
                  <c:v>0.77935326469263189</c:v>
                </c:pt>
                <c:pt idx="226">
                  <c:v>0.77935326469263189</c:v>
                </c:pt>
                <c:pt idx="227">
                  <c:v>0.77935326469263189</c:v>
                </c:pt>
                <c:pt idx="228">
                  <c:v>0.77935326469263189</c:v>
                </c:pt>
                <c:pt idx="229">
                  <c:v>0.77935326469263189</c:v>
                </c:pt>
                <c:pt idx="230">
                  <c:v>0.77935326469263189</c:v>
                </c:pt>
                <c:pt idx="231">
                  <c:v>0.77935326469263189</c:v>
                </c:pt>
                <c:pt idx="232">
                  <c:v>0.77935326469263189</c:v>
                </c:pt>
                <c:pt idx="233">
                  <c:v>0.77935326469263189</c:v>
                </c:pt>
                <c:pt idx="234">
                  <c:v>0.77935326469263189</c:v>
                </c:pt>
                <c:pt idx="235">
                  <c:v>0.77935326469263189</c:v>
                </c:pt>
                <c:pt idx="236">
                  <c:v>0.77935326469263189</c:v>
                </c:pt>
                <c:pt idx="237">
                  <c:v>0.77935326469263189</c:v>
                </c:pt>
                <c:pt idx="238">
                  <c:v>0.77935326469263189</c:v>
                </c:pt>
                <c:pt idx="239">
                  <c:v>0.77935326469263189</c:v>
                </c:pt>
                <c:pt idx="240">
                  <c:v>0.77935326469263189</c:v>
                </c:pt>
                <c:pt idx="241">
                  <c:v>0.77935326469263189</c:v>
                </c:pt>
                <c:pt idx="242">
                  <c:v>0.77935326469263189</c:v>
                </c:pt>
                <c:pt idx="243">
                  <c:v>0.77935326469263189</c:v>
                </c:pt>
                <c:pt idx="244">
                  <c:v>0.77935326469263189</c:v>
                </c:pt>
                <c:pt idx="245">
                  <c:v>0.77935326469263189</c:v>
                </c:pt>
                <c:pt idx="246">
                  <c:v>0.77935326469263189</c:v>
                </c:pt>
                <c:pt idx="247">
                  <c:v>0.77935326469263189</c:v>
                </c:pt>
                <c:pt idx="248">
                  <c:v>0.77935326469263189</c:v>
                </c:pt>
                <c:pt idx="249">
                  <c:v>0.77935326469263189</c:v>
                </c:pt>
                <c:pt idx="250">
                  <c:v>0.77935326469263189</c:v>
                </c:pt>
                <c:pt idx="251">
                  <c:v>0.77935326469263189</c:v>
                </c:pt>
                <c:pt idx="252">
                  <c:v>0.77935326469263189</c:v>
                </c:pt>
                <c:pt idx="253">
                  <c:v>0.77935326469263189</c:v>
                </c:pt>
                <c:pt idx="254">
                  <c:v>0.77935326469263189</c:v>
                </c:pt>
                <c:pt idx="255">
                  <c:v>0.77935326469263189</c:v>
                </c:pt>
                <c:pt idx="256">
                  <c:v>0.77935326469263189</c:v>
                </c:pt>
                <c:pt idx="257">
                  <c:v>0.77935326469263189</c:v>
                </c:pt>
                <c:pt idx="258">
                  <c:v>0.77935326469263189</c:v>
                </c:pt>
                <c:pt idx="259">
                  <c:v>0.77935326469263189</c:v>
                </c:pt>
                <c:pt idx="260">
                  <c:v>0.77935326469263189</c:v>
                </c:pt>
                <c:pt idx="261">
                  <c:v>0.77935326469263189</c:v>
                </c:pt>
                <c:pt idx="262">
                  <c:v>0.77935326469263189</c:v>
                </c:pt>
                <c:pt idx="263">
                  <c:v>0.77935326469263189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0C-4F1F-BA1B-6F1CC1F628D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'Second Order system'!$A$7:$A$270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system'!$H$7:$H$270</c:f>
              <c:numCache>
                <c:formatCode>General</c:formatCode>
                <c:ptCount val="264"/>
                <c:pt idx="0">
                  <c:v>0.16293470614736194</c:v>
                </c:pt>
                <c:pt idx="1">
                  <c:v>0.18900085575331205</c:v>
                </c:pt>
                <c:pt idx="2">
                  <c:v>0.2139096483115972</c:v>
                </c:pt>
                <c:pt idx="3">
                  <c:v>0.23771247136337836</c:v>
                </c:pt>
                <c:pt idx="4">
                  <c:v>0.26045843080355008</c:v>
                </c:pt>
                <c:pt idx="5">
                  <c:v>0.28219445218758593</c:v>
                </c:pt>
                <c:pt idx="6">
                  <c:v>0.30296537754028219</c:v>
                </c:pt>
                <c:pt idx="7">
                  <c:v>0.32281405786611889</c:v>
                </c:pt>
                <c:pt idx="8">
                  <c:v>0.34178144155209017</c:v>
                </c:pt>
                <c:pt idx="9">
                  <c:v>0.35990665884538059</c:v>
                </c:pt>
                <c:pt idx="10">
                  <c:v>0.37722710258016834</c:v>
                </c:pt>
                <c:pt idx="11">
                  <c:v>0.39377850532009562</c:v>
                </c:pt>
                <c:pt idx="12">
                  <c:v>0.4095950130755554</c:v>
                </c:pt>
                <c:pt idx="13">
                  <c:v>0.42470925574787272</c:v>
                </c:pt>
                <c:pt idx="14">
                  <c:v>0.43915241444571118</c:v>
                </c:pt>
                <c:pt idx="15">
                  <c:v>0.45295428581257874</c:v>
                </c:pt>
                <c:pt idx="16">
                  <c:v>0.46614334349814374</c:v>
                </c:pt>
                <c:pt idx="17">
                  <c:v>0.47874679690017607</c:v>
                </c:pt>
                <c:pt idx="18">
                  <c:v>0.49079064729830224</c:v>
                </c:pt>
                <c:pt idx="19">
                  <c:v>0.50229974149537793</c:v>
                </c:pt>
                <c:pt idx="20">
                  <c:v>0.51329782307714267</c:v>
                </c:pt>
                <c:pt idx="21">
                  <c:v>0.52380758139590644</c:v>
                </c:pt>
                <c:pt idx="22">
                  <c:v>0.5338506983793232</c:v>
                </c:pt>
                <c:pt idx="23">
                  <c:v>0.54344789326081866</c:v>
                </c:pt>
                <c:pt idx="24">
                  <c:v>0.55261896532395294</c:v>
                </c:pt>
                <c:pt idx="25">
                  <c:v>0.56138283474890061</c:v>
                </c:pt>
                <c:pt idx="26">
                  <c:v>0.56975758164531565</c:v>
                </c:pt>
                <c:pt idx="27">
                  <c:v>0.57776048335210728</c:v>
                </c:pt>
                <c:pt idx="28">
                  <c:v>0.58540805008107744</c:v>
                </c:pt>
                <c:pt idx="29">
                  <c:v>0.59271605897795254</c:v>
                </c:pt>
                <c:pt idx="30">
                  <c:v>0.59969958667108036</c:v>
                </c:pt>
                <c:pt idx="31">
                  <c:v>0.606373040374939</c:v>
                </c:pt>
                <c:pt idx="32">
                  <c:v>0.61275018761262656</c:v>
                </c:pt>
                <c:pt idx="33">
                  <c:v>0.61884418461864932</c:v>
                </c:pt>
                <c:pt idx="34">
                  <c:v>0.62466760348060446</c:v>
                </c:pt>
                <c:pt idx="35">
                  <c:v>0.63023245807575079</c:v>
                </c:pt>
                <c:pt idx="36">
                  <c:v>0.63555022885597678</c:v>
                </c:pt>
                <c:pt idx="37">
                  <c:v>0.64063188653229608</c:v>
                </c:pt>
                <c:pt idx="38">
                  <c:v>0.64548791470773326</c:v>
                </c:pt>
                <c:pt idx="39">
                  <c:v>0.65012833150529281</c:v>
                </c:pt>
                <c:pt idx="40">
                  <c:v>0.65456271023562929</c:v>
                </c:pt>
                <c:pt idx="41">
                  <c:v>0.65880019914705679</c:v>
                </c:pt>
                <c:pt idx="42">
                  <c:v>0.66284954029864318</c:v>
                </c:pt>
                <c:pt idx="43">
                  <c:v>0.6667190875953245</c:v>
                </c:pt>
                <c:pt idx="44">
                  <c:v>0.67041682402224612</c:v>
                </c:pt>
                <c:pt idx="45">
                  <c:v>0.67395037811388603</c:v>
                </c:pt>
                <c:pt idx="46">
                  <c:v>0.67732703969193686</c:v>
                </c:pt>
                <c:pt idx="47">
                  <c:v>0.68055377490441349</c:v>
                </c:pt>
                <c:pt idx="48">
                  <c:v>0.68363724059701236</c:v>
                </c:pt>
                <c:pt idx="49">
                  <c:v>0.68658379804637182</c:v>
                </c:pt>
                <c:pt idx="50">
                  <c:v>0.68939952608356592</c:v>
                </c:pt>
                <c:pt idx="51">
                  <c:v>0.69209023363490307</c:v>
                </c:pt>
                <c:pt idx="52">
                  <c:v>0.69466147170590564</c:v>
                </c:pt>
                <c:pt idx="53">
                  <c:v>0.69711854483319058</c:v>
                </c:pt>
                <c:pt idx="54">
                  <c:v>0.69946652202787785</c:v>
                </c:pt>
                <c:pt idx="55">
                  <c:v>0.70171024723310349</c:v>
                </c:pt>
                <c:pt idx="56">
                  <c:v>0.70385434931721036</c:v>
                </c:pt>
                <c:pt idx="57">
                  <c:v>0.70590325162323464</c:v>
                </c:pt>
                <c:pt idx="58">
                  <c:v>0.70786118109438678</c:v>
                </c:pt>
                <c:pt idx="59">
                  <c:v>0.70973217699435476</c:v>
                </c:pt>
                <c:pt idx="60">
                  <c:v>0.71152009924041848</c:v>
                </c:pt>
                <c:pt idx="61">
                  <c:v>0.71322863636656841</c:v>
                </c:pt>
                <c:pt idx="62">
                  <c:v>0.71486131313305501</c:v>
                </c:pt>
                <c:pt idx="63">
                  <c:v>0.7164214977980683</c:v>
                </c:pt>
                <c:pt idx="64">
                  <c:v>0.71791240906654974</c:v>
                </c:pt>
                <c:pt idx="65">
                  <c:v>0.71933712273047112</c:v>
                </c:pt>
                <c:pt idx="66">
                  <c:v>0.72064673530736811</c:v>
                </c:pt>
                <c:pt idx="67">
                  <c:v>0.72064673530736811</c:v>
                </c:pt>
                <c:pt idx="68">
                  <c:v>0.72064673530736811</c:v>
                </c:pt>
                <c:pt idx="69">
                  <c:v>0.72064673530736811</c:v>
                </c:pt>
                <c:pt idx="70">
                  <c:v>0.72064673530736811</c:v>
                </c:pt>
                <c:pt idx="71">
                  <c:v>0.72064673530736811</c:v>
                </c:pt>
                <c:pt idx="72">
                  <c:v>0.72064673530736811</c:v>
                </c:pt>
                <c:pt idx="73">
                  <c:v>0.72064673530736811</c:v>
                </c:pt>
                <c:pt idx="74">
                  <c:v>0.72064673530736811</c:v>
                </c:pt>
                <c:pt idx="75">
                  <c:v>0.72064673530736811</c:v>
                </c:pt>
                <c:pt idx="76">
                  <c:v>0.72064673530736811</c:v>
                </c:pt>
                <c:pt idx="77">
                  <c:v>0.72064673530736811</c:v>
                </c:pt>
                <c:pt idx="78">
                  <c:v>0.72064673530736811</c:v>
                </c:pt>
                <c:pt idx="79">
                  <c:v>0.72064673530736811</c:v>
                </c:pt>
                <c:pt idx="80">
                  <c:v>0.72064673530736811</c:v>
                </c:pt>
                <c:pt idx="81">
                  <c:v>0.72064673530736811</c:v>
                </c:pt>
                <c:pt idx="82">
                  <c:v>0.72064673530736811</c:v>
                </c:pt>
                <c:pt idx="83">
                  <c:v>0.72064673530736811</c:v>
                </c:pt>
                <c:pt idx="84">
                  <c:v>0.72064673530736811</c:v>
                </c:pt>
                <c:pt idx="85">
                  <c:v>0.72064673530736811</c:v>
                </c:pt>
                <c:pt idx="86">
                  <c:v>0.72064673530736811</c:v>
                </c:pt>
                <c:pt idx="87">
                  <c:v>0.72064673530736811</c:v>
                </c:pt>
                <c:pt idx="88">
                  <c:v>0.72064673530736811</c:v>
                </c:pt>
                <c:pt idx="89">
                  <c:v>0.72064673530736811</c:v>
                </c:pt>
                <c:pt idx="90">
                  <c:v>0.72064673530736811</c:v>
                </c:pt>
                <c:pt idx="91">
                  <c:v>0.72064673530736811</c:v>
                </c:pt>
                <c:pt idx="92">
                  <c:v>0.72064673530736811</c:v>
                </c:pt>
                <c:pt idx="93">
                  <c:v>0.72064673530736811</c:v>
                </c:pt>
                <c:pt idx="94">
                  <c:v>0.72064673530736811</c:v>
                </c:pt>
                <c:pt idx="95">
                  <c:v>0.72064673530736811</c:v>
                </c:pt>
                <c:pt idx="96">
                  <c:v>0.72064673530736811</c:v>
                </c:pt>
                <c:pt idx="97">
                  <c:v>0.72064673530736811</c:v>
                </c:pt>
                <c:pt idx="98">
                  <c:v>0.72064673530736811</c:v>
                </c:pt>
                <c:pt idx="99">
                  <c:v>0.72064673530736811</c:v>
                </c:pt>
                <c:pt idx="100">
                  <c:v>0.72064673530736811</c:v>
                </c:pt>
                <c:pt idx="101">
                  <c:v>0.72064673530736811</c:v>
                </c:pt>
                <c:pt idx="102">
                  <c:v>0.72064673530736811</c:v>
                </c:pt>
                <c:pt idx="103">
                  <c:v>0.72064673530736811</c:v>
                </c:pt>
                <c:pt idx="104">
                  <c:v>0.72064673530736811</c:v>
                </c:pt>
                <c:pt idx="105">
                  <c:v>0.72064673530736811</c:v>
                </c:pt>
                <c:pt idx="106">
                  <c:v>0.72064673530736811</c:v>
                </c:pt>
                <c:pt idx="107">
                  <c:v>0.72064673530736811</c:v>
                </c:pt>
                <c:pt idx="108">
                  <c:v>0.72064673530736811</c:v>
                </c:pt>
                <c:pt idx="109">
                  <c:v>0.72064673530736811</c:v>
                </c:pt>
                <c:pt idx="110">
                  <c:v>0.72064673530736811</c:v>
                </c:pt>
                <c:pt idx="111">
                  <c:v>0.72064673530736811</c:v>
                </c:pt>
                <c:pt idx="112">
                  <c:v>0.72064673530736811</c:v>
                </c:pt>
                <c:pt idx="113">
                  <c:v>0.72064673530736811</c:v>
                </c:pt>
                <c:pt idx="114">
                  <c:v>0.72064673530736811</c:v>
                </c:pt>
                <c:pt idx="115">
                  <c:v>0.72064673530736811</c:v>
                </c:pt>
                <c:pt idx="116">
                  <c:v>0.72064673530736811</c:v>
                </c:pt>
                <c:pt idx="117">
                  <c:v>0.72064673530736811</c:v>
                </c:pt>
                <c:pt idx="118">
                  <c:v>0.72064673530736811</c:v>
                </c:pt>
                <c:pt idx="119">
                  <c:v>0.72064673530736811</c:v>
                </c:pt>
                <c:pt idx="120">
                  <c:v>0.72064673530736811</c:v>
                </c:pt>
                <c:pt idx="121">
                  <c:v>0.72064673530736811</c:v>
                </c:pt>
                <c:pt idx="122">
                  <c:v>0.72064673530736811</c:v>
                </c:pt>
                <c:pt idx="123">
                  <c:v>0.72064673530736811</c:v>
                </c:pt>
                <c:pt idx="124">
                  <c:v>0.72064673530736811</c:v>
                </c:pt>
                <c:pt idx="125">
                  <c:v>0.72064673530736811</c:v>
                </c:pt>
                <c:pt idx="126">
                  <c:v>0.72064673530736811</c:v>
                </c:pt>
                <c:pt idx="127">
                  <c:v>0.72064673530736811</c:v>
                </c:pt>
                <c:pt idx="128">
                  <c:v>0.72064673530736811</c:v>
                </c:pt>
                <c:pt idx="129">
                  <c:v>0.72064673530736811</c:v>
                </c:pt>
                <c:pt idx="130">
                  <c:v>0.72064673530736811</c:v>
                </c:pt>
                <c:pt idx="131">
                  <c:v>0.72064673530736811</c:v>
                </c:pt>
                <c:pt idx="132">
                  <c:v>0.72064673530736811</c:v>
                </c:pt>
                <c:pt idx="133">
                  <c:v>0.72064673530736811</c:v>
                </c:pt>
                <c:pt idx="134">
                  <c:v>0.72064673530736811</c:v>
                </c:pt>
                <c:pt idx="135">
                  <c:v>0.72064673530736811</c:v>
                </c:pt>
                <c:pt idx="136">
                  <c:v>0.72064673530736811</c:v>
                </c:pt>
                <c:pt idx="137">
                  <c:v>0.72064673530736811</c:v>
                </c:pt>
                <c:pt idx="138">
                  <c:v>0.72064673530736811</c:v>
                </c:pt>
                <c:pt idx="139">
                  <c:v>0.72064673530736811</c:v>
                </c:pt>
                <c:pt idx="140">
                  <c:v>0.72064673530736811</c:v>
                </c:pt>
                <c:pt idx="141">
                  <c:v>0.72064673530736811</c:v>
                </c:pt>
                <c:pt idx="142">
                  <c:v>0.72064673530736811</c:v>
                </c:pt>
                <c:pt idx="143">
                  <c:v>0.72064673530736811</c:v>
                </c:pt>
                <c:pt idx="144">
                  <c:v>0.72064673530736811</c:v>
                </c:pt>
                <c:pt idx="145">
                  <c:v>0.72064673530736811</c:v>
                </c:pt>
                <c:pt idx="146">
                  <c:v>0.72064673530736811</c:v>
                </c:pt>
                <c:pt idx="147">
                  <c:v>0.72064673530736811</c:v>
                </c:pt>
                <c:pt idx="148">
                  <c:v>0.72064673530736811</c:v>
                </c:pt>
                <c:pt idx="149">
                  <c:v>0.72064673530736811</c:v>
                </c:pt>
                <c:pt idx="150">
                  <c:v>0.72064673530736811</c:v>
                </c:pt>
                <c:pt idx="151">
                  <c:v>0.72064673530736811</c:v>
                </c:pt>
                <c:pt idx="152">
                  <c:v>0.72064673530736811</c:v>
                </c:pt>
                <c:pt idx="153">
                  <c:v>0.72064673530736811</c:v>
                </c:pt>
                <c:pt idx="154">
                  <c:v>0.72064673530736811</c:v>
                </c:pt>
                <c:pt idx="155">
                  <c:v>0.72064673530736811</c:v>
                </c:pt>
                <c:pt idx="156">
                  <c:v>0.72064673530736811</c:v>
                </c:pt>
                <c:pt idx="157">
                  <c:v>0.72064673530736811</c:v>
                </c:pt>
                <c:pt idx="158">
                  <c:v>0.72064673530736811</c:v>
                </c:pt>
                <c:pt idx="159">
                  <c:v>0.72064673530736811</c:v>
                </c:pt>
                <c:pt idx="160">
                  <c:v>0.72064673530736811</c:v>
                </c:pt>
                <c:pt idx="161">
                  <c:v>0.72064673530736811</c:v>
                </c:pt>
                <c:pt idx="162">
                  <c:v>0.72064673530736811</c:v>
                </c:pt>
                <c:pt idx="163">
                  <c:v>0.72064673530736811</c:v>
                </c:pt>
                <c:pt idx="164">
                  <c:v>0.72064673530736811</c:v>
                </c:pt>
                <c:pt idx="165">
                  <c:v>0.72064673530736811</c:v>
                </c:pt>
                <c:pt idx="166">
                  <c:v>0.72064673530736811</c:v>
                </c:pt>
                <c:pt idx="167">
                  <c:v>0.72064673530736811</c:v>
                </c:pt>
                <c:pt idx="168">
                  <c:v>0.72064673530736811</c:v>
                </c:pt>
                <c:pt idx="169">
                  <c:v>0.72064673530736811</c:v>
                </c:pt>
                <c:pt idx="170">
                  <c:v>0.72064673530736811</c:v>
                </c:pt>
                <c:pt idx="171">
                  <c:v>0.72064673530736811</c:v>
                </c:pt>
                <c:pt idx="172">
                  <c:v>0.72064673530736811</c:v>
                </c:pt>
                <c:pt idx="173">
                  <c:v>0.72064673530736811</c:v>
                </c:pt>
                <c:pt idx="174">
                  <c:v>0.72064673530736811</c:v>
                </c:pt>
                <c:pt idx="175">
                  <c:v>0.72064673530736811</c:v>
                </c:pt>
                <c:pt idx="176">
                  <c:v>0.72064673530736811</c:v>
                </c:pt>
                <c:pt idx="177">
                  <c:v>0.72064673530736811</c:v>
                </c:pt>
                <c:pt idx="178">
                  <c:v>0.72064673530736811</c:v>
                </c:pt>
                <c:pt idx="179">
                  <c:v>0.72064673530736811</c:v>
                </c:pt>
                <c:pt idx="180">
                  <c:v>0.72064673530736811</c:v>
                </c:pt>
                <c:pt idx="181">
                  <c:v>0.72064673530736811</c:v>
                </c:pt>
                <c:pt idx="182">
                  <c:v>0.72064673530736811</c:v>
                </c:pt>
                <c:pt idx="183">
                  <c:v>0.72064673530736811</c:v>
                </c:pt>
                <c:pt idx="184">
                  <c:v>0.72064673530736811</c:v>
                </c:pt>
                <c:pt idx="185">
                  <c:v>0.72064673530736811</c:v>
                </c:pt>
                <c:pt idx="186">
                  <c:v>0.72064673530736811</c:v>
                </c:pt>
                <c:pt idx="187">
                  <c:v>0.72064673530736811</c:v>
                </c:pt>
                <c:pt idx="188">
                  <c:v>0.72064673530736811</c:v>
                </c:pt>
                <c:pt idx="189">
                  <c:v>0.72064673530736811</c:v>
                </c:pt>
                <c:pt idx="190">
                  <c:v>0.72064673530736811</c:v>
                </c:pt>
                <c:pt idx="191">
                  <c:v>0.72064673530736811</c:v>
                </c:pt>
                <c:pt idx="192">
                  <c:v>0.72064673530736811</c:v>
                </c:pt>
                <c:pt idx="193">
                  <c:v>0.72064673530736811</c:v>
                </c:pt>
                <c:pt idx="194">
                  <c:v>0.72064673530736811</c:v>
                </c:pt>
                <c:pt idx="195">
                  <c:v>0.72064673530736811</c:v>
                </c:pt>
                <c:pt idx="196">
                  <c:v>0.72064673530736811</c:v>
                </c:pt>
                <c:pt idx="197">
                  <c:v>0.72064673530736811</c:v>
                </c:pt>
                <c:pt idx="198">
                  <c:v>0.72064673530736811</c:v>
                </c:pt>
                <c:pt idx="199">
                  <c:v>0.72064673530736811</c:v>
                </c:pt>
                <c:pt idx="200">
                  <c:v>0.72064673530736811</c:v>
                </c:pt>
                <c:pt idx="201">
                  <c:v>0.72064673530736811</c:v>
                </c:pt>
                <c:pt idx="202">
                  <c:v>0.72064673530736811</c:v>
                </c:pt>
                <c:pt idx="203">
                  <c:v>0.72064673530736811</c:v>
                </c:pt>
                <c:pt idx="204">
                  <c:v>0.72064673530736811</c:v>
                </c:pt>
                <c:pt idx="205">
                  <c:v>0.72064673530736811</c:v>
                </c:pt>
                <c:pt idx="206">
                  <c:v>0.72064673530736811</c:v>
                </c:pt>
                <c:pt idx="207">
                  <c:v>0.72064673530736811</c:v>
                </c:pt>
                <c:pt idx="208">
                  <c:v>0.72064673530736811</c:v>
                </c:pt>
                <c:pt idx="209">
                  <c:v>0.72064673530736811</c:v>
                </c:pt>
                <c:pt idx="210">
                  <c:v>0.72064673530736811</c:v>
                </c:pt>
                <c:pt idx="211">
                  <c:v>0.72064673530736811</c:v>
                </c:pt>
                <c:pt idx="212">
                  <c:v>0.72064673530736811</c:v>
                </c:pt>
                <c:pt idx="213">
                  <c:v>0.72064673530736811</c:v>
                </c:pt>
                <c:pt idx="214">
                  <c:v>0.72064673530736811</c:v>
                </c:pt>
                <c:pt idx="215">
                  <c:v>0.72064673530736811</c:v>
                </c:pt>
                <c:pt idx="216">
                  <c:v>0.72064673530736811</c:v>
                </c:pt>
                <c:pt idx="217">
                  <c:v>0.72064673530736811</c:v>
                </c:pt>
                <c:pt idx="218">
                  <c:v>0.72064673530736811</c:v>
                </c:pt>
                <c:pt idx="219">
                  <c:v>0.72064673530736811</c:v>
                </c:pt>
                <c:pt idx="220">
                  <c:v>0.72064673530736811</c:v>
                </c:pt>
                <c:pt idx="221">
                  <c:v>0.72064673530736811</c:v>
                </c:pt>
                <c:pt idx="222">
                  <c:v>0.72064673530736811</c:v>
                </c:pt>
                <c:pt idx="223">
                  <c:v>0.72064673530736811</c:v>
                </c:pt>
                <c:pt idx="224">
                  <c:v>0.72064673530736811</c:v>
                </c:pt>
                <c:pt idx="225">
                  <c:v>0.72064673530736811</c:v>
                </c:pt>
                <c:pt idx="226">
                  <c:v>0.72064673530736811</c:v>
                </c:pt>
                <c:pt idx="227">
                  <c:v>0.72064673530736811</c:v>
                </c:pt>
                <c:pt idx="228">
                  <c:v>0.72064673530736811</c:v>
                </c:pt>
                <c:pt idx="229">
                  <c:v>0.72064673530736811</c:v>
                </c:pt>
                <c:pt idx="230">
                  <c:v>0.72064673530736811</c:v>
                </c:pt>
                <c:pt idx="231">
                  <c:v>0.72064673530736811</c:v>
                </c:pt>
                <c:pt idx="232">
                  <c:v>0.72064673530736811</c:v>
                </c:pt>
                <c:pt idx="233">
                  <c:v>0.72064673530736811</c:v>
                </c:pt>
                <c:pt idx="234">
                  <c:v>0.72064673530736811</c:v>
                </c:pt>
                <c:pt idx="235">
                  <c:v>0.72064673530736811</c:v>
                </c:pt>
                <c:pt idx="236">
                  <c:v>0.72064673530736811</c:v>
                </c:pt>
                <c:pt idx="237">
                  <c:v>0.72064673530736811</c:v>
                </c:pt>
                <c:pt idx="238">
                  <c:v>0.72064673530736811</c:v>
                </c:pt>
                <c:pt idx="239">
                  <c:v>0.72064673530736811</c:v>
                </c:pt>
                <c:pt idx="240">
                  <c:v>0.72064673530736811</c:v>
                </c:pt>
                <c:pt idx="241">
                  <c:v>0.72064673530736811</c:v>
                </c:pt>
                <c:pt idx="242">
                  <c:v>0.72064673530736811</c:v>
                </c:pt>
                <c:pt idx="243">
                  <c:v>0.72064673530736811</c:v>
                </c:pt>
                <c:pt idx="244">
                  <c:v>0.72064673530736811</c:v>
                </c:pt>
                <c:pt idx="245">
                  <c:v>0.72064673530736811</c:v>
                </c:pt>
                <c:pt idx="246">
                  <c:v>0.72064673530736811</c:v>
                </c:pt>
                <c:pt idx="247">
                  <c:v>0.72064673530736811</c:v>
                </c:pt>
                <c:pt idx="248">
                  <c:v>0.72064673530736811</c:v>
                </c:pt>
                <c:pt idx="249">
                  <c:v>0.72064673530736811</c:v>
                </c:pt>
                <c:pt idx="250">
                  <c:v>0.72064673530736811</c:v>
                </c:pt>
                <c:pt idx="251">
                  <c:v>0.72064673530736811</c:v>
                </c:pt>
                <c:pt idx="252">
                  <c:v>0.72064673530736811</c:v>
                </c:pt>
                <c:pt idx="253">
                  <c:v>0.72064673530736811</c:v>
                </c:pt>
                <c:pt idx="254">
                  <c:v>0.72064673530736811</c:v>
                </c:pt>
                <c:pt idx="255">
                  <c:v>0.72064673530736811</c:v>
                </c:pt>
                <c:pt idx="256">
                  <c:v>0.72064673530736811</c:v>
                </c:pt>
                <c:pt idx="257">
                  <c:v>0.72064673530736811</c:v>
                </c:pt>
                <c:pt idx="258">
                  <c:v>0.72064673530736811</c:v>
                </c:pt>
                <c:pt idx="259">
                  <c:v>0.72064673530736811</c:v>
                </c:pt>
                <c:pt idx="260">
                  <c:v>0.72064673530736811</c:v>
                </c:pt>
                <c:pt idx="261">
                  <c:v>0.72064673530736811</c:v>
                </c:pt>
                <c:pt idx="262">
                  <c:v>0.72064673530736811</c:v>
                </c:pt>
                <c:pt idx="263">
                  <c:v>0.72064673530736811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00C-4F1F-BA1B-6F1CC1F62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38712"/>
        <c:axId val="623839432"/>
      </c:scatterChart>
      <c:valAx>
        <c:axId val="623838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3839432"/>
        <c:crosses val="autoZero"/>
        <c:crossBetween val="midCat"/>
      </c:valAx>
      <c:valAx>
        <c:axId val="62383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3838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5635842886568495E-2"/>
          <c:y val="0.10292055760807366"/>
          <c:w val="0.9253000982978038"/>
          <c:h val="0.822867603150960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'Second Order V2'!$B$6</c:f>
              <c:strCache>
                <c:ptCount val="1"/>
                <c:pt idx="0">
                  <c:v>Enveloppe 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V2'!$B$7:$B$270</c:f>
            </c:numRef>
          </c:yVal>
          <c:smooth val="1"/>
          <c:extLst>
            <c:ext xmlns:c16="http://schemas.microsoft.com/office/drawing/2014/chart" uri="{C3380CC4-5D6E-409C-BE32-E72D297353CC}">
              <c16:uniqueId val="{00000000-2CFA-42CD-BAE0-6F475679D3AA}"/>
            </c:ext>
          </c:extLst>
        </c:ser>
        <c:ser>
          <c:idx val="1"/>
          <c:order val="1"/>
          <c:tx>
            <c:strRef>
              <c:f>'Second Order V2'!$E$6</c:f>
              <c:strCache>
                <c:ptCount val="1"/>
                <c:pt idx="0">
                  <c:v>enveloppe max avec  marge et tunnel et +10ms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V2'!$E$7:$E$270</c:f>
              <c:numCache>
                <c:formatCode>General</c:formatCode>
                <c:ptCount val="264"/>
                <c:pt idx="0">
                  <c:v>1.630597940778957</c:v>
                </c:pt>
                <c:pt idx="1">
                  <c:v>1.630597940778957</c:v>
                </c:pt>
                <c:pt idx="2">
                  <c:v>1.630597940778957</c:v>
                </c:pt>
                <c:pt idx="3">
                  <c:v>1.6208519810626638</c:v>
                </c:pt>
                <c:pt idx="4">
                  <c:v>1.5834887922252363</c:v>
                </c:pt>
                <c:pt idx="5">
                  <c:v>1.5477845576475644</c:v>
                </c:pt>
                <c:pt idx="6">
                  <c:v>1.5136656184873067</c:v>
                </c:pt>
                <c:pt idx="7">
                  <c:v>1.4810615864112531</c:v>
                </c:pt>
                <c:pt idx="8">
                  <c:v>1.4499051983822087</c:v>
                </c:pt>
                <c:pt idx="9">
                  <c:v>1.4201321778934537</c:v>
                </c:pt>
                <c:pt idx="10">
                  <c:v>1.3916811023644968</c:v>
                </c:pt>
                <c:pt idx="11">
                  <c:v>1.3644932764245612</c:v>
                </c:pt>
                <c:pt idx="12">
                  <c:v>1.3385126108223795</c:v>
                </c:pt>
                <c:pt idx="13">
                  <c:v>1.3136855067124886</c:v>
                </c:pt>
                <c:pt idx="14">
                  <c:v>1.2899607450792989</c:v>
                </c:pt>
                <c:pt idx="15">
                  <c:v>1.267289381070823</c:v>
                </c:pt>
                <c:pt idx="16">
                  <c:v>1.2456246430240652</c:v>
                </c:pt>
                <c:pt idx="17">
                  <c:v>1.2249218359737639</c:v>
                </c:pt>
                <c:pt idx="18">
                  <c:v>1.2051382494454164</c:v>
                </c:pt>
                <c:pt idx="19">
                  <c:v>1.1862330693423677</c:v>
                </c:pt>
                <c:pt idx="20">
                  <c:v>1.1681672937451786</c:v>
                </c:pt>
                <c:pt idx="21">
                  <c:v>1.1509036524495651</c:v>
                </c:pt>
                <c:pt idx="22">
                  <c:v>1.1344065300769179</c:v>
                </c:pt>
                <c:pt idx="23">
                  <c:v>1.1186418925987724</c:v>
                </c:pt>
                <c:pt idx="24">
                  <c:v>1.1035772171236473</c:v>
                </c:pt>
                <c:pt idx="25">
                  <c:v>1.089181424801404</c:v>
                </c:pt>
                <c:pt idx="26">
                  <c:v>1.0754248167067024</c:v>
                </c:pt>
                <c:pt idx="27">
                  <c:v>1.0622790125692811</c:v>
                </c:pt>
                <c:pt idx="28">
                  <c:v>1.0497168922246585</c:v>
                </c:pt>
                <c:pt idx="29">
                  <c:v>1.0377125396644711</c:v>
                </c:pt>
                <c:pt idx="30">
                  <c:v>1.0262411895710157</c:v>
                </c:pt>
                <c:pt idx="31">
                  <c:v>1.0152791762257032</c:v>
                </c:pt>
                <c:pt idx="32">
                  <c:v>1.0048038846860115</c:v>
                </c:pt>
                <c:pt idx="33">
                  <c:v>0.99479370413022339</c:v>
                </c:pt>
                <c:pt idx="34">
                  <c:v>0.98522798327369199</c:v>
                </c:pt>
                <c:pt idx="35">
                  <c:v>0.97608698776465785</c:v>
                </c:pt>
                <c:pt idx="36">
                  <c:v>0.9673518594717252</c:v>
                </c:pt>
                <c:pt idx="37">
                  <c:v>0.9590045775790057</c:v>
                </c:pt>
                <c:pt idx="38">
                  <c:v>0.95102792140866665</c:v>
                </c:pt>
                <c:pt idx="39">
                  <c:v>0.94340543489418782</c:v>
                </c:pt>
                <c:pt idx="40">
                  <c:v>0.93612139263103211</c:v>
                </c:pt>
                <c:pt idx="41">
                  <c:v>0.92916076743469267</c:v>
                </c:pt>
                <c:pt idx="42">
                  <c:v>0.92250919933918796</c:v>
                </c:pt>
                <c:pt idx="43">
                  <c:v>0.91615296597204676</c:v>
                </c:pt>
                <c:pt idx="44">
                  <c:v>0.91007895424466712</c:v>
                </c:pt>
                <c:pt idx="45">
                  <c:v>0.90427463329964508</c:v>
                </c:pt>
                <c:pt idx="46">
                  <c:v>0.89872802865926282</c:v>
                </c:pt>
                <c:pt idx="47">
                  <c:v>0.89342769752180284</c:v>
                </c:pt>
                <c:pt idx="48">
                  <c:v>0.88836270515472648</c:v>
                </c:pt>
                <c:pt idx="49">
                  <c:v>0.88352260233601154</c:v>
                </c:pt>
                <c:pt idx="50">
                  <c:v>0.87889740379711345</c:v>
                </c:pt>
                <c:pt idx="51">
                  <c:v>0.87447756762307405</c:v>
                </c:pt>
                <c:pt idx="52">
                  <c:v>0.87025397556728301</c:v>
                </c:pt>
                <c:pt idx="53">
                  <c:v>0.86621791424027739</c:v>
                </c:pt>
                <c:pt idx="54">
                  <c:v>0.86236105713377342</c:v>
                </c:pt>
                <c:pt idx="55">
                  <c:v>0.85867544744284607</c:v>
                </c:pt>
                <c:pt idx="56">
                  <c:v>0.85515348165081506</c:v>
                </c:pt>
                <c:pt idx="57">
                  <c:v>0.85178789384297671</c:v>
                </c:pt>
                <c:pt idx="58">
                  <c:v>0.8485717407168164</c:v>
                </c:pt>
                <c:pt idx="59">
                  <c:v>0.84549838725777993</c:v>
                </c:pt>
                <c:pt idx="60">
                  <c:v>0.84256149305105166</c:v>
                </c:pt>
                <c:pt idx="61">
                  <c:v>0.83975499920109975</c:v>
                </c:pt>
                <c:pt idx="62">
                  <c:v>0.83707311583200417</c:v>
                </c:pt>
                <c:pt idx="63">
                  <c:v>0.83451031014277921</c:v>
                </c:pt>
                <c:pt idx="64">
                  <c:v>0.83206129499304937</c:v>
                </c:pt>
                <c:pt idx="65">
                  <c:v>0.82972101799552944</c:v>
                </c:pt>
                <c:pt idx="66">
                  <c:v>0.82748465109280722</c:v>
                </c:pt>
                <c:pt idx="67">
                  <c:v>0.82534758059692526</c:v>
                </c:pt>
                <c:pt idx="68">
                  <c:v>0.82330539767121202</c:v>
                </c:pt>
                <c:pt idx="69">
                  <c:v>0.82135388923472819</c:v>
                </c:pt>
                <c:pt idx="70">
                  <c:v>0.81948902927056144</c:v>
                </c:pt>
                <c:pt idx="71">
                  <c:v>0.81770697052004004</c:v>
                </c:pt>
                <c:pt idx="72">
                  <c:v>0.81600403654573028</c:v>
                </c:pt>
                <c:pt idx="73">
                  <c:v>0.81437671414684187</c:v>
                </c:pt>
                <c:pt idx="74">
                  <c:v>0.81282164611139596</c:v>
                </c:pt>
                <c:pt idx="75">
                  <c:v>0.81133562429020234</c:v>
                </c:pt>
                <c:pt idx="76">
                  <c:v>0.80991558297835664</c:v>
                </c:pt>
                <c:pt idx="77">
                  <c:v>0.80855859259060547</c:v>
                </c:pt>
                <c:pt idx="78">
                  <c:v>0.80726185361752878</c:v>
                </c:pt>
                <c:pt idx="79">
                  <c:v>0.80602269085007361</c:v>
                </c:pt>
                <c:pt idx="80">
                  <c:v>0.80483854786052189</c:v>
                </c:pt>
                <c:pt idx="81">
                  <c:v>0.80370698172850841</c:v>
                </c:pt>
                <c:pt idx="82">
                  <c:v>0.80262565800120678</c:v>
                </c:pt>
                <c:pt idx="83">
                  <c:v>0.80159234587728811</c:v>
                </c:pt>
                <c:pt idx="84">
                  <c:v>0.80060491360471431</c:v>
                </c:pt>
                <c:pt idx="85">
                  <c:v>0.79966132408287394</c:v>
                </c:pt>
                <c:pt idx="86">
                  <c:v>0.79875963065998623</c:v>
                </c:pt>
                <c:pt idx="87">
                  <c:v>0.79789797311710342</c:v>
                </c:pt>
                <c:pt idx="88">
                  <c:v>0.79707457383042646</c:v>
                </c:pt>
                <c:pt idx="89">
                  <c:v>0.79628773410401787</c:v>
                </c:pt>
                <c:pt idx="90">
                  <c:v>0.79553583066534284</c:v>
                </c:pt>
                <c:pt idx="91">
                  <c:v>0.79481731231641328</c:v>
                </c:pt>
                <c:pt idx="92">
                  <c:v>0.79413069673362224</c:v>
                </c:pt>
                <c:pt idx="93">
                  <c:v>0.79347456740966849</c:v>
                </c:pt>
                <c:pt idx="94">
                  <c:v>0.79284757073126222</c:v>
                </c:pt>
                <c:pt idx="95">
                  <c:v>0.79224841318658257</c:v>
                </c:pt>
                <c:pt idx="96">
                  <c:v>0.79167585869672608</c:v>
                </c:pt>
                <c:pt idx="97">
                  <c:v>0.79112872606564133</c:v>
                </c:pt>
                <c:pt idx="98">
                  <c:v>0.79060588654328834</c:v>
                </c:pt>
                <c:pt idx="99">
                  <c:v>0.79010626149699492</c:v>
                </c:pt>
                <c:pt idx="100">
                  <c:v>0.78962882018620739</c:v>
                </c:pt>
                <c:pt idx="101">
                  <c:v>0.78917257763604398</c:v>
                </c:pt>
                <c:pt idx="102">
                  <c:v>0.7887365926052633</c:v>
                </c:pt>
                <c:pt idx="103">
                  <c:v>0.78831996564445761</c:v>
                </c:pt>
                <c:pt idx="104">
                  <c:v>0.78792183724046305</c:v>
                </c:pt>
                <c:pt idx="105">
                  <c:v>0.78754138604316026</c:v>
                </c:pt>
                <c:pt idx="106">
                  <c:v>0.78717782717100493</c:v>
                </c:pt>
                <c:pt idx="107">
                  <c:v>0.78683041059179637</c:v>
                </c:pt>
                <c:pt idx="108">
                  <c:v>0.78649841957533873</c:v>
                </c:pt>
                <c:pt idx="109">
                  <c:v>0.78618116921480719</c:v>
                </c:pt>
                <c:pt idx="110">
                  <c:v>0.78587800501376548</c:v>
                </c:pt>
                <c:pt idx="111">
                  <c:v>0.78558830153592141</c:v>
                </c:pt>
                <c:pt idx="112">
                  <c:v>0.7853114611148343</c:v>
                </c:pt>
                <c:pt idx="113">
                  <c:v>0.78504691262091197</c:v>
                </c:pt>
                <c:pt idx="114">
                  <c:v>0.7847941102831546</c:v>
                </c:pt>
                <c:pt idx="115">
                  <c:v>0.78455253256321356</c:v>
                </c:pt>
                <c:pt idx="116">
                  <c:v>0.78432168107944322</c:v>
                </c:pt>
                <c:pt idx="117">
                  <c:v>0.78410107957872532</c:v>
                </c:pt>
                <c:pt idx="118">
                  <c:v>0.78389027295394575</c:v>
                </c:pt>
                <c:pt idx="119">
                  <c:v>0.78368882630509562</c:v>
                </c:pt>
                <c:pt idx="120">
                  <c:v>0.78349632404206004</c:v>
                </c:pt>
                <c:pt idx="121">
                  <c:v>0.78331236902724422</c:v>
                </c:pt>
                <c:pt idx="122">
                  <c:v>0.78313658175626732</c:v>
                </c:pt>
                <c:pt idx="123">
                  <c:v>0.78296859957503451</c:v>
                </c:pt>
                <c:pt idx="124">
                  <c:v>0.78280807593157087</c:v>
                </c:pt>
                <c:pt idx="125">
                  <c:v>0.78265467966107505</c:v>
                </c:pt>
                <c:pt idx="126">
                  <c:v>0.78250809430271739</c:v>
                </c:pt>
                <c:pt idx="127">
                  <c:v>0.78236801744677154</c:v>
                </c:pt>
                <c:pt idx="128">
                  <c:v>0.78223416011073543</c:v>
                </c:pt>
                <c:pt idx="129">
                  <c:v>0.78210624614315172</c:v>
                </c:pt>
                <c:pt idx="130">
                  <c:v>0.78198401165389975</c:v>
                </c:pt>
                <c:pt idx="131">
                  <c:v>0.78186720446978264</c:v>
                </c:pt>
                <c:pt idx="132">
                  <c:v>0.7817555836142871</c:v>
                </c:pt>
                <c:pt idx="133">
                  <c:v>0.78164891881044196</c:v>
                </c:pt>
                <c:pt idx="134">
                  <c:v>0.78154699000575034</c:v>
                </c:pt>
                <c:pt idx="135">
                  <c:v>0.78144958691821498</c:v>
                </c:pt>
                <c:pt idx="136">
                  <c:v>0.78135650860252082</c:v>
                </c:pt>
                <c:pt idx="137">
                  <c:v>0.78126756303547884</c:v>
                </c:pt>
                <c:pt idx="138">
                  <c:v>0.78118256671987718</c:v>
                </c:pt>
                <c:pt idx="139">
                  <c:v>0.78110134430592093</c:v>
                </c:pt>
                <c:pt idx="140">
                  <c:v>0.78102372822948063</c:v>
                </c:pt>
                <c:pt idx="141">
                  <c:v>0.7809495583664029</c:v>
                </c:pt>
                <c:pt idx="142">
                  <c:v>0.78087868170216934</c:v>
                </c:pt>
                <c:pt idx="143">
                  <c:v>0.78081095201622397</c:v>
                </c:pt>
                <c:pt idx="144">
                  <c:v>0.78074622958031548</c:v>
                </c:pt>
                <c:pt idx="145">
                  <c:v>0.7806843808702344</c:v>
                </c:pt>
                <c:pt idx="146">
                  <c:v>0.78062527829034822</c:v>
                </c:pt>
                <c:pt idx="147">
                  <c:v>0.78056879991036898</c:v>
                </c:pt>
                <c:pt idx="148">
                  <c:v>0.78051482921380655</c:v>
                </c:pt>
                <c:pt idx="149">
                  <c:v>0.78046325485759283</c:v>
                </c:pt>
                <c:pt idx="150">
                  <c:v>0.78041397044237704</c:v>
                </c:pt>
                <c:pt idx="151">
                  <c:v>0.78036687429302143</c:v>
                </c:pt>
                <c:pt idx="152">
                  <c:v>0.7803218692488425</c:v>
                </c:pt>
                <c:pt idx="153">
                  <c:v>0.78027886246316536</c:v>
                </c:pt>
                <c:pt idx="154">
                  <c:v>0.78023776521177901</c:v>
                </c:pt>
                <c:pt idx="155">
                  <c:v>0.78019849270989539</c:v>
                </c:pt>
                <c:pt idx="156">
                  <c:v>0.78016096393723611</c:v>
                </c:pt>
                <c:pt idx="157">
                  <c:v>0.78012510147088543</c:v>
                </c:pt>
                <c:pt idx="158">
                  <c:v>0.78009083132556434</c:v>
                </c:pt>
                <c:pt idx="159">
                  <c:v>0.78005808280099698</c:v>
                </c:pt>
                <c:pt idx="160">
                  <c:v>0.7800267883360541</c:v>
                </c:pt>
                <c:pt idx="161">
                  <c:v>0.77999688336937245</c:v>
                </c:pt>
                <c:pt idx="162">
                  <c:v>0.77996830620616298</c:v>
                </c:pt>
                <c:pt idx="163">
                  <c:v>0.77994099789093219</c:v>
                </c:pt>
                <c:pt idx="164">
                  <c:v>0.77991490208585612</c:v>
                </c:pt>
                <c:pt idx="165">
                  <c:v>0.77988996495455343</c:v>
                </c:pt>
                <c:pt idx="166">
                  <c:v>0.7798661350510192</c:v>
                </c:pt>
                <c:pt idx="167">
                  <c:v>0.77984336321349079</c:v>
                </c:pt>
                <c:pt idx="168">
                  <c:v>0.77982160246302545</c:v>
                </c:pt>
                <c:pt idx="169">
                  <c:v>0.77980080790658168</c:v>
                </c:pt>
                <c:pt idx="170">
                  <c:v>0.7797809366444034</c:v>
                </c:pt>
                <c:pt idx="171">
                  <c:v>0.77976194768151652</c:v>
                </c:pt>
                <c:pt idx="172">
                  <c:v>0.77974380184315539</c:v>
                </c:pt>
                <c:pt idx="173">
                  <c:v>0.779726461693944</c:v>
                </c:pt>
                <c:pt idx="174">
                  <c:v>0.77970989146066572</c:v>
                </c:pt>
                <c:pt idx="175">
                  <c:v>0.77969405695846239</c:v>
                </c:pt>
                <c:pt idx="176">
                  <c:v>0.77967892552030937</c:v>
                </c:pt>
                <c:pt idx="177">
                  <c:v>0.77966446592962346</c:v>
                </c:pt>
                <c:pt idx="178">
                  <c:v>0.77965064835586129</c:v>
                </c:pt>
                <c:pt idx="179">
                  <c:v>0.77963744429297888</c:v>
                </c:pt>
                <c:pt idx="180">
                  <c:v>0.77962482650062226</c:v>
                </c:pt>
                <c:pt idx="181">
                  <c:v>0.77961276894793019</c:v>
                </c:pt>
                <c:pt idx="182">
                  <c:v>0.77960124675983145</c:v>
                </c:pt>
                <c:pt idx="183">
                  <c:v>0.77959023616572742</c:v>
                </c:pt>
                <c:pt idx="184">
                  <c:v>0.77957971445045193</c:v>
                </c:pt>
                <c:pt idx="185">
                  <c:v>0.77956965990740978</c:v>
                </c:pt>
                <c:pt idx="186">
                  <c:v>0.77956005179379539</c:v>
                </c:pt>
                <c:pt idx="187">
                  <c:v>0.77955087028779946</c:v>
                </c:pt>
                <c:pt idx="188">
                  <c:v>0.77954209644771633</c:v>
                </c:pt>
                <c:pt idx="189">
                  <c:v>0.7795337121728666</c:v>
                </c:pt>
                <c:pt idx="190">
                  <c:v>0.779525700166255</c:v>
                </c:pt>
                <c:pt idx="191">
                  <c:v>0.7795180438988859</c:v>
                </c:pt>
                <c:pt idx="192">
                  <c:v>0.77951072757566409</c:v>
                </c:pt>
                <c:pt idx="193">
                  <c:v>0.77950373610280832</c:v>
                </c:pt>
                <c:pt idx="194">
                  <c:v>0.77949705505671318</c:v>
                </c:pt>
                <c:pt idx="195">
                  <c:v>0.77949067065419231</c:v>
                </c:pt>
                <c:pt idx="196">
                  <c:v>0.77948456972404312</c:v>
                </c:pt>
                <c:pt idx="197">
                  <c:v>0.77947873967987491</c:v>
                </c:pt>
                <c:pt idx="198">
                  <c:v>0.77947316849414217</c:v>
                </c:pt>
                <c:pt idx="199">
                  <c:v>0.77946784467333174</c:v>
                </c:pt>
                <c:pt idx="200">
                  <c:v>0.77946275723425129</c:v>
                </c:pt>
                <c:pt idx="201">
                  <c:v>0.77945789568137036</c:v>
                </c:pt>
                <c:pt idx="202">
                  <c:v>0.77945324998516852</c:v>
                </c:pt>
                <c:pt idx="203">
                  <c:v>0.77944881056144355</c:v>
                </c:pt>
                <c:pt idx="204">
                  <c:v>0.77944456825153907</c:v>
                </c:pt>
                <c:pt idx="205">
                  <c:v>0.77944051430345029</c:v>
                </c:pt>
                <c:pt idx="206">
                  <c:v>0.77943664035376792</c:v>
                </c:pt>
                <c:pt idx="207">
                  <c:v>0.7794329384104246</c:v>
                </c:pt>
                <c:pt idx="208">
                  <c:v>0.77942940083620682</c:v>
                </c:pt>
                <c:pt idx="209">
                  <c:v>0.77942602033299946</c:v>
                </c:pt>
                <c:pt idx="210">
                  <c:v>0.77942278992672887</c:v>
                </c:pt>
                <c:pt idx="211">
                  <c:v>0.77941970295297591</c:v>
                </c:pt>
                <c:pt idx="212">
                  <c:v>0.77941675304322688</c:v>
                </c:pt>
                <c:pt idx="213">
                  <c:v>0.77941393411173465</c:v>
                </c:pt>
                <c:pt idx="214">
                  <c:v>0.77941124034296405</c:v>
                </c:pt>
                <c:pt idx="215">
                  <c:v>0.77940866617959437</c:v>
                </c:pt>
                <c:pt idx="216">
                  <c:v>0.77940620631105395</c:v>
                </c:pt>
                <c:pt idx="217">
                  <c:v>0.77940385566256454</c:v>
                </c:pt>
                <c:pt idx="218">
                  <c:v>0.77940160938467218</c:v>
                </c:pt>
                <c:pt idx="219">
                  <c:v>0.77939946284324213</c:v>
                </c:pt>
                <c:pt idx="220">
                  <c:v>0.77939741160989906</c:v>
                </c:pt>
                <c:pt idx="221">
                  <c:v>0.77939545145289069</c:v>
                </c:pt>
                <c:pt idx="222">
                  <c:v>0.77939357832835776</c:v>
                </c:pt>
                <c:pt idx="223">
                  <c:v>0.77939178837199174</c:v>
                </c:pt>
                <c:pt idx="224">
                  <c:v>0.77939007789106218</c:v>
                </c:pt>
                <c:pt idx="225">
                  <c:v>0.77938844335679858</c:v>
                </c:pt>
                <c:pt idx="226">
                  <c:v>0.77938688139711076</c:v>
                </c:pt>
                <c:pt idx="227">
                  <c:v>0.77938538878963193</c:v>
                </c:pt>
                <c:pt idx="228">
                  <c:v>0.77938396245507058</c:v>
                </c:pt>
                <c:pt idx="229">
                  <c:v>0.77938259945085853</c:v>
                </c:pt>
                <c:pt idx="230">
                  <c:v>0.77938129696507952</c:v>
                </c:pt>
                <c:pt idx="231">
                  <c:v>0.77938005231066876</c:v>
                </c:pt>
                <c:pt idx="232">
                  <c:v>0.77937886291986902</c:v>
                </c:pt>
                <c:pt idx="233">
                  <c:v>0.77937772633893365</c:v>
                </c:pt>
                <c:pt idx="234">
                  <c:v>0.77937664022306408</c:v>
                </c:pt>
                <c:pt idx="235">
                  <c:v>0.77937560233157277</c:v>
                </c:pt>
                <c:pt idx="236">
                  <c:v>0.77937461052326018</c:v>
                </c:pt>
                <c:pt idx="237">
                  <c:v>0.77937366275199782</c:v>
                </c:pt>
                <c:pt idx="238">
                  <c:v>0.77937275706250697</c:v>
                </c:pt>
                <c:pt idx="239">
                  <c:v>0.77937189158632458</c:v>
                </c:pt>
                <c:pt idx="240">
                  <c:v>0.77937106453794891</c:v>
                </c:pt>
                <c:pt idx="241">
                  <c:v>0.7793702742111559</c:v>
                </c:pt>
                <c:pt idx="242">
                  <c:v>0.77936951897547901</c:v>
                </c:pt>
                <c:pt idx="243">
                  <c:v>0.7793687972728458</c:v>
                </c:pt>
                <c:pt idx="244">
                  <c:v>0.77936810761436337</c:v>
                </c:pt>
                <c:pt idx="245">
                  <c:v>0.77936744857724694</c:v>
                </c:pt>
                <c:pt idx="246">
                  <c:v>0.77936681880188419</c:v>
                </c:pt>
                <c:pt idx="247">
                  <c:v>0.77936621698903097</c:v>
                </c:pt>
                <c:pt idx="248">
                  <c:v>0.7793656418971302</c:v>
                </c:pt>
                <c:pt idx="249">
                  <c:v>0.77936509233975126</c:v>
                </c:pt>
                <c:pt idx="250">
                  <c:v>0.77936456718314173</c:v>
                </c:pt>
                <c:pt idx="251">
                  <c:v>0.77936406534388869</c:v>
                </c:pt>
                <c:pt idx="252">
                  <c:v>0.77936358578668363</c:v>
                </c:pt>
                <c:pt idx="253">
                  <c:v>0.77936312752218662</c:v>
                </c:pt>
                <c:pt idx="254">
                  <c:v>0.77936268960498489</c:v>
                </c:pt>
                <c:pt idx="255">
                  <c:v>0.77936227113164303</c:v>
                </c:pt>
                <c:pt idx="256">
                  <c:v>0.77936187123883871</c:v>
                </c:pt>
                <c:pt idx="257">
                  <c:v>0.77936148910158176</c:v>
                </c:pt>
                <c:pt idx="258">
                  <c:v>0.77936112393151236</c:v>
                </c:pt>
                <c:pt idx="259">
                  <c:v>0.77936077497527423</c:v>
                </c:pt>
                <c:pt idx="260">
                  <c:v>0.77936044151296102</c:v>
                </c:pt>
                <c:pt idx="261">
                  <c:v>0.77936012285663037</c:v>
                </c:pt>
                <c:pt idx="262">
                  <c:v>0.77935981834888535</c:v>
                </c:pt>
                <c:pt idx="263">
                  <c:v>0.77935952736151792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FA-42CD-BAE0-6F475679D3AA}"/>
            </c:ext>
          </c:extLst>
        </c:ser>
        <c:ser>
          <c:idx val="2"/>
          <c:order val="2"/>
          <c:tx>
            <c:strRef>
              <c:f>'Second Order V2'!$F$6</c:f>
              <c:strCache>
                <c:ptCount val="1"/>
                <c:pt idx="0">
                  <c:v>Expected minumum exponential response with x margin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V2'!$F$7:$F$270</c:f>
              <c:numCache>
                <c:formatCode>General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0.45646735307368097</c:v>
                </c:pt>
                <c:pt idx="3">
                  <c:v>0.46950042787665602</c:v>
                </c:pt>
                <c:pt idx="4">
                  <c:v>0.4819548241557986</c:v>
                </c:pt>
                <c:pt idx="5">
                  <c:v>0.49385623568168918</c:v>
                </c:pt>
                <c:pt idx="6">
                  <c:v>0.50522921540177501</c:v>
                </c:pt>
                <c:pt idx="7">
                  <c:v>0.51609722609379294</c:v>
                </c:pt>
                <c:pt idx="8">
                  <c:v>0.52648268877014104</c:v>
                </c:pt>
                <c:pt idx="9">
                  <c:v>0.53640702893305947</c:v>
                </c:pt>
                <c:pt idx="10">
                  <c:v>0.54589072077604506</c:v>
                </c:pt>
                <c:pt idx="11">
                  <c:v>0.55495332942269027</c:v>
                </c:pt>
                <c:pt idx="12">
                  <c:v>0.56361355129008417</c:v>
                </c:pt>
                <c:pt idx="13">
                  <c:v>0.57188925266004786</c:v>
                </c:pt>
                <c:pt idx="14">
                  <c:v>0.57979750653777773</c:v>
                </c:pt>
                <c:pt idx="15">
                  <c:v>0.58735462787393633</c:v>
                </c:pt>
                <c:pt idx="16">
                  <c:v>0.59457620722285554</c:v>
                </c:pt>
                <c:pt idx="17">
                  <c:v>0.6014771429062894</c:v>
                </c:pt>
                <c:pt idx="18">
                  <c:v>0.60807167174907184</c:v>
                </c:pt>
                <c:pt idx="19">
                  <c:v>0.61437339845008809</c:v>
                </c:pt>
                <c:pt idx="20">
                  <c:v>0.62039532364915106</c:v>
                </c:pt>
                <c:pt idx="21">
                  <c:v>0.62614987074768902</c:v>
                </c:pt>
                <c:pt idx="22">
                  <c:v>0.63164891153857128</c:v>
                </c:pt>
                <c:pt idx="23">
                  <c:v>0.63690379069795322</c:v>
                </c:pt>
                <c:pt idx="24">
                  <c:v>0.6419253491896616</c:v>
                </c:pt>
                <c:pt idx="25">
                  <c:v>0.64672394663040933</c:v>
                </c:pt>
                <c:pt idx="26">
                  <c:v>0.65130948266197652</c:v>
                </c:pt>
                <c:pt idx="27">
                  <c:v>0.65569141737445036</c:v>
                </c:pt>
                <c:pt idx="28">
                  <c:v>0.65987879082265788</c:v>
                </c:pt>
                <c:pt idx="29">
                  <c:v>0.66388024167605364</c:v>
                </c:pt>
                <c:pt idx="30">
                  <c:v>0.66770402504053872</c:v>
                </c:pt>
                <c:pt idx="31">
                  <c:v>0.67135802948897627</c:v>
                </c:pt>
                <c:pt idx="32">
                  <c:v>0.67484979333554018</c:v>
                </c:pt>
                <c:pt idx="33">
                  <c:v>0.6781865201874695</c:v>
                </c:pt>
                <c:pt idx="34">
                  <c:v>0.68137509380631323</c:v>
                </c:pt>
                <c:pt idx="35">
                  <c:v>0.68442209230932471</c:v>
                </c:pt>
                <c:pt idx="36">
                  <c:v>0.68733380174030223</c:v>
                </c:pt>
                <c:pt idx="37">
                  <c:v>0.69011622903787539</c:v>
                </c:pt>
                <c:pt idx="38">
                  <c:v>0.69277511442798845</c:v>
                </c:pt>
                <c:pt idx="39">
                  <c:v>0.69531594326614798</c:v>
                </c:pt>
                <c:pt idx="40">
                  <c:v>0.69774395735386663</c:v>
                </c:pt>
                <c:pt idx="41">
                  <c:v>0.70006416575264641</c:v>
                </c:pt>
                <c:pt idx="42">
                  <c:v>0.70228135511781464</c:v>
                </c:pt>
                <c:pt idx="43">
                  <c:v>0.70440009957352834</c:v>
                </c:pt>
                <c:pt idx="44">
                  <c:v>0.70642477014932159</c:v>
                </c:pt>
                <c:pt idx="45">
                  <c:v>0.70835954379766231</c:v>
                </c:pt>
                <c:pt idx="46">
                  <c:v>0.71020841201112306</c:v>
                </c:pt>
                <c:pt idx="47">
                  <c:v>0.71197518905694301</c:v>
                </c:pt>
                <c:pt idx="48">
                  <c:v>0.71366351984596843</c:v>
                </c:pt>
                <c:pt idx="49">
                  <c:v>0.71527688745220674</c:v>
                </c:pt>
                <c:pt idx="50">
                  <c:v>0.71681862029850618</c:v>
                </c:pt>
                <c:pt idx="51">
                  <c:v>0.71829189902318591</c:v>
                </c:pt>
                <c:pt idx="52">
                  <c:v>0.71969976304178296</c:v>
                </c:pt>
                <c:pt idx="53">
                  <c:v>0.72104511681745154</c:v>
                </c:pt>
                <c:pt idx="54">
                  <c:v>0.72233073585295282</c:v>
                </c:pt>
                <c:pt idx="55">
                  <c:v>0.72355927241659523</c:v>
                </c:pt>
                <c:pt idx="56">
                  <c:v>0.72473326101393898</c:v>
                </c:pt>
                <c:pt idx="57">
                  <c:v>0.72585512361655169</c:v>
                </c:pt>
                <c:pt idx="58">
                  <c:v>0.72692717465860512</c:v>
                </c:pt>
                <c:pt idx="59">
                  <c:v>0.72795162581161732</c:v>
                </c:pt>
                <c:pt idx="60">
                  <c:v>0.72893059054719345</c:v>
                </c:pt>
                <c:pt idx="61">
                  <c:v>0.72986608849717738</c:v>
                </c:pt>
                <c:pt idx="62">
                  <c:v>0.73076004962020924</c:v>
                </c:pt>
                <c:pt idx="63">
                  <c:v>0.73161431818328426</c:v>
                </c:pt>
                <c:pt idx="64">
                  <c:v>0.7324306565665275</c:v>
                </c:pt>
                <c:pt idx="65">
                  <c:v>0.73321074889903415</c:v>
                </c:pt>
                <c:pt idx="66">
                  <c:v>0.73395620453327493</c:v>
                </c:pt>
                <c:pt idx="67">
                  <c:v>0.73466856136523551</c:v>
                </c:pt>
                <c:pt idx="68">
                  <c:v>0.73534928900713992</c:v>
                </c:pt>
                <c:pt idx="69">
                  <c:v>0.7359997918193012</c:v>
                </c:pt>
                <c:pt idx="70">
                  <c:v>0.73662141180735685</c:v>
                </c:pt>
                <c:pt idx="71">
                  <c:v>0.73721543139086398</c:v>
                </c:pt>
                <c:pt idx="72">
                  <c:v>0.7377830760489672</c:v>
                </c:pt>
                <c:pt idx="73">
                  <c:v>0.73832551684859671</c:v>
                </c:pt>
                <c:pt idx="74">
                  <c:v>0.73884387286041198</c:v>
                </c:pt>
                <c:pt idx="75">
                  <c:v>0.73933921346747655</c:v>
                </c:pt>
                <c:pt idx="76">
                  <c:v>0.73981256057142508</c:v>
                </c:pt>
                <c:pt idx="77">
                  <c:v>0.74026489070067547</c:v>
                </c:pt>
                <c:pt idx="78">
                  <c:v>0.74069713702503437</c:v>
                </c:pt>
                <c:pt idx="79">
                  <c:v>0.74111019128085276</c:v>
                </c:pt>
                <c:pt idx="80">
                  <c:v>0.74150490561070337</c:v>
                </c:pt>
                <c:pt idx="81">
                  <c:v>0.74188209432137453</c:v>
                </c:pt>
                <c:pt idx="82">
                  <c:v>0.74224253556380837</c:v>
                </c:pt>
                <c:pt idx="83">
                  <c:v>0.74258697293844789</c:v>
                </c:pt>
                <c:pt idx="84">
                  <c:v>0.74291611702930582</c:v>
                </c:pt>
                <c:pt idx="85">
                  <c:v>0.74323064686991935</c:v>
                </c:pt>
                <c:pt idx="86">
                  <c:v>0.74353121134421518</c:v>
                </c:pt>
                <c:pt idx="87">
                  <c:v>0.74381843052517616</c:v>
                </c:pt>
                <c:pt idx="88">
                  <c:v>0.74409289695406844</c:v>
                </c:pt>
                <c:pt idx="89">
                  <c:v>0.74435517686287134</c:v>
                </c:pt>
                <c:pt idx="90">
                  <c:v>0.74460581134242965</c:v>
                </c:pt>
                <c:pt idx="91">
                  <c:v>0.7448453174587395</c:v>
                </c:pt>
                <c:pt idx="92">
                  <c:v>0.74507418931966984</c:v>
                </c:pt>
                <c:pt idx="93">
                  <c:v>0.74529289909432117</c:v>
                </c:pt>
                <c:pt idx="94">
                  <c:v>0.74550189798712319</c:v>
                </c:pt>
                <c:pt idx="95">
                  <c:v>0.74570161716868311</c:v>
                </c:pt>
                <c:pt idx="96">
                  <c:v>0.7458924686653019</c:v>
                </c:pt>
                <c:pt idx="97">
                  <c:v>0.74607484620899689</c:v>
                </c:pt>
                <c:pt idx="98">
                  <c:v>0.74624912604978122</c:v>
                </c:pt>
                <c:pt idx="99">
                  <c:v>0.74641566773187895</c:v>
                </c:pt>
                <c:pt idx="100">
                  <c:v>0.74657481483547483</c:v>
                </c:pt>
                <c:pt idx="101">
                  <c:v>0.7467268956855293</c:v>
                </c:pt>
                <c:pt idx="102">
                  <c:v>0.7468722240291229</c:v>
                </c:pt>
                <c:pt idx="103">
                  <c:v>0.74701109968272472</c:v>
                </c:pt>
                <c:pt idx="104">
                  <c:v>0.74714380915072298</c:v>
                </c:pt>
                <c:pt idx="105">
                  <c:v>0.74727062621649054</c:v>
                </c:pt>
                <c:pt idx="106">
                  <c:v>0.74739181250720899</c:v>
                </c:pt>
                <c:pt idx="107">
                  <c:v>0.74750761803361188</c:v>
                </c:pt>
                <c:pt idx="108">
                  <c:v>0.74761828170576439</c:v>
                </c:pt>
                <c:pt idx="109">
                  <c:v>0.7477240318259416</c:v>
                </c:pt>
                <c:pt idx="110">
                  <c:v>0.7478250865596221</c:v>
                </c:pt>
                <c:pt idx="111">
                  <c:v>0.74792165438557012</c:v>
                </c:pt>
                <c:pt idx="112">
                  <c:v>0.74801393452593257</c:v>
                </c:pt>
                <c:pt idx="113">
                  <c:v>0.74810211735723997</c:v>
                </c:pt>
                <c:pt idx="114">
                  <c:v>0.74818638480315913</c:v>
                </c:pt>
                <c:pt idx="115">
                  <c:v>0.74826691070980611</c:v>
                </c:pt>
                <c:pt idx="116">
                  <c:v>0.74834386120439622</c:v>
                </c:pt>
                <c:pt idx="117">
                  <c:v>0.74841739503796889</c:v>
                </c:pt>
                <c:pt idx="118">
                  <c:v>0.74848766391289534</c:v>
                </c:pt>
                <c:pt idx="119">
                  <c:v>0.74855481279584546</c:v>
                </c:pt>
                <c:pt idx="120">
                  <c:v>0.74861898021685724</c:v>
                </c:pt>
                <c:pt idx="121">
                  <c:v>0.74868029855512919</c:v>
                </c:pt>
                <c:pt idx="122">
                  <c:v>0.74873889431212148</c:v>
                </c:pt>
                <c:pt idx="123">
                  <c:v>0.7487948883725325</c:v>
                </c:pt>
                <c:pt idx="124">
                  <c:v>0.74884839625368704</c:v>
                </c:pt>
                <c:pt idx="125">
                  <c:v>0.74889952834385232</c:v>
                </c:pt>
                <c:pt idx="126">
                  <c:v>0.7489483901299715</c:v>
                </c:pt>
                <c:pt idx="127">
                  <c:v>0.74899508241528678</c:v>
                </c:pt>
                <c:pt idx="128">
                  <c:v>0.74903970152729882</c:v>
                </c:pt>
                <c:pt idx="129">
                  <c:v>0.74908233951649339</c:v>
                </c:pt>
                <c:pt idx="130">
                  <c:v>0.74912308434624408</c:v>
                </c:pt>
                <c:pt idx="131">
                  <c:v>0.74916202007428312</c:v>
                </c:pt>
                <c:pt idx="132">
                  <c:v>0.74919922702611497</c:v>
                </c:pt>
                <c:pt idx="133">
                  <c:v>0.74923478196073001</c:v>
                </c:pt>
                <c:pt idx="134">
                  <c:v>0.74926875822896055</c:v>
                </c:pt>
                <c:pt idx="135">
                  <c:v>0.74930122592480564</c:v>
                </c:pt>
                <c:pt idx="136">
                  <c:v>0.74933225203003706</c:v>
                </c:pt>
                <c:pt idx="137">
                  <c:v>0.74936190055238439</c:v>
                </c:pt>
                <c:pt idx="138">
                  <c:v>0.74939023265758486</c:v>
                </c:pt>
                <c:pt idx="139">
                  <c:v>0.74941730679557028</c:v>
                </c:pt>
                <c:pt idx="140">
                  <c:v>0.74944317882105038</c:v>
                </c:pt>
                <c:pt idx="141">
                  <c:v>0.74946790210874303</c:v>
                </c:pt>
                <c:pt idx="142">
                  <c:v>0.74949152766348748</c:v>
                </c:pt>
                <c:pt idx="143">
                  <c:v>0.74951410422546927</c:v>
                </c:pt>
                <c:pt idx="144">
                  <c:v>0.74953567837077217</c:v>
                </c:pt>
                <c:pt idx="145">
                  <c:v>0.74955629460746587</c:v>
                </c:pt>
                <c:pt idx="146">
                  <c:v>0.74957599546742792</c:v>
                </c:pt>
                <c:pt idx="147">
                  <c:v>0.74959482159408763</c:v>
                </c:pt>
                <c:pt idx="148">
                  <c:v>0.74961281182627515</c:v>
                </c:pt>
                <c:pt idx="149">
                  <c:v>0.74963000327834639</c:v>
                </c:pt>
                <c:pt idx="150">
                  <c:v>0.74964643141675158</c:v>
                </c:pt>
                <c:pt idx="151">
                  <c:v>0.74966213013320349</c:v>
                </c:pt>
                <c:pt idx="152">
                  <c:v>0.7496771318145965</c:v>
                </c:pt>
                <c:pt idx="153">
                  <c:v>0.74969146740982218</c:v>
                </c:pt>
                <c:pt idx="154">
                  <c:v>0.74970516649361763</c:v>
                </c:pt>
                <c:pt idx="155">
                  <c:v>0.7497182573275788</c:v>
                </c:pt>
                <c:pt idx="156">
                  <c:v>0.7497307669184653</c:v>
                </c:pt>
                <c:pt idx="157">
                  <c:v>0.74974272107391549</c:v>
                </c:pt>
                <c:pt idx="158">
                  <c:v>0.74975414445568922</c:v>
                </c:pt>
                <c:pt idx="159">
                  <c:v>0.74976506063054493</c:v>
                </c:pt>
                <c:pt idx="160">
                  <c:v>0.7497754921188593</c:v>
                </c:pt>
                <c:pt idx="161">
                  <c:v>0.74978546044108652</c:v>
                </c:pt>
                <c:pt idx="162">
                  <c:v>0.74979498616215634</c:v>
                </c:pt>
                <c:pt idx="163">
                  <c:v>0.74980408893389994</c:v>
                </c:pt>
                <c:pt idx="164">
                  <c:v>0.74981278753559188</c:v>
                </c:pt>
                <c:pt idx="165">
                  <c:v>0.74982109991269286</c:v>
                </c:pt>
                <c:pt idx="166">
                  <c:v>0.74982904321387089</c:v>
                </c:pt>
                <c:pt idx="167">
                  <c:v>0.74983663382638033</c:v>
                </c:pt>
                <c:pt idx="168">
                  <c:v>0.74984388740986885</c:v>
                </c:pt>
                <c:pt idx="169">
                  <c:v>0.74985081892868344</c:v>
                </c:pt>
                <c:pt idx="170">
                  <c:v>0.74985744268274279</c:v>
                </c:pt>
                <c:pt idx="171">
                  <c:v>0.74986377233703849</c:v>
                </c:pt>
                <c:pt idx="172">
                  <c:v>0.74986982094982546</c:v>
                </c:pt>
                <c:pt idx="173">
                  <c:v>0.74987560099956263</c:v>
                </c:pt>
                <c:pt idx="174">
                  <c:v>0.74988112441065535</c:v>
                </c:pt>
                <c:pt idx="175">
                  <c:v>0.7498864025780565</c:v>
                </c:pt>
                <c:pt idx="176">
                  <c:v>0.74989144639077421</c:v>
                </c:pt>
                <c:pt idx="177">
                  <c:v>0.74989626625433614</c:v>
                </c:pt>
                <c:pt idx="178">
                  <c:v>0.74990087211225687</c:v>
                </c:pt>
                <c:pt idx="179">
                  <c:v>0.749905273466551</c:v>
                </c:pt>
                <c:pt idx="180">
                  <c:v>0.74990947939733654</c:v>
                </c:pt>
                <c:pt idx="181">
                  <c:v>0.74991349858156719</c:v>
                </c:pt>
                <c:pt idx="182">
                  <c:v>0.74991733931093352</c:v>
                </c:pt>
                <c:pt idx="183">
                  <c:v>0.74992100950896812</c:v>
                </c:pt>
                <c:pt idx="184">
                  <c:v>0.74992451674739335</c:v>
                </c:pt>
                <c:pt idx="185">
                  <c:v>0.74992786826174074</c:v>
                </c:pt>
                <c:pt idx="186">
                  <c:v>0.74993107096627887</c:v>
                </c:pt>
                <c:pt idx="187">
                  <c:v>0.74993413146827748</c:v>
                </c:pt>
                <c:pt idx="188">
                  <c:v>0.74993705608163852</c:v>
                </c:pt>
                <c:pt idx="189">
                  <c:v>0.74993985083992176</c:v>
                </c:pt>
                <c:pt idx="190">
                  <c:v>0.74994252150879226</c:v>
                </c:pt>
                <c:pt idx="191">
                  <c:v>0.74994507359791529</c:v>
                </c:pt>
                <c:pt idx="192">
                  <c:v>0.7499475123723226</c:v>
                </c:pt>
                <c:pt idx="193">
                  <c:v>0.74994984286327449</c:v>
                </c:pt>
                <c:pt idx="194">
                  <c:v>0.7499520698786396</c:v>
                </c:pt>
                <c:pt idx="195">
                  <c:v>0.74995419801281316</c:v>
                </c:pt>
                <c:pt idx="196">
                  <c:v>0.74995623165619629</c:v>
                </c:pt>
                <c:pt idx="197">
                  <c:v>0.74995817500425233</c:v>
                </c:pt>
                <c:pt idx="198">
                  <c:v>0.74996003206616324</c:v>
                </c:pt>
                <c:pt idx="199">
                  <c:v>0.74996180667310008</c:v>
                </c:pt>
                <c:pt idx="200">
                  <c:v>0.74996350248612687</c:v>
                </c:pt>
                <c:pt idx="201">
                  <c:v>0.74996512300375384</c:v>
                </c:pt>
                <c:pt idx="202">
                  <c:v>0.74996667156915442</c:v>
                </c:pt>
                <c:pt idx="203">
                  <c:v>0.74996815137706274</c:v>
                </c:pt>
                <c:pt idx="204">
                  <c:v>0.74996956548036431</c:v>
                </c:pt>
                <c:pt idx="205">
                  <c:v>0.74997091679639383</c:v>
                </c:pt>
                <c:pt idx="206">
                  <c:v>0.74997220811295462</c:v>
                </c:pt>
                <c:pt idx="207">
                  <c:v>0.74997344209406913</c:v>
                </c:pt>
                <c:pt idx="208">
                  <c:v>0.74997462128547498</c:v>
                </c:pt>
                <c:pt idx="209">
                  <c:v>0.74997574811987744</c:v>
                </c:pt>
                <c:pt idx="210">
                  <c:v>0.74997682492196771</c:v>
                </c:pt>
                <c:pt idx="211">
                  <c:v>0.74997785391321869</c:v>
                </c:pt>
                <c:pt idx="212">
                  <c:v>0.7499788372164683</c:v>
                </c:pt>
                <c:pt idx="213">
                  <c:v>0.74997977686029904</c:v>
                </c:pt>
                <c:pt idx="214">
                  <c:v>0.74998067478322261</c:v>
                </c:pt>
                <c:pt idx="215">
                  <c:v>0.74998153283767921</c:v>
                </c:pt>
                <c:pt idx="216">
                  <c:v>0.74998235279385927</c:v>
                </c:pt>
                <c:pt idx="217">
                  <c:v>0.74998313634335578</c:v>
                </c:pt>
                <c:pt idx="218">
                  <c:v>0.74998388510265324</c:v>
                </c:pt>
                <c:pt idx="219">
                  <c:v>0.74998460061646322</c:v>
                </c:pt>
                <c:pt idx="220">
                  <c:v>0.74998528436091094</c:v>
                </c:pt>
                <c:pt idx="221">
                  <c:v>0.7499859377465804</c:v>
                </c:pt>
                <c:pt idx="222">
                  <c:v>0.74998656212142467</c:v>
                </c:pt>
                <c:pt idx="223">
                  <c:v>0.74998715877354671</c:v>
                </c:pt>
                <c:pt idx="224">
                  <c:v>0.74998772893385657</c:v>
                </c:pt>
                <c:pt idx="225">
                  <c:v>0.7499882737786111</c:v>
                </c:pt>
                <c:pt idx="226">
                  <c:v>0.74998879443184041</c:v>
                </c:pt>
                <c:pt idx="227">
                  <c:v>0.74998929196766662</c:v>
                </c:pt>
                <c:pt idx="228">
                  <c:v>0.74998976741252044</c:v>
                </c:pt>
                <c:pt idx="229">
                  <c:v>0.74999022174725782</c:v>
                </c:pt>
                <c:pt idx="230">
                  <c:v>0.74999065590918412</c:v>
                </c:pt>
                <c:pt idx="231">
                  <c:v>0.74999107079398775</c:v>
                </c:pt>
                <c:pt idx="232">
                  <c:v>0.74999146725758759</c:v>
                </c:pt>
                <c:pt idx="233">
                  <c:v>0.74999184611789937</c:v>
                </c:pt>
                <c:pt idx="234">
                  <c:v>0.74999220815652257</c:v>
                </c:pt>
                <c:pt idx="235">
                  <c:v>0.74999255412035304</c:v>
                </c:pt>
                <c:pt idx="236">
                  <c:v>0.74999288472312386</c:v>
                </c:pt>
                <c:pt idx="237">
                  <c:v>0.74999320064687802</c:v>
                </c:pt>
                <c:pt idx="238">
                  <c:v>0.74999350254337493</c:v>
                </c:pt>
                <c:pt idx="239">
                  <c:v>0.74999379103543573</c:v>
                </c:pt>
                <c:pt idx="240">
                  <c:v>0.74999406671822766</c:v>
                </c:pt>
                <c:pt idx="241">
                  <c:v>0.749994330160492</c:v>
                </c:pt>
                <c:pt idx="242">
                  <c:v>0.74999458190571766</c:v>
                </c:pt>
                <c:pt idx="243">
                  <c:v>0.74999482247326199</c:v>
                </c:pt>
                <c:pt idx="244">
                  <c:v>0.74999505235942288</c:v>
                </c:pt>
                <c:pt idx="245">
                  <c:v>0.74999527203846161</c:v>
                </c:pt>
                <c:pt idx="246">
                  <c:v>0.74999548196358257</c:v>
                </c:pt>
                <c:pt idx="247">
                  <c:v>0.74999568256786697</c:v>
                </c:pt>
                <c:pt idx="248">
                  <c:v>0.74999587426516723</c:v>
                </c:pt>
                <c:pt idx="249">
                  <c:v>0.74999605745096021</c:v>
                </c:pt>
                <c:pt idx="250">
                  <c:v>0.74999623250316338</c:v>
                </c:pt>
                <c:pt idx="251">
                  <c:v>0.74999639978291444</c:v>
                </c:pt>
                <c:pt idx="252">
                  <c:v>0.74999655963531608</c:v>
                </c:pt>
                <c:pt idx="253">
                  <c:v>0.74999671239014842</c:v>
                </c:pt>
                <c:pt idx="254">
                  <c:v>0.74999685836254903</c:v>
                </c:pt>
                <c:pt idx="255">
                  <c:v>0.74999699785366292</c:v>
                </c:pt>
                <c:pt idx="256">
                  <c:v>0.74999713115126443</c:v>
                </c:pt>
                <c:pt idx="257">
                  <c:v>0.74999725853035004</c:v>
                </c:pt>
                <c:pt idx="258">
                  <c:v>0.74999738025370655</c:v>
                </c:pt>
                <c:pt idx="259">
                  <c:v>0.74999749657245252</c:v>
                </c:pt>
                <c:pt idx="260">
                  <c:v>0.74999760772655699</c:v>
                </c:pt>
                <c:pt idx="261">
                  <c:v>0.74999771394533388</c:v>
                </c:pt>
                <c:pt idx="262">
                  <c:v>0.74999781544791555</c:v>
                </c:pt>
                <c:pt idx="263">
                  <c:v>0.74999791244370462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FA-42CD-BAE0-6F475679D3AA}"/>
            </c:ext>
          </c:extLst>
        </c:ser>
        <c:ser>
          <c:idx val="3"/>
          <c:order val="3"/>
          <c:tx>
            <c:strRef>
              <c:f>'Second Order V2'!$G$6</c:f>
              <c:strCache>
                <c:ptCount val="1"/>
                <c:pt idx="0">
                  <c:v>expecter behavior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V2'!$G$7:$G$270</c:f>
              <c:numCache>
                <c:formatCode>General</c:formatCode>
                <c:ptCount val="264"/>
                <c:pt idx="0">
                  <c:v>0.16293470614736194</c:v>
                </c:pt>
                <c:pt idx="1">
                  <c:v>0.21439284484470744</c:v>
                </c:pt>
                <c:pt idx="2">
                  <c:v>0.26746655308719619</c:v>
                </c:pt>
                <c:pt idx="3">
                  <c:v>0.32141271394052717</c:v>
                </c:pt>
                <c:pt idx="4">
                  <c:v>0.37554282565427594</c:v>
                </c:pt>
                <c:pt idx="5">
                  <c:v>0.42922607975566213</c:v>
                </c:pt>
                <c:pt idx="6">
                  <c:v>0.4818915165639428</c:v>
                </c:pt>
                <c:pt idx="7">
                  <c:v>0.53302931374972318</c:v>
                </c:pt>
                <c:pt idx="8">
                  <c:v>0.58219126858090609</c:v>
                </c:pt>
                <c:pt idx="9">
                  <c:v>0.62899053838997399</c:v>
                </c:pt>
                <c:pt idx="10">
                  <c:v>0.67310070661922128</c:v>
                </c:pt>
                <c:pt idx="11">
                  <c:v>0.71425424361238565</c:v>
                </c:pt>
                <c:pt idx="12">
                  <c:v>0.75224043218998837</c:v>
                </c:pt>
                <c:pt idx="13">
                  <c:v>0.78690282804358846</c:v>
                </c:pt>
                <c:pt idx="14">
                  <c:v>0.81813632418674487</c:v>
                </c:pt>
                <c:pt idx="15">
                  <c:v>0.84588388718587371</c:v>
                </c:pt>
                <c:pt idx="16">
                  <c:v>0.87013303074185344</c:v>
                </c:pt>
                <c:pt idx="17">
                  <c:v>0.89091208948300882</c:v>
                </c:pt>
                <c:pt idx="18">
                  <c:v>0.90828635264120261</c:v>
                </c:pt>
                <c:pt idx="19">
                  <c:v>0.92235411369297804</c:v>
                </c:pt>
                <c:pt idx="20">
                  <c:v>0.93324268813260147</c:v>
                </c:pt>
                <c:pt idx="21">
                  <c:v>0.94110444737617838</c:v>
                </c:pt>
                <c:pt idx="22">
                  <c:v>0.94611291244501428</c:v>
                </c:pt>
                <c:pt idx="23">
                  <c:v>0.94845894660741714</c:v>
                </c:pt>
                <c:pt idx="24">
                  <c:v>0.94834708163218751</c:v>
                </c:pt>
                <c:pt idx="25">
                  <c:v>0.94599200778046622</c:v>
                </c:pt>
                <c:pt idx="26">
                  <c:v>0.94161525318689565</c:v>
                </c:pt>
                <c:pt idx="27">
                  <c:v>0.93544207390259226</c:v>
                </c:pt>
                <c:pt idx="28">
                  <c:v>0.92769857163254132</c:v>
                </c:pt>
                <c:pt idx="29">
                  <c:v>0.91860905213481625</c:v>
                </c:pt>
                <c:pt idx="30">
                  <c:v>0.90839363338950818</c:v>
                </c:pt>
                <c:pt idx="31">
                  <c:v>0.89726610901741399</c:v>
                </c:pt>
                <c:pt idx="32">
                  <c:v>0.88543206905343796</c:v>
                </c:pt>
                <c:pt idx="33">
                  <c:v>0.8730872770737399</c:v>
                </c:pt>
                <c:pt idx="34">
                  <c:v>0.86041629985077805</c:v>
                </c:pt>
                <c:pt idx="35">
                  <c:v>0.84759138317426519</c:v>
                </c:pt>
                <c:pt idx="36">
                  <c:v>0.83477156523239504</c:v>
                </c:pt>
                <c:pt idx="37">
                  <c:v>0.8221020169965999</c:v>
                </c:pt>
                <c:pt idx="38">
                  <c:v>0.80971359739132809</c:v>
                </c:pt>
                <c:pt idx="39">
                  <c:v>0.79772260965163166</c:v>
                </c:pt>
                <c:pt idx="40">
                  <c:v>0.78623074416681327</c:v>
                </c:pt>
                <c:pt idx="41">
                  <c:v>0.77532519226673857</c:v>
                </c:pt>
                <c:pt idx="42">
                  <c:v>0.76507891481540347</c:v>
                </c:pt>
                <c:pt idx="43">
                  <c:v>0.75555104911900872</c:v>
                </c:pt>
                <c:pt idx="44">
                  <c:v>0.7467874375168233</c:v>
                </c:pt>
                <c:pt idx="45">
                  <c:v>0.73882126108511148</c:v>
                </c:pt>
                <c:pt idx="46">
                  <c:v>0.73167376212923341</c:v>
                </c:pt>
                <c:pt idx="47">
                  <c:v>0.72535503954801495</c:v>
                </c:pt>
                <c:pt idx="48">
                  <c:v>0.71986490170874806</c:v>
                </c:pt>
                <c:pt idx="49">
                  <c:v>0.71519376215180019</c:v>
                </c:pt>
                <c:pt idx="50">
                  <c:v>0.71132356423208587</c:v>
                </c:pt>
                <c:pt idx="51">
                  <c:v>0.70822872168228657</c:v>
                </c:pt>
                <c:pt idx="52">
                  <c:v>0.70587706303195685</c:v>
                </c:pt>
                <c:pt idx="53">
                  <c:v>0.7042307688205437</c:v>
                </c:pt>
                <c:pt idx="54">
                  <c:v>0.70324729158470201</c:v>
                </c:pt>
                <c:pt idx="55">
                  <c:v>0.70288024966595763</c:v>
                </c:pt>
                <c:pt idx="56">
                  <c:v>0.70308028695959934</c:v>
                </c:pt>
                <c:pt idx="57">
                  <c:v>0.70379589179668089</c:v>
                </c:pt>
                <c:pt idx="58">
                  <c:v>0.70497416920635458</c:v>
                </c:pt>
                <c:pt idx="59">
                  <c:v>0.70656156183479502</c:v>
                </c:pt>
                <c:pt idx="60">
                  <c:v>0.70850451579032236</c:v>
                </c:pt>
                <c:pt idx="61">
                  <c:v>0.7107500886337984</c:v>
                </c:pt>
                <c:pt idx="62">
                  <c:v>0.71324649763197656</c:v>
                </c:pt>
                <c:pt idx="63">
                  <c:v>0.7159436072334554</c:v>
                </c:pt>
                <c:pt idx="64">
                  <c:v>0.71879335550755408</c:v>
                </c:pt>
                <c:pt idx="65">
                  <c:v>0.72175012000226735</c:v>
                </c:pt>
                <c:pt idx="66">
                  <c:v>0.72477102412595606</c:v>
                </c:pt>
                <c:pt idx="67">
                  <c:v>0.7278161857370723</c:v>
                </c:pt>
                <c:pt idx="68">
                  <c:v>0.73084891013639885</c:v>
                </c:pt>
                <c:pt idx="69">
                  <c:v>0.73383583009723985</c:v>
                </c:pt>
                <c:pt idx="70">
                  <c:v>0.73674699594173199</c:v>
                </c:pt>
                <c:pt idx="71">
                  <c:v>0.73955591897764716</c:v>
                </c:pt>
                <c:pt idx="72">
                  <c:v>0.74223957185202261</c:v>
                </c:pt>
                <c:pt idx="73">
                  <c:v>0.74477834955852007</c:v>
                </c:pt>
                <c:pt idx="74">
                  <c:v>0.74715599495785057</c:v>
                </c:pt>
                <c:pt idx="75">
                  <c:v>0.74935949273857527</c:v>
                </c:pt>
                <c:pt idx="76">
                  <c:v>0.75137893576305181</c:v>
                </c:pt>
                <c:pt idx="77">
                  <c:v>0.75320736771443453</c:v>
                </c:pt>
                <c:pt idx="78">
                  <c:v>0.75484060588980206</c:v>
                </c:pt>
                <c:pt idx="79">
                  <c:v>0.75627704787612771</c:v>
                </c:pt>
                <c:pt idx="80">
                  <c:v>0.75751746570441481</c:v>
                </c:pt>
                <c:pt idx="81">
                  <c:v>0.7585647909073665</c:v>
                </c:pt>
                <c:pt idx="82">
                  <c:v>0.75942389371185526</c:v>
                </c:pt>
                <c:pt idx="83">
                  <c:v>0.76010135938350798</c:v>
                </c:pt>
                <c:pt idx="84">
                  <c:v>0.76060526451107469</c:v>
                </c:pt>
                <c:pt idx="85">
                  <c:v>0.76094495577687926</c:v>
                </c:pt>
                <c:pt idx="86">
                  <c:v>0.76113083351031863</c:v>
                </c:pt>
                <c:pt idx="87">
                  <c:v>0.76117414206760137</c:v>
                </c:pt>
                <c:pt idx="88">
                  <c:v>0.76108676882597093</c:v>
                </c:pt>
                <c:pt idx="89">
                  <c:v>0.76088105332753819</c:v>
                </c:pt>
                <c:pt idx="90">
                  <c:v>0.76056960785926797</c:v>
                </c:pt>
                <c:pt idx="91">
                  <c:v>0.76016515051405598</c:v>
                </c:pt>
                <c:pt idx="92">
                  <c:v>0.7596803515453362</c:v>
                </c:pt>
                <c:pt idx="93">
                  <c:v>0.75912769360611687</c:v>
                </c:pt>
                <c:pt idx="94">
                  <c:v>0.75851934625433359</c:v>
                </c:pt>
                <c:pt idx="95">
                  <c:v>0.75786705491119977</c:v>
                </c:pt>
                <c:pt idx="96">
                  <c:v>0.75718204427886682</c:v>
                </c:pt>
                <c:pt idx="97">
                  <c:v>0.75647493605891769</c:v>
                </c:pt>
                <c:pt idx="98">
                  <c:v>0.75575568066454446</c:v>
                </c:pt>
                <c:pt idx="99">
                  <c:v>0.75503350248698387</c:v>
                </c:pt>
                <c:pt idx="100">
                  <c:v>0.75431685816098171</c:v>
                </c:pt>
                <c:pt idx="101">
                  <c:v>0.75361340717462222</c:v>
                </c:pt>
                <c:pt idx="102">
                  <c:v>0.752929994085486</c:v>
                </c:pt>
                <c:pt idx="103">
                  <c:v>0.75227264153735585</c:v>
                </c:pt>
                <c:pt idx="104">
                  <c:v>0.75164655321897711</c:v>
                </c:pt>
                <c:pt idx="105">
                  <c:v>0.75105612586799719</c:v>
                </c:pt>
                <c:pt idx="106">
                  <c:v>0.75050496939834133</c:v>
                </c:pt>
                <c:pt idx="107">
                  <c:v>0.7499959342170518</c:v>
                </c:pt>
                <c:pt idx="108">
                  <c:v>0.74953114479604888</c:v>
                </c:pt>
                <c:pt idx="109">
                  <c:v>0.74911203857437547</c:v>
                </c:pt>
                <c:pt idx="110">
                  <c:v>0.74873940928620697</c:v>
                </c:pt>
                <c:pt idx="111">
                  <c:v>0.74841345383819646</c:v>
                </c:pt>
                <c:pt idx="112">
                  <c:v>0.7481338218955117</c:v>
                </c:pt>
                <c:pt idx="113">
                  <c:v>0.74789966737814406</c:v>
                </c:pt>
                <c:pt idx="114">
                  <c:v>0.74770970111670099</c:v>
                </c:pt>
                <c:pt idx="115">
                  <c:v>0.74756224396891469</c:v>
                </c:pt>
                <c:pt idx="116">
                  <c:v>0.74745527975353865</c:v>
                </c:pt>
                <c:pt idx="117">
                  <c:v>0.74738650741624035</c:v>
                </c:pt>
                <c:pt idx="118">
                  <c:v>0.74735339190165018</c:v>
                </c:pt>
                <c:pt idx="119">
                  <c:v>0.74735321326608206</c:v>
                </c:pt>
                <c:pt idx="120">
                  <c:v>0.74738311362584198</c:v>
                </c:pt>
                <c:pt idx="121">
                  <c:v>0.74744014159579952</c:v>
                </c:pt>
                <c:pt idx="122">
                  <c:v>0.74752129393138811</c:v>
                </c:pt>
                <c:pt idx="123">
                  <c:v>0.74762355414386994</c:v>
                </c:pt>
                <c:pt idx="124">
                  <c:v>0.74774392791306765</c:v>
                </c:pt>
                <c:pt idx="125">
                  <c:v>0.74787947517340314</c:v>
                </c:pt>
                <c:pt idx="126">
                  <c:v>0.74802733879765237</c:v>
                </c:pt>
                <c:pt idx="127">
                  <c:v>0.74818476984803273</c:v>
                </c:pt>
                <c:pt idx="128">
                  <c:v>0.7483491494058675</c:v>
                </c:pt>
                <c:pt idx="129">
                  <c:v>0.74851800702895865</c:v>
                </c:pt>
                <c:pt idx="130">
                  <c:v>0.74868903591983615</c:v>
                </c:pt>
                <c:pt idx="131">
                  <c:v>0.74886010491819077</c:v>
                </c:pt>
                <c:pt idx="132">
                  <c:v>0.74902926745703013</c:v>
                </c:pt>
                <c:pt idx="133">
                  <c:v>0.74919476764447135</c:v>
                </c:pt>
                <c:pt idx="134">
                  <c:v>0.7493550436516706</c:v>
                </c:pt>
                <c:pt idx="135">
                  <c:v>0.74950872860231632</c:v>
                </c:pt>
                <c:pt idx="136">
                  <c:v>0.74965464917052249</c:v>
                </c:pt>
                <c:pt idx="137">
                  <c:v>0.74979182210202744</c:v>
                </c:pt>
                <c:pt idx="138">
                  <c:v>0.74991944887853257</c:v>
                </c:pt>
                <c:pt idx="139">
                  <c:v>0.75003690874701567</c:v>
                </c:pt>
                <c:pt idx="140">
                  <c:v>0.75014375033516667</c:v>
                </c:pt>
                <c:pt idx="141">
                  <c:v>0.7502396820709466</c:v>
                </c:pt>
                <c:pt idx="142">
                  <c:v>0.75032456161893035</c:v>
                </c:pt>
                <c:pt idx="143">
                  <c:v>0.75039838453878904</c:v>
                </c:pt>
                <c:pt idx="144">
                  <c:v>0.75046127236228055</c:v>
                </c:pt>
                <c:pt idx="145">
                  <c:v>0.75051346027466248</c:v>
                </c:pt>
                <c:pt idx="146">
                  <c:v>0.75055528457479903</c:v>
                </c:pt>
                <c:pt idx="147">
                  <c:v>0.7505871700756106</c:v>
                </c:pt>
                <c:pt idx="148">
                  <c:v>0.75060961759315781</c:v>
                </c:pt>
                <c:pt idx="149">
                  <c:v>0.75062319165876989</c:v>
                </c:pt>
                <c:pt idx="150">
                  <c:v>0.75062850857442098</c:v>
                </c:pt>
                <c:pt idx="151">
                  <c:v>0.75062622491722353</c:v>
                </c:pt>
                <c:pt idx="152">
                  <c:v>0.75061702658461293</c:v>
                </c:pt>
                <c:pt idx="153">
                  <c:v>0.75060161845770657</c:v>
                </c:pt>
                <c:pt idx="154">
                  <c:v>0.75058071474656674</c:v>
                </c:pt>
                <c:pt idx="155">
                  <c:v>0.75055503006782498</c:v>
                </c:pt>
                <c:pt idx="156">
                  <c:v>0.75052527129241764</c:v>
                </c:pt>
                <c:pt idx="157">
                  <c:v>0.75049213018916305</c:v>
                </c:pt>
                <c:pt idx="158">
                  <c:v>0.75045627687863592</c:v>
                </c:pt>
                <c:pt idx="159">
                  <c:v>0.75041835410133195</c:v>
                </c:pt>
                <c:pt idx="160">
                  <c:v>0.75037897229452621</c:v>
                </c:pt>
                <c:pt idx="161">
                  <c:v>0.75033870546352288</c:v>
                </c:pt>
                <c:pt idx="162">
                  <c:v>0.75029808782521734</c:v>
                </c:pt>
                <c:pt idx="163">
                  <c:v>0.75025761119503398</c:v>
                </c:pt>
                <c:pt idx="164">
                  <c:v>0.75021772308237289</c:v>
                </c:pt>
                <c:pt idx="165">
                  <c:v>0.75017882545467851</c:v>
                </c:pt>
                <c:pt idx="166">
                  <c:v>0.75014127412611142</c:v>
                </c:pt>
                <c:pt idx="167">
                  <c:v>0.75010537872353389</c:v>
                </c:pt>
                <c:pt idx="168">
                  <c:v>0.75007140318006604</c:v>
                </c:pt>
                <c:pt idx="169">
                  <c:v>0.7500395667047981</c:v>
                </c:pt>
                <c:pt idx="170">
                  <c:v>0.75001004517630032</c:v>
                </c:pt>
                <c:pt idx="171">
                  <c:v>0.74998297290730209</c:v>
                </c:pt>
                <c:pt idx="172">
                  <c:v>0.74995844472826978</c:v>
                </c:pt>
                <c:pt idx="173">
                  <c:v>0.74993651833852548</c:v>
                </c:pt>
                <c:pt idx="174">
                  <c:v>0.74991721687497126</c:v>
                </c:pt>
                <c:pt idx="175">
                  <c:v>0.74990053165034798</c:v>
                </c:pt>
                <c:pt idx="176">
                  <c:v>0.74988642501520419</c:v>
                </c:pt>
                <c:pt idx="177">
                  <c:v>0.74987483330032767</c:v>
                </c:pt>
                <c:pt idx="178">
                  <c:v>0.74986566979922908</c:v>
                </c:pt>
                <c:pt idx="179">
                  <c:v>0.74985882775332624</c:v>
                </c:pt>
                <c:pt idx="180">
                  <c:v>0.74985418330568432</c:v>
                </c:pt>
                <c:pt idx="181">
                  <c:v>0.74985159839249527</c:v>
                </c:pt>
                <c:pt idx="182">
                  <c:v>0.74985092354485716</c:v>
                </c:pt>
                <c:pt idx="183">
                  <c:v>0.74985200057682044</c:v>
                </c:pt>
                <c:pt idx="184">
                  <c:v>0.74985466513904186</c:v>
                </c:pt>
                <c:pt idx="185">
                  <c:v>0.74985874912071271</c:v>
                </c:pt>
                <c:pt idx="186">
                  <c:v>0.74986408288565065</c:v>
                </c:pt>
                <c:pt idx="187">
                  <c:v>0.74987049733155819</c:v>
                </c:pt>
                <c:pt idx="188">
                  <c:v>0.74987782576441109</c:v>
                </c:pt>
                <c:pt idx="189">
                  <c:v>0.74988590558273904</c:v>
                </c:pt>
                <c:pt idx="190">
                  <c:v>0.74989457976917495</c:v>
                </c:pt>
                <c:pt idx="191">
                  <c:v>0.74990369818906588</c:v>
                </c:pt>
                <c:pt idx="192">
                  <c:v>0.74991311869814858</c:v>
                </c:pt>
                <c:pt idx="193">
                  <c:v>0.74992270806328576</c:v>
                </c:pt>
                <c:pt idx="194">
                  <c:v>0.74993234270203912</c:v>
                </c:pt>
                <c:pt idx="195">
                  <c:v>0.74994190924840709</c:v>
                </c:pt>
                <c:pt idx="196">
                  <c:v>0.74995130495339624</c:v>
                </c:pt>
                <c:pt idx="197">
                  <c:v>0.74996043793021827</c:v>
                </c:pt>
                <c:pt idx="198">
                  <c:v>0.7499692272548184</c:v>
                </c:pt>
                <c:pt idx="199">
                  <c:v>0.74997760293315396</c:v>
                </c:pt>
                <c:pt idx="200">
                  <c:v>0.74998550574716738</c:v>
                </c:pt>
                <c:pt idx="201">
                  <c:v>0.74999288699173272</c:v>
                </c:pt>
                <c:pt idx="202">
                  <c:v>0.74999970811503369</c:v>
                </c:pt>
                <c:pt idx="203">
                  <c:v>0.75000594027484069</c:v>
                </c:pt>
                <c:pt idx="204">
                  <c:v>0.75001156382303003</c:v>
                </c:pt>
                <c:pt idx="205">
                  <c:v>0.75001656773043246</c:v>
                </c:pt>
                <c:pt idx="206">
                  <c:v>0.75002094896372196</c:v>
                </c:pt>
                <c:pt idx="207">
                  <c:v>0.75002471182559094</c:v>
                </c:pt>
                <c:pt idx="208">
                  <c:v>0.75002786726888993</c:v>
                </c:pt>
                <c:pt idx="209">
                  <c:v>0.75003043219478649</c:v>
                </c:pt>
                <c:pt idx="210">
                  <c:v>0.75003242874430043</c:v>
                </c:pt>
                <c:pt idx="211">
                  <c:v>0.75003388359183831</c:v>
                </c:pt>
                <c:pt idx="212">
                  <c:v>0.75003482724857817</c:v>
                </c:pt>
                <c:pt idx="213">
                  <c:v>0.75003529338276198</c:v>
                </c:pt>
                <c:pt idx="214">
                  <c:v>0.7500353181631465</c:v>
                </c:pt>
                <c:pt idx="215">
                  <c:v>0.75003493963106183</c:v>
                </c:pt>
                <c:pt idx="216">
                  <c:v>0.75003419710572306</c:v>
                </c:pt>
                <c:pt idx="217">
                  <c:v>0.75003313062666566</c:v>
                </c:pt>
                <c:pt idx="218">
                  <c:v>0.75003178043641061</c:v>
                </c:pt>
                <c:pt idx="219">
                  <c:v>0.75003018650574582</c:v>
                </c:pt>
                <c:pt idx="220">
                  <c:v>0.75002838810331263</c:v>
                </c:pt>
                <c:pt idx="221">
                  <c:v>0.75002642341054182</c:v>
                </c:pt>
                <c:pt idx="222">
                  <c:v>0.75002432918237194</c:v>
                </c:pt>
                <c:pt idx="223">
                  <c:v>0.75002214045363269</c:v>
                </c:pt>
                <c:pt idx="224">
                  <c:v>0.75001989029045846</c:v>
                </c:pt>
                <c:pt idx="225">
                  <c:v>0.75001760958565</c:v>
                </c:pt>
                <c:pt idx="226">
                  <c:v>0.75001532689648931</c:v>
                </c:pt>
                <c:pt idx="227">
                  <c:v>0.75001306832316594</c:v>
                </c:pt>
                <c:pt idx="228">
                  <c:v>0.75001085742566775</c:v>
                </c:pt>
                <c:pt idx="229">
                  <c:v>0.75000871517674128</c:v>
                </c:pt>
                <c:pt idx="230">
                  <c:v>0.75000665994832372</c:v>
                </c:pt>
                <c:pt idx="231">
                  <c:v>0.75000470752869353</c:v>
                </c:pt>
                <c:pt idx="232">
                  <c:v>0.75000287116747977</c:v>
                </c:pt>
                <c:pt idx="233">
                  <c:v>0.75000116164559683</c:v>
                </c:pt>
                <c:pt idx="234">
                  <c:v>0.74999958736714878</c:v>
                </c:pt>
                <c:pt idx="235">
                  <c:v>0.74999815447035012</c:v>
                </c:pt>
                <c:pt idx="236">
                  <c:v>0.74999686695455225</c:v>
                </c:pt>
                <c:pt idx="237">
                  <c:v>0.74999572682053472</c:v>
                </c:pt>
                <c:pt idx="238">
                  <c:v>0.74999473422131568</c:v>
                </c:pt>
                <c:pt idx="239">
                  <c:v>0.74999388762085495</c:v>
                </c:pt>
                <c:pt idx="240">
                  <c:v>0.74999318395816261</c:v>
                </c:pt>
                <c:pt idx="241">
                  <c:v>0.74999261881447798</c:v>
                </c:pt>
                <c:pt idx="242">
                  <c:v>0.74999218658135658</c:v>
                </c:pt>
                <c:pt idx="243">
                  <c:v>0.74999188062767275</c:v>
                </c:pt>
                <c:pt idx="244">
                  <c:v>0.7499916934637394</c:v>
                </c:pt>
                <c:pt idx="245">
                  <c:v>0.74999161690092842</c:v>
                </c:pt>
                <c:pt idx="246">
                  <c:v>0.74999164220536985</c:v>
                </c:pt>
                <c:pt idx="247">
                  <c:v>0.74999176024449932</c:v>
                </c:pt>
                <c:pt idx="248">
                  <c:v>0.74999196162540849</c:v>
                </c:pt>
                <c:pt idx="249">
                  <c:v>0.74999223682413974</c:v>
                </c:pt>
                <c:pt idx="250">
                  <c:v>0.74999257630524341</c:v>
                </c:pt>
                <c:pt idx="251">
                  <c:v>0.74999297063108372</c:v>
                </c:pt>
                <c:pt idx="252">
                  <c:v>0.74999341056054247</c:v>
                </c:pt>
                <c:pt idx="253">
                  <c:v>0.74999388713692106</c:v>
                </c:pt>
                <c:pt idx="254">
                  <c:v>0.74999439176497829</c:v>
                </c:pt>
                <c:pt idx="255">
                  <c:v>0.74999491627717441</c:v>
                </c:pt>
                <c:pt idx="256">
                  <c:v>0.74999545298930415</c:v>
                </c:pt>
                <c:pt idx="257">
                  <c:v>0.74999599474580991</c:v>
                </c:pt>
                <c:pt idx="258">
                  <c:v>0.7499965349551555</c:v>
                </c:pt>
                <c:pt idx="259">
                  <c:v>0.74999706761572182</c:v>
                </c:pt>
                <c:pt idx="260">
                  <c:v>0.74999758733275379</c:v>
                </c:pt>
                <c:pt idx="261">
                  <c:v>0.74999808932694234</c:v>
                </c:pt>
                <c:pt idx="262">
                  <c:v>0.74999856943527088</c:v>
                </c:pt>
                <c:pt idx="263">
                  <c:v>0.74999902410478836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CFA-42CD-BAE0-6F475679D3AA}"/>
            </c:ext>
          </c:extLst>
        </c:ser>
        <c:ser>
          <c:idx val="4"/>
          <c:order val="4"/>
          <c:tx>
            <c:strRef>
              <c:f>'Second Order V2'!$M$6</c:f>
              <c:strCache>
                <c:ptCount val="1"/>
                <c:pt idx="0">
                  <c:v>min margin * Expected second order response with 10 ms delay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V2'!$M$7:$M$270</c:f>
              <c:numCache>
                <c:formatCode>General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0.45646735307368097</c:v>
                </c:pt>
                <c:pt idx="3">
                  <c:v>0.48219642242235372</c:v>
                </c:pt>
                <c:pt idx="4">
                  <c:v>0.50873327654359812</c:v>
                </c:pt>
                <c:pt idx="5">
                  <c:v>0.53570635697026359</c:v>
                </c:pt>
                <c:pt idx="6">
                  <c:v>0.56277141282713794</c:v>
                </c:pt>
                <c:pt idx="7">
                  <c:v>0.58961303987783109</c:v>
                </c:pt>
                <c:pt idx="8">
                  <c:v>0.6159457582819714</c:v>
                </c:pt>
                <c:pt idx="9">
                  <c:v>0.64151465687486153</c:v>
                </c:pt>
                <c:pt idx="10">
                  <c:v>0.66609563429045304</c:v>
                </c:pt>
                <c:pt idx="11">
                  <c:v>0.68949526919498705</c:v>
                </c:pt>
                <c:pt idx="12">
                  <c:v>0.71155035330961058</c:v>
                </c:pt>
                <c:pt idx="13">
                  <c:v>0.73212712180619288</c:v>
                </c:pt>
                <c:pt idx="14">
                  <c:v>0.75112021609499413</c:v>
                </c:pt>
                <c:pt idx="15">
                  <c:v>0.76845141402179418</c:v>
                </c:pt>
                <c:pt idx="16">
                  <c:v>0.78406816209337249</c:v>
                </c:pt>
                <c:pt idx="17">
                  <c:v>0.79794194359293691</c:v>
                </c:pt>
                <c:pt idx="18">
                  <c:v>0.81006651537092678</c:v>
                </c:pt>
                <c:pt idx="19">
                  <c:v>0.82045604474150435</c:v>
                </c:pt>
                <c:pt idx="20">
                  <c:v>0.82914317632060131</c:v>
                </c:pt>
                <c:pt idx="21">
                  <c:v>0.83617705684648902</c:v>
                </c:pt>
                <c:pt idx="22">
                  <c:v>0.84162134406630074</c:v>
                </c:pt>
                <c:pt idx="23">
                  <c:v>0.84555222368808924</c:v>
                </c:pt>
                <c:pt idx="24">
                  <c:v>0.84805645622250714</c:v>
                </c:pt>
                <c:pt idx="25">
                  <c:v>0.84922947330370857</c:v>
                </c:pt>
                <c:pt idx="26">
                  <c:v>0.84917354081609375</c:v>
                </c:pt>
                <c:pt idx="27">
                  <c:v>0.84799600389023311</c:v>
                </c:pt>
                <c:pt idx="28">
                  <c:v>0.84580762659344777</c:v>
                </c:pt>
                <c:pt idx="29">
                  <c:v>0.84272103695129608</c:v>
                </c:pt>
                <c:pt idx="30">
                  <c:v>0.83884928581627072</c:v>
                </c:pt>
                <c:pt idx="31">
                  <c:v>0.83430452606740813</c:v>
                </c:pt>
                <c:pt idx="32">
                  <c:v>0.82919681669475409</c:v>
                </c:pt>
                <c:pt idx="33">
                  <c:v>0.82363305450870694</c:v>
                </c:pt>
                <c:pt idx="34">
                  <c:v>0.81771603452671893</c:v>
                </c:pt>
                <c:pt idx="35">
                  <c:v>0.81154363853686995</c:v>
                </c:pt>
                <c:pt idx="36">
                  <c:v>0.80520814992538903</c:v>
                </c:pt>
                <c:pt idx="37">
                  <c:v>0.79879569158713259</c:v>
                </c:pt>
                <c:pt idx="38">
                  <c:v>0.79238578261619752</c:v>
                </c:pt>
                <c:pt idx="39">
                  <c:v>0.7860510084982999</c:v>
                </c:pt>
                <c:pt idx="40">
                  <c:v>0.77985679869566404</c:v>
                </c:pt>
                <c:pt idx="41">
                  <c:v>0.77386130482581583</c:v>
                </c:pt>
                <c:pt idx="42">
                  <c:v>0.76811537208340663</c:v>
                </c:pt>
                <c:pt idx="43">
                  <c:v>0.76266259613336929</c:v>
                </c:pt>
                <c:pt idx="44">
                  <c:v>0.75753945740770168</c:v>
                </c:pt>
                <c:pt idx="45">
                  <c:v>0.75277552455950436</c:v>
                </c:pt>
                <c:pt idx="46">
                  <c:v>0.74839371875841165</c:v>
                </c:pt>
                <c:pt idx="47">
                  <c:v>0.74441063054255574</c:v>
                </c:pt>
                <c:pt idx="48">
                  <c:v>0.74083688106461676</c:v>
                </c:pt>
                <c:pt idx="49">
                  <c:v>0.73767751977400742</c:v>
                </c:pt>
                <c:pt idx="50">
                  <c:v>0.73493245085437409</c:v>
                </c:pt>
                <c:pt idx="51">
                  <c:v>0.73259688107590004</c:v>
                </c:pt>
                <c:pt idx="52">
                  <c:v>0.73066178211604293</c:v>
                </c:pt>
                <c:pt idx="53">
                  <c:v>0.72911436084114323</c:v>
                </c:pt>
                <c:pt idx="54">
                  <c:v>0.72793853151597843</c:v>
                </c:pt>
                <c:pt idx="55">
                  <c:v>0.7271153844102719</c:v>
                </c:pt>
                <c:pt idx="56">
                  <c:v>0.72662364579235095</c:v>
                </c:pt>
                <c:pt idx="57">
                  <c:v>0.72644012483297882</c:v>
                </c:pt>
                <c:pt idx="58">
                  <c:v>0.72654014347979967</c:v>
                </c:pt>
                <c:pt idx="59">
                  <c:v>0.72689794589834045</c:v>
                </c:pt>
                <c:pt idx="60">
                  <c:v>0.72748708460317735</c:v>
                </c:pt>
                <c:pt idx="61">
                  <c:v>0.72828078091739745</c:v>
                </c:pt>
                <c:pt idx="62">
                  <c:v>0.72925225789516124</c:v>
                </c:pt>
                <c:pt idx="63">
                  <c:v>0.73037504431689915</c:v>
                </c:pt>
                <c:pt idx="64">
                  <c:v>0.73162324881598828</c:v>
                </c:pt>
                <c:pt idx="65">
                  <c:v>0.73297180361672765</c:v>
                </c:pt>
                <c:pt idx="66">
                  <c:v>0.73439667775377704</c:v>
                </c:pt>
                <c:pt idx="67">
                  <c:v>0.73587506000113367</c:v>
                </c:pt>
                <c:pt idx="68">
                  <c:v>0.73738551206297809</c:v>
                </c:pt>
                <c:pt idx="69">
                  <c:v>0.7389080928685362</c:v>
                </c:pt>
                <c:pt idx="70">
                  <c:v>0.74042445506819943</c:v>
                </c:pt>
                <c:pt idx="71">
                  <c:v>0.74191791504861992</c:v>
                </c:pt>
                <c:pt idx="72">
                  <c:v>0.74337349797086605</c:v>
                </c:pt>
                <c:pt idx="73">
                  <c:v>0.74477795948882353</c:v>
                </c:pt>
                <c:pt idx="74">
                  <c:v>0.74611978592601125</c:v>
                </c:pt>
                <c:pt idx="75">
                  <c:v>0.74738917477926003</c:v>
                </c:pt>
                <c:pt idx="76">
                  <c:v>0.74857799747892528</c:v>
                </c:pt>
                <c:pt idx="77">
                  <c:v>0.74967974636928769</c:v>
                </c:pt>
                <c:pt idx="78">
                  <c:v>0.75068946788152591</c:v>
                </c:pt>
                <c:pt idx="79">
                  <c:v>0.75160368385721732</c:v>
                </c:pt>
                <c:pt idx="80">
                  <c:v>0.75242030294490103</c:v>
                </c:pt>
                <c:pt idx="81">
                  <c:v>0.7531385239380638</c:v>
                </c:pt>
                <c:pt idx="82">
                  <c:v>0.7537587328522074</c:v>
                </c:pt>
                <c:pt idx="83">
                  <c:v>0.75428239545368325</c:v>
                </c:pt>
                <c:pt idx="84">
                  <c:v>0.75471194685592757</c:v>
                </c:pt>
                <c:pt idx="85">
                  <c:v>0.75505067969175399</c:v>
                </c:pt>
                <c:pt idx="86">
                  <c:v>0.7553026322555374</c:v>
                </c:pt>
                <c:pt idx="87">
                  <c:v>0.75547247788843963</c:v>
                </c:pt>
                <c:pt idx="88">
                  <c:v>0.75556541675515931</c:v>
                </c:pt>
                <c:pt idx="89">
                  <c:v>0.75558707103380063</c:v>
                </c:pt>
                <c:pt idx="90">
                  <c:v>0.75554338441298541</c:v>
                </c:pt>
                <c:pt idx="91">
                  <c:v>0.75544052666376915</c:v>
                </c:pt>
                <c:pt idx="92">
                  <c:v>0.75528480392963404</c:v>
                </c:pt>
                <c:pt idx="93">
                  <c:v>0.75508257525702804</c:v>
                </c:pt>
                <c:pt idx="94">
                  <c:v>0.75484017577266804</c:v>
                </c:pt>
                <c:pt idx="95">
                  <c:v>0.75456384680305844</c:v>
                </c:pt>
                <c:pt idx="96">
                  <c:v>0.7542596731271668</c:v>
                </c:pt>
                <c:pt idx="97">
                  <c:v>0.75393352745559983</c:v>
                </c:pt>
                <c:pt idx="98">
                  <c:v>0.75359102213943341</c:v>
                </c:pt>
                <c:pt idx="99">
                  <c:v>0.75323746802945879</c:v>
                </c:pt>
                <c:pt idx="100">
                  <c:v>0.75287784033227223</c:v>
                </c:pt>
                <c:pt idx="101">
                  <c:v>0.75251675124349193</c:v>
                </c:pt>
                <c:pt idx="102">
                  <c:v>0.7521584290804908</c:v>
                </c:pt>
                <c:pt idx="103">
                  <c:v>0.75180670358731116</c:v>
                </c:pt>
                <c:pt idx="104">
                  <c:v>0.75146499704274305</c:v>
                </c:pt>
                <c:pt idx="105">
                  <c:v>0.75113632076867787</c:v>
                </c:pt>
                <c:pt idx="106">
                  <c:v>0.75082327660948855</c:v>
                </c:pt>
                <c:pt idx="107">
                  <c:v>0.75052806293399865</c:v>
                </c:pt>
                <c:pt idx="108">
                  <c:v>0.75025248469917072</c:v>
                </c:pt>
                <c:pt idx="109">
                  <c:v>0.74999796710852584</c:v>
                </c:pt>
                <c:pt idx="110">
                  <c:v>0.74976557239802444</c:v>
                </c:pt>
                <c:pt idx="111">
                  <c:v>0.74955601928718774</c:v>
                </c:pt>
                <c:pt idx="112">
                  <c:v>0.74936970464310348</c:v>
                </c:pt>
                <c:pt idx="113">
                  <c:v>0.74920672691909818</c:v>
                </c:pt>
                <c:pt idx="114">
                  <c:v>0.7490669109477559</c:v>
                </c:pt>
                <c:pt idx="115">
                  <c:v>0.74894983368907198</c:v>
                </c:pt>
                <c:pt idx="116">
                  <c:v>0.74885485055835044</c:v>
                </c:pt>
                <c:pt idx="117">
                  <c:v>0.74878112198445734</c:v>
                </c:pt>
                <c:pt idx="118">
                  <c:v>0.74872763987676927</c:v>
                </c:pt>
                <c:pt idx="119">
                  <c:v>0.74869325370812012</c:v>
                </c:pt>
                <c:pt idx="120">
                  <c:v>0.74867669595082509</c:v>
                </c:pt>
                <c:pt idx="121">
                  <c:v>0.74867660663304103</c:v>
                </c:pt>
                <c:pt idx="122">
                  <c:v>0.74869155681292099</c:v>
                </c:pt>
                <c:pt idx="123">
                  <c:v>0.74872007079789982</c:v>
                </c:pt>
                <c:pt idx="124">
                  <c:v>0.74876064696569411</c:v>
                </c:pt>
                <c:pt idx="125">
                  <c:v>0.74881177707193503</c:v>
                </c:pt>
                <c:pt idx="126">
                  <c:v>0.74887196395653388</c:v>
                </c:pt>
                <c:pt idx="127">
                  <c:v>0.74893973758670163</c:v>
                </c:pt>
                <c:pt idx="128">
                  <c:v>0.74901366939882619</c:v>
                </c:pt>
                <c:pt idx="129">
                  <c:v>0.74909238492401631</c:v>
                </c:pt>
                <c:pt idx="130">
                  <c:v>0.74917457470293369</c:v>
                </c:pt>
                <c:pt idx="131">
                  <c:v>0.74925900351447927</c:v>
                </c:pt>
                <c:pt idx="132">
                  <c:v>0.74934451795991808</c:v>
                </c:pt>
                <c:pt idx="133">
                  <c:v>0.74943005245909544</c:v>
                </c:pt>
                <c:pt idx="134">
                  <c:v>0.74951463372851501</c:v>
                </c:pt>
                <c:pt idx="135">
                  <c:v>0.74959738382223573</c:v>
                </c:pt>
                <c:pt idx="136">
                  <c:v>0.74967752182583536</c:v>
                </c:pt>
                <c:pt idx="137">
                  <c:v>0.74975436430115816</c:v>
                </c:pt>
                <c:pt idx="138">
                  <c:v>0.74982732458526125</c:v>
                </c:pt>
                <c:pt idx="139">
                  <c:v>0.74989591105101372</c:v>
                </c:pt>
                <c:pt idx="140">
                  <c:v>0.74995972443926628</c:v>
                </c:pt>
                <c:pt idx="141">
                  <c:v>0.75001845437350789</c:v>
                </c:pt>
                <c:pt idx="142">
                  <c:v>0.75007187516758334</c:v>
                </c:pt>
                <c:pt idx="143">
                  <c:v>0.75011984103547336</c:v>
                </c:pt>
                <c:pt idx="144">
                  <c:v>0.75016228080946512</c:v>
                </c:pt>
                <c:pt idx="145">
                  <c:v>0.75019919226939447</c:v>
                </c:pt>
                <c:pt idx="146">
                  <c:v>0.75023063618114028</c:v>
                </c:pt>
                <c:pt idx="147">
                  <c:v>0.75025673013733118</c:v>
                </c:pt>
                <c:pt idx="148">
                  <c:v>0.75027764228739957</c:v>
                </c:pt>
                <c:pt idx="149">
                  <c:v>0.7502935850378053</c:v>
                </c:pt>
                <c:pt idx="150">
                  <c:v>0.7503048087965789</c:v>
                </c:pt>
                <c:pt idx="151">
                  <c:v>0.75031159582938489</c:v>
                </c:pt>
                <c:pt idx="152">
                  <c:v>0.75031425428721044</c:v>
                </c:pt>
                <c:pt idx="153">
                  <c:v>0.75031311245861176</c:v>
                </c:pt>
                <c:pt idx="154">
                  <c:v>0.75030851329230652</c:v>
                </c:pt>
                <c:pt idx="155">
                  <c:v>0.75030080922885323</c:v>
                </c:pt>
                <c:pt idx="156">
                  <c:v>0.75029035737328331</c:v>
                </c:pt>
                <c:pt idx="157">
                  <c:v>0.75027751503391249</c:v>
                </c:pt>
                <c:pt idx="158">
                  <c:v>0.75026263564620876</c:v>
                </c:pt>
                <c:pt idx="159">
                  <c:v>0.75024606509458158</c:v>
                </c:pt>
                <c:pt idx="160">
                  <c:v>0.7502281384393179</c:v>
                </c:pt>
                <c:pt idx="161">
                  <c:v>0.75020917705066603</c:v>
                </c:pt>
                <c:pt idx="162">
                  <c:v>0.75018948614726311</c:v>
                </c:pt>
                <c:pt idx="163">
                  <c:v>0.75016935273176144</c:v>
                </c:pt>
                <c:pt idx="164">
                  <c:v>0.75014904391260862</c:v>
                </c:pt>
                <c:pt idx="165">
                  <c:v>0.75012880559751693</c:v>
                </c:pt>
                <c:pt idx="166">
                  <c:v>0.7501088615411865</c:v>
                </c:pt>
                <c:pt idx="167">
                  <c:v>0.75008941272733931</c:v>
                </c:pt>
                <c:pt idx="168">
                  <c:v>0.75007063706305577</c:v>
                </c:pt>
                <c:pt idx="169">
                  <c:v>0.75005268936176694</c:v>
                </c:pt>
                <c:pt idx="170">
                  <c:v>0.75003570159003297</c:v>
                </c:pt>
                <c:pt idx="171">
                  <c:v>0.75001978335239905</c:v>
                </c:pt>
                <c:pt idx="172">
                  <c:v>0.75000502258815016</c:v>
                </c:pt>
                <c:pt idx="173">
                  <c:v>0.74999148645365099</c:v>
                </c:pt>
                <c:pt idx="174">
                  <c:v>0.74997922236413483</c:v>
                </c:pt>
                <c:pt idx="175">
                  <c:v>0.74996825916926269</c:v>
                </c:pt>
                <c:pt idx="176">
                  <c:v>0.74995860843748563</c:v>
                </c:pt>
                <c:pt idx="177">
                  <c:v>0.74995026582517399</c:v>
                </c:pt>
                <c:pt idx="178">
                  <c:v>0.7499432125076021</c:v>
                </c:pt>
                <c:pt idx="179">
                  <c:v>0.74993741665016378</c:v>
                </c:pt>
                <c:pt idx="180">
                  <c:v>0.7499328348996146</c:v>
                </c:pt>
                <c:pt idx="181">
                  <c:v>0.74992941387666312</c:v>
                </c:pt>
                <c:pt idx="182">
                  <c:v>0.7499270916528421</c:v>
                </c:pt>
                <c:pt idx="183">
                  <c:v>0.74992579919624758</c:v>
                </c:pt>
                <c:pt idx="184">
                  <c:v>0.74992546177242858</c:v>
                </c:pt>
                <c:pt idx="185">
                  <c:v>0.74992600028841017</c:v>
                </c:pt>
                <c:pt idx="186">
                  <c:v>0.74992733256952093</c:v>
                </c:pt>
                <c:pt idx="187">
                  <c:v>0.74992937456035635</c:v>
                </c:pt>
                <c:pt idx="188">
                  <c:v>0.74993204144282533</c:v>
                </c:pt>
                <c:pt idx="189">
                  <c:v>0.7499352486657791</c:v>
                </c:pt>
                <c:pt idx="190">
                  <c:v>0.7499389128822056</c:v>
                </c:pt>
                <c:pt idx="191">
                  <c:v>0.74994295279136947</c:v>
                </c:pt>
                <c:pt idx="192">
                  <c:v>0.74994728988458748</c:v>
                </c:pt>
                <c:pt idx="193">
                  <c:v>0.74995184909453294</c:v>
                </c:pt>
                <c:pt idx="194">
                  <c:v>0.74995655934907424</c:v>
                </c:pt>
                <c:pt idx="195">
                  <c:v>0.74996135403164288</c:v>
                </c:pt>
                <c:pt idx="196">
                  <c:v>0.74996617135101951</c:v>
                </c:pt>
                <c:pt idx="197">
                  <c:v>0.74997095462420349</c:v>
                </c:pt>
                <c:pt idx="198">
                  <c:v>0.74997565247669806</c:v>
                </c:pt>
                <c:pt idx="199">
                  <c:v>0.74998021896510914</c:v>
                </c:pt>
                <c:pt idx="200">
                  <c:v>0.7499846136274092</c:v>
                </c:pt>
                <c:pt idx="201">
                  <c:v>0.74998880146657698</c:v>
                </c:pt>
                <c:pt idx="202">
                  <c:v>0.74999275287358369</c:v>
                </c:pt>
                <c:pt idx="203">
                  <c:v>0.74999644349586636</c:v>
                </c:pt>
                <c:pt idx="204">
                  <c:v>0.7499998540575169</c:v>
                </c:pt>
                <c:pt idx="205">
                  <c:v>0.75000297013742034</c:v>
                </c:pt>
                <c:pt idx="206">
                  <c:v>0.75000578191151501</c:v>
                </c:pt>
                <c:pt idx="207">
                  <c:v>0.75000828386521623</c:v>
                </c:pt>
                <c:pt idx="208">
                  <c:v>0.75001047448186098</c:v>
                </c:pt>
                <c:pt idx="209">
                  <c:v>0.75001235591279547</c:v>
                </c:pt>
                <c:pt idx="210">
                  <c:v>0.75001393363444491</c:v>
                </c:pt>
                <c:pt idx="211">
                  <c:v>0.7500152160973933</c:v>
                </c:pt>
                <c:pt idx="212">
                  <c:v>0.75001621437215016</c:v>
                </c:pt>
                <c:pt idx="213">
                  <c:v>0.75001694179591916</c:v>
                </c:pt>
                <c:pt idx="214">
                  <c:v>0.75001741362428909</c:v>
                </c:pt>
                <c:pt idx="215">
                  <c:v>0.75001764669138105</c:v>
                </c:pt>
                <c:pt idx="216">
                  <c:v>0.75001765908157325</c:v>
                </c:pt>
                <c:pt idx="217">
                  <c:v>0.75001746981553086</c:v>
                </c:pt>
                <c:pt idx="218">
                  <c:v>0.75001709855286158</c:v>
                </c:pt>
                <c:pt idx="219">
                  <c:v>0.75001656531333283</c:v>
                </c:pt>
                <c:pt idx="220">
                  <c:v>0.75001589021820536</c:v>
                </c:pt>
                <c:pt idx="221">
                  <c:v>0.75001509325287286</c:v>
                </c:pt>
                <c:pt idx="222">
                  <c:v>0.75001419405165637</c:v>
                </c:pt>
                <c:pt idx="223">
                  <c:v>0.75001321170527091</c:v>
                </c:pt>
                <c:pt idx="224">
                  <c:v>0.75001216459118603</c:v>
                </c:pt>
                <c:pt idx="225">
                  <c:v>0.75001107022681635</c:v>
                </c:pt>
                <c:pt idx="226">
                  <c:v>0.75000994514522923</c:v>
                </c:pt>
                <c:pt idx="227">
                  <c:v>0.75000880479282495</c:v>
                </c:pt>
                <c:pt idx="228">
                  <c:v>0.75000766344824465</c:v>
                </c:pt>
                <c:pt idx="229">
                  <c:v>0.75000653416158292</c:v>
                </c:pt>
                <c:pt idx="230">
                  <c:v>0.75000542871283393</c:v>
                </c:pt>
                <c:pt idx="231">
                  <c:v>0.7500043575883707</c:v>
                </c:pt>
                <c:pt idx="232">
                  <c:v>0.75000332997416186</c:v>
                </c:pt>
                <c:pt idx="233">
                  <c:v>0.75000235376434676</c:v>
                </c:pt>
                <c:pt idx="234">
                  <c:v>0.75000143558373988</c:v>
                </c:pt>
                <c:pt idx="235">
                  <c:v>0.75000058082279841</c:v>
                </c:pt>
                <c:pt idx="236">
                  <c:v>0.74999979368357439</c:v>
                </c:pt>
                <c:pt idx="237">
                  <c:v>0.749999077235175</c:v>
                </c:pt>
                <c:pt idx="238">
                  <c:v>0.74999843347727613</c:v>
                </c:pt>
                <c:pt idx="239">
                  <c:v>0.74999786341026731</c:v>
                </c:pt>
                <c:pt idx="240">
                  <c:v>0.74999736711065779</c:v>
                </c:pt>
                <c:pt idx="241">
                  <c:v>0.74999694381042747</c:v>
                </c:pt>
                <c:pt idx="242">
                  <c:v>0.74999659197908131</c:v>
                </c:pt>
                <c:pt idx="243">
                  <c:v>0.74999630940723905</c:v>
                </c:pt>
                <c:pt idx="244">
                  <c:v>0.74999609329067829</c:v>
                </c:pt>
                <c:pt idx="245">
                  <c:v>0.74999594031383632</c:v>
                </c:pt>
                <c:pt idx="246">
                  <c:v>0.7499958467318697</c:v>
                </c:pt>
                <c:pt idx="247">
                  <c:v>0.74999580845046421</c:v>
                </c:pt>
                <c:pt idx="248">
                  <c:v>0.74999582110268492</c:v>
                </c:pt>
                <c:pt idx="249">
                  <c:v>0.74999588012224971</c:v>
                </c:pt>
                <c:pt idx="250">
                  <c:v>0.74999598081270424</c:v>
                </c:pt>
                <c:pt idx="251">
                  <c:v>0.74999611841206981</c:v>
                </c:pt>
                <c:pt idx="252">
                  <c:v>0.74999628815262176</c:v>
                </c:pt>
                <c:pt idx="253">
                  <c:v>0.74999648531554186</c:v>
                </c:pt>
                <c:pt idx="254">
                  <c:v>0.74999670528027118</c:v>
                </c:pt>
                <c:pt idx="255">
                  <c:v>0.74999694356846047</c:v>
                </c:pt>
                <c:pt idx="256">
                  <c:v>0.74999719588248914</c:v>
                </c:pt>
                <c:pt idx="257">
                  <c:v>0.7499974581385872</c:v>
                </c:pt>
                <c:pt idx="258">
                  <c:v>0.74999772649465213</c:v>
                </c:pt>
                <c:pt idx="259">
                  <c:v>0.74999799737290496</c:v>
                </c:pt>
                <c:pt idx="260">
                  <c:v>0.74999826747757781</c:v>
                </c:pt>
                <c:pt idx="261">
                  <c:v>0.74999853380786097</c:v>
                </c:pt>
                <c:pt idx="262">
                  <c:v>0.7499987936663769</c:v>
                </c:pt>
                <c:pt idx="263">
                  <c:v>0.74999904466347111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CFA-42CD-BAE0-6F475679D3AA}"/>
            </c:ext>
          </c:extLst>
        </c:ser>
        <c:ser>
          <c:idx val="5"/>
          <c:order val="5"/>
          <c:tx>
            <c:strRef>
              <c:f>'Second Order V2'!$N$6</c:f>
              <c:strCache>
                <c:ptCount val="1"/>
                <c:pt idx="0">
                  <c:v>using the expected envelope as a max when the damped sinusoid decreases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V2'!$N$7:$N$270</c:f>
              <c:numCache>
                <c:formatCode>General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0.45646735307368097</c:v>
                </c:pt>
                <c:pt idx="3">
                  <c:v>0.48219642242235372</c:v>
                </c:pt>
                <c:pt idx="4">
                  <c:v>0.50873327654359812</c:v>
                </c:pt>
                <c:pt idx="5">
                  <c:v>0.53570635697026359</c:v>
                </c:pt>
                <c:pt idx="6">
                  <c:v>0.56277141282713794</c:v>
                </c:pt>
                <c:pt idx="7">
                  <c:v>0.58961303987783109</c:v>
                </c:pt>
                <c:pt idx="8">
                  <c:v>0.6159457582819714</c:v>
                </c:pt>
                <c:pt idx="9">
                  <c:v>0.64151465687486153</c:v>
                </c:pt>
                <c:pt idx="10">
                  <c:v>0.66609563429045304</c:v>
                </c:pt>
                <c:pt idx="11">
                  <c:v>0.77935326469263189</c:v>
                </c:pt>
                <c:pt idx="12">
                  <c:v>0.78271391297761439</c:v>
                </c:pt>
                <c:pt idx="13">
                  <c:v>0.83470750675801464</c:v>
                </c:pt>
                <c:pt idx="14">
                  <c:v>0.88155775097274924</c:v>
                </c:pt>
                <c:pt idx="15">
                  <c:v>0.9231790954714425</c:v>
                </c:pt>
                <c:pt idx="16">
                  <c:v>0.9595528108054121</c:v>
                </c:pt>
                <c:pt idx="17">
                  <c:v>0.99072139891714517</c:v>
                </c:pt>
                <c:pt idx="18">
                  <c:v>1.0167827936544358</c:v>
                </c:pt>
                <c:pt idx="19">
                  <c:v>1.0378844352320991</c:v>
                </c:pt>
                <c:pt idx="20">
                  <c:v>1.0542172968915342</c:v>
                </c:pt>
                <c:pt idx="21">
                  <c:v>1.0660099357568995</c:v>
                </c:pt>
                <c:pt idx="22">
                  <c:v>1.0735226333601533</c:v>
                </c:pt>
                <c:pt idx="23">
                  <c:v>1.0770416846037576</c:v>
                </c:pt>
                <c:pt idx="24">
                  <c:v>1.1035772171236473</c:v>
                </c:pt>
                <c:pt idx="25">
                  <c:v>1.089181424801404</c:v>
                </c:pt>
                <c:pt idx="26">
                  <c:v>1.0754248167067024</c:v>
                </c:pt>
                <c:pt idx="27">
                  <c:v>1.0622790125692811</c:v>
                </c:pt>
                <c:pt idx="28">
                  <c:v>1.0497168922246585</c:v>
                </c:pt>
                <c:pt idx="29">
                  <c:v>1.0377125396644711</c:v>
                </c:pt>
                <c:pt idx="30">
                  <c:v>1.0262411895710157</c:v>
                </c:pt>
                <c:pt idx="31">
                  <c:v>1.0152791762257032</c:v>
                </c:pt>
                <c:pt idx="32">
                  <c:v>1.0048038846860115</c:v>
                </c:pt>
                <c:pt idx="33">
                  <c:v>0.99479370413022339</c:v>
                </c:pt>
                <c:pt idx="34">
                  <c:v>0.98522798327369199</c:v>
                </c:pt>
                <c:pt idx="35">
                  <c:v>0.97608698776465785</c:v>
                </c:pt>
                <c:pt idx="36">
                  <c:v>0.9673518594717252</c:v>
                </c:pt>
                <c:pt idx="37">
                  <c:v>0.9590045775790057</c:v>
                </c:pt>
                <c:pt idx="38">
                  <c:v>0.95102792140866665</c:v>
                </c:pt>
                <c:pt idx="39">
                  <c:v>0.94340543489418782</c:v>
                </c:pt>
                <c:pt idx="40">
                  <c:v>0.93612139263103211</c:v>
                </c:pt>
                <c:pt idx="41">
                  <c:v>0.92916076743469267</c:v>
                </c:pt>
                <c:pt idx="42">
                  <c:v>0.92250919933918796</c:v>
                </c:pt>
                <c:pt idx="43">
                  <c:v>0.91615296597204676</c:v>
                </c:pt>
                <c:pt idx="44">
                  <c:v>0.91007895424466712</c:v>
                </c:pt>
                <c:pt idx="45">
                  <c:v>0.90427463329964508</c:v>
                </c:pt>
                <c:pt idx="46">
                  <c:v>0.89872802865926282</c:v>
                </c:pt>
                <c:pt idx="47">
                  <c:v>0.89342769752180284</c:v>
                </c:pt>
                <c:pt idx="48">
                  <c:v>0.88836270515472648</c:v>
                </c:pt>
                <c:pt idx="49">
                  <c:v>0.88352260233601154</c:v>
                </c:pt>
                <c:pt idx="50">
                  <c:v>0.87889740379711345</c:v>
                </c:pt>
                <c:pt idx="51">
                  <c:v>0.87447756762307405</c:v>
                </c:pt>
                <c:pt idx="52">
                  <c:v>0.87025397556728301</c:v>
                </c:pt>
                <c:pt idx="53">
                  <c:v>0.86621791424027739</c:v>
                </c:pt>
                <c:pt idx="54">
                  <c:v>0.86236105713377342</c:v>
                </c:pt>
                <c:pt idx="55">
                  <c:v>0.85867544744284607</c:v>
                </c:pt>
                <c:pt idx="56">
                  <c:v>0.85515348165081506</c:v>
                </c:pt>
                <c:pt idx="57">
                  <c:v>0.85178789384297671</c:v>
                </c:pt>
                <c:pt idx="58">
                  <c:v>0.8485717407168164</c:v>
                </c:pt>
                <c:pt idx="59">
                  <c:v>0.84549838725777993</c:v>
                </c:pt>
                <c:pt idx="60">
                  <c:v>0.84256149305105166</c:v>
                </c:pt>
                <c:pt idx="61">
                  <c:v>0.83975499920109975</c:v>
                </c:pt>
                <c:pt idx="62">
                  <c:v>0.83707311583200417</c:v>
                </c:pt>
                <c:pt idx="63">
                  <c:v>0.83451031014277921</c:v>
                </c:pt>
                <c:pt idx="64">
                  <c:v>0.83206129499304937</c:v>
                </c:pt>
                <c:pt idx="65">
                  <c:v>0.82972101799552944</c:v>
                </c:pt>
                <c:pt idx="66">
                  <c:v>0.82748465109280722</c:v>
                </c:pt>
                <c:pt idx="67">
                  <c:v>0.82534758059692526</c:v>
                </c:pt>
                <c:pt idx="68">
                  <c:v>0.82330539767121202</c:v>
                </c:pt>
                <c:pt idx="69">
                  <c:v>0.82135388923472819</c:v>
                </c:pt>
                <c:pt idx="70">
                  <c:v>0.81948902927056144</c:v>
                </c:pt>
                <c:pt idx="71">
                  <c:v>0.81770697052004004</c:v>
                </c:pt>
                <c:pt idx="72">
                  <c:v>0.81600403654573028</c:v>
                </c:pt>
                <c:pt idx="73">
                  <c:v>0.81437671414684187</c:v>
                </c:pt>
                <c:pt idx="74">
                  <c:v>0.81282164611139596</c:v>
                </c:pt>
                <c:pt idx="75">
                  <c:v>0.81133562429020234</c:v>
                </c:pt>
                <c:pt idx="76">
                  <c:v>0.80991558297835664</c:v>
                </c:pt>
                <c:pt idx="77">
                  <c:v>0.80855859259060547</c:v>
                </c:pt>
                <c:pt idx="78">
                  <c:v>0.80726185361752878</c:v>
                </c:pt>
                <c:pt idx="79">
                  <c:v>0.80602269085007361</c:v>
                </c:pt>
                <c:pt idx="80">
                  <c:v>0.80483854786052189</c:v>
                </c:pt>
                <c:pt idx="81">
                  <c:v>0.80370698172850841</c:v>
                </c:pt>
                <c:pt idx="82">
                  <c:v>0.80262565800120678</c:v>
                </c:pt>
                <c:pt idx="83">
                  <c:v>0.80159234587728811</c:v>
                </c:pt>
                <c:pt idx="84">
                  <c:v>0.80060491360471431</c:v>
                </c:pt>
                <c:pt idx="85">
                  <c:v>0.79966132408287394</c:v>
                </c:pt>
                <c:pt idx="86">
                  <c:v>0.79875963065998623</c:v>
                </c:pt>
                <c:pt idx="87">
                  <c:v>0.79789797311710342</c:v>
                </c:pt>
                <c:pt idx="88">
                  <c:v>0.79707457383042646</c:v>
                </c:pt>
                <c:pt idx="89">
                  <c:v>0.79628773410401787</c:v>
                </c:pt>
                <c:pt idx="90">
                  <c:v>0.79553583066534284</c:v>
                </c:pt>
                <c:pt idx="91">
                  <c:v>0.79481731231641328</c:v>
                </c:pt>
                <c:pt idx="92">
                  <c:v>0.79413069673362224</c:v>
                </c:pt>
                <c:pt idx="93">
                  <c:v>0.79347456740966849</c:v>
                </c:pt>
                <c:pt idx="94">
                  <c:v>0.79284757073126222</c:v>
                </c:pt>
                <c:pt idx="95">
                  <c:v>0.79224841318658257</c:v>
                </c:pt>
                <c:pt idx="96">
                  <c:v>0.79167585869672608</c:v>
                </c:pt>
                <c:pt idx="97">
                  <c:v>0.79112872606564133</c:v>
                </c:pt>
                <c:pt idx="98">
                  <c:v>0.79060588654328834</c:v>
                </c:pt>
                <c:pt idx="99">
                  <c:v>0.79010626149699492</c:v>
                </c:pt>
                <c:pt idx="100">
                  <c:v>0.78962882018620739</c:v>
                </c:pt>
                <c:pt idx="101">
                  <c:v>0.78917257763604398</c:v>
                </c:pt>
                <c:pt idx="102">
                  <c:v>0.7887365926052633</c:v>
                </c:pt>
                <c:pt idx="103">
                  <c:v>0.78831996564445761</c:v>
                </c:pt>
                <c:pt idx="104">
                  <c:v>0.78792183724046305</c:v>
                </c:pt>
                <c:pt idx="105">
                  <c:v>0.78754138604316026</c:v>
                </c:pt>
                <c:pt idx="106">
                  <c:v>0.78717782717100493</c:v>
                </c:pt>
                <c:pt idx="107">
                  <c:v>0.78683041059179637</c:v>
                </c:pt>
                <c:pt idx="108">
                  <c:v>0.78649841957533873</c:v>
                </c:pt>
                <c:pt idx="109">
                  <c:v>0.78618116921480719</c:v>
                </c:pt>
                <c:pt idx="110">
                  <c:v>0.78587800501376548</c:v>
                </c:pt>
                <c:pt idx="111">
                  <c:v>0.78558830153592141</c:v>
                </c:pt>
                <c:pt idx="112">
                  <c:v>0.7853114611148343</c:v>
                </c:pt>
                <c:pt idx="113">
                  <c:v>0.78504691262091197</c:v>
                </c:pt>
                <c:pt idx="114">
                  <c:v>0.7847941102831546</c:v>
                </c:pt>
                <c:pt idx="115">
                  <c:v>0.78455253256321356</c:v>
                </c:pt>
                <c:pt idx="116">
                  <c:v>0.78432168107944322</c:v>
                </c:pt>
                <c:pt idx="117">
                  <c:v>0.78410107957872532</c:v>
                </c:pt>
                <c:pt idx="118">
                  <c:v>0.78389027295394575</c:v>
                </c:pt>
                <c:pt idx="119">
                  <c:v>0.78368882630509562</c:v>
                </c:pt>
                <c:pt idx="120">
                  <c:v>0.78349632404206004</c:v>
                </c:pt>
                <c:pt idx="121">
                  <c:v>0.78331236902724422</c:v>
                </c:pt>
                <c:pt idx="122">
                  <c:v>0.78313658175626732</c:v>
                </c:pt>
                <c:pt idx="123">
                  <c:v>0.78296859957503451</c:v>
                </c:pt>
                <c:pt idx="124">
                  <c:v>0.78280807593157087</c:v>
                </c:pt>
                <c:pt idx="125">
                  <c:v>0.78265467966107505</c:v>
                </c:pt>
                <c:pt idx="126">
                  <c:v>0.78250809430271739</c:v>
                </c:pt>
                <c:pt idx="127">
                  <c:v>0.78236801744677154</c:v>
                </c:pt>
                <c:pt idx="128">
                  <c:v>0.78223416011073543</c:v>
                </c:pt>
                <c:pt idx="129">
                  <c:v>0.78210624614315172</c:v>
                </c:pt>
                <c:pt idx="130">
                  <c:v>0.78198401165389975</c:v>
                </c:pt>
                <c:pt idx="131">
                  <c:v>0.78186720446978264</c:v>
                </c:pt>
                <c:pt idx="132">
                  <c:v>0.7817555836142871</c:v>
                </c:pt>
                <c:pt idx="133">
                  <c:v>0.78164891881044196</c:v>
                </c:pt>
                <c:pt idx="134">
                  <c:v>0.78154699000575034</c:v>
                </c:pt>
                <c:pt idx="135">
                  <c:v>0.78144958691821498</c:v>
                </c:pt>
                <c:pt idx="136">
                  <c:v>0.78135650860252082</c:v>
                </c:pt>
                <c:pt idx="137">
                  <c:v>0.78126756303547884</c:v>
                </c:pt>
                <c:pt idx="138">
                  <c:v>0.78118256671987718</c:v>
                </c:pt>
                <c:pt idx="139">
                  <c:v>0.78110134430592093</c:v>
                </c:pt>
                <c:pt idx="140">
                  <c:v>0.78102372822948063</c:v>
                </c:pt>
                <c:pt idx="141">
                  <c:v>0.7809495583664029</c:v>
                </c:pt>
                <c:pt idx="142">
                  <c:v>0.78087868170216934</c:v>
                </c:pt>
                <c:pt idx="143">
                  <c:v>0.78081095201622397</c:v>
                </c:pt>
                <c:pt idx="144">
                  <c:v>0.78074622958031548</c:v>
                </c:pt>
                <c:pt idx="145">
                  <c:v>0.7806843808702344</c:v>
                </c:pt>
                <c:pt idx="146">
                  <c:v>0.78062527829034822</c:v>
                </c:pt>
                <c:pt idx="147">
                  <c:v>0.78056879991036898</c:v>
                </c:pt>
                <c:pt idx="148">
                  <c:v>0.78051482921380655</c:v>
                </c:pt>
                <c:pt idx="149">
                  <c:v>0.78046325485759283</c:v>
                </c:pt>
                <c:pt idx="150">
                  <c:v>0.78041397044237704</c:v>
                </c:pt>
                <c:pt idx="151">
                  <c:v>0.78036687429302143</c:v>
                </c:pt>
                <c:pt idx="152">
                  <c:v>0.7803218692488425</c:v>
                </c:pt>
                <c:pt idx="153">
                  <c:v>0.78027886246316536</c:v>
                </c:pt>
                <c:pt idx="154">
                  <c:v>0.78023776521177901</c:v>
                </c:pt>
                <c:pt idx="155">
                  <c:v>0.78019849270989539</c:v>
                </c:pt>
                <c:pt idx="156">
                  <c:v>0.78016096393723611</c:v>
                </c:pt>
                <c:pt idx="157">
                  <c:v>0.78012510147088543</c:v>
                </c:pt>
                <c:pt idx="158">
                  <c:v>0.78009083132556434</c:v>
                </c:pt>
                <c:pt idx="159">
                  <c:v>0.78005808280099698</c:v>
                </c:pt>
                <c:pt idx="160">
                  <c:v>0.7800267883360541</c:v>
                </c:pt>
                <c:pt idx="161">
                  <c:v>0.77999688336937245</c:v>
                </c:pt>
                <c:pt idx="162">
                  <c:v>0.77996830620616298</c:v>
                </c:pt>
                <c:pt idx="163">
                  <c:v>0.77994099789093219</c:v>
                </c:pt>
                <c:pt idx="164">
                  <c:v>0.77991490208585612</c:v>
                </c:pt>
                <c:pt idx="165">
                  <c:v>0.77988996495455343</c:v>
                </c:pt>
                <c:pt idx="166">
                  <c:v>0.7798661350510192</c:v>
                </c:pt>
                <c:pt idx="167">
                  <c:v>0.77984336321349079</c:v>
                </c:pt>
                <c:pt idx="168">
                  <c:v>0.77982160246302545</c:v>
                </c:pt>
                <c:pt idx="169">
                  <c:v>0.77980080790658168</c:v>
                </c:pt>
                <c:pt idx="170">
                  <c:v>0.7797809366444034</c:v>
                </c:pt>
                <c:pt idx="171">
                  <c:v>0.77976194768151652</c:v>
                </c:pt>
                <c:pt idx="172">
                  <c:v>0.77974380184315539</c:v>
                </c:pt>
                <c:pt idx="173">
                  <c:v>0.779726461693944</c:v>
                </c:pt>
                <c:pt idx="174">
                  <c:v>0.77970989146066572</c:v>
                </c:pt>
                <c:pt idx="175">
                  <c:v>0.77969405695846239</c:v>
                </c:pt>
                <c:pt idx="176">
                  <c:v>0.77967892552030937</c:v>
                </c:pt>
                <c:pt idx="177">
                  <c:v>0.77966446592962346</c:v>
                </c:pt>
                <c:pt idx="178">
                  <c:v>0.77965064835586129</c:v>
                </c:pt>
                <c:pt idx="179">
                  <c:v>0.77963744429297888</c:v>
                </c:pt>
                <c:pt idx="180">
                  <c:v>0.77962482650062226</c:v>
                </c:pt>
                <c:pt idx="181">
                  <c:v>0.77961276894793019</c:v>
                </c:pt>
                <c:pt idx="182">
                  <c:v>0.77960124675983145</c:v>
                </c:pt>
                <c:pt idx="183">
                  <c:v>0.77959023616572742</c:v>
                </c:pt>
                <c:pt idx="184">
                  <c:v>0.77957971445045193</c:v>
                </c:pt>
                <c:pt idx="185">
                  <c:v>0.77956965990740978</c:v>
                </c:pt>
                <c:pt idx="186">
                  <c:v>0.77956005179379539</c:v>
                </c:pt>
                <c:pt idx="187">
                  <c:v>0.77955087028779946</c:v>
                </c:pt>
                <c:pt idx="188">
                  <c:v>0.77954209644771633</c:v>
                </c:pt>
                <c:pt idx="189">
                  <c:v>0.7795337121728666</c:v>
                </c:pt>
                <c:pt idx="190">
                  <c:v>0.779525700166255</c:v>
                </c:pt>
                <c:pt idx="191">
                  <c:v>0.7795180438988859</c:v>
                </c:pt>
                <c:pt idx="192">
                  <c:v>0.77951072757566409</c:v>
                </c:pt>
                <c:pt idx="193">
                  <c:v>0.77950373610280832</c:v>
                </c:pt>
                <c:pt idx="194">
                  <c:v>0.77949705505671318</c:v>
                </c:pt>
                <c:pt idx="195">
                  <c:v>0.77949067065419231</c:v>
                </c:pt>
                <c:pt idx="196">
                  <c:v>0.77948456972404312</c:v>
                </c:pt>
                <c:pt idx="197">
                  <c:v>0.77947873967987491</c:v>
                </c:pt>
                <c:pt idx="198">
                  <c:v>0.77947316849414217</c:v>
                </c:pt>
                <c:pt idx="199">
                  <c:v>0.77946784467333174</c:v>
                </c:pt>
                <c:pt idx="200">
                  <c:v>0.77946275723425129</c:v>
                </c:pt>
                <c:pt idx="201">
                  <c:v>0.77945789568137036</c:v>
                </c:pt>
                <c:pt idx="202">
                  <c:v>0.77945324998516852</c:v>
                </c:pt>
                <c:pt idx="203">
                  <c:v>0.77944881056144355</c:v>
                </c:pt>
                <c:pt idx="204">
                  <c:v>0.77944456825153907</c:v>
                </c:pt>
                <c:pt idx="205">
                  <c:v>0.77944051430345029</c:v>
                </c:pt>
                <c:pt idx="206">
                  <c:v>0.77943664035376792</c:v>
                </c:pt>
                <c:pt idx="207">
                  <c:v>0.7794329384104246</c:v>
                </c:pt>
                <c:pt idx="208">
                  <c:v>0.77942940083620682</c:v>
                </c:pt>
                <c:pt idx="209">
                  <c:v>0.77942602033299946</c:v>
                </c:pt>
                <c:pt idx="210">
                  <c:v>0.77942278992672887</c:v>
                </c:pt>
                <c:pt idx="211">
                  <c:v>0.77941970295297591</c:v>
                </c:pt>
                <c:pt idx="212">
                  <c:v>0.77941675304322688</c:v>
                </c:pt>
                <c:pt idx="213">
                  <c:v>0.77941393411173465</c:v>
                </c:pt>
                <c:pt idx="214">
                  <c:v>0.77941124034296405</c:v>
                </c:pt>
                <c:pt idx="215">
                  <c:v>0.77940866617959437</c:v>
                </c:pt>
                <c:pt idx="216">
                  <c:v>0.77940620631105395</c:v>
                </c:pt>
                <c:pt idx="217">
                  <c:v>0.77940385566256454</c:v>
                </c:pt>
                <c:pt idx="218">
                  <c:v>0.77940160938467218</c:v>
                </c:pt>
                <c:pt idx="219">
                  <c:v>0.77939946284324213</c:v>
                </c:pt>
                <c:pt idx="220">
                  <c:v>0.77939741160989906</c:v>
                </c:pt>
                <c:pt idx="221">
                  <c:v>0.77939545145289069</c:v>
                </c:pt>
                <c:pt idx="222">
                  <c:v>0.77939357832835776</c:v>
                </c:pt>
                <c:pt idx="223">
                  <c:v>0.77939178837199174</c:v>
                </c:pt>
                <c:pt idx="224">
                  <c:v>0.77939007789106218</c:v>
                </c:pt>
                <c:pt idx="225">
                  <c:v>0.77938844335679858</c:v>
                </c:pt>
                <c:pt idx="226">
                  <c:v>0.77938688139711076</c:v>
                </c:pt>
                <c:pt idx="227">
                  <c:v>0.77938538878963193</c:v>
                </c:pt>
                <c:pt idx="228">
                  <c:v>0.77938396245507058</c:v>
                </c:pt>
                <c:pt idx="229">
                  <c:v>0.77938259945085853</c:v>
                </c:pt>
                <c:pt idx="230">
                  <c:v>0.77938129696507952</c:v>
                </c:pt>
                <c:pt idx="231">
                  <c:v>0.77938005231066876</c:v>
                </c:pt>
                <c:pt idx="232">
                  <c:v>0.77937886291986902</c:v>
                </c:pt>
                <c:pt idx="233">
                  <c:v>0.77937772633893365</c:v>
                </c:pt>
                <c:pt idx="234">
                  <c:v>0.77937664022306408</c:v>
                </c:pt>
                <c:pt idx="235">
                  <c:v>0.77937560233157277</c:v>
                </c:pt>
                <c:pt idx="236">
                  <c:v>0.77937461052326018</c:v>
                </c:pt>
                <c:pt idx="237">
                  <c:v>0.77937366275199782</c:v>
                </c:pt>
                <c:pt idx="238">
                  <c:v>0.77937275706250697</c:v>
                </c:pt>
                <c:pt idx="239">
                  <c:v>0.77937189158632458</c:v>
                </c:pt>
                <c:pt idx="240">
                  <c:v>0.77937106453794891</c:v>
                </c:pt>
                <c:pt idx="241">
                  <c:v>0.7793702742111559</c:v>
                </c:pt>
                <c:pt idx="242">
                  <c:v>0.77936951897547901</c:v>
                </c:pt>
                <c:pt idx="243">
                  <c:v>0.7793687972728458</c:v>
                </c:pt>
                <c:pt idx="244">
                  <c:v>0.77936810761436337</c:v>
                </c:pt>
                <c:pt idx="245">
                  <c:v>0.77936744857724694</c:v>
                </c:pt>
                <c:pt idx="246">
                  <c:v>0.77936681880188419</c:v>
                </c:pt>
                <c:pt idx="247">
                  <c:v>0.77936621698903097</c:v>
                </c:pt>
                <c:pt idx="248">
                  <c:v>0.7793656418971302</c:v>
                </c:pt>
                <c:pt idx="249">
                  <c:v>0.77936509233975126</c:v>
                </c:pt>
                <c:pt idx="250">
                  <c:v>0.77936456718314173</c:v>
                </c:pt>
                <c:pt idx="251">
                  <c:v>0.77936406534388869</c:v>
                </c:pt>
                <c:pt idx="252">
                  <c:v>0.77936358578668363</c:v>
                </c:pt>
                <c:pt idx="253">
                  <c:v>0.77936312752218662</c:v>
                </c:pt>
                <c:pt idx="254">
                  <c:v>0.77936268960498489</c:v>
                </c:pt>
                <c:pt idx="255">
                  <c:v>0.77936227113164303</c:v>
                </c:pt>
                <c:pt idx="256">
                  <c:v>0.77936187123883871</c:v>
                </c:pt>
                <c:pt idx="257">
                  <c:v>0.77936148910158176</c:v>
                </c:pt>
                <c:pt idx="258">
                  <c:v>0.77936112393151236</c:v>
                </c:pt>
                <c:pt idx="259">
                  <c:v>0.77936077497527423</c:v>
                </c:pt>
                <c:pt idx="260">
                  <c:v>0.77936044151296102</c:v>
                </c:pt>
                <c:pt idx="261">
                  <c:v>0.77936012285663037</c:v>
                </c:pt>
                <c:pt idx="262">
                  <c:v>0.77935981834888535</c:v>
                </c:pt>
                <c:pt idx="263">
                  <c:v>0.77935952736151792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CFA-42CD-BAE0-6F475679D3AA}"/>
            </c:ext>
          </c:extLst>
        </c:ser>
        <c:ser>
          <c:idx val="6"/>
          <c:order val="6"/>
          <c:tx>
            <c:strRef>
              <c:f>'Second Order V2'!$O$6</c:f>
              <c:strCache>
                <c:ptCount val="1"/>
                <c:pt idx="0">
                  <c:v>Envelope min - band finale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V2'!$O$7:$O$270</c:f>
              <c:numCache>
                <c:formatCode>General</c:formatCode>
                <c:ptCount val="264"/>
                <c:pt idx="0">
                  <c:v>-0.18930447016422086</c:v>
                </c:pt>
                <c:pt idx="1">
                  <c:v>-0.18930447016422086</c:v>
                </c:pt>
                <c:pt idx="2">
                  <c:v>-0.15995120547158895</c:v>
                </c:pt>
                <c:pt idx="3">
                  <c:v>-0.12085198106266383</c:v>
                </c:pt>
                <c:pt idx="4">
                  <c:v>-8.34887922252361E-2</c:v>
                </c:pt>
                <c:pt idx="5">
                  <c:v>-4.7784557647564188E-2</c:v>
                </c:pt>
                <c:pt idx="6">
                  <c:v>-1.3665618487306647E-2</c:v>
                </c:pt>
                <c:pt idx="7">
                  <c:v>1.8938413588747021E-2</c:v>
                </c:pt>
                <c:pt idx="8">
                  <c:v>5.0094801617791437E-2</c:v>
                </c:pt>
                <c:pt idx="9">
                  <c:v>7.9867822106546513E-2</c:v>
                </c:pt>
                <c:pt idx="10">
                  <c:v>0.10831889763550338</c:v>
                </c:pt>
                <c:pt idx="11">
                  <c:v>0.135506723575439</c:v>
                </c:pt>
                <c:pt idx="12">
                  <c:v>0.16148738917762059</c:v>
                </c:pt>
                <c:pt idx="13">
                  <c:v>0.18631449328751157</c:v>
                </c:pt>
                <c:pt idx="14">
                  <c:v>0.21003925492070116</c:v>
                </c:pt>
                <c:pt idx="15">
                  <c:v>0.23271061892917713</c:v>
                </c:pt>
                <c:pt idx="16">
                  <c:v>0.25437535697593489</c:v>
                </c:pt>
                <c:pt idx="17">
                  <c:v>0.27507816402623625</c:v>
                </c:pt>
                <c:pt idx="18">
                  <c:v>0.29486175055458375</c:v>
                </c:pt>
                <c:pt idx="19">
                  <c:v>0.31376693065763228</c:v>
                </c:pt>
                <c:pt idx="20">
                  <c:v>0.33183270625482153</c:v>
                </c:pt>
                <c:pt idx="21">
                  <c:v>0.34909634755043506</c:v>
                </c:pt>
                <c:pt idx="22">
                  <c:v>0.36559346992308211</c:v>
                </c:pt>
                <c:pt idx="23">
                  <c:v>0.38135810740122772</c:v>
                </c:pt>
                <c:pt idx="24">
                  <c:v>0.39642278287635291</c:v>
                </c:pt>
                <c:pt idx="25">
                  <c:v>0.41081857519859616</c:v>
                </c:pt>
                <c:pt idx="26">
                  <c:v>0.42457518329329758</c:v>
                </c:pt>
                <c:pt idx="27">
                  <c:v>0.43772098743071908</c:v>
                </c:pt>
                <c:pt idx="28">
                  <c:v>0.45028310777534164</c:v>
                </c:pt>
                <c:pt idx="29">
                  <c:v>0.46228746033552914</c:v>
                </c:pt>
                <c:pt idx="30">
                  <c:v>0.47375881042898438</c:v>
                </c:pt>
                <c:pt idx="31">
                  <c:v>0.48472082377429693</c:v>
                </c:pt>
                <c:pt idx="32">
                  <c:v>0.49519611531398866</c:v>
                </c:pt>
                <c:pt idx="33">
                  <c:v>0.50520629586977661</c:v>
                </c:pt>
                <c:pt idx="34">
                  <c:v>0.51477201672630801</c:v>
                </c:pt>
                <c:pt idx="35">
                  <c:v>0.52391301223534215</c:v>
                </c:pt>
                <c:pt idx="36">
                  <c:v>0.5326481405282748</c:v>
                </c:pt>
                <c:pt idx="37">
                  <c:v>0.5409954224209943</c:v>
                </c:pt>
                <c:pt idx="38">
                  <c:v>0.54897207859133335</c:v>
                </c:pt>
                <c:pt idx="39">
                  <c:v>0.55659456510581218</c:v>
                </c:pt>
                <c:pt idx="40">
                  <c:v>0.56387860736896789</c:v>
                </c:pt>
                <c:pt idx="41">
                  <c:v>0.57083923256530733</c:v>
                </c:pt>
                <c:pt idx="42">
                  <c:v>0.57749080066081204</c:v>
                </c:pt>
                <c:pt idx="43">
                  <c:v>0.58384703402795324</c:v>
                </c:pt>
                <c:pt idx="44">
                  <c:v>0.58992104575533288</c:v>
                </c:pt>
                <c:pt idx="45">
                  <c:v>0.59572536670035492</c:v>
                </c:pt>
                <c:pt idx="46">
                  <c:v>0.60127197134073718</c:v>
                </c:pt>
                <c:pt idx="47">
                  <c:v>0.60657230247819716</c:v>
                </c:pt>
                <c:pt idx="48">
                  <c:v>0.61163729484527352</c:v>
                </c:pt>
                <c:pt idx="49">
                  <c:v>0.61647739766398846</c:v>
                </c:pt>
                <c:pt idx="50">
                  <c:v>0.62110259620288655</c:v>
                </c:pt>
                <c:pt idx="51">
                  <c:v>0.62552243237692595</c:v>
                </c:pt>
                <c:pt idx="52">
                  <c:v>0.62974602443271699</c:v>
                </c:pt>
                <c:pt idx="53">
                  <c:v>0.63378208575972261</c:v>
                </c:pt>
                <c:pt idx="54">
                  <c:v>0.63763894286622658</c:v>
                </c:pt>
                <c:pt idx="55">
                  <c:v>0.64132455255715393</c:v>
                </c:pt>
                <c:pt idx="56">
                  <c:v>0.64484651834918494</c:v>
                </c:pt>
                <c:pt idx="57">
                  <c:v>0.64821210615702329</c:v>
                </c:pt>
                <c:pt idx="58">
                  <c:v>0.6514282592831836</c:v>
                </c:pt>
                <c:pt idx="59">
                  <c:v>0.65450161274222007</c:v>
                </c:pt>
                <c:pt idx="60">
                  <c:v>0.65743850694894834</c:v>
                </c:pt>
                <c:pt idx="61">
                  <c:v>0.66024500079890025</c:v>
                </c:pt>
                <c:pt idx="62">
                  <c:v>0.66292688416799583</c:v>
                </c:pt>
                <c:pt idx="63">
                  <c:v>0.66548968985722079</c:v>
                </c:pt>
                <c:pt idx="64">
                  <c:v>0.66793870500695063</c:v>
                </c:pt>
                <c:pt idx="65">
                  <c:v>0.67027898200447056</c:v>
                </c:pt>
                <c:pt idx="66">
                  <c:v>0.67251534890719278</c:v>
                </c:pt>
                <c:pt idx="67">
                  <c:v>0.67465241940307474</c:v>
                </c:pt>
                <c:pt idx="68">
                  <c:v>0.67669460232878798</c:v>
                </c:pt>
                <c:pt idx="69">
                  <c:v>0.67864611076527181</c:v>
                </c:pt>
                <c:pt idx="70">
                  <c:v>0.68051097072943856</c:v>
                </c:pt>
                <c:pt idx="71">
                  <c:v>0.68229302947995996</c:v>
                </c:pt>
                <c:pt idx="72">
                  <c:v>0.68399596345426972</c:v>
                </c:pt>
                <c:pt idx="73">
                  <c:v>0.68562328585315813</c:v>
                </c:pt>
                <c:pt idx="74">
                  <c:v>0.68717835388860404</c:v>
                </c:pt>
                <c:pt idx="75">
                  <c:v>0.68866437570979766</c:v>
                </c:pt>
                <c:pt idx="76">
                  <c:v>0.69008441702164336</c:v>
                </c:pt>
                <c:pt idx="77">
                  <c:v>0.69144140740939453</c:v>
                </c:pt>
                <c:pt idx="78">
                  <c:v>0.69273814638247122</c:v>
                </c:pt>
                <c:pt idx="79">
                  <c:v>0.69397730914992639</c:v>
                </c:pt>
                <c:pt idx="80">
                  <c:v>0.69516145213947811</c:v>
                </c:pt>
                <c:pt idx="81">
                  <c:v>0.69629301827149159</c:v>
                </c:pt>
                <c:pt idx="82">
                  <c:v>0.69737434199879322</c:v>
                </c:pt>
                <c:pt idx="83">
                  <c:v>0.69840765412271189</c:v>
                </c:pt>
                <c:pt idx="84">
                  <c:v>0.69939508639528569</c:v>
                </c:pt>
                <c:pt idx="85">
                  <c:v>0.70033867591712606</c:v>
                </c:pt>
                <c:pt idx="86">
                  <c:v>0.70124036934001377</c:v>
                </c:pt>
                <c:pt idx="87">
                  <c:v>0.70210202688289658</c:v>
                </c:pt>
                <c:pt idx="88">
                  <c:v>0.70292542616957354</c:v>
                </c:pt>
                <c:pt idx="89">
                  <c:v>0.70371226589598213</c:v>
                </c:pt>
                <c:pt idx="90">
                  <c:v>0.70446416933465716</c:v>
                </c:pt>
                <c:pt idx="91">
                  <c:v>0.70518268768358672</c:v>
                </c:pt>
                <c:pt idx="92">
                  <c:v>0.70586930326637776</c:v>
                </c:pt>
                <c:pt idx="93">
                  <c:v>0.70652543259033151</c:v>
                </c:pt>
                <c:pt idx="94">
                  <c:v>0.70715242926873778</c:v>
                </c:pt>
                <c:pt idx="95">
                  <c:v>0.70775158681341743</c:v>
                </c:pt>
                <c:pt idx="96">
                  <c:v>0.70832414130327392</c:v>
                </c:pt>
                <c:pt idx="97">
                  <c:v>0.70887127393435867</c:v>
                </c:pt>
                <c:pt idx="98">
                  <c:v>0.70939411345671166</c:v>
                </c:pt>
                <c:pt idx="99">
                  <c:v>0.70989373850300508</c:v>
                </c:pt>
                <c:pt idx="100">
                  <c:v>0.71037117981379261</c:v>
                </c:pt>
                <c:pt idx="101">
                  <c:v>0.71082742236395602</c:v>
                </c:pt>
                <c:pt idx="102">
                  <c:v>0.7112634073947367</c:v>
                </c:pt>
                <c:pt idx="103">
                  <c:v>0.71168003435554239</c:v>
                </c:pt>
                <c:pt idx="104">
                  <c:v>0.71207816275953695</c:v>
                </c:pt>
                <c:pt idx="105">
                  <c:v>0.71245861395683974</c:v>
                </c:pt>
                <c:pt idx="106">
                  <c:v>0.71282217282899507</c:v>
                </c:pt>
                <c:pt idx="107">
                  <c:v>0.71316958940820363</c:v>
                </c:pt>
                <c:pt idx="108">
                  <c:v>0.71350158042466127</c:v>
                </c:pt>
                <c:pt idx="109">
                  <c:v>0.71381883078519281</c:v>
                </c:pt>
                <c:pt idx="110">
                  <c:v>0.71412199498623452</c:v>
                </c:pt>
                <c:pt idx="111">
                  <c:v>0.71441169846407859</c:v>
                </c:pt>
                <c:pt idx="112">
                  <c:v>0.7146885388851657</c:v>
                </c:pt>
                <c:pt idx="113">
                  <c:v>0.71495308737908803</c:v>
                </c:pt>
                <c:pt idx="114">
                  <c:v>0.7152058897168454</c:v>
                </c:pt>
                <c:pt idx="115">
                  <c:v>0.71544746743678644</c:v>
                </c:pt>
                <c:pt idx="116">
                  <c:v>0.71567831892055678</c:v>
                </c:pt>
                <c:pt idx="117">
                  <c:v>0.71589892042127468</c:v>
                </c:pt>
                <c:pt idx="118">
                  <c:v>0.71610972704605425</c:v>
                </c:pt>
                <c:pt idx="119">
                  <c:v>0.71631117369490438</c:v>
                </c:pt>
                <c:pt idx="120">
                  <c:v>0.71650367595793996</c:v>
                </c:pt>
                <c:pt idx="121">
                  <c:v>0.71668763097275578</c:v>
                </c:pt>
                <c:pt idx="122">
                  <c:v>0.71686341824373268</c:v>
                </c:pt>
                <c:pt idx="123">
                  <c:v>0.71703140042496549</c:v>
                </c:pt>
                <c:pt idx="124">
                  <c:v>0.71719192406842913</c:v>
                </c:pt>
                <c:pt idx="125">
                  <c:v>0.71734532033892495</c:v>
                </c:pt>
                <c:pt idx="126">
                  <c:v>0.71749190569728261</c:v>
                </c:pt>
                <c:pt idx="127">
                  <c:v>0.71763198255322846</c:v>
                </c:pt>
                <c:pt idx="128">
                  <c:v>0.71776583988926457</c:v>
                </c:pt>
                <c:pt idx="129">
                  <c:v>0.71789375385684828</c:v>
                </c:pt>
                <c:pt idx="130">
                  <c:v>0.71801598834610025</c:v>
                </c:pt>
                <c:pt idx="131">
                  <c:v>0.71813279553021736</c:v>
                </c:pt>
                <c:pt idx="132">
                  <c:v>0.7182444163857129</c:v>
                </c:pt>
                <c:pt idx="133">
                  <c:v>0.71835108118955804</c:v>
                </c:pt>
                <c:pt idx="134">
                  <c:v>0.71845300999424966</c:v>
                </c:pt>
                <c:pt idx="135">
                  <c:v>0.71855041308178502</c:v>
                </c:pt>
                <c:pt idx="136">
                  <c:v>0.71864349139747918</c:v>
                </c:pt>
                <c:pt idx="137">
                  <c:v>0.71873243696452116</c:v>
                </c:pt>
                <c:pt idx="138">
                  <c:v>0.71881743328012282</c:v>
                </c:pt>
                <c:pt idx="139">
                  <c:v>0.71889865569407907</c:v>
                </c:pt>
                <c:pt idx="140">
                  <c:v>0.71897627177051937</c:v>
                </c:pt>
                <c:pt idx="141">
                  <c:v>0.7190504416335971</c:v>
                </c:pt>
                <c:pt idx="142">
                  <c:v>0.71912131829783066</c:v>
                </c:pt>
                <c:pt idx="143">
                  <c:v>0.71918904798377603</c:v>
                </c:pt>
                <c:pt idx="144">
                  <c:v>0.71925377041968452</c:v>
                </c:pt>
                <c:pt idx="145">
                  <c:v>0.7193156191297656</c:v>
                </c:pt>
                <c:pt idx="146">
                  <c:v>0.71937472170965178</c:v>
                </c:pt>
                <c:pt idx="147">
                  <c:v>0.71943120008963102</c:v>
                </c:pt>
                <c:pt idx="148">
                  <c:v>0.71948517078619345</c:v>
                </c:pt>
                <c:pt idx="149">
                  <c:v>0.71953674514240717</c:v>
                </c:pt>
                <c:pt idx="150">
                  <c:v>0.71958602955762296</c:v>
                </c:pt>
                <c:pt idx="151">
                  <c:v>0.71963312570697857</c:v>
                </c:pt>
                <c:pt idx="152">
                  <c:v>0.7196781307511575</c:v>
                </c:pt>
                <c:pt idx="153">
                  <c:v>0.71972113753683464</c:v>
                </c:pt>
                <c:pt idx="154">
                  <c:v>0.71976223478822099</c:v>
                </c:pt>
                <c:pt idx="155">
                  <c:v>0.71980150729010461</c:v>
                </c:pt>
                <c:pt idx="156">
                  <c:v>0.71983903606276389</c:v>
                </c:pt>
                <c:pt idx="157">
                  <c:v>0.71987489852911457</c:v>
                </c:pt>
                <c:pt idx="158">
                  <c:v>0.71990916867443566</c:v>
                </c:pt>
                <c:pt idx="159">
                  <c:v>0.71994191719900302</c:v>
                </c:pt>
                <c:pt idx="160">
                  <c:v>0.7199732116639459</c:v>
                </c:pt>
                <c:pt idx="161">
                  <c:v>0.72000311663062755</c:v>
                </c:pt>
                <c:pt idx="162">
                  <c:v>0.72003169379383702</c:v>
                </c:pt>
                <c:pt idx="163">
                  <c:v>0.72005900210906781</c:v>
                </c:pt>
                <c:pt idx="164">
                  <c:v>0.72008509791414388</c:v>
                </c:pt>
                <c:pt idx="165">
                  <c:v>0.72011003504544657</c:v>
                </c:pt>
                <c:pt idx="166">
                  <c:v>0.7201338649489808</c:v>
                </c:pt>
                <c:pt idx="167">
                  <c:v>0.72015663678650921</c:v>
                </c:pt>
                <c:pt idx="168">
                  <c:v>0.72017839753697455</c:v>
                </c:pt>
                <c:pt idx="169">
                  <c:v>0.72019919209341832</c:v>
                </c:pt>
                <c:pt idx="170">
                  <c:v>0.7202190633555966</c:v>
                </c:pt>
                <c:pt idx="171">
                  <c:v>0.72023805231848348</c:v>
                </c:pt>
                <c:pt idx="172">
                  <c:v>0.72025619815684461</c:v>
                </c:pt>
                <c:pt idx="173">
                  <c:v>0.720273538306056</c:v>
                </c:pt>
                <c:pt idx="174">
                  <c:v>0.72029010853933428</c:v>
                </c:pt>
                <c:pt idx="175">
                  <c:v>0.72030594304153761</c:v>
                </c:pt>
                <c:pt idx="176">
                  <c:v>0.72032107447969063</c:v>
                </c:pt>
                <c:pt idx="177">
                  <c:v>0.72033553407037654</c:v>
                </c:pt>
                <c:pt idx="178">
                  <c:v>0.72034935164413871</c:v>
                </c:pt>
                <c:pt idx="179">
                  <c:v>0.72036255570702112</c:v>
                </c:pt>
                <c:pt idx="180">
                  <c:v>0.72037517349937774</c:v>
                </c:pt>
                <c:pt idx="181">
                  <c:v>0.72038723105206981</c:v>
                </c:pt>
                <c:pt idx="182">
                  <c:v>0.72039875324016855</c:v>
                </c:pt>
                <c:pt idx="183">
                  <c:v>0.72040976383427258</c:v>
                </c:pt>
                <c:pt idx="184">
                  <c:v>0.72042028554954807</c:v>
                </c:pt>
                <c:pt idx="185">
                  <c:v>0.72043034009259022</c:v>
                </c:pt>
                <c:pt idx="186">
                  <c:v>0.72043994820620461</c:v>
                </c:pt>
                <c:pt idx="187">
                  <c:v>0.72044912971220054</c:v>
                </c:pt>
                <c:pt idx="188">
                  <c:v>0.72045790355228367</c:v>
                </c:pt>
                <c:pt idx="189">
                  <c:v>0.7204662878271334</c:v>
                </c:pt>
                <c:pt idx="190">
                  <c:v>0.720474299833745</c:v>
                </c:pt>
                <c:pt idx="191">
                  <c:v>0.7204819561011141</c:v>
                </c:pt>
                <c:pt idx="192">
                  <c:v>0.72048927242433591</c:v>
                </c:pt>
                <c:pt idx="193">
                  <c:v>0.72049626389719168</c:v>
                </c:pt>
                <c:pt idx="194">
                  <c:v>0.72050294494328682</c:v>
                </c:pt>
                <c:pt idx="195">
                  <c:v>0.72050932934580769</c:v>
                </c:pt>
                <c:pt idx="196">
                  <c:v>0.72051543027595688</c:v>
                </c:pt>
                <c:pt idx="197">
                  <c:v>0.72052126032012509</c:v>
                </c:pt>
                <c:pt idx="198">
                  <c:v>0.72052683150585783</c:v>
                </c:pt>
                <c:pt idx="199">
                  <c:v>0.72053215532666826</c:v>
                </c:pt>
                <c:pt idx="200">
                  <c:v>0.72053724276574871</c:v>
                </c:pt>
                <c:pt idx="201">
                  <c:v>0.72054210431862964</c:v>
                </c:pt>
                <c:pt idx="202">
                  <c:v>0.72054675001483148</c:v>
                </c:pt>
                <c:pt idx="203">
                  <c:v>0.72055118943855645</c:v>
                </c:pt>
                <c:pt idx="204">
                  <c:v>0.72055543174846093</c:v>
                </c:pt>
                <c:pt idx="205">
                  <c:v>0.72055948569654971</c:v>
                </c:pt>
                <c:pt idx="206">
                  <c:v>0.72056335964623208</c:v>
                </c:pt>
                <c:pt idx="207">
                  <c:v>0.7205670615895754</c:v>
                </c:pt>
                <c:pt idx="208">
                  <c:v>0.72057059916379318</c:v>
                </c:pt>
                <c:pt idx="209">
                  <c:v>0.72057397966700054</c:v>
                </c:pt>
                <c:pt idx="210">
                  <c:v>0.72057721007327113</c:v>
                </c:pt>
                <c:pt idx="211">
                  <c:v>0.72058029704702409</c:v>
                </c:pt>
                <c:pt idx="212">
                  <c:v>0.72058324695677312</c:v>
                </c:pt>
                <c:pt idx="213">
                  <c:v>0.72058606588826535</c:v>
                </c:pt>
                <c:pt idx="214">
                  <c:v>0.72058875965703595</c:v>
                </c:pt>
                <c:pt idx="215">
                  <c:v>0.72059133382040563</c:v>
                </c:pt>
                <c:pt idx="216">
                  <c:v>0.72059379368894605</c:v>
                </c:pt>
                <c:pt idx="217">
                  <c:v>0.72059614433743546</c:v>
                </c:pt>
                <c:pt idx="218">
                  <c:v>0.72059839061532782</c:v>
                </c:pt>
                <c:pt idx="219">
                  <c:v>0.72060053715675787</c:v>
                </c:pt>
                <c:pt idx="220">
                  <c:v>0.72060258839010094</c:v>
                </c:pt>
                <c:pt idx="221">
                  <c:v>0.72060454854710931</c:v>
                </c:pt>
                <c:pt idx="222">
                  <c:v>0.72060642167164224</c:v>
                </c:pt>
                <c:pt idx="223">
                  <c:v>0.72060821162800826</c:v>
                </c:pt>
                <c:pt idx="224">
                  <c:v>0.72060992210893782</c:v>
                </c:pt>
                <c:pt idx="225">
                  <c:v>0.72061155664320142</c:v>
                </c:pt>
                <c:pt idx="226">
                  <c:v>0.72061311860288924</c:v>
                </c:pt>
                <c:pt idx="227">
                  <c:v>0.72061461121036807</c:v>
                </c:pt>
                <c:pt idx="228">
                  <c:v>0.72061603754492942</c:v>
                </c:pt>
                <c:pt idx="229">
                  <c:v>0.72061740054914147</c:v>
                </c:pt>
                <c:pt idx="230">
                  <c:v>0.72061870303492048</c:v>
                </c:pt>
                <c:pt idx="231">
                  <c:v>0.72061994768933124</c:v>
                </c:pt>
                <c:pt idx="232">
                  <c:v>0.72062113708013098</c:v>
                </c:pt>
                <c:pt idx="233">
                  <c:v>0.72062227366106635</c:v>
                </c:pt>
                <c:pt idx="234">
                  <c:v>0.72062335977693592</c:v>
                </c:pt>
                <c:pt idx="235">
                  <c:v>0.72062439766842723</c:v>
                </c:pt>
                <c:pt idx="236">
                  <c:v>0.72062538947673982</c:v>
                </c:pt>
                <c:pt idx="237">
                  <c:v>0.72062633724800218</c:v>
                </c:pt>
                <c:pt idx="238">
                  <c:v>0.72062724293749303</c:v>
                </c:pt>
                <c:pt idx="239">
                  <c:v>0.72062810841367542</c:v>
                </c:pt>
                <c:pt idx="240">
                  <c:v>0.72062893546205109</c:v>
                </c:pt>
                <c:pt idx="241">
                  <c:v>0.7206297257888441</c:v>
                </c:pt>
                <c:pt idx="242">
                  <c:v>0.72063048102452099</c:v>
                </c:pt>
                <c:pt idx="243">
                  <c:v>0.7206312027271542</c:v>
                </c:pt>
                <c:pt idx="244">
                  <c:v>0.72063189238563663</c:v>
                </c:pt>
                <c:pt idx="245">
                  <c:v>0.72063255142275306</c:v>
                </c:pt>
                <c:pt idx="246">
                  <c:v>0.72063318119811581</c:v>
                </c:pt>
                <c:pt idx="247">
                  <c:v>0.72063378301096903</c:v>
                </c:pt>
                <c:pt idx="248">
                  <c:v>0.7206343581028698</c:v>
                </c:pt>
                <c:pt idx="249">
                  <c:v>0.72063490766024874</c:v>
                </c:pt>
                <c:pt idx="250">
                  <c:v>0.72063543281685827</c:v>
                </c:pt>
                <c:pt idx="251">
                  <c:v>0.72063593465611131</c:v>
                </c:pt>
                <c:pt idx="252">
                  <c:v>0.72063641421331637</c:v>
                </c:pt>
                <c:pt idx="253">
                  <c:v>0.72063687247781338</c:v>
                </c:pt>
                <c:pt idx="254">
                  <c:v>0.72063731039501511</c:v>
                </c:pt>
                <c:pt idx="255">
                  <c:v>0.72063772886835697</c:v>
                </c:pt>
                <c:pt idx="256">
                  <c:v>0.72063812876116129</c:v>
                </c:pt>
                <c:pt idx="257">
                  <c:v>0.72063851089841824</c:v>
                </c:pt>
                <c:pt idx="258">
                  <c:v>0.72063887606848764</c:v>
                </c:pt>
                <c:pt idx="259">
                  <c:v>0.72063922502472577</c:v>
                </c:pt>
                <c:pt idx="260">
                  <c:v>0.72063955848703898</c:v>
                </c:pt>
                <c:pt idx="261">
                  <c:v>0.72063987714336963</c:v>
                </c:pt>
                <c:pt idx="262">
                  <c:v>0.72064018165111465</c:v>
                </c:pt>
                <c:pt idx="263">
                  <c:v>0.72064047263848208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CFA-42CD-BAE0-6F475679D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060160"/>
        <c:axId val="514061960"/>
      </c:scatterChart>
      <c:valAx>
        <c:axId val="51406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061960"/>
        <c:crosses val="autoZero"/>
        <c:crossBetween val="midCat"/>
      </c:valAx>
      <c:valAx>
        <c:axId val="51406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060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6950989803894105"/>
          <c:y val="0.14914798952884389"/>
          <c:w val="0.51266312634071987"/>
          <c:h val="0.323623486730687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2600541855358042E-2"/>
          <c:y val="0.15923677935693853"/>
          <c:w val="0.9253000982978038"/>
          <c:h val="0.82286760315096064"/>
        </c:manualLayout>
      </c:layout>
      <c:scatterChart>
        <c:scatterStyle val="smoothMarker"/>
        <c:varyColors val="0"/>
        <c:ser>
          <c:idx val="5"/>
          <c:order val="0"/>
          <c:tx>
            <c:strRef>
              <c:f>'Second Order V2'!$N$6</c:f>
              <c:strCache>
                <c:ptCount val="1"/>
                <c:pt idx="0">
                  <c:v>using the expected envelope as a max when the damped sinusoid decreases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V2'!$N$7:$N$270</c:f>
              <c:numCache>
                <c:formatCode>General</c:formatCode>
                <c:ptCount val="264"/>
                <c:pt idx="0">
                  <c:v>0.75</c:v>
                </c:pt>
                <c:pt idx="1">
                  <c:v>0.75</c:v>
                </c:pt>
                <c:pt idx="2">
                  <c:v>0.45646735307368097</c:v>
                </c:pt>
                <c:pt idx="3">
                  <c:v>0.48219642242235372</c:v>
                </c:pt>
                <c:pt idx="4">
                  <c:v>0.50873327654359812</c:v>
                </c:pt>
                <c:pt idx="5">
                  <c:v>0.53570635697026359</c:v>
                </c:pt>
                <c:pt idx="6">
                  <c:v>0.56277141282713794</c:v>
                </c:pt>
                <c:pt idx="7">
                  <c:v>0.58961303987783109</c:v>
                </c:pt>
                <c:pt idx="8">
                  <c:v>0.6159457582819714</c:v>
                </c:pt>
                <c:pt idx="9">
                  <c:v>0.64151465687486153</c:v>
                </c:pt>
                <c:pt idx="10">
                  <c:v>0.66609563429045304</c:v>
                </c:pt>
                <c:pt idx="11">
                  <c:v>0.77935326469263189</c:v>
                </c:pt>
                <c:pt idx="12">
                  <c:v>0.78271391297761439</c:v>
                </c:pt>
                <c:pt idx="13">
                  <c:v>0.83470750675801464</c:v>
                </c:pt>
                <c:pt idx="14">
                  <c:v>0.88155775097274924</c:v>
                </c:pt>
                <c:pt idx="15">
                  <c:v>0.9231790954714425</c:v>
                </c:pt>
                <c:pt idx="16">
                  <c:v>0.9595528108054121</c:v>
                </c:pt>
                <c:pt idx="17">
                  <c:v>0.99072139891714517</c:v>
                </c:pt>
                <c:pt idx="18">
                  <c:v>1.0167827936544358</c:v>
                </c:pt>
                <c:pt idx="19">
                  <c:v>1.0378844352320991</c:v>
                </c:pt>
                <c:pt idx="20">
                  <c:v>1.0542172968915342</c:v>
                </c:pt>
                <c:pt idx="21">
                  <c:v>1.0660099357568995</c:v>
                </c:pt>
                <c:pt idx="22">
                  <c:v>1.0735226333601533</c:v>
                </c:pt>
                <c:pt idx="23">
                  <c:v>1.0770416846037576</c:v>
                </c:pt>
                <c:pt idx="24">
                  <c:v>1.1035772171236473</c:v>
                </c:pt>
                <c:pt idx="25">
                  <c:v>1.089181424801404</c:v>
                </c:pt>
                <c:pt idx="26">
                  <c:v>1.0754248167067024</c:v>
                </c:pt>
                <c:pt idx="27">
                  <c:v>1.0622790125692811</c:v>
                </c:pt>
                <c:pt idx="28">
                  <c:v>1.0497168922246585</c:v>
                </c:pt>
                <c:pt idx="29">
                  <c:v>1.0377125396644711</c:v>
                </c:pt>
                <c:pt idx="30">
                  <c:v>1.0262411895710157</c:v>
                </c:pt>
                <c:pt idx="31">
                  <c:v>1.0152791762257032</c:v>
                </c:pt>
                <c:pt idx="32">
                  <c:v>1.0048038846860115</c:v>
                </c:pt>
                <c:pt idx="33">
                  <c:v>0.99479370413022339</c:v>
                </c:pt>
                <c:pt idx="34">
                  <c:v>0.98522798327369199</c:v>
                </c:pt>
                <c:pt idx="35">
                  <c:v>0.97608698776465785</c:v>
                </c:pt>
                <c:pt idx="36">
                  <c:v>0.9673518594717252</c:v>
                </c:pt>
                <c:pt idx="37">
                  <c:v>0.9590045775790057</c:v>
                </c:pt>
                <c:pt idx="38">
                  <c:v>0.95102792140866665</c:v>
                </c:pt>
                <c:pt idx="39">
                  <c:v>0.94340543489418782</c:v>
                </c:pt>
                <c:pt idx="40">
                  <c:v>0.93612139263103211</c:v>
                </c:pt>
                <c:pt idx="41">
                  <c:v>0.92916076743469267</c:v>
                </c:pt>
                <c:pt idx="42">
                  <c:v>0.92250919933918796</c:v>
                </c:pt>
                <c:pt idx="43">
                  <c:v>0.91615296597204676</c:v>
                </c:pt>
                <c:pt idx="44">
                  <c:v>0.91007895424466712</c:v>
                </c:pt>
                <c:pt idx="45">
                  <c:v>0.90427463329964508</c:v>
                </c:pt>
                <c:pt idx="46">
                  <c:v>0.89872802865926282</c:v>
                </c:pt>
                <c:pt idx="47">
                  <c:v>0.89342769752180284</c:v>
                </c:pt>
                <c:pt idx="48">
                  <c:v>0.88836270515472648</c:v>
                </c:pt>
                <c:pt idx="49">
                  <c:v>0.88352260233601154</c:v>
                </c:pt>
                <c:pt idx="50">
                  <c:v>0.87889740379711345</c:v>
                </c:pt>
                <c:pt idx="51">
                  <c:v>0.87447756762307405</c:v>
                </c:pt>
                <c:pt idx="52">
                  <c:v>0.87025397556728301</c:v>
                </c:pt>
                <c:pt idx="53">
                  <c:v>0.86621791424027739</c:v>
                </c:pt>
                <c:pt idx="54">
                  <c:v>0.86236105713377342</c:v>
                </c:pt>
                <c:pt idx="55">
                  <c:v>0.85867544744284607</c:v>
                </c:pt>
                <c:pt idx="56">
                  <c:v>0.85515348165081506</c:v>
                </c:pt>
                <c:pt idx="57">
                  <c:v>0.85178789384297671</c:v>
                </c:pt>
                <c:pt idx="58">
                  <c:v>0.8485717407168164</c:v>
                </c:pt>
                <c:pt idx="59">
                  <c:v>0.84549838725777993</c:v>
                </c:pt>
                <c:pt idx="60">
                  <c:v>0.84256149305105166</c:v>
                </c:pt>
                <c:pt idx="61">
                  <c:v>0.83975499920109975</c:v>
                </c:pt>
                <c:pt idx="62">
                  <c:v>0.83707311583200417</c:v>
                </c:pt>
                <c:pt idx="63">
                  <c:v>0.83451031014277921</c:v>
                </c:pt>
                <c:pt idx="64">
                  <c:v>0.83206129499304937</c:v>
                </c:pt>
                <c:pt idx="65">
                  <c:v>0.82972101799552944</c:v>
                </c:pt>
                <c:pt idx="66">
                  <c:v>0.82748465109280722</c:v>
                </c:pt>
                <c:pt idx="67">
                  <c:v>0.82534758059692526</c:v>
                </c:pt>
                <c:pt idx="68">
                  <c:v>0.82330539767121202</c:v>
                </c:pt>
                <c:pt idx="69">
                  <c:v>0.82135388923472819</c:v>
                </c:pt>
                <c:pt idx="70">
                  <c:v>0.81948902927056144</c:v>
                </c:pt>
                <c:pt idx="71">
                  <c:v>0.81770697052004004</c:v>
                </c:pt>
                <c:pt idx="72">
                  <c:v>0.81600403654573028</c:v>
                </c:pt>
                <c:pt idx="73">
                  <c:v>0.81437671414684187</c:v>
                </c:pt>
                <c:pt idx="74">
                  <c:v>0.81282164611139596</c:v>
                </c:pt>
                <c:pt idx="75">
                  <c:v>0.81133562429020234</c:v>
                </c:pt>
                <c:pt idx="76">
                  <c:v>0.80991558297835664</c:v>
                </c:pt>
                <c:pt idx="77">
                  <c:v>0.80855859259060547</c:v>
                </c:pt>
                <c:pt idx="78">
                  <c:v>0.80726185361752878</c:v>
                </c:pt>
                <c:pt idx="79">
                  <c:v>0.80602269085007361</c:v>
                </c:pt>
                <c:pt idx="80">
                  <c:v>0.80483854786052189</c:v>
                </c:pt>
                <c:pt idx="81">
                  <c:v>0.80370698172850841</c:v>
                </c:pt>
                <c:pt idx="82">
                  <c:v>0.80262565800120678</c:v>
                </c:pt>
                <c:pt idx="83">
                  <c:v>0.80159234587728811</c:v>
                </c:pt>
                <c:pt idx="84">
                  <c:v>0.80060491360471431</c:v>
                </c:pt>
                <c:pt idx="85">
                  <c:v>0.79966132408287394</c:v>
                </c:pt>
                <c:pt idx="86">
                  <c:v>0.79875963065998623</c:v>
                </c:pt>
                <c:pt idx="87">
                  <c:v>0.79789797311710342</c:v>
                </c:pt>
                <c:pt idx="88">
                  <c:v>0.79707457383042646</c:v>
                </c:pt>
                <c:pt idx="89">
                  <c:v>0.79628773410401787</c:v>
                </c:pt>
                <c:pt idx="90">
                  <c:v>0.79553583066534284</c:v>
                </c:pt>
                <c:pt idx="91">
                  <c:v>0.79481731231641328</c:v>
                </c:pt>
                <c:pt idx="92">
                  <c:v>0.79413069673362224</c:v>
                </c:pt>
                <c:pt idx="93">
                  <c:v>0.79347456740966849</c:v>
                </c:pt>
                <c:pt idx="94">
                  <c:v>0.79284757073126222</c:v>
                </c:pt>
                <c:pt idx="95">
                  <c:v>0.79224841318658257</c:v>
                </c:pt>
                <c:pt idx="96">
                  <c:v>0.79167585869672608</c:v>
                </c:pt>
                <c:pt idx="97">
                  <c:v>0.79112872606564133</c:v>
                </c:pt>
                <c:pt idx="98">
                  <c:v>0.79060588654328834</c:v>
                </c:pt>
                <c:pt idx="99">
                  <c:v>0.79010626149699492</c:v>
                </c:pt>
                <c:pt idx="100">
                  <c:v>0.78962882018620739</c:v>
                </c:pt>
                <c:pt idx="101">
                  <c:v>0.78917257763604398</c:v>
                </c:pt>
                <c:pt idx="102">
                  <c:v>0.7887365926052633</c:v>
                </c:pt>
                <c:pt idx="103">
                  <c:v>0.78831996564445761</c:v>
                </c:pt>
                <c:pt idx="104">
                  <c:v>0.78792183724046305</c:v>
                </c:pt>
                <c:pt idx="105">
                  <c:v>0.78754138604316026</c:v>
                </c:pt>
                <c:pt idx="106">
                  <c:v>0.78717782717100493</c:v>
                </c:pt>
                <c:pt idx="107">
                  <c:v>0.78683041059179637</c:v>
                </c:pt>
                <c:pt idx="108">
                  <c:v>0.78649841957533873</c:v>
                </c:pt>
                <c:pt idx="109">
                  <c:v>0.78618116921480719</c:v>
                </c:pt>
                <c:pt idx="110">
                  <c:v>0.78587800501376548</c:v>
                </c:pt>
                <c:pt idx="111">
                  <c:v>0.78558830153592141</c:v>
                </c:pt>
                <c:pt idx="112">
                  <c:v>0.7853114611148343</c:v>
                </c:pt>
                <c:pt idx="113">
                  <c:v>0.78504691262091197</c:v>
                </c:pt>
                <c:pt idx="114">
                  <c:v>0.7847941102831546</c:v>
                </c:pt>
                <c:pt idx="115">
                  <c:v>0.78455253256321356</c:v>
                </c:pt>
                <c:pt idx="116">
                  <c:v>0.78432168107944322</c:v>
                </c:pt>
                <c:pt idx="117">
                  <c:v>0.78410107957872532</c:v>
                </c:pt>
                <c:pt idx="118">
                  <c:v>0.78389027295394575</c:v>
                </c:pt>
                <c:pt idx="119">
                  <c:v>0.78368882630509562</c:v>
                </c:pt>
                <c:pt idx="120">
                  <c:v>0.78349632404206004</c:v>
                </c:pt>
                <c:pt idx="121">
                  <c:v>0.78331236902724422</c:v>
                </c:pt>
                <c:pt idx="122">
                  <c:v>0.78313658175626732</c:v>
                </c:pt>
                <c:pt idx="123">
                  <c:v>0.78296859957503451</c:v>
                </c:pt>
                <c:pt idx="124">
                  <c:v>0.78280807593157087</c:v>
                </c:pt>
                <c:pt idx="125">
                  <c:v>0.78265467966107505</c:v>
                </c:pt>
                <c:pt idx="126">
                  <c:v>0.78250809430271739</c:v>
                </c:pt>
                <c:pt idx="127">
                  <c:v>0.78236801744677154</c:v>
                </c:pt>
                <c:pt idx="128">
                  <c:v>0.78223416011073543</c:v>
                </c:pt>
                <c:pt idx="129">
                  <c:v>0.78210624614315172</c:v>
                </c:pt>
                <c:pt idx="130">
                  <c:v>0.78198401165389975</c:v>
                </c:pt>
                <c:pt idx="131">
                  <c:v>0.78186720446978264</c:v>
                </c:pt>
                <c:pt idx="132">
                  <c:v>0.7817555836142871</c:v>
                </c:pt>
                <c:pt idx="133">
                  <c:v>0.78164891881044196</c:v>
                </c:pt>
                <c:pt idx="134">
                  <c:v>0.78154699000575034</c:v>
                </c:pt>
                <c:pt idx="135">
                  <c:v>0.78144958691821498</c:v>
                </c:pt>
                <c:pt idx="136">
                  <c:v>0.78135650860252082</c:v>
                </c:pt>
                <c:pt idx="137">
                  <c:v>0.78126756303547884</c:v>
                </c:pt>
                <c:pt idx="138">
                  <c:v>0.78118256671987718</c:v>
                </c:pt>
                <c:pt idx="139">
                  <c:v>0.78110134430592093</c:v>
                </c:pt>
                <c:pt idx="140">
                  <c:v>0.78102372822948063</c:v>
                </c:pt>
                <c:pt idx="141">
                  <c:v>0.7809495583664029</c:v>
                </c:pt>
                <c:pt idx="142">
                  <c:v>0.78087868170216934</c:v>
                </c:pt>
                <c:pt idx="143">
                  <c:v>0.78081095201622397</c:v>
                </c:pt>
                <c:pt idx="144">
                  <c:v>0.78074622958031548</c:v>
                </c:pt>
                <c:pt idx="145">
                  <c:v>0.7806843808702344</c:v>
                </c:pt>
                <c:pt idx="146">
                  <c:v>0.78062527829034822</c:v>
                </c:pt>
                <c:pt idx="147">
                  <c:v>0.78056879991036898</c:v>
                </c:pt>
                <c:pt idx="148">
                  <c:v>0.78051482921380655</c:v>
                </c:pt>
                <c:pt idx="149">
                  <c:v>0.78046325485759283</c:v>
                </c:pt>
                <c:pt idx="150">
                  <c:v>0.78041397044237704</c:v>
                </c:pt>
                <c:pt idx="151">
                  <c:v>0.78036687429302143</c:v>
                </c:pt>
                <c:pt idx="152">
                  <c:v>0.7803218692488425</c:v>
                </c:pt>
                <c:pt idx="153">
                  <c:v>0.78027886246316536</c:v>
                </c:pt>
                <c:pt idx="154">
                  <c:v>0.78023776521177901</c:v>
                </c:pt>
                <c:pt idx="155">
                  <c:v>0.78019849270989539</c:v>
                </c:pt>
                <c:pt idx="156">
                  <c:v>0.78016096393723611</c:v>
                </c:pt>
                <c:pt idx="157">
                  <c:v>0.78012510147088543</c:v>
                </c:pt>
                <c:pt idx="158">
                  <c:v>0.78009083132556434</c:v>
                </c:pt>
                <c:pt idx="159">
                  <c:v>0.78005808280099698</c:v>
                </c:pt>
                <c:pt idx="160">
                  <c:v>0.7800267883360541</c:v>
                </c:pt>
                <c:pt idx="161">
                  <c:v>0.77999688336937245</c:v>
                </c:pt>
                <c:pt idx="162">
                  <c:v>0.77996830620616298</c:v>
                </c:pt>
                <c:pt idx="163">
                  <c:v>0.77994099789093219</c:v>
                </c:pt>
                <c:pt idx="164">
                  <c:v>0.77991490208585612</c:v>
                </c:pt>
                <c:pt idx="165">
                  <c:v>0.77988996495455343</c:v>
                </c:pt>
                <c:pt idx="166">
                  <c:v>0.7798661350510192</c:v>
                </c:pt>
                <c:pt idx="167">
                  <c:v>0.77984336321349079</c:v>
                </c:pt>
                <c:pt idx="168">
                  <c:v>0.77982160246302545</c:v>
                </c:pt>
                <c:pt idx="169">
                  <c:v>0.77980080790658168</c:v>
                </c:pt>
                <c:pt idx="170">
                  <c:v>0.7797809366444034</c:v>
                </c:pt>
                <c:pt idx="171">
                  <c:v>0.77976194768151652</c:v>
                </c:pt>
                <c:pt idx="172">
                  <c:v>0.77974380184315539</c:v>
                </c:pt>
                <c:pt idx="173">
                  <c:v>0.779726461693944</c:v>
                </c:pt>
                <c:pt idx="174">
                  <c:v>0.77970989146066572</c:v>
                </c:pt>
                <c:pt idx="175">
                  <c:v>0.77969405695846239</c:v>
                </c:pt>
                <c:pt idx="176">
                  <c:v>0.77967892552030937</c:v>
                </c:pt>
                <c:pt idx="177">
                  <c:v>0.77966446592962346</c:v>
                </c:pt>
                <c:pt idx="178">
                  <c:v>0.77965064835586129</c:v>
                </c:pt>
                <c:pt idx="179">
                  <c:v>0.77963744429297888</c:v>
                </c:pt>
                <c:pt idx="180">
                  <c:v>0.77962482650062226</c:v>
                </c:pt>
                <c:pt idx="181">
                  <c:v>0.77961276894793019</c:v>
                </c:pt>
                <c:pt idx="182">
                  <c:v>0.77960124675983145</c:v>
                </c:pt>
                <c:pt idx="183">
                  <c:v>0.77959023616572742</c:v>
                </c:pt>
                <c:pt idx="184">
                  <c:v>0.77957971445045193</c:v>
                </c:pt>
                <c:pt idx="185">
                  <c:v>0.77956965990740978</c:v>
                </c:pt>
                <c:pt idx="186">
                  <c:v>0.77956005179379539</c:v>
                </c:pt>
                <c:pt idx="187">
                  <c:v>0.77955087028779946</c:v>
                </c:pt>
                <c:pt idx="188">
                  <c:v>0.77954209644771633</c:v>
                </c:pt>
                <c:pt idx="189">
                  <c:v>0.7795337121728666</c:v>
                </c:pt>
                <c:pt idx="190">
                  <c:v>0.779525700166255</c:v>
                </c:pt>
                <c:pt idx="191">
                  <c:v>0.7795180438988859</c:v>
                </c:pt>
                <c:pt idx="192">
                  <c:v>0.77951072757566409</c:v>
                </c:pt>
                <c:pt idx="193">
                  <c:v>0.77950373610280832</c:v>
                </c:pt>
                <c:pt idx="194">
                  <c:v>0.77949705505671318</c:v>
                </c:pt>
                <c:pt idx="195">
                  <c:v>0.77949067065419231</c:v>
                </c:pt>
                <c:pt idx="196">
                  <c:v>0.77948456972404312</c:v>
                </c:pt>
                <c:pt idx="197">
                  <c:v>0.77947873967987491</c:v>
                </c:pt>
                <c:pt idx="198">
                  <c:v>0.77947316849414217</c:v>
                </c:pt>
                <c:pt idx="199">
                  <c:v>0.77946784467333174</c:v>
                </c:pt>
                <c:pt idx="200">
                  <c:v>0.77946275723425129</c:v>
                </c:pt>
                <c:pt idx="201">
                  <c:v>0.77945789568137036</c:v>
                </c:pt>
                <c:pt idx="202">
                  <c:v>0.77945324998516852</c:v>
                </c:pt>
                <c:pt idx="203">
                  <c:v>0.77944881056144355</c:v>
                </c:pt>
                <c:pt idx="204">
                  <c:v>0.77944456825153907</c:v>
                </c:pt>
                <c:pt idx="205">
                  <c:v>0.77944051430345029</c:v>
                </c:pt>
                <c:pt idx="206">
                  <c:v>0.77943664035376792</c:v>
                </c:pt>
                <c:pt idx="207">
                  <c:v>0.7794329384104246</c:v>
                </c:pt>
                <c:pt idx="208">
                  <c:v>0.77942940083620682</c:v>
                </c:pt>
                <c:pt idx="209">
                  <c:v>0.77942602033299946</c:v>
                </c:pt>
                <c:pt idx="210">
                  <c:v>0.77942278992672887</c:v>
                </c:pt>
                <c:pt idx="211">
                  <c:v>0.77941970295297591</c:v>
                </c:pt>
                <c:pt idx="212">
                  <c:v>0.77941675304322688</c:v>
                </c:pt>
                <c:pt idx="213">
                  <c:v>0.77941393411173465</c:v>
                </c:pt>
                <c:pt idx="214">
                  <c:v>0.77941124034296405</c:v>
                </c:pt>
                <c:pt idx="215">
                  <c:v>0.77940866617959437</c:v>
                </c:pt>
                <c:pt idx="216">
                  <c:v>0.77940620631105395</c:v>
                </c:pt>
                <c:pt idx="217">
                  <c:v>0.77940385566256454</c:v>
                </c:pt>
                <c:pt idx="218">
                  <c:v>0.77940160938467218</c:v>
                </c:pt>
                <c:pt idx="219">
                  <c:v>0.77939946284324213</c:v>
                </c:pt>
                <c:pt idx="220">
                  <c:v>0.77939741160989906</c:v>
                </c:pt>
                <c:pt idx="221">
                  <c:v>0.77939545145289069</c:v>
                </c:pt>
                <c:pt idx="222">
                  <c:v>0.77939357832835776</c:v>
                </c:pt>
                <c:pt idx="223">
                  <c:v>0.77939178837199174</c:v>
                </c:pt>
                <c:pt idx="224">
                  <c:v>0.77939007789106218</c:v>
                </c:pt>
                <c:pt idx="225">
                  <c:v>0.77938844335679858</c:v>
                </c:pt>
                <c:pt idx="226">
                  <c:v>0.77938688139711076</c:v>
                </c:pt>
                <c:pt idx="227">
                  <c:v>0.77938538878963193</c:v>
                </c:pt>
                <c:pt idx="228">
                  <c:v>0.77938396245507058</c:v>
                </c:pt>
                <c:pt idx="229">
                  <c:v>0.77938259945085853</c:v>
                </c:pt>
                <c:pt idx="230">
                  <c:v>0.77938129696507952</c:v>
                </c:pt>
                <c:pt idx="231">
                  <c:v>0.77938005231066876</c:v>
                </c:pt>
                <c:pt idx="232">
                  <c:v>0.77937886291986902</c:v>
                </c:pt>
                <c:pt idx="233">
                  <c:v>0.77937772633893365</c:v>
                </c:pt>
                <c:pt idx="234">
                  <c:v>0.77937664022306408</c:v>
                </c:pt>
                <c:pt idx="235">
                  <c:v>0.77937560233157277</c:v>
                </c:pt>
                <c:pt idx="236">
                  <c:v>0.77937461052326018</c:v>
                </c:pt>
                <c:pt idx="237">
                  <c:v>0.77937366275199782</c:v>
                </c:pt>
                <c:pt idx="238">
                  <c:v>0.77937275706250697</c:v>
                </c:pt>
                <c:pt idx="239">
                  <c:v>0.77937189158632458</c:v>
                </c:pt>
                <c:pt idx="240">
                  <c:v>0.77937106453794891</c:v>
                </c:pt>
                <c:pt idx="241">
                  <c:v>0.7793702742111559</c:v>
                </c:pt>
                <c:pt idx="242">
                  <c:v>0.77936951897547901</c:v>
                </c:pt>
                <c:pt idx="243">
                  <c:v>0.7793687972728458</c:v>
                </c:pt>
                <c:pt idx="244">
                  <c:v>0.77936810761436337</c:v>
                </c:pt>
                <c:pt idx="245">
                  <c:v>0.77936744857724694</c:v>
                </c:pt>
                <c:pt idx="246">
                  <c:v>0.77936681880188419</c:v>
                </c:pt>
                <c:pt idx="247">
                  <c:v>0.77936621698903097</c:v>
                </c:pt>
                <c:pt idx="248">
                  <c:v>0.7793656418971302</c:v>
                </c:pt>
                <c:pt idx="249">
                  <c:v>0.77936509233975126</c:v>
                </c:pt>
                <c:pt idx="250">
                  <c:v>0.77936456718314173</c:v>
                </c:pt>
                <c:pt idx="251">
                  <c:v>0.77936406534388869</c:v>
                </c:pt>
                <c:pt idx="252">
                  <c:v>0.77936358578668363</c:v>
                </c:pt>
                <c:pt idx="253">
                  <c:v>0.77936312752218662</c:v>
                </c:pt>
                <c:pt idx="254">
                  <c:v>0.77936268960498489</c:v>
                </c:pt>
                <c:pt idx="255">
                  <c:v>0.77936227113164303</c:v>
                </c:pt>
                <c:pt idx="256">
                  <c:v>0.77936187123883871</c:v>
                </c:pt>
                <c:pt idx="257">
                  <c:v>0.77936148910158176</c:v>
                </c:pt>
                <c:pt idx="258">
                  <c:v>0.77936112393151236</c:v>
                </c:pt>
                <c:pt idx="259">
                  <c:v>0.77936077497527423</c:v>
                </c:pt>
                <c:pt idx="260">
                  <c:v>0.77936044151296102</c:v>
                </c:pt>
                <c:pt idx="261">
                  <c:v>0.77936012285663037</c:v>
                </c:pt>
                <c:pt idx="262">
                  <c:v>0.77935981834888535</c:v>
                </c:pt>
                <c:pt idx="263">
                  <c:v>0.77935952736151792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8CC-42C4-B7BB-DC363EF2FBF4}"/>
            </c:ext>
          </c:extLst>
        </c:ser>
        <c:ser>
          <c:idx val="6"/>
          <c:order val="1"/>
          <c:tx>
            <c:strRef>
              <c:f>'Second Order V2'!$O$6</c:f>
              <c:strCache>
                <c:ptCount val="1"/>
                <c:pt idx="0">
                  <c:v>Envelope min - band finale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V2'!$O$7:$O$270</c:f>
              <c:numCache>
                <c:formatCode>General</c:formatCode>
                <c:ptCount val="264"/>
                <c:pt idx="0">
                  <c:v>-0.18930447016422086</c:v>
                </c:pt>
                <c:pt idx="1">
                  <c:v>-0.18930447016422086</c:v>
                </c:pt>
                <c:pt idx="2">
                  <c:v>-0.15995120547158895</c:v>
                </c:pt>
                <c:pt idx="3">
                  <c:v>-0.12085198106266383</c:v>
                </c:pt>
                <c:pt idx="4">
                  <c:v>-8.34887922252361E-2</c:v>
                </c:pt>
                <c:pt idx="5">
                  <c:v>-4.7784557647564188E-2</c:v>
                </c:pt>
                <c:pt idx="6">
                  <c:v>-1.3665618487306647E-2</c:v>
                </c:pt>
                <c:pt idx="7">
                  <c:v>1.8938413588747021E-2</c:v>
                </c:pt>
                <c:pt idx="8">
                  <c:v>5.0094801617791437E-2</c:v>
                </c:pt>
                <c:pt idx="9">
                  <c:v>7.9867822106546513E-2</c:v>
                </c:pt>
                <c:pt idx="10">
                  <c:v>0.10831889763550338</c:v>
                </c:pt>
                <c:pt idx="11">
                  <c:v>0.135506723575439</c:v>
                </c:pt>
                <c:pt idx="12">
                  <c:v>0.16148738917762059</c:v>
                </c:pt>
                <c:pt idx="13">
                  <c:v>0.18631449328751157</c:v>
                </c:pt>
                <c:pt idx="14">
                  <c:v>0.21003925492070116</c:v>
                </c:pt>
                <c:pt idx="15">
                  <c:v>0.23271061892917713</c:v>
                </c:pt>
                <c:pt idx="16">
                  <c:v>0.25437535697593489</c:v>
                </c:pt>
                <c:pt idx="17">
                  <c:v>0.27507816402623625</c:v>
                </c:pt>
                <c:pt idx="18">
                  <c:v>0.29486175055458375</c:v>
                </c:pt>
                <c:pt idx="19">
                  <c:v>0.31376693065763228</c:v>
                </c:pt>
                <c:pt idx="20">
                  <c:v>0.33183270625482153</c:v>
                </c:pt>
                <c:pt idx="21">
                  <c:v>0.34909634755043506</c:v>
                </c:pt>
                <c:pt idx="22">
                  <c:v>0.36559346992308211</c:v>
                </c:pt>
                <c:pt idx="23">
                  <c:v>0.38135810740122772</c:v>
                </c:pt>
                <c:pt idx="24">
                  <c:v>0.39642278287635291</c:v>
                </c:pt>
                <c:pt idx="25">
                  <c:v>0.41081857519859616</c:v>
                </c:pt>
                <c:pt idx="26">
                  <c:v>0.42457518329329758</c:v>
                </c:pt>
                <c:pt idx="27">
                  <c:v>0.43772098743071908</c:v>
                </c:pt>
                <c:pt idx="28">
                  <c:v>0.45028310777534164</c:v>
                </c:pt>
                <c:pt idx="29">
                  <c:v>0.46228746033552914</c:v>
                </c:pt>
                <c:pt idx="30">
                  <c:v>0.47375881042898438</c:v>
                </c:pt>
                <c:pt idx="31">
                  <c:v>0.48472082377429693</c:v>
                </c:pt>
                <c:pt idx="32">
                  <c:v>0.49519611531398866</c:v>
                </c:pt>
                <c:pt idx="33">
                  <c:v>0.50520629586977661</c:v>
                </c:pt>
                <c:pt idx="34">
                  <c:v>0.51477201672630801</c:v>
                </c:pt>
                <c:pt idx="35">
                  <c:v>0.52391301223534215</c:v>
                </c:pt>
                <c:pt idx="36">
                  <c:v>0.5326481405282748</c:v>
                </c:pt>
                <c:pt idx="37">
                  <c:v>0.5409954224209943</c:v>
                </c:pt>
                <c:pt idx="38">
                  <c:v>0.54897207859133335</c:v>
                </c:pt>
                <c:pt idx="39">
                  <c:v>0.55659456510581218</c:v>
                </c:pt>
                <c:pt idx="40">
                  <c:v>0.56387860736896789</c:v>
                </c:pt>
                <c:pt idx="41">
                  <c:v>0.57083923256530733</c:v>
                </c:pt>
                <c:pt idx="42">
                  <c:v>0.57749080066081204</c:v>
                </c:pt>
                <c:pt idx="43">
                  <c:v>0.58384703402795324</c:v>
                </c:pt>
                <c:pt idx="44">
                  <c:v>0.58992104575533288</c:v>
                </c:pt>
                <c:pt idx="45">
                  <c:v>0.59572536670035492</c:v>
                </c:pt>
                <c:pt idx="46">
                  <c:v>0.60127197134073718</c:v>
                </c:pt>
                <c:pt idx="47">
                  <c:v>0.60657230247819716</c:v>
                </c:pt>
                <c:pt idx="48">
                  <c:v>0.61163729484527352</c:v>
                </c:pt>
                <c:pt idx="49">
                  <c:v>0.61647739766398846</c:v>
                </c:pt>
                <c:pt idx="50">
                  <c:v>0.62110259620288655</c:v>
                </c:pt>
                <c:pt idx="51">
                  <c:v>0.62552243237692595</c:v>
                </c:pt>
                <c:pt idx="52">
                  <c:v>0.62974602443271699</c:v>
                </c:pt>
                <c:pt idx="53">
                  <c:v>0.63378208575972261</c:v>
                </c:pt>
                <c:pt idx="54">
                  <c:v>0.63763894286622658</c:v>
                </c:pt>
                <c:pt idx="55">
                  <c:v>0.64132455255715393</c:v>
                </c:pt>
                <c:pt idx="56">
                  <c:v>0.64484651834918494</c:v>
                </c:pt>
                <c:pt idx="57">
                  <c:v>0.64821210615702329</c:v>
                </c:pt>
                <c:pt idx="58">
                  <c:v>0.6514282592831836</c:v>
                </c:pt>
                <c:pt idx="59">
                  <c:v>0.65450161274222007</c:v>
                </c:pt>
                <c:pt idx="60">
                  <c:v>0.65743850694894834</c:v>
                </c:pt>
                <c:pt idx="61">
                  <c:v>0.66024500079890025</c:v>
                </c:pt>
                <c:pt idx="62">
                  <c:v>0.66292688416799583</c:v>
                </c:pt>
                <c:pt idx="63">
                  <c:v>0.66548968985722079</c:v>
                </c:pt>
                <c:pt idx="64">
                  <c:v>0.66793870500695063</c:v>
                </c:pt>
                <c:pt idx="65">
                  <c:v>0.67027898200447056</c:v>
                </c:pt>
                <c:pt idx="66">
                  <c:v>0.67251534890719278</c:v>
                </c:pt>
                <c:pt idx="67">
                  <c:v>0.67465241940307474</c:v>
                </c:pt>
                <c:pt idx="68">
                  <c:v>0.67669460232878798</c:v>
                </c:pt>
                <c:pt idx="69">
                  <c:v>0.67864611076527181</c:v>
                </c:pt>
                <c:pt idx="70">
                  <c:v>0.68051097072943856</c:v>
                </c:pt>
                <c:pt idx="71">
                  <c:v>0.68229302947995996</c:v>
                </c:pt>
                <c:pt idx="72">
                  <c:v>0.68399596345426972</c:v>
                </c:pt>
                <c:pt idx="73">
                  <c:v>0.68562328585315813</c:v>
                </c:pt>
                <c:pt idx="74">
                  <c:v>0.68717835388860404</c:v>
                </c:pt>
                <c:pt idx="75">
                  <c:v>0.68866437570979766</c:v>
                </c:pt>
                <c:pt idx="76">
                  <c:v>0.69008441702164336</c:v>
                </c:pt>
                <c:pt idx="77">
                  <c:v>0.69144140740939453</c:v>
                </c:pt>
                <c:pt idx="78">
                  <c:v>0.69273814638247122</c:v>
                </c:pt>
                <c:pt idx="79">
                  <c:v>0.69397730914992639</c:v>
                </c:pt>
                <c:pt idx="80">
                  <c:v>0.69516145213947811</c:v>
                </c:pt>
                <c:pt idx="81">
                  <c:v>0.69629301827149159</c:v>
                </c:pt>
                <c:pt idx="82">
                  <c:v>0.69737434199879322</c:v>
                </c:pt>
                <c:pt idx="83">
                  <c:v>0.69840765412271189</c:v>
                </c:pt>
                <c:pt idx="84">
                  <c:v>0.69939508639528569</c:v>
                </c:pt>
                <c:pt idx="85">
                  <c:v>0.70033867591712606</c:v>
                </c:pt>
                <c:pt idx="86">
                  <c:v>0.70124036934001377</c:v>
                </c:pt>
                <c:pt idx="87">
                  <c:v>0.70210202688289658</c:v>
                </c:pt>
                <c:pt idx="88">
                  <c:v>0.70292542616957354</c:v>
                </c:pt>
                <c:pt idx="89">
                  <c:v>0.70371226589598213</c:v>
                </c:pt>
                <c:pt idx="90">
                  <c:v>0.70446416933465716</c:v>
                </c:pt>
                <c:pt idx="91">
                  <c:v>0.70518268768358672</c:v>
                </c:pt>
                <c:pt idx="92">
                  <c:v>0.70586930326637776</c:v>
                </c:pt>
                <c:pt idx="93">
                  <c:v>0.70652543259033151</c:v>
                </c:pt>
                <c:pt idx="94">
                  <c:v>0.70715242926873778</c:v>
                </c:pt>
                <c:pt idx="95">
                  <c:v>0.70775158681341743</c:v>
                </c:pt>
                <c:pt idx="96">
                  <c:v>0.70832414130327392</c:v>
                </c:pt>
                <c:pt idx="97">
                  <c:v>0.70887127393435867</c:v>
                </c:pt>
                <c:pt idx="98">
                  <c:v>0.70939411345671166</c:v>
                </c:pt>
                <c:pt idx="99">
                  <c:v>0.70989373850300508</c:v>
                </c:pt>
                <c:pt idx="100">
                  <c:v>0.71037117981379261</c:v>
                </c:pt>
                <c:pt idx="101">
                  <c:v>0.71082742236395602</c:v>
                </c:pt>
                <c:pt idx="102">
                  <c:v>0.7112634073947367</c:v>
                </c:pt>
                <c:pt idx="103">
                  <c:v>0.71168003435554239</c:v>
                </c:pt>
                <c:pt idx="104">
                  <c:v>0.71207816275953695</c:v>
                </c:pt>
                <c:pt idx="105">
                  <c:v>0.71245861395683974</c:v>
                </c:pt>
                <c:pt idx="106">
                  <c:v>0.71282217282899507</c:v>
                </c:pt>
                <c:pt idx="107">
                  <c:v>0.71316958940820363</c:v>
                </c:pt>
                <c:pt idx="108">
                  <c:v>0.71350158042466127</c:v>
                </c:pt>
                <c:pt idx="109">
                  <c:v>0.71381883078519281</c:v>
                </c:pt>
                <c:pt idx="110">
                  <c:v>0.71412199498623452</c:v>
                </c:pt>
                <c:pt idx="111">
                  <c:v>0.71441169846407859</c:v>
                </c:pt>
                <c:pt idx="112">
                  <c:v>0.7146885388851657</c:v>
                </c:pt>
                <c:pt idx="113">
                  <c:v>0.71495308737908803</c:v>
                </c:pt>
                <c:pt idx="114">
                  <c:v>0.7152058897168454</c:v>
                </c:pt>
                <c:pt idx="115">
                  <c:v>0.71544746743678644</c:v>
                </c:pt>
                <c:pt idx="116">
                  <c:v>0.71567831892055678</c:v>
                </c:pt>
                <c:pt idx="117">
                  <c:v>0.71589892042127468</c:v>
                </c:pt>
                <c:pt idx="118">
                  <c:v>0.71610972704605425</c:v>
                </c:pt>
                <c:pt idx="119">
                  <c:v>0.71631117369490438</c:v>
                </c:pt>
                <c:pt idx="120">
                  <c:v>0.71650367595793996</c:v>
                </c:pt>
                <c:pt idx="121">
                  <c:v>0.71668763097275578</c:v>
                </c:pt>
                <c:pt idx="122">
                  <c:v>0.71686341824373268</c:v>
                </c:pt>
                <c:pt idx="123">
                  <c:v>0.71703140042496549</c:v>
                </c:pt>
                <c:pt idx="124">
                  <c:v>0.71719192406842913</c:v>
                </c:pt>
                <c:pt idx="125">
                  <c:v>0.71734532033892495</c:v>
                </c:pt>
                <c:pt idx="126">
                  <c:v>0.71749190569728261</c:v>
                </c:pt>
                <c:pt idx="127">
                  <c:v>0.71763198255322846</c:v>
                </c:pt>
                <c:pt idx="128">
                  <c:v>0.71776583988926457</c:v>
                </c:pt>
                <c:pt idx="129">
                  <c:v>0.71789375385684828</c:v>
                </c:pt>
                <c:pt idx="130">
                  <c:v>0.71801598834610025</c:v>
                </c:pt>
                <c:pt idx="131">
                  <c:v>0.71813279553021736</c:v>
                </c:pt>
                <c:pt idx="132">
                  <c:v>0.7182444163857129</c:v>
                </c:pt>
                <c:pt idx="133">
                  <c:v>0.71835108118955804</c:v>
                </c:pt>
                <c:pt idx="134">
                  <c:v>0.71845300999424966</c:v>
                </c:pt>
                <c:pt idx="135">
                  <c:v>0.71855041308178502</c:v>
                </c:pt>
                <c:pt idx="136">
                  <c:v>0.71864349139747918</c:v>
                </c:pt>
                <c:pt idx="137">
                  <c:v>0.71873243696452116</c:v>
                </c:pt>
                <c:pt idx="138">
                  <c:v>0.71881743328012282</c:v>
                </c:pt>
                <c:pt idx="139">
                  <c:v>0.71889865569407907</c:v>
                </c:pt>
                <c:pt idx="140">
                  <c:v>0.71897627177051937</c:v>
                </c:pt>
                <c:pt idx="141">
                  <c:v>0.7190504416335971</c:v>
                </c:pt>
                <c:pt idx="142">
                  <c:v>0.71912131829783066</c:v>
                </c:pt>
                <c:pt idx="143">
                  <c:v>0.71918904798377603</c:v>
                </c:pt>
                <c:pt idx="144">
                  <c:v>0.71925377041968452</c:v>
                </c:pt>
                <c:pt idx="145">
                  <c:v>0.7193156191297656</c:v>
                </c:pt>
                <c:pt idx="146">
                  <c:v>0.71937472170965178</c:v>
                </c:pt>
                <c:pt idx="147">
                  <c:v>0.71943120008963102</c:v>
                </c:pt>
                <c:pt idx="148">
                  <c:v>0.71948517078619345</c:v>
                </c:pt>
                <c:pt idx="149">
                  <c:v>0.71953674514240717</c:v>
                </c:pt>
                <c:pt idx="150">
                  <c:v>0.71958602955762296</c:v>
                </c:pt>
                <c:pt idx="151">
                  <c:v>0.71963312570697857</c:v>
                </c:pt>
                <c:pt idx="152">
                  <c:v>0.7196781307511575</c:v>
                </c:pt>
                <c:pt idx="153">
                  <c:v>0.71972113753683464</c:v>
                </c:pt>
                <c:pt idx="154">
                  <c:v>0.71976223478822099</c:v>
                </c:pt>
                <c:pt idx="155">
                  <c:v>0.71980150729010461</c:v>
                </c:pt>
                <c:pt idx="156">
                  <c:v>0.71983903606276389</c:v>
                </c:pt>
                <c:pt idx="157">
                  <c:v>0.71987489852911457</c:v>
                </c:pt>
                <c:pt idx="158">
                  <c:v>0.71990916867443566</c:v>
                </c:pt>
                <c:pt idx="159">
                  <c:v>0.71994191719900302</c:v>
                </c:pt>
                <c:pt idx="160">
                  <c:v>0.7199732116639459</c:v>
                </c:pt>
                <c:pt idx="161">
                  <c:v>0.72000311663062755</c:v>
                </c:pt>
                <c:pt idx="162">
                  <c:v>0.72003169379383702</c:v>
                </c:pt>
                <c:pt idx="163">
                  <c:v>0.72005900210906781</c:v>
                </c:pt>
                <c:pt idx="164">
                  <c:v>0.72008509791414388</c:v>
                </c:pt>
                <c:pt idx="165">
                  <c:v>0.72011003504544657</c:v>
                </c:pt>
                <c:pt idx="166">
                  <c:v>0.7201338649489808</c:v>
                </c:pt>
                <c:pt idx="167">
                  <c:v>0.72015663678650921</c:v>
                </c:pt>
                <c:pt idx="168">
                  <c:v>0.72017839753697455</c:v>
                </c:pt>
                <c:pt idx="169">
                  <c:v>0.72019919209341832</c:v>
                </c:pt>
                <c:pt idx="170">
                  <c:v>0.7202190633555966</c:v>
                </c:pt>
                <c:pt idx="171">
                  <c:v>0.72023805231848348</c:v>
                </c:pt>
                <c:pt idx="172">
                  <c:v>0.72025619815684461</c:v>
                </c:pt>
                <c:pt idx="173">
                  <c:v>0.720273538306056</c:v>
                </c:pt>
                <c:pt idx="174">
                  <c:v>0.72029010853933428</c:v>
                </c:pt>
                <c:pt idx="175">
                  <c:v>0.72030594304153761</c:v>
                </c:pt>
                <c:pt idx="176">
                  <c:v>0.72032107447969063</c:v>
                </c:pt>
                <c:pt idx="177">
                  <c:v>0.72033553407037654</c:v>
                </c:pt>
                <c:pt idx="178">
                  <c:v>0.72034935164413871</c:v>
                </c:pt>
                <c:pt idx="179">
                  <c:v>0.72036255570702112</c:v>
                </c:pt>
                <c:pt idx="180">
                  <c:v>0.72037517349937774</c:v>
                </c:pt>
                <c:pt idx="181">
                  <c:v>0.72038723105206981</c:v>
                </c:pt>
                <c:pt idx="182">
                  <c:v>0.72039875324016855</c:v>
                </c:pt>
                <c:pt idx="183">
                  <c:v>0.72040976383427258</c:v>
                </c:pt>
                <c:pt idx="184">
                  <c:v>0.72042028554954807</c:v>
                </c:pt>
                <c:pt idx="185">
                  <c:v>0.72043034009259022</c:v>
                </c:pt>
                <c:pt idx="186">
                  <c:v>0.72043994820620461</c:v>
                </c:pt>
                <c:pt idx="187">
                  <c:v>0.72044912971220054</c:v>
                </c:pt>
                <c:pt idx="188">
                  <c:v>0.72045790355228367</c:v>
                </c:pt>
                <c:pt idx="189">
                  <c:v>0.7204662878271334</c:v>
                </c:pt>
                <c:pt idx="190">
                  <c:v>0.720474299833745</c:v>
                </c:pt>
                <c:pt idx="191">
                  <c:v>0.7204819561011141</c:v>
                </c:pt>
                <c:pt idx="192">
                  <c:v>0.72048927242433591</c:v>
                </c:pt>
                <c:pt idx="193">
                  <c:v>0.72049626389719168</c:v>
                </c:pt>
                <c:pt idx="194">
                  <c:v>0.72050294494328682</c:v>
                </c:pt>
                <c:pt idx="195">
                  <c:v>0.72050932934580769</c:v>
                </c:pt>
                <c:pt idx="196">
                  <c:v>0.72051543027595688</c:v>
                </c:pt>
                <c:pt idx="197">
                  <c:v>0.72052126032012509</c:v>
                </c:pt>
                <c:pt idx="198">
                  <c:v>0.72052683150585783</c:v>
                </c:pt>
                <c:pt idx="199">
                  <c:v>0.72053215532666826</c:v>
                </c:pt>
                <c:pt idx="200">
                  <c:v>0.72053724276574871</c:v>
                </c:pt>
                <c:pt idx="201">
                  <c:v>0.72054210431862964</c:v>
                </c:pt>
                <c:pt idx="202">
                  <c:v>0.72054675001483148</c:v>
                </c:pt>
                <c:pt idx="203">
                  <c:v>0.72055118943855645</c:v>
                </c:pt>
                <c:pt idx="204">
                  <c:v>0.72055543174846093</c:v>
                </c:pt>
                <c:pt idx="205">
                  <c:v>0.72055948569654971</c:v>
                </c:pt>
                <c:pt idx="206">
                  <c:v>0.72056335964623208</c:v>
                </c:pt>
                <c:pt idx="207">
                  <c:v>0.7205670615895754</c:v>
                </c:pt>
                <c:pt idx="208">
                  <c:v>0.72057059916379318</c:v>
                </c:pt>
                <c:pt idx="209">
                  <c:v>0.72057397966700054</c:v>
                </c:pt>
                <c:pt idx="210">
                  <c:v>0.72057721007327113</c:v>
                </c:pt>
                <c:pt idx="211">
                  <c:v>0.72058029704702409</c:v>
                </c:pt>
                <c:pt idx="212">
                  <c:v>0.72058324695677312</c:v>
                </c:pt>
                <c:pt idx="213">
                  <c:v>0.72058606588826535</c:v>
                </c:pt>
                <c:pt idx="214">
                  <c:v>0.72058875965703595</c:v>
                </c:pt>
                <c:pt idx="215">
                  <c:v>0.72059133382040563</c:v>
                </c:pt>
                <c:pt idx="216">
                  <c:v>0.72059379368894605</c:v>
                </c:pt>
                <c:pt idx="217">
                  <c:v>0.72059614433743546</c:v>
                </c:pt>
                <c:pt idx="218">
                  <c:v>0.72059839061532782</c:v>
                </c:pt>
                <c:pt idx="219">
                  <c:v>0.72060053715675787</c:v>
                </c:pt>
                <c:pt idx="220">
                  <c:v>0.72060258839010094</c:v>
                </c:pt>
                <c:pt idx="221">
                  <c:v>0.72060454854710931</c:v>
                </c:pt>
                <c:pt idx="222">
                  <c:v>0.72060642167164224</c:v>
                </c:pt>
                <c:pt idx="223">
                  <c:v>0.72060821162800826</c:v>
                </c:pt>
                <c:pt idx="224">
                  <c:v>0.72060992210893782</c:v>
                </c:pt>
                <c:pt idx="225">
                  <c:v>0.72061155664320142</c:v>
                </c:pt>
                <c:pt idx="226">
                  <c:v>0.72061311860288924</c:v>
                </c:pt>
                <c:pt idx="227">
                  <c:v>0.72061461121036807</c:v>
                </c:pt>
                <c:pt idx="228">
                  <c:v>0.72061603754492942</c:v>
                </c:pt>
                <c:pt idx="229">
                  <c:v>0.72061740054914147</c:v>
                </c:pt>
                <c:pt idx="230">
                  <c:v>0.72061870303492048</c:v>
                </c:pt>
                <c:pt idx="231">
                  <c:v>0.72061994768933124</c:v>
                </c:pt>
                <c:pt idx="232">
                  <c:v>0.72062113708013098</c:v>
                </c:pt>
                <c:pt idx="233">
                  <c:v>0.72062227366106635</c:v>
                </c:pt>
                <c:pt idx="234">
                  <c:v>0.72062335977693592</c:v>
                </c:pt>
                <c:pt idx="235">
                  <c:v>0.72062439766842723</c:v>
                </c:pt>
                <c:pt idx="236">
                  <c:v>0.72062538947673982</c:v>
                </c:pt>
                <c:pt idx="237">
                  <c:v>0.72062633724800218</c:v>
                </c:pt>
                <c:pt idx="238">
                  <c:v>0.72062724293749303</c:v>
                </c:pt>
                <c:pt idx="239">
                  <c:v>0.72062810841367542</c:v>
                </c:pt>
                <c:pt idx="240">
                  <c:v>0.72062893546205109</c:v>
                </c:pt>
                <c:pt idx="241">
                  <c:v>0.7206297257888441</c:v>
                </c:pt>
                <c:pt idx="242">
                  <c:v>0.72063048102452099</c:v>
                </c:pt>
                <c:pt idx="243">
                  <c:v>0.7206312027271542</c:v>
                </c:pt>
                <c:pt idx="244">
                  <c:v>0.72063189238563663</c:v>
                </c:pt>
                <c:pt idx="245">
                  <c:v>0.72063255142275306</c:v>
                </c:pt>
                <c:pt idx="246">
                  <c:v>0.72063318119811581</c:v>
                </c:pt>
                <c:pt idx="247">
                  <c:v>0.72063378301096903</c:v>
                </c:pt>
                <c:pt idx="248">
                  <c:v>0.7206343581028698</c:v>
                </c:pt>
                <c:pt idx="249">
                  <c:v>0.72063490766024874</c:v>
                </c:pt>
                <c:pt idx="250">
                  <c:v>0.72063543281685827</c:v>
                </c:pt>
                <c:pt idx="251">
                  <c:v>0.72063593465611131</c:v>
                </c:pt>
                <c:pt idx="252">
                  <c:v>0.72063641421331637</c:v>
                </c:pt>
                <c:pt idx="253">
                  <c:v>0.72063687247781338</c:v>
                </c:pt>
                <c:pt idx="254">
                  <c:v>0.72063731039501511</c:v>
                </c:pt>
                <c:pt idx="255">
                  <c:v>0.72063772886835697</c:v>
                </c:pt>
                <c:pt idx="256">
                  <c:v>0.72063812876116129</c:v>
                </c:pt>
                <c:pt idx="257">
                  <c:v>0.72063851089841824</c:v>
                </c:pt>
                <c:pt idx="258">
                  <c:v>0.72063887606848764</c:v>
                </c:pt>
                <c:pt idx="259">
                  <c:v>0.72063922502472577</c:v>
                </c:pt>
                <c:pt idx="260">
                  <c:v>0.72063955848703898</c:v>
                </c:pt>
                <c:pt idx="261">
                  <c:v>0.72063987714336963</c:v>
                </c:pt>
                <c:pt idx="262">
                  <c:v>0.72064018165111465</c:v>
                </c:pt>
                <c:pt idx="263">
                  <c:v>0.72064047263848208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8CC-42C4-B7BB-DC363EF2FBF4}"/>
            </c:ext>
          </c:extLst>
        </c:ser>
        <c:ser>
          <c:idx val="0"/>
          <c:order val="2"/>
          <c:tx>
            <c:strRef>
              <c:f>'Second Order V2'!$G$6</c:f>
              <c:strCache>
                <c:ptCount val="1"/>
                <c:pt idx="0">
                  <c:v>expecter behavior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'Second Order V2'!$A$7:$A$270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'Second Order V2'!$G$7:$G$270</c:f>
              <c:numCache>
                <c:formatCode>General</c:formatCode>
                <c:ptCount val="264"/>
                <c:pt idx="0">
                  <c:v>0.16293470614736194</c:v>
                </c:pt>
                <c:pt idx="1">
                  <c:v>0.21439284484470744</c:v>
                </c:pt>
                <c:pt idx="2">
                  <c:v>0.26746655308719619</c:v>
                </c:pt>
                <c:pt idx="3">
                  <c:v>0.32141271394052717</c:v>
                </c:pt>
                <c:pt idx="4">
                  <c:v>0.37554282565427594</c:v>
                </c:pt>
                <c:pt idx="5">
                  <c:v>0.42922607975566213</c:v>
                </c:pt>
                <c:pt idx="6">
                  <c:v>0.4818915165639428</c:v>
                </c:pt>
                <c:pt idx="7">
                  <c:v>0.53302931374972318</c:v>
                </c:pt>
                <c:pt idx="8">
                  <c:v>0.58219126858090609</c:v>
                </c:pt>
                <c:pt idx="9">
                  <c:v>0.62899053838997399</c:v>
                </c:pt>
                <c:pt idx="10">
                  <c:v>0.67310070661922128</c:v>
                </c:pt>
                <c:pt idx="11">
                  <c:v>0.71425424361238565</c:v>
                </c:pt>
                <c:pt idx="12">
                  <c:v>0.75224043218998837</c:v>
                </c:pt>
                <c:pt idx="13">
                  <c:v>0.78690282804358846</c:v>
                </c:pt>
                <c:pt idx="14">
                  <c:v>0.81813632418674487</c:v>
                </c:pt>
                <c:pt idx="15">
                  <c:v>0.84588388718587371</c:v>
                </c:pt>
                <c:pt idx="16">
                  <c:v>0.87013303074185344</c:v>
                </c:pt>
                <c:pt idx="17">
                  <c:v>0.89091208948300882</c:v>
                </c:pt>
                <c:pt idx="18">
                  <c:v>0.90828635264120261</c:v>
                </c:pt>
                <c:pt idx="19">
                  <c:v>0.92235411369297804</c:v>
                </c:pt>
                <c:pt idx="20">
                  <c:v>0.93324268813260147</c:v>
                </c:pt>
                <c:pt idx="21">
                  <c:v>0.94110444737617838</c:v>
                </c:pt>
                <c:pt idx="22">
                  <c:v>0.94611291244501428</c:v>
                </c:pt>
                <c:pt idx="23">
                  <c:v>0.94845894660741714</c:v>
                </c:pt>
                <c:pt idx="24">
                  <c:v>0.94834708163218751</c:v>
                </c:pt>
                <c:pt idx="25">
                  <c:v>0.94599200778046622</c:v>
                </c:pt>
                <c:pt idx="26">
                  <c:v>0.94161525318689565</c:v>
                </c:pt>
                <c:pt idx="27">
                  <c:v>0.93544207390259226</c:v>
                </c:pt>
                <c:pt idx="28">
                  <c:v>0.92769857163254132</c:v>
                </c:pt>
                <c:pt idx="29">
                  <c:v>0.91860905213481625</c:v>
                </c:pt>
                <c:pt idx="30">
                  <c:v>0.90839363338950818</c:v>
                </c:pt>
                <c:pt idx="31">
                  <c:v>0.89726610901741399</c:v>
                </c:pt>
                <c:pt idx="32">
                  <c:v>0.88543206905343796</c:v>
                </c:pt>
                <c:pt idx="33">
                  <c:v>0.8730872770737399</c:v>
                </c:pt>
                <c:pt idx="34">
                  <c:v>0.86041629985077805</c:v>
                </c:pt>
                <c:pt idx="35">
                  <c:v>0.84759138317426519</c:v>
                </c:pt>
                <c:pt idx="36">
                  <c:v>0.83477156523239504</c:v>
                </c:pt>
                <c:pt idx="37">
                  <c:v>0.8221020169965999</c:v>
                </c:pt>
                <c:pt idx="38">
                  <c:v>0.80971359739132809</c:v>
                </c:pt>
                <c:pt idx="39">
                  <c:v>0.79772260965163166</c:v>
                </c:pt>
                <c:pt idx="40">
                  <c:v>0.78623074416681327</c:v>
                </c:pt>
                <c:pt idx="41">
                  <c:v>0.77532519226673857</c:v>
                </c:pt>
                <c:pt idx="42">
                  <c:v>0.76507891481540347</c:v>
                </c:pt>
                <c:pt idx="43">
                  <c:v>0.75555104911900872</c:v>
                </c:pt>
                <c:pt idx="44">
                  <c:v>0.7467874375168233</c:v>
                </c:pt>
                <c:pt idx="45">
                  <c:v>0.73882126108511148</c:v>
                </c:pt>
                <c:pt idx="46">
                  <c:v>0.73167376212923341</c:v>
                </c:pt>
                <c:pt idx="47">
                  <c:v>0.72535503954801495</c:v>
                </c:pt>
                <c:pt idx="48">
                  <c:v>0.71986490170874806</c:v>
                </c:pt>
                <c:pt idx="49">
                  <c:v>0.71519376215180019</c:v>
                </c:pt>
                <c:pt idx="50">
                  <c:v>0.71132356423208587</c:v>
                </c:pt>
                <c:pt idx="51">
                  <c:v>0.70822872168228657</c:v>
                </c:pt>
                <c:pt idx="52">
                  <c:v>0.70587706303195685</c:v>
                </c:pt>
                <c:pt idx="53">
                  <c:v>0.7042307688205437</c:v>
                </c:pt>
                <c:pt idx="54">
                  <c:v>0.70324729158470201</c:v>
                </c:pt>
                <c:pt idx="55">
                  <c:v>0.70288024966595763</c:v>
                </c:pt>
                <c:pt idx="56">
                  <c:v>0.70308028695959934</c:v>
                </c:pt>
                <c:pt idx="57">
                  <c:v>0.70379589179668089</c:v>
                </c:pt>
                <c:pt idx="58">
                  <c:v>0.70497416920635458</c:v>
                </c:pt>
                <c:pt idx="59">
                  <c:v>0.70656156183479502</c:v>
                </c:pt>
                <c:pt idx="60">
                  <c:v>0.70850451579032236</c:v>
                </c:pt>
                <c:pt idx="61">
                  <c:v>0.7107500886337984</c:v>
                </c:pt>
                <c:pt idx="62">
                  <c:v>0.71324649763197656</c:v>
                </c:pt>
                <c:pt idx="63">
                  <c:v>0.7159436072334554</c:v>
                </c:pt>
                <c:pt idx="64">
                  <c:v>0.71879335550755408</c:v>
                </c:pt>
                <c:pt idx="65">
                  <c:v>0.72175012000226735</c:v>
                </c:pt>
                <c:pt idx="66">
                  <c:v>0.72477102412595606</c:v>
                </c:pt>
                <c:pt idx="67">
                  <c:v>0.7278161857370723</c:v>
                </c:pt>
                <c:pt idx="68">
                  <c:v>0.73084891013639885</c:v>
                </c:pt>
                <c:pt idx="69">
                  <c:v>0.73383583009723985</c:v>
                </c:pt>
                <c:pt idx="70">
                  <c:v>0.73674699594173199</c:v>
                </c:pt>
                <c:pt idx="71">
                  <c:v>0.73955591897764716</c:v>
                </c:pt>
                <c:pt idx="72">
                  <c:v>0.74223957185202261</c:v>
                </c:pt>
                <c:pt idx="73">
                  <c:v>0.74477834955852007</c:v>
                </c:pt>
                <c:pt idx="74">
                  <c:v>0.74715599495785057</c:v>
                </c:pt>
                <c:pt idx="75">
                  <c:v>0.74935949273857527</c:v>
                </c:pt>
                <c:pt idx="76">
                  <c:v>0.75137893576305181</c:v>
                </c:pt>
                <c:pt idx="77">
                  <c:v>0.75320736771443453</c:v>
                </c:pt>
                <c:pt idx="78">
                  <c:v>0.75484060588980206</c:v>
                </c:pt>
                <c:pt idx="79">
                  <c:v>0.75627704787612771</c:v>
                </c:pt>
                <c:pt idx="80">
                  <c:v>0.75751746570441481</c:v>
                </c:pt>
                <c:pt idx="81">
                  <c:v>0.7585647909073665</c:v>
                </c:pt>
                <c:pt idx="82">
                  <c:v>0.75942389371185526</c:v>
                </c:pt>
                <c:pt idx="83">
                  <c:v>0.76010135938350798</c:v>
                </c:pt>
                <c:pt idx="84">
                  <c:v>0.76060526451107469</c:v>
                </c:pt>
                <c:pt idx="85">
                  <c:v>0.76094495577687926</c:v>
                </c:pt>
                <c:pt idx="86">
                  <c:v>0.76113083351031863</c:v>
                </c:pt>
                <c:pt idx="87">
                  <c:v>0.76117414206760137</c:v>
                </c:pt>
                <c:pt idx="88">
                  <c:v>0.76108676882597093</c:v>
                </c:pt>
                <c:pt idx="89">
                  <c:v>0.76088105332753819</c:v>
                </c:pt>
                <c:pt idx="90">
                  <c:v>0.76056960785926797</c:v>
                </c:pt>
                <c:pt idx="91">
                  <c:v>0.76016515051405598</c:v>
                </c:pt>
                <c:pt idx="92">
                  <c:v>0.7596803515453362</c:v>
                </c:pt>
                <c:pt idx="93">
                  <c:v>0.75912769360611687</c:v>
                </c:pt>
                <c:pt idx="94">
                  <c:v>0.75851934625433359</c:v>
                </c:pt>
                <c:pt idx="95">
                  <c:v>0.75786705491119977</c:v>
                </c:pt>
                <c:pt idx="96">
                  <c:v>0.75718204427886682</c:v>
                </c:pt>
                <c:pt idx="97">
                  <c:v>0.75647493605891769</c:v>
                </c:pt>
                <c:pt idx="98">
                  <c:v>0.75575568066454446</c:v>
                </c:pt>
                <c:pt idx="99">
                  <c:v>0.75503350248698387</c:v>
                </c:pt>
                <c:pt idx="100">
                  <c:v>0.75431685816098171</c:v>
                </c:pt>
                <c:pt idx="101">
                  <c:v>0.75361340717462222</c:v>
                </c:pt>
                <c:pt idx="102">
                  <c:v>0.752929994085486</c:v>
                </c:pt>
                <c:pt idx="103">
                  <c:v>0.75227264153735585</c:v>
                </c:pt>
                <c:pt idx="104">
                  <c:v>0.75164655321897711</c:v>
                </c:pt>
                <c:pt idx="105">
                  <c:v>0.75105612586799719</c:v>
                </c:pt>
                <c:pt idx="106">
                  <c:v>0.75050496939834133</c:v>
                </c:pt>
                <c:pt idx="107">
                  <c:v>0.7499959342170518</c:v>
                </c:pt>
                <c:pt idx="108">
                  <c:v>0.74953114479604888</c:v>
                </c:pt>
                <c:pt idx="109">
                  <c:v>0.74911203857437547</c:v>
                </c:pt>
                <c:pt idx="110">
                  <c:v>0.74873940928620697</c:v>
                </c:pt>
                <c:pt idx="111">
                  <c:v>0.74841345383819646</c:v>
                </c:pt>
                <c:pt idx="112">
                  <c:v>0.7481338218955117</c:v>
                </c:pt>
                <c:pt idx="113">
                  <c:v>0.74789966737814406</c:v>
                </c:pt>
                <c:pt idx="114">
                  <c:v>0.74770970111670099</c:v>
                </c:pt>
                <c:pt idx="115">
                  <c:v>0.74756224396891469</c:v>
                </c:pt>
                <c:pt idx="116">
                  <c:v>0.74745527975353865</c:v>
                </c:pt>
                <c:pt idx="117">
                  <c:v>0.74738650741624035</c:v>
                </c:pt>
                <c:pt idx="118">
                  <c:v>0.74735339190165018</c:v>
                </c:pt>
                <c:pt idx="119">
                  <c:v>0.74735321326608206</c:v>
                </c:pt>
                <c:pt idx="120">
                  <c:v>0.74738311362584198</c:v>
                </c:pt>
                <c:pt idx="121">
                  <c:v>0.74744014159579952</c:v>
                </c:pt>
                <c:pt idx="122">
                  <c:v>0.74752129393138811</c:v>
                </c:pt>
                <c:pt idx="123">
                  <c:v>0.74762355414386994</c:v>
                </c:pt>
                <c:pt idx="124">
                  <c:v>0.74774392791306765</c:v>
                </c:pt>
                <c:pt idx="125">
                  <c:v>0.74787947517340314</c:v>
                </c:pt>
                <c:pt idx="126">
                  <c:v>0.74802733879765237</c:v>
                </c:pt>
                <c:pt idx="127">
                  <c:v>0.74818476984803273</c:v>
                </c:pt>
                <c:pt idx="128">
                  <c:v>0.7483491494058675</c:v>
                </c:pt>
                <c:pt idx="129">
                  <c:v>0.74851800702895865</c:v>
                </c:pt>
                <c:pt idx="130">
                  <c:v>0.74868903591983615</c:v>
                </c:pt>
                <c:pt idx="131">
                  <c:v>0.74886010491819077</c:v>
                </c:pt>
                <c:pt idx="132">
                  <c:v>0.74902926745703013</c:v>
                </c:pt>
                <c:pt idx="133">
                  <c:v>0.74919476764447135</c:v>
                </c:pt>
                <c:pt idx="134">
                  <c:v>0.7493550436516706</c:v>
                </c:pt>
                <c:pt idx="135">
                  <c:v>0.74950872860231632</c:v>
                </c:pt>
                <c:pt idx="136">
                  <c:v>0.74965464917052249</c:v>
                </c:pt>
                <c:pt idx="137">
                  <c:v>0.74979182210202744</c:v>
                </c:pt>
                <c:pt idx="138">
                  <c:v>0.74991944887853257</c:v>
                </c:pt>
                <c:pt idx="139">
                  <c:v>0.75003690874701567</c:v>
                </c:pt>
                <c:pt idx="140">
                  <c:v>0.75014375033516667</c:v>
                </c:pt>
                <c:pt idx="141">
                  <c:v>0.7502396820709466</c:v>
                </c:pt>
                <c:pt idx="142">
                  <c:v>0.75032456161893035</c:v>
                </c:pt>
                <c:pt idx="143">
                  <c:v>0.75039838453878904</c:v>
                </c:pt>
                <c:pt idx="144">
                  <c:v>0.75046127236228055</c:v>
                </c:pt>
                <c:pt idx="145">
                  <c:v>0.75051346027466248</c:v>
                </c:pt>
                <c:pt idx="146">
                  <c:v>0.75055528457479903</c:v>
                </c:pt>
                <c:pt idx="147">
                  <c:v>0.7505871700756106</c:v>
                </c:pt>
                <c:pt idx="148">
                  <c:v>0.75060961759315781</c:v>
                </c:pt>
                <c:pt idx="149">
                  <c:v>0.75062319165876989</c:v>
                </c:pt>
                <c:pt idx="150">
                  <c:v>0.75062850857442098</c:v>
                </c:pt>
                <c:pt idx="151">
                  <c:v>0.75062622491722353</c:v>
                </c:pt>
                <c:pt idx="152">
                  <c:v>0.75061702658461293</c:v>
                </c:pt>
                <c:pt idx="153">
                  <c:v>0.75060161845770657</c:v>
                </c:pt>
                <c:pt idx="154">
                  <c:v>0.75058071474656674</c:v>
                </c:pt>
                <c:pt idx="155">
                  <c:v>0.75055503006782498</c:v>
                </c:pt>
                <c:pt idx="156">
                  <c:v>0.75052527129241764</c:v>
                </c:pt>
                <c:pt idx="157">
                  <c:v>0.75049213018916305</c:v>
                </c:pt>
                <c:pt idx="158">
                  <c:v>0.75045627687863592</c:v>
                </c:pt>
                <c:pt idx="159">
                  <c:v>0.75041835410133195</c:v>
                </c:pt>
                <c:pt idx="160">
                  <c:v>0.75037897229452621</c:v>
                </c:pt>
                <c:pt idx="161">
                  <c:v>0.75033870546352288</c:v>
                </c:pt>
                <c:pt idx="162">
                  <c:v>0.75029808782521734</c:v>
                </c:pt>
                <c:pt idx="163">
                  <c:v>0.75025761119503398</c:v>
                </c:pt>
                <c:pt idx="164">
                  <c:v>0.75021772308237289</c:v>
                </c:pt>
                <c:pt idx="165">
                  <c:v>0.75017882545467851</c:v>
                </c:pt>
                <c:pt idx="166">
                  <c:v>0.75014127412611142</c:v>
                </c:pt>
                <c:pt idx="167">
                  <c:v>0.75010537872353389</c:v>
                </c:pt>
                <c:pt idx="168">
                  <c:v>0.75007140318006604</c:v>
                </c:pt>
                <c:pt idx="169">
                  <c:v>0.7500395667047981</c:v>
                </c:pt>
                <c:pt idx="170">
                  <c:v>0.75001004517630032</c:v>
                </c:pt>
                <c:pt idx="171">
                  <c:v>0.74998297290730209</c:v>
                </c:pt>
                <c:pt idx="172">
                  <c:v>0.74995844472826978</c:v>
                </c:pt>
                <c:pt idx="173">
                  <c:v>0.74993651833852548</c:v>
                </c:pt>
                <c:pt idx="174">
                  <c:v>0.74991721687497126</c:v>
                </c:pt>
                <c:pt idx="175">
                  <c:v>0.74990053165034798</c:v>
                </c:pt>
                <c:pt idx="176">
                  <c:v>0.74988642501520419</c:v>
                </c:pt>
                <c:pt idx="177">
                  <c:v>0.74987483330032767</c:v>
                </c:pt>
                <c:pt idx="178">
                  <c:v>0.74986566979922908</c:v>
                </c:pt>
                <c:pt idx="179">
                  <c:v>0.74985882775332624</c:v>
                </c:pt>
                <c:pt idx="180">
                  <c:v>0.74985418330568432</c:v>
                </c:pt>
                <c:pt idx="181">
                  <c:v>0.74985159839249527</c:v>
                </c:pt>
                <c:pt idx="182">
                  <c:v>0.74985092354485716</c:v>
                </c:pt>
                <c:pt idx="183">
                  <c:v>0.74985200057682044</c:v>
                </c:pt>
                <c:pt idx="184">
                  <c:v>0.74985466513904186</c:v>
                </c:pt>
                <c:pt idx="185">
                  <c:v>0.74985874912071271</c:v>
                </c:pt>
                <c:pt idx="186">
                  <c:v>0.74986408288565065</c:v>
                </c:pt>
                <c:pt idx="187">
                  <c:v>0.74987049733155819</c:v>
                </c:pt>
                <c:pt idx="188">
                  <c:v>0.74987782576441109</c:v>
                </c:pt>
                <c:pt idx="189">
                  <c:v>0.74988590558273904</c:v>
                </c:pt>
                <c:pt idx="190">
                  <c:v>0.74989457976917495</c:v>
                </c:pt>
                <c:pt idx="191">
                  <c:v>0.74990369818906588</c:v>
                </c:pt>
                <c:pt idx="192">
                  <c:v>0.74991311869814858</c:v>
                </c:pt>
                <c:pt idx="193">
                  <c:v>0.74992270806328576</c:v>
                </c:pt>
                <c:pt idx="194">
                  <c:v>0.74993234270203912</c:v>
                </c:pt>
                <c:pt idx="195">
                  <c:v>0.74994190924840709</c:v>
                </c:pt>
                <c:pt idx="196">
                  <c:v>0.74995130495339624</c:v>
                </c:pt>
                <c:pt idx="197">
                  <c:v>0.74996043793021827</c:v>
                </c:pt>
                <c:pt idx="198">
                  <c:v>0.7499692272548184</c:v>
                </c:pt>
                <c:pt idx="199">
                  <c:v>0.74997760293315396</c:v>
                </c:pt>
                <c:pt idx="200">
                  <c:v>0.74998550574716738</c:v>
                </c:pt>
                <c:pt idx="201">
                  <c:v>0.74999288699173272</c:v>
                </c:pt>
                <c:pt idx="202">
                  <c:v>0.74999970811503369</c:v>
                </c:pt>
                <c:pt idx="203">
                  <c:v>0.75000594027484069</c:v>
                </c:pt>
                <c:pt idx="204">
                  <c:v>0.75001156382303003</c:v>
                </c:pt>
                <c:pt idx="205">
                  <c:v>0.75001656773043246</c:v>
                </c:pt>
                <c:pt idx="206">
                  <c:v>0.75002094896372196</c:v>
                </c:pt>
                <c:pt idx="207">
                  <c:v>0.75002471182559094</c:v>
                </c:pt>
                <c:pt idx="208">
                  <c:v>0.75002786726888993</c:v>
                </c:pt>
                <c:pt idx="209">
                  <c:v>0.75003043219478649</c:v>
                </c:pt>
                <c:pt idx="210">
                  <c:v>0.75003242874430043</c:v>
                </c:pt>
                <c:pt idx="211">
                  <c:v>0.75003388359183831</c:v>
                </c:pt>
                <c:pt idx="212">
                  <c:v>0.75003482724857817</c:v>
                </c:pt>
                <c:pt idx="213">
                  <c:v>0.75003529338276198</c:v>
                </c:pt>
                <c:pt idx="214">
                  <c:v>0.7500353181631465</c:v>
                </c:pt>
                <c:pt idx="215">
                  <c:v>0.75003493963106183</c:v>
                </c:pt>
                <c:pt idx="216">
                  <c:v>0.75003419710572306</c:v>
                </c:pt>
                <c:pt idx="217">
                  <c:v>0.75003313062666566</c:v>
                </c:pt>
                <c:pt idx="218">
                  <c:v>0.75003178043641061</c:v>
                </c:pt>
                <c:pt idx="219">
                  <c:v>0.75003018650574582</c:v>
                </c:pt>
                <c:pt idx="220">
                  <c:v>0.75002838810331263</c:v>
                </c:pt>
                <c:pt idx="221">
                  <c:v>0.75002642341054182</c:v>
                </c:pt>
                <c:pt idx="222">
                  <c:v>0.75002432918237194</c:v>
                </c:pt>
                <c:pt idx="223">
                  <c:v>0.75002214045363269</c:v>
                </c:pt>
                <c:pt idx="224">
                  <c:v>0.75001989029045846</c:v>
                </c:pt>
                <c:pt idx="225">
                  <c:v>0.75001760958565</c:v>
                </c:pt>
                <c:pt idx="226">
                  <c:v>0.75001532689648931</c:v>
                </c:pt>
                <c:pt idx="227">
                  <c:v>0.75001306832316594</c:v>
                </c:pt>
                <c:pt idx="228">
                  <c:v>0.75001085742566775</c:v>
                </c:pt>
                <c:pt idx="229">
                  <c:v>0.75000871517674128</c:v>
                </c:pt>
                <c:pt idx="230">
                  <c:v>0.75000665994832372</c:v>
                </c:pt>
                <c:pt idx="231">
                  <c:v>0.75000470752869353</c:v>
                </c:pt>
                <c:pt idx="232">
                  <c:v>0.75000287116747977</c:v>
                </c:pt>
                <c:pt idx="233">
                  <c:v>0.75000116164559683</c:v>
                </c:pt>
                <c:pt idx="234">
                  <c:v>0.74999958736714878</c:v>
                </c:pt>
                <c:pt idx="235">
                  <c:v>0.74999815447035012</c:v>
                </c:pt>
                <c:pt idx="236">
                  <c:v>0.74999686695455225</c:v>
                </c:pt>
                <c:pt idx="237">
                  <c:v>0.74999572682053472</c:v>
                </c:pt>
                <c:pt idx="238">
                  <c:v>0.74999473422131568</c:v>
                </c:pt>
                <c:pt idx="239">
                  <c:v>0.74999388762085495</c:v>
                </c:pt>
                <c:pt idx="240">
                  <c:v>0.74999318395816261</c:v>
                </c:pt>
                <c:pt idx="241">
                  <c:v>0.74999261881447798</c:v>
                </c:pt>
                <c:pt idx="242">
                  <c:v>0.74999218658135658</c:v>
                </c:pt>
                <c:pt idx="243">
                  <c:v>0.74999188062767275</c:v>
                </c:pt>
                <c:pt idx="244">
                  <c:v>0.7499916934637394</c:v>
                </c:pt>
                <c:pt idx="245">
                  <c:v>0.74999161690092842</c:v>
                </c:pt>
                <c:pt idx="246">
                  <c:v>0.74999164220536985</c:v>
                </c:pt>
                <c:pt idx="247">
                  <c:v>0.74999176024449932</c:v>
                </c:pt>
                <c:pt idx="248">
                  <c:v>0.74999196162540849</c:v>
                </c:pt>
                <c:pt idx="249">
                  <c:v>0.74999223682413974</c:v>
                </c:pt>
                <c:pt idx="250">
                  <c:v>0.74999257630524341</c:v>
                </c:pt>
                <c:pt idx="251">
                  <c:v>0.74999297063108372</c:v>
                </c:pt>
                <c:pt idx="252">
                  <c:v>0.74999341056054247</c:v>
                </c:pt>
                <c:pt idx="253">
                  <c:v>0.74999388713692106</c:v>
                </c:pt>
                <c:pt idx="254">
                  <c:v>0.74999439176497829</c:v>
                </c:pt>
                <c:pt idx="255">
                  <c:v>0.74999491627717441</c:v>
                </c:pt>
                <c:pt idx="256">
                  <c:v>0.74999545298930415</c:v>
                </c:pt>
                <c:pt idx="257">
                  <c:v>0.74999599474580991</c:v>
                </c:pt>
                <c:pt idx="258">
                  <c:v>0.7499965349551555</c:v>
                </c:pt>
                <c:pt idx="259">
                  <c:v>0.74999706761572182</c:v>
                </c:pt>
                <c:pt idx="260">
                  <c:v>0.74999758733275379</c:v>
                </c:pt>
                <c:pt idx="261">
                  <c:v>0.74999808932694234</c:v>
                </c:pt>
                <c:pt idx="262">
                  <c:v>0.74999856943527088</c:v>
                </c:pt>
                <c:pt idx="263">
                  <c:v>0.74999902410478836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A5A-4E06-A87C-5A79186FD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060160"/>
        <c:axId val="514061960"/>
      </c:scatterChart>
      <c:valAx>
        <c:axId val="51406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061960"/>
        <c:crosses val="autoZero"/>
        <c:crossBetween val="midCat"/>
      </c:valAx>
      <c:valAx>
        <c:axId val="51406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060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6950989803894105"/>
          <c:y val="0.14914798952884389"/>
          <c:w val="0.53049010148007247"/>
          <c:h val="3.67202573779679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'Amplitude Jump'!$B$4</c:f>
              <c:strCache>
                <c:ptCount val="1"/>
                <c:pt idx="0">
                  <c:v>Qmin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'Amplitude Jump'!$A$5:$A$268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'Amplitude Jump'!$E$5:$E$268</c:f>
              <c:numCache>
                <c:formatCode>General</c:formatCode>
                <c:ptCount val="2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0.1723076923076923</c:v>
                </c:pt>
                <c:pt idx="7">
                  <c:v>0.1723076923076923</c:v>
                </c:pt>
                <c:pt idx="8">
                  <c:v>0.1723076923076923</c:v>
                </c:pt>
                <c:pt idx="9">
                  <c:v>0.1723076923076923</c:v>
                </c:pt>
                <c:pt idx="10">
                  <c:v>0.1723076923076923</c:v>
                </c:pt>
                <c:pt idx="11">
                  <c:v>0.1723076923076923</c:v>
                </c:pt>
                <c:pt idx="12">
                  <c:v>0.1723076923076923</c:v>
                </c:pt>
                <c:pt idx="13">
                  <c:v>0.1723076923076923</c:v>
                </c:pt>
                <c:pt idx="14">
                  <c:v>0.1723076923076923</c:v>
                </c:pt>
                <c:pt idx="15">
                  <c:v>0.1723076923076923</c:v>
                </c:pt>
                <c:pt idx="16">
                  <c:v>0.1723076923076923</c:v>
                </c:pt>
                <c:pt idx="17">
                  <c:v>0.1723076923076923</c:v>
                </c:pt>
                <c:pt idx="18">
                  <c:v>0.1723076923076923</c:v>
                </c:pt>
                <c:pt idx="19">
                  <c:v>0.1723076923076923</c:v>
                </c:pt>
                <c:pt idx="20">
                  <c:v>0.1723076923076923</c:v>
                </c:pt>
                <c:pt idx="21">
                  <c:v>0.1723076923076923</c:v>
                </c:pt>
                <c:pt idx="22">
                  <c:v>0.1723076923076923</c:v>
                </c:pt>
                <c:pt idx="23">
                  <c:v>0.1723076923076923</c:v>
                </c:pt>
                <c:pt idx="24">
                  <c:v>0.1723076923076923</c:v>
                </c:pt>
                <c:pt idx="25">
                  <c:v>0.1723076923076923</c:v>
                </c:pt>
                <c:pt idx="26">
                  <c:v>0.1723076923076923</c:v>
                </c:pt>
                <c:pt idx="27">
                  <c:v>0.1723076923076923</c:v>
                </c:pt>
                <c:pt idx="28">
                  <c:v>0.1723076923076923</c:v>
                </c:pt>
                <c:pt idx="29">
                  <c:v>0.1723076923076923</c:v>
                </c:pt>
                <c:pt idx="30">
                  <c:v>0.1723076923076923</c:v>
                </c:pt>
                <c:pt idx="31">
                  <c:v>0.1723076923076923</c:v>
                </c:pt>
                <c:pt idx="32">
                  <c:v>0.1723076923076923</c:v>
                </c:pt>
                <c:pt idx="33">
                  <c:v>0.1723076923076923</c:v>
                </c:pt>
                <c:pt idx="34">
                  <c:v>0.1723076923076923</c:v>
                </c:pt>
                <c:pt idx="35">
                  <c:v>0.1723076923076923</c:v>
                </c:pt>
                <c:pt idx="36">
                  <c:v>0.1723076923076923</c:v>
                </c:pt>
                <c:pt idx="37">
                  <c:v>0.1723076923076923</c:v>
                </c:pt>
                <c:pt idx="38">
                  <c:v>0.1723076923076923</c:v>
                </c:pt>
                <c:pt idx="39">
                  <c:v>0.1723076923076923</c:v>
                </c:pt>
                <c:pt idx="40">
                  <c:v>0.1723076923076923</c:v>
                </c:pt>
                <c:pt idx="41">
                  <c:v>0.1723076923076923</c:v>
                </c:pt>
                <c:pt idx="42">
                  <c:v>0.1723076923076923</c:v>
                </c:pt>
                <c:pt idx="43">
                  <c:v>0.1723076923076923</c:v>
                </c:pt>
                <c:pt idx="44">
                  <c:v>0.1723076923076923</c:v>
                </c:pt>
                <c:pt idx="45">
                  <c:v>0.1723076923076923</c:v>
                </c:pt>
                <c:pt idx="46">
                  <c:v>0.1723076923076923</c:v>
                </c:pt>
                <c:pt idx="47">
                  <c:v>0.1723076923076923</c:v>
                </c:pt>
                <c:pt idx="48">
                  <c:v>0.1723076923076923</c:v>
                </c:pt>
                <c:pt idx="49">
                  <c:v>0.1723076923076923</c:v>
                </c:pt>
                <c:pt idx="50">
                  <c:v>0.1723076923076923</c:v>
                </c:pt>
                <c:pt idx="51">
                  <c:v>0.1723076923076923</c:v>
                </c:pt>
                <c:pt idx="52">
                  <c:v>0.1723076923076923</c:v>
                </c:pt>
                <c:pt idx="53">
                  <c:v>0.1723076923076923</c:v>
                </c:pt>
                <c:pt idx="54">
                  <c:v>0.1723076923076923</c:v>
                </c:pt>
                <c:pt idx="55">
                  <c:v>0.1723076923076923</c:v>
                </c:pt>
                <c:pt idx="56">
                  <c:v>0.1723076923076923</c:v>
                </c:pt>
                <c:pt idx="57">
                  <c:v>0.1723076923076923</c:v>
                </c:pt>
                <c:pt idx="58">
                  <c:v>0.1723076923076923</c:v>
                </c:pt>
                <c:pt idx="59">
                  <c:v>0.1723076923076923</c:v>
                </c:pt>
                <c:pt idx="60">
                  <c:v>0.1723076923076923</c:v>
                </c:pt>
                <c:pt idx="61">
                  <c:v>0.1723076923076923</c:v>
                </c:pt>
                <c:pt idx="62">
                  <c:v>0.1723076923076923</c:v>
                </c:pt>
                <c:pt idx="63">
                  <c:v>0.1723076923076923</c:v>
                </c:pt>
                <c:pt idx="64">
                  <c:v>0.1723076923076923</c:v>
                </c:pt>
                <c:pt idx="65">
                  <c:v>0.1723076923076923</c:v>
                </c:pt>
                <c:pt idx="66">
                  <c:v>0.1723076923076923</c:v>
                </c:pt>
                <c:pt idx="67">
                  <c:v>0.1723076923076923</c:v>
                </c:pt>
                <c:pt idx="68">
                  <c:v>0.1723076923076923</c:v>
                </c:pt>
                <c:pt idx="69">
                  <c:v>0.1723076923076923</c:v>
                </c:pt>
                <c:pt idx="70">
                  <c:v>0.1723076923076923</c:v>
                </c:pt>
                <c:pt idx="71">
                  <c:v>0.1723076923076923</c:v>
                </c:pt>
                <c:pt idx="72">
                  <c:v>0.1723076923076923</c:v>
                </c:pt>
                <c:pt idx="73">
                  <c:v>0.1723076923076923</c:v>
                </c:pt>
                <c:pt idx="74">
                  <c:v>0.1723076923076923</c:v>
                </c:pt>
                <c:pt idx="75">
                  <c:v>0.1723076923076923</c:v>
                </c:pt>
                <c:pt idx="76">
                  <c:v>0.1723076923076923</c:v>
                </c:pt>
                <c:pt idx="77">
                  <c:v>0.1723076923076923</c:v>
                </c:pt>
                <c:pt idx="78">
                  <c:v>0.1723076923076923</c:v>
                </c:pt>
                <c:pt idx="79">
                  <c:v>0.1723076923076923</c:v>
                </c:pt>
                <c:pt idx="80">
                  <c:v>0.1723076923076923</c:v>
                </c:pt>
                <c:pt idx="81">
                  <c:v>0.1723076923076923</c:v>
                </c:pt>
                <c:pt idx="82">
                  <c:v>0.1723076923076923</c:v>
                </c:pt>
                <c:pt idx="83">
                  <c:v>0.1723076923076923</c:v>
                </c:pt>
                <c:pt idx="84">
                  <c:v>0.1723076923076923</c:v>
                </c:pt>
                <c:pt idx="85">
                  <c:v>0.1723076923076923</c:v>
                </c:pt>
                <c:pt idx="86">
                  <c:v>0.1723076923076923</c:v>
                </c:pt>
                <c:pt idx="87">
                  <c:v>0.1723076923076923</c:v>
                </c:pt>
                <c:pt idx="88">
                  <c:v>0.1723076923076923</c:v>
                </c:pt>
                <c:pt idx="89">
                  <c:v>0.1723076923076923</c:v>
                </c:pt>
                <c:pt idx="90">
                  <c:v>0.1723076923076923</c:v>
                </c:pt>
                <c:pt idx="91">
                  <c:v>0.1723076923076923</c:v>
                </c:pt>
                <c:pt idx="92">
                  <c:v>0.1723076923076923</c:v>
                </c:pt>
                <c:pt idx="93">
                  <c:v>0.1723076923076923</c:v>
                </c:pt>
                <c:pt idx="94">
                  <c:v>0.1723076923076923</c:v>
                </c:pt>
                <c:pt idx="95">
                  <c:v>0.1723076923076923</c:v>
                </c:pt>
                <c:pt idx="96">
                  <c:v>0.1723076923076923</c:v>
                </c:pt>
                <c:pt idx="97">
                  <c:v>0.1723076923076923</c:v>
                </c:pt>
                <c:pt idx="98">
                  <c:v>0.1723076923076923</c:v>
                </c:pt>
                <c:pt idx="99">
                  <c:v>0.1723076923076923</c:v>
                </c:pt>
                <c:pt idx="100">
                  <c:v>0.1723076923076923</c:v>
                </c:pt>
                <c:pt idx="101">
                  <c:v>0.1723076923076923</c:v>
                </c:pt>
                <c:pt idx="102">
                  <c:v>0.1723076923076923</c:v>
                </c:pt>
                <c:pt idx="103">
                  <c:v>0.1723076923076923</c:v>
                </c:pt>
                <c:pt idx="104">
                  <c:v>0.1723076923076923</c:v>
                </c:pt>
                <c:pt idx="105">
                  <c:v>0.1723076923076923</c:v>
                </c:pt>
                <c:pt idx="106">
                  <c:v>0.1723076923076923</c:v>
                </c:pt>
                <c:pt idx="107">
                  <c:v>0.1723076923076923</c:v>
                </c:pt>
                <c:pt idx="108">
                  <c:v>0.1723076923076923</c:v>
                </c:pt>
                <c:pt idx="109">
                  <c:v>0.1723076923076923</c:v>
                </c:pt>
                <c:pt idx="110">
                  <c:v>0.1723076923076923</c:v>
                </c:pt>
                <c:pt idx="111">
                  <c:v>0.1723076923076923</c:v>
                </c:pt>
                <c:pt idx="112">
                  <c:v>0.1723076923076923</c:v>
                </c:pt>
                <c:pt idx="113">
                  <c:v>0.1723076923076923</c:v>
                </c:pt>
                <c:pt idx="114">
                  <c:v>0.1723076923076923</c:v>
                </c:pt>
                <c:pt idx="115">
                  <c:v>0.1723076923076923</c:v>
                </c:pt>
                <c:pt idx="116">
                  <c:v>0.1723076923076923</c:v>
                </c:pt>
                <c:pt idx="117">
                  <c:v>0.1723076923076923</c:v>
                </c:pt>
                <c:pt idx="118">
                  <c:v>0.1723076923076923</c:v>
                </c:pt>
                <c:pt idx="119">
                  <c:v>0.1723076923076923</c:v>
                </c:pt>
                <c:pt idx="120">
                  <c:v>0.1723076923076923</c:v>
                </c:pt>
                <c:pt idx="121">
                  <c:v>0.1723076923076923</c:v>
                </c:pt>
                <c:pt idx="122">
                  <c:v>0.1723076923076923</c:v>
                </c:pt>
                <c:pt idx="123">
                  <c:v>0.1723076923076923</c:v>
                </c:pt>
                <c:pt idx="124">
                  <c:v>0.1723076923076923</c:v>
                </c:pt>
                <c:pt idx="125">
                  <c:v>0.1723076923076923</c:v>
                </c:pt>
                <c:pt idx="126">
                  <c:v>0.1723076923076923</c:v>
                </c:pt>
                <c:pt idx="127">
                  <c:v>0.1723076923076923</c:v>
                </c:pt>
                <c:pt idx="128">
                  <c:v>0.1723076923076923</c:v>
                </c:pt>
                <c:pt idx="129">
                  <c:v>0.1723076923076923</c:v>
                </c:pt>
                <c:pt idx="130">
                  <c:v>0.1723076923076923</c:v>
                </c:pt>
                <c:pt idx="131">
                  <c:v>0.1723076923076923</c:v>
                </c:pt>
                <c:pt idx="132">
                  <c:v>0.1723076923076923</c:v>
                </c:pt>
                <c:pt idx="133">
                  <c:v>0.1723076923076923</c:v>
                </c:pt>
                <c:pt idx="134">
                  <c:v>0.1723076923076923</c:v>
                </c:pt>
                <c:pt idx="135">
                  <c:v>0.1723076923076923</c:v>
                </c:pt>
                <c:pt idx="136">
                  <c:v>0.1723076923076923</c:v>
                </c:pt>
                <c:pt idx="137">
                  <c:v>0.1723076923076923</c:v>
                </c:pt>
                <c:pt idx="138">
                  <c:v>0.1723076923076923</c:v>
                </c:pt>
                <c:pt idx="139">
                  <c:v>0.1723076923076923</c:v>
                </c:pt>
                <c:pt idx="140">
                  <c:v>0.1723076923076923</c:v>
                </c:pt>
                <c:pt idx="141">
                  <c:v>0.1723076923076923</c:v>
                </c:pt>
                <c:pt idx="142">
                  <c:v>0.1723076923076923</c:v>
                </c:pt>
                <c:pt idx="143">
                  <c:v>0.1723076923076923</c:v>
                </c:pt>
                <c:pt idx="144">
                  <c:v>0.1723076923076923</c:v>
                </c:pt>
                <c:pt idx="145">
                  <c:v>0.1723076923076923</c:v>
                </c:pt>
                <c:pt idx="146">
                  <c:v>0.1723076923076923</c:v>
                </c:pt>
                <c:pt idx="147">
                  <c:v>0.1723076923076923</c:v>
                </c:pt>
                <c:pt idx="148">
                  <c:v>0.1723076923076923</c:v>
                </c:pt>
                <c:pt idx="149">
                  <c:v>0.1723076923076923</c:v>
                </c:pt>
                <c:pt idx="150">
                  <c:v>0.1723076923076923</c:v>
                </c:pt>
                <c:pt idx="151">
                  <c:v>0.1723076923076923</c:v>
                </c:pt>
                <c:pt idx="152">
                  <c:v>0.1723076923076923</c:v>
                </c:pt>
                <c:pt idx="153">
                  <c:v>0.1723076923076923</c:v>
                </c:pt>
                <c:pt idx="154">
                  <c:v>0.1723076923076923</c:v>
                </c:pt>
                <c:pt idx="155">
                  <c:v>0.1723076923076923</c:v>
                </c:pt>
                <c:pt idx="156">
                  <c:v>0.1723076923076923</c:v>
                </c:pt>
                <c:pt idx="157">
                  <c:v>0.1723076923076923</c:v>
                </c:pt>
                <c:pt idx="158">
                  <c:v>0.1723076923076923</c:v>
                </c:pt>
                <c:pt idx="159">
                  <c:v>0.1723076923076923</c:v>
                </c:pt>
                <c:pt idx="160">
                  <c:v>0.1723076923076923</c:v>
                </c:pt>
                <c:pt idx="161">
                  <c:v>0.1723076923076923</c:v>
                </c:pt>
                <c:pt idx="162">
                  <c:v>0.1723076923076923</c:v>
                </c:pt>
                <c:pt idx="163">
                  <c:v>0.1723076923076923</c:v>
                </c:pt>
                <c:pt idx="164">
                  <c:v>0.1723076923076923</c:v>
                </c:pt>
                <c:pt idx="165">
                  <c:v>0.1723076923076923</c:v>
                </c:pt>
                <c:pt idx="166">
                  <c:v>0.1723076923076923</c:v>
                </c:pt>
                <c:pt idx="167">
                  <c:v>0.1723076923076923</c:v>
                </c:pt>
                <c:pt idx="168">
                  <c:v>0.1723076923076923</c:v>
                </c:pt>
                <c:pt idx="169">
                  <c:v>0.1723076923076923</c:v>
                </c:pt>
                <c:pt idx="170">
                  <c:v>0.1723076923076923</c:v>
                </c:pt>
                <c:pt idx="171">
                  <c:v>0.1723076923076923</c:v>
                </c:pt>
                <c:pt idx="172">
                  <c:v>0.1723076923076923</c:v>
                </c:pt>
                <c:pt idx="173">
                  <c:v>0.1723076923076923</c:v>
                </c:pt>
                <c:pt idx="174">
                  <c:v>0.1723076923076923</c:v>
                </c:pt>
                <c:pt idx="175">
                  <c:v>0.1723076923076923</c:v>
                </c:pt>
                <c:pt idx="176">
                  <c:v>0.1723076923076923</c:v>
                </c:pt>
                <c:pt idx="177">
                  <c:v>0.1723076923076923</c:v>
                </c:pt>
                <c:pt idx="178">
                  <c:v>0.1723076923076923</c:v>
                </c:pt>
                <c:pt idx="179">
                  <c:v>0.1723076923076923</c:v>
                </c:pt>
                <c:pt idx="180">
                  <c:v>0.1723076923076923</c:v>
                </c:pt>
                <c:pt idx="181">
                  <c:v>0.1723076923076923</c:v>
                </c:pt>
                <c:pt idx="182">
                  <c:v>0.1723076923076923</c:v>
                </c:pt>
                <c:pt idx="183">
                  <c:v>0.1723076923076923</c:v>
                </c:pt>
                <c:pt idx="184">
                  <c:v>0.1723076923076923</c:v>
                </c:pt>
                <c:pt idx="185">
                  <c:v>0.1723076923076923</c:v>
                </c:pt>
                <c:pt idx="186">
                  <c:v>0.1723076923076923</c:v>
                </c:pt>
                <c:pt idx="187">
                  <c:v>0.1723076923076923</c:v>
                </c:pt>
                <c:pt idx="188">
                  <c:v>0.1723076923076923</c:v>
                </c:pt>
                <c:pt idx="189">
                  <c:v>0.1723076923076923</c:v>
                </c:pt>
                <c:pt idx="190">
                  <c:v>0.1723076923076923</c:v>
                </c:pt>
                <c:pt idx="191">
                  <c:v>0.1723076923076923</c:v>
                </c:pt>
                <c:pt idx="192">
                  <c:v>0.1723076923076923</c:v>
                </c:pt>
                <c:pt idx="193">
                  <c:v>0.1723076923076923</c:v>
                </c:pt>
                <c:pt idx="194">
                  <c:v>0.1723076923076923</c:v>
                </c:pt>
                <c:pt idx="195">
                  <c:v>0.1723076923076923</c:v>
                </c:pt>
                <c:pt idx="196">
                  <c:v>0.1723076923076923</c:v>
                </c:pt>
                <c:pt idx="197">
                  <c:v>0.1723076923076923</c:v>
                </c:pt>
                <c:pt idx="198">
                  <c:v>0.1723076923076923</c:v>
                </c:pt>
                <c:pt idx="199">
                  <c:v>0.1723076923076923</c:v>
                </c:pt>
                <c:pt idx="200">
                  <c:v>0.1723076923076923</c:v>
                </c:pt>
                <c:pt idx="201">
                  <c:v>0.1723076923076923</c:v>
                </c:pt>
                <c:pt idx="202">
                  <c:v>0.1723076923076923</c:v>
                </c:pt>
                <c:pt idx="203">
                  <c:v>0.1723076923076923</c:v>
                </c:pt>
                <c:pt idx="204">
                  <c:v>0.1723076923076923</c:v>
                </c:pt>
                <c:pt idx="205">
                  <c:v>0.1723076923076923</c:v>
                </c:pt>
                <c:pt idx="206">
                  <c:v>0.1723076923076923</c:v>
                </c:pt>
                <c:pt idx="207">
                  <c:v>0.1723076923076923</c:v>
                </c:pt>
                <c:pt idx="208">
                  <c:v>0.1723076923076923</c:v>
                </c:pt>
                <c:pt idx="209">
                  <c:v>0.1723076923076923</c:v>
                </c:pt>
                <c:pt idx="210">
                  <c:v>0.1723076923076923</c:v>
                </c:pt>
                <c:pt idx="211">
                  <c:v>0.1723076923076923</c:v>
                </c:pt>
                <c:pt idx="212">
                  <c:v>0.1723076923076923</c:v>
                </c:pt>
                <c:pt idx="213">
                  <c:v>0.1723076923076923</c:v>
                </c:pt>
                <c:pt idx="214">
                  <c:v>0.1723076923076923</c:v>
                </c:pt>
                <c:pt idx="215">
                  <c:v>0.1723076923076923</c:v>
                </c:pt>
                <c:pt idx="216">
                  <c:v>0.1723076923076923</c:v>
                </c:pt>
                <c:pt idx="217">
                  <c:v>0.1723076923076923</c:v>
                </c:pt>
                <c:pt idx="218">
                  <c:v>0.1723076923076923</c:v>
                </c:pt>
                <c:pt idx="219">
                  <c:v>0.1723076923076923</c:v>
                </c:pt>
                <c:pt idx="220">
                  <c:v>0.1723076923076923</c:v>
                </c:pt>
                <c:pt idx="221">
                  <c:v>0.1723076923076923</c:v>
                </c:pt>
                <c:pt idx="222">
                  <c:v>0.1723076923076923</c:v>
                </c:pt>
                <c:pt idx="223">
                  <c:v>0.1723076923076923</c:v>
                </c:pt>
                <c:pt idx="224">
                  <c:v>0.1723076923076923</c:v>
                </c:pt>
                <c:pt idx="225">
                  <c:v>0.1723076923076923</c:v>
                </c:pt>
                <c:pt idx="226">
                  <c:v>0.1723076923076923</c:v>
                </c:pt>
                <c:pt idx="227">
                  <c:v>0.1723076923076923</c:v>
                </c:pt>
                <c:pt idx="228">
                  <c:v>0.1723076923076923</c:v>
                </c:pt>
                <c:pt idx="229">
                  <c:v>0.1723076923076923</c:v>
                </c:pt>
                <c:pt idx="230">
                  <c:v>0.1723076923076923</c:v>
                </c:pt>
                <c:pt idx="231">
                  <c:v>0.1723076923076923</c:v>
                </c:pt>
                <c:pt idx="232">
                  <c:v>0.1723076923076923</c:v>
                </c:pt>
                <c:pt idx="233">
                  <c:v>0.1723076923076923</c:v>
                </c:pt>
                <c:pt idx="234">
                  <c:v>0.1723076923076923</c:v>
                </c:pt>
                <c:pt idx="235">
                  <c:v>0.1723076923076923</c:v>
                </c:pt>
                <c:pt idx="236">
                  <c:v>0.1723076923076923</c:v>
                </c:pt>
                <c:pt idx="237">
                  <c:v>0.1723076923076923</c:v>
                </c:pt>
                <c:pt idx="238">
                  <c:v>0.1723076923076923</c:v>
                </c:pt>
                <c:pt idx="239">
                  <c:v>0.1723076923076923</c:v>
                </c:pt>
                <c:pt idx="240">
                  <c:v>0.1723076923076923</c:v>
                </c:pt>
                <c:pt idx="241">
                  <c:v>0.1723076923076923</c:v>
                </c:pt>
                <c:pt idx="242">
                  <c:v>0.1723076923076923</c:v>
                </c:pt>
                <c:pt idx="243">
                  <c:v>0.1723076923076923</c:v>
                </c:pt>
                <c:pt idx="244">
                  <c:v>0.1723076923076923</c:v>
                </c:pt>
                <c:pt idx="245">
                  <c:v>0.1723076923076923</c:v>
                </c:pt>
                <c:pt idx="246">
                  <c:v>0.1723076923076923</c:v>
                </c:pt>
                <c:pt idx="247">
                  <c:v>0.1723076923076923</c:v>
                </c:pt>
                <c:pt idx="248">
                  <c:v>0.1723076923076923</c:v>
                </c:pt>
                <c:pt idx="249">
                  <c:v>0.1723076923076923</c:v>
                </c:pt>
                <c:pt idx="250">
                  <c:v>0.1723076923076923</c:v>
                </c:pt>
                <c:pt idx="251">
                  <c:v>0.1723076923076923</c:v>
                </c:pt>
                <c:pt idx="252">
                  <c:v>0.1723076923076923</c:v>
                </c:pt>
                <c:pt idx="253">
                  <c:v>0.1723076923076923</c:v>
                </c:pt>
                <c:pt idx="254">
                  <c:v>0.1723076923076923</c:v>
                </c:pt>
                <c:pt idx="255">
                  <c:v>0.1723076923076923</c:v>
                </c:pt>
                <c:pt idx="256">
                  <c:v>0.1723076923076923</c:v>
                </c:pt>
                <c:pt idx="257">
                  <c:v>0.1723076923076923</c:v>
                </c:pt>
                <c:pt idx="258">
                  <c:v>0.1723076923076923</c:v>
                </c:pt>
                <c:pt idx="259">
                  <c:v>0.1723076923076923</c:v>
                </c:pt>
                <c:pt idx="260">
                  <c:v>0.1723076923076923</c:v>
                </c:pt>
                <c:pt idx="261">
                  <c:v>0.1723076923076923</c:v>
                </c:pt>
                <c:pt idx="262">
                  <c:v>0.1723076923076923</c:v>
                </c:pt>
                <c:pt idx="263">
                  <c:v>0.1723076923076923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FE-42F0-BD64-6DE4F4CA98BD}"/>
            </c:ext>
          </c:extLst>
        </c:ser>
        <c:ser>
          <c:idx val="1"/>
          <c:order val="1"/>
          <c:tx>
            <c:strRef>
              <c:f>'Amplitude Jump'!$C$4</c:f>
              <c:strCache>
                <c:ptCount val="1"/>
                <c:pt idx="0">
                  <c:v>Qmax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'Amplitude Jump'!$A$5:$A$268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'Amplitude Jump'!$F$5:$F$268</c:f>
              <c:numCache>
                <c:formatCode>General</c:formatCode>
                <c:ptCount val="264"/>
                <c:pt idx="0">
                  <c:v>0.26999999999999996</c:v>
                </c:pt>
                <c:pt idx="1">
                  <c:v>0.26999999999999996</c:v>
                </c:pt>
                <c:pt idx="2">
                  <c:v>0.26999999999999996</c:v>
                </c:pt>
                <c:pt idx="3">
                  <c:v>0.26999999999999996</c:v>
                </c:pt>
                <c:pt idx="4">
                  <c:v>0.26999999999999996</c:v>
                </c:pt>
                <c:pt idx="5">
                  <c:v>0.25723850671565796</c:v>
                </c:pt>
                <c:pt idx="6">
                  <c:v>0.2472998457526519</c:v>
                </c:pt>
                <c:pt idx="7">
                  <c:v>0.23955960881198157</c:v>
                </c:pt>
                <c:pt idx="8">
                  <c:v>0.23353150622142935</c:v>
                </c:pt>
                <c:pt idx="9">
                  <c:v>0.22883681520347246</c:v>
                </c:pt>
                <c:pt idx="10">
                  <c:v>0.22518058616240938</c:v>
                </c:pt>
                <c:pt idx="11">
                  <c:v>0.22233311212214105</c:v>
                </c:pt>
                <c:pt idx="12">
                  <c:v>0.22011549710980455</c:v>
                </c:pt>
                <c:pt idx="13">
                  <c:v>0.218388416801646</c:v>
                </c:pt>
                <c:pt idx="14">
                  <c:v>0.21704336530522492</c:v>
                </c:pt>
                <c:pt idx="15">
                  <c:v>0.2159958381465408</c:v>
                </c:pt>
                <c:pt idx="16">
                  <c:v>0.21230769230769228</c:v>
                </c:pt>
                <c:pt idx="17">
                  <c:v>0.21230769230769228</c:v>
                </c:pt>
                <c:pt idx="18">
                  <c:v>0.21230769230769228</c:v>
                </c:pt>
                <c:pt idx="19">
                  <c:v>0.21230769230769228</c:v>
                </c:pt>
                <c:pt idx="20">
                  <c:v>0.21230769230769228</c:v>
                </c:pt>
                <c:pt idx="21">
                  <c:v>0.21230769230769228</c:v>
                </c:pt>
                <c:pt idx="22">
                  <c:v>0.21230769230769228</c:v>
                </c:pt>
                <c:pt idx="23">
                  <c:v>0.21230769230769228</c:v>
                </c:pt>
                <c:pt idx="24">
                  <c:v>0.21230769230769228</c:v>
                </c:pt>
                <c:pt idx="25">
                  <c:v>0.21230769230769228</c:v>
                </c:pt>
                <c:pt idx="26">
                  <c:v>0.21230769230769228</c:v>
                </c:pt>
                <c:pt idx="27">
                  <c:v>0.21230769230769228</c:v>
                </c:pt>
                <c:pt idx="28">
                  <c:v>0.21230769230769228</c:v>
                </c:pt>
                <c:pt idx="29">
                  <c:v>0.21230769230769228</c:v>
                </c:pt>
                <c:pt idx="30">
                  <c:v>0.21230769230769228</c:v>
                </c:pt>
                <c:pt idx="31">
                  <c:v>0.21230769230769228</c:v>
                </c:pt>
                <c:pt idx="32">
                  <c:v>0.21230769230769228</c:v>
                </c:pt>
                <c:pt idx="33">
                  <c:v>0.21230769230769228</c:v>
                </c:pt>
                <c:pt idx="34">
                  <c:v>0.21230769230769228</c:v>
                </c:pt>
                <c:pt idx="35">
                  <c:v>0.21230769230769228</c:v>
                </c:pt>
                <c:pt idx="36">
                  <c:v>0.21230769230769228</c:v>
                </c:pt>
                <c:pt idx="37">
                  <c:v>0.21230769230769228</c:v>
                </c:pt>
                <c:pt idx="38">
                  <c:v>0.21230769230769228</c:v>
                </c:pt>
                <c:pt idx="39">
                  <c:v>0.21230769230769228</c:v>
                </c:pt>
                <c:pt idx="40">
                  <c:v>0.21230769230769228</c:v>
                </c:pt>
                <c:pt idx="41">
                  <c:v>0.21230769230769228</c:v>
                </c:pt>
                <c:pt idx="42">
                  <c:v>0.21230769230769228</c:v>
                </c:pt>
                <c:pt idx="43">
                  <c:v>0.21230769230769228</c:v>
                </c:pt>
                <c:pt idx="44">
                  <c:v>0.21230769230769228</c:v>
                </c:pt>
                <c:pt idx="45">
                  <c:v>0.21230769230769228</c:v>
                </c:pt>
                <c:pt idx="46">
                  <c:v>0.21230769230769228</c:v>
                </c:pt>
                <c:pt idx="47">
                  <c:v>0.21230769230769228</c:v>
                </c:pt>
                <c:pt idx="48">
                  <c:v>0.21230769230769228</c:v>
                </c:pt>
                <c:pt idx="49">
                  <c:v>0.21230769230769228</c:v>
                </c:pt>
                <c:pt idx="50">
                  <c:v>0.21230769230769228</c:v>
                </c:pt>
                <c:pt idx="51">
                  <c:v>0.21230769230769228</c:v>
                </c:pt>
                <c:pt idx="52">
                  <c:v>0.21230769230769228</c:v>
                </c:pt>
                <c:pt idx="53">
                  <c:v>0.21230769230769228</c:v>
                </c:pt>
                <c:pt idx="54">
                  <c:v>0.21230769230769228</c:v>
                </c:pt>
                <c:pt idx="55">
                  <c:v>0.21230769230769228</c:v>
                </c:pt>
                <c:pt idx="56">
                  <c:v>0.21230769230769228</c:v>
                </c:pt>
                <c:pt idx="57">
                  <c:v>0.21230769230769228</c:v>
                </c:pt>
                <c:pt idx="58">
                  <c:v>0.21230769230769228</c:v>
                </c:pt>
                <c:pt idx="59">
                  <c:v>0.21230769230769228</c:v>
                </c:pt>
                <c:pt idx="60">
                  <c:v>0.21230769230769228</c:v>
                </c:pt>
                <c:pt idx="61">
                  <c:v>0.21230769230769228</c:v>
                </c:pt>
                <c:pt idx="62">
                  <c:v>0.21230769230769228</c:v>
                </c:pt>
                <c:pt idx="63">
                  <c:v>0.21230769230769228</c:v>
                </c:pt>
                <c:pt idx="64">
                  <c:v>0.21230769230769228</c:v>
                </c:pt>
                <c:pt idx="65">
                  <c:v>0.21230769230769228</c:v>
                </c:pt>
                <c:pt idx="66">
                  <c:v>0.21230769230769228</c:v>
                </c:pt>
                <c:pt idx="67">
                  <c:v>0.21230769230769228</c:v>
                </c:pt>
                <c:pt idx="68">
                  <c:v>0.21230769230769228</c:v>
                </c:pt>
                <c:pt idx="69">
                  <c:v>0.21230769230769228</c:v>
                </c:pt>
                <c:pt idx="70">
                  <c:v>0.21230769230769228</c:v>
                </c:pt>
                <c:pt idx="71">
                  <c:v>0.21230769230769228</c:v>
                </c:pt>
                <c:pt idx="72">
                  <c:v>0.21230769230769228</c:v>
                </c:pt>
                <c:pt idx="73">
                  <c:v>0.21230769230769228</c:v>
                </c:pt>
                <c:pt idx="74">
                  <c:v>0.21230769230769228</c:v>
                </c:pt>
                <c:pt idx="75">
                  <c:v>0.21230769230769228</c:v>
                </c:pt>
                <c:pt idx="76">
                  <c:v>0.21230769230769228</c:v>
                </c:pt>
                <c:pt idx="77">
                  <c:v>0.21230769230769228</c:v>
                </c:pt>
                <c:pt idx="78">
                  <c:v>0.21230769230769228</c:v>
                </c:pt>
                <c:pt idx="79">
                  <c:v>0.21230769230769228</c:v>
                </c:pt>
                <c:pt idx="80">
                  <c:v>0.21230769230769228</c:v>
                </c:pt>
                <c:pt idx="81">
                  <c:v>0.21230769230769228</c:v>
                </c:pt>
                <c:pt idx="82">
                  <c:v>0.21230769230769228</c:v>
                </c:pt>
                <c:pt idx="83">
                  <c:v>0.21230769230769228</c:v>
                </c:pt>
                <c:pt idx="84">
                  <c:v>0.21230769230769228</c:v>
                </c:pt>
                <c:pt idx="85">
                  <c:v>0.21230769230769228</c:v>
                </c:pt>
                <c:pt idx="86">
                  <c:v>0.21230769230769228</c:v>
                </c:pt>
                <c:pt idx="87">
                  <c:v>0.21230769230769228</c:v>
                </c:pt>
                <c:pt idx="88">
                  <c:v>0.21230769230769228</c:v>
                </c:pt>
                <c:pt idx="89">
                  <c:v>0.21230769230769228</c:v>
                </c:pt>
                <c:pt idx="90">
                  <c:v>0.21230769230769228</c:v>
                </c:pt>
                <c:pt idx="91">
                  <c:v>0.21230769230769228</c:v>
                </c:pt>
                <c:pt idx="92">
                  <c:v>0.21230769230769228</c:v>
                </c:pt>
                <c:pt idx="93">
                  <c:v>0.21230769230769228</c:v>
                </c:pt>
                <c:pt idx="94">
                  <c:v>0.21230769230769228</c:v>
                </c:pt>
                <c:pt idx="95">
                  <c:v>0.21230769230769228</c:v>
                </c:pt>
                <c:pt idx="96">
                  <c:v>0.21230769230769228</c:v>
                </c:pt>
                <c:pt idx="97">
                  <c:v>0.21230769230769228</c:v>
                </c:pt>
                <c:pt idx="98">
                  <c:v>0.21230769230769228</c:v>
                </c:pt>
                <c:pt idx="99">
                  <c:v>0.21230769230769228</c:v>
                </c:pt>
                <c:pt idx="100">
                  <c:v>0.21230769230769228</c:v>
                </c:pt>
                <c:pt idx="101">
                  <c:v>0.21230769230769228</c:v>
                </c:pt>
                <c:pt idx="102">
                  <c:v>0.21230769230769228</c:v>
                </c:pt>
                <c:pt idx="103">
                  <c:v>0.21230769230769228</c:v>
                </c:pt>
                <c:pt idx="104">
                  <c:v>0.21230769230769228</c:v>
                </c:pt>
                <c:pt idx="105">
                  <c:v>0.21230769230769228</c:v>
                </c:pt>
                <c:pt idx="106">
                  <c:v>0.21230769230769228</c:v>
                </c:pt>
                <c:pt idx="107">
                  <c:v>0.21230769230769228</c:v>
                </c:pt>
                <c:pt idx="108">
                  <c:v>0.21230769230769228</c:v>
                </c:pt>
                <c:pt idx="109">
                  <c:v>0.21230769230769228</c:v>
                </c:pt>
                <c:pt idx="110">
                  <c:v>0.21230769230769228</c:v>
                </c:pt>
                <c:pt idx="111">
                  <c:v>0.21230769230769228</c:v>
                </c:pt>
                <c:pt idx="112">
                  <c:v>0.21230769230769228</c:v>
                </c:pt>
                <c:pt idx="113">
                  <c:v>0.21230769230769228</c:v>
                </c:pt>
                <c:pt idx="114">
                  <c:v>0.21230769230769228</c:v>
                </c:pt>
                <c:pt idx="115">
                  <c:v>0.21230769230769228</c:v>
                </c:pt>
                <c:pt idx="116">
                  <c:v>0.21230769230769228</c:v>
                </c:pt>
                <c:pt idx="117">
                  <c:v>0.21230769230769228</c:v>
                </c:pt>
                <c:pt idx="118">
                  <c:v>0.21230769230769228</c:v>
                </c:pt>
                <c:pt idx="119">
                  <c:v>0.21230769230769228</c:v>
                </c:pt>
                <c:pt idx="120">
                  <c:v>0.21230769230769228</c:v>
                </c:pt>
                <c:pt idx="121">
                  <c:v>0.21230769230769228</c:v>
                </c:pt>
                <c:pt idx="122">
                  <c:v>0.21230769230769228</c:v>
                </c:pt>
                <c:pt idx="123">
                  <c:v>0.21230769230769228</c:v>
                </c:pt>
                <c:pt idx="124">
                  <c:v>0.21230769230769228</c:v>
                </c:pt>
                <c:pt idx="125">
                  <c:v>0.21230769230769228</c:v>
                </c:pt>
                <c:pt idx="126">
                  <c:v>0.21230769230769228</c:v>
                </c:pt>
                <c:pt idx="127">
                  <c:v>0.21230769230769228</c:v>
                </c:pt>
                <c:pt idx="128">
                  <c:v>0.21230769230769228</c:v>
                </c:pt>
                <c:pt idx="129">
                  <c:v>0.21230769230769228</c:v>
                </c:pt>
                <c:pt idx="130">
                  <c:v>0.21230769230769228</c:v>
                </c:pt>
                <c:pt idx="131">
                  <c:v>0.21230769230769228</c:v>
                </c:pt>
                <c:pt idx="132">
                  <c:v>0.21230769230769228</c:v>
                </c:pt>
                <c:pt idx="133">
                  <c:v>0.21230769230769228</c:v>
                </c:pt>
                <c:pt idx="134">
                  <c:v>0.21230769230769228</c:v>
                </c:pt>
                <c:pt idx="135">
                  <c:v>0.21230769230769228</c:v>
                </c:pt>
                <c:pt idx="136">
                  <c:v>0.21230769230769228</c:v>
                </c:pt>
                <c:pt idx="137">
                  <c:v>0.21230769230769228</c:v>
                </c:pt>
                <c:pt idx="138">
                  <c:v>0.21230769230769228</c:v>
                </c:pt>
                <c:pt idx="139">
                  <c:v>0.21230769230769228</c:v>
                </c:pt>
                <c:pt idx="140">
                  <c:v>0.21230769230769228</c:v>
                </c:pt>
                <c:pt idx="141">
                  <c:v>0.21230769230769228</c:v>
                </c:pt>
                <c:pt idx="142">
                  <c:v>0.21230769230769228</c:v>
                </c:pt>
                <c:pt idx="143">
                  <c:v>0.21230769230769228</c:v>
                </c:pt>
                <c:pt idx="144">
                  <c:v>0.21230769230769228</c:v>
                </c:pt>
                <c:pt idx="145">
                  <c:v>0.21230769230769228</c:v>
                </c:pt>
                <c:pt idx="146">
                  <c:v>0.21230769230769228</c:v>
                </c:pt>
                <c:pt idx="147">
                  <c:v>0.21230769230769228</c:v>
                </c:pt>
                <c:pt idx="148">
                  <c:v>0.21230769230769228</c:v>
                </c:pt>
                <c:pt idx="149">
                  <c:v>0.21230769230769228</c:v>
                </c:pt>
                <c:pt idx="150">
                  <c:v>0.21230769230769228</c:v>
                </c:pt>
                <c:pt idx="151">
                  <c:v>0.21230769230769228</c:v>
                </c:pt>
                <c:pt idx="152">
                  <c:v>0.21230769230769228</c:v>
                </c:pt>
                <c:pt idx="153">
                  <c:v>0.21230769230769228</c:v>
                </c:pt>
                <c:pt idx="154">
                  <c:v>0.21230769230769228</c:v>
                </c:pt>
                <c:pt idx="155">
                  <c:v>0.21230769230769228</c:v>
                </c:pt>
                <c:pt idx="156">
                  <c:v>0.21230769230769228</c:v>
                </c:pt>
                <c:pt idx="157">
                  <c:v>0.21230769230769228</c:v>
                </c:pt>
                <c:pt idx="158">
                  <c:v>0.21230769230769228</c:v>
                </c:pt>
                <c:pt idx="159">
                  <c:v>0.21230769230769228</c:v>
                </c:pt>
                <c:pt idx="160">
                  <c:v>0.21230769230769228</c:v>
                </c:pt>
                <c:pt idx="161">
                  <c:v>0.21230769230769228</c:v>
                </c:pt>
                <c:pt idx="162">
                  <c:v>0.21230769230769228</c:v>
                </c:pt>
                <c:pt idx="163">
                  <c:v>0.21230769230769228</c:v>
                </c:pt>
                <c:pt idx="164">
                  <c:v>0.21230769230769228</c:v>
                </c:pt>
                <c:pt idx="165">
                  <c:v>0.21230769230769228</c:v>
                </c:pt>
                <c:pt idx="166">
                  <c:v>0.21230769230769228</c:v>
                </c:pt>
                <c:pt idx="167">
                  <c:v>0.21230769230769228</c:v>
                </c:pt>
                <c:pt idx="168">
                  <c:v>0.21230769230769228</c:v>
                </c:pt>
                <c:pt idx="169">
                  <c:v>0.21230769230769228</c:v>
                </c:pt>
                <c:pt idx="170">
                  <c:v>0.21230769230769228</c:v>
                </c:pt>
                <c:pt idx="171">
                  <c:v>0.21230769230769228</c:v>
                </c:pt>
                <c:pt idx="172">
                  <c:v>0.21230769230769228</c:v>
                </c:pt>
                <c:pt idx="173">
                  <c:v>0.21230769230769228</c:v>
                </c:pt>
                <c:pt idx="174">
                  <c:v>0.21230769230769228</c:v>
                </c:pt>
                <c:pt idx="175">
                  <c:v>0.21230769230769228</c:v>
                </c:pt>
                <c:pt idx="176">
                  <c:v>0.21230769230769228</c:v>
                </c:pt>
                <c:pt idx="177">
                  <c:v>0.21230769230769228</c:v>
                </c:pt>
                <c:pt idx="178">
                  <c:v>0.21230769230769228</c:v>
                </c:pt>
                <c:pt idx="179">
                  <c:v>0.21230769230769228</c:v>
                </c:pt>
                <c:pt idx="180">
                  <c:v>0.21230769230769228</c:v>
                </c:pt>
                <c:pt idx="181">
                  <c:v>0.21230769230769228</c:v>
                </c:pt>
                <c:pt idx="182">
                  <c:v>0.21230769230769228</c:v>
                </c:pt>
                <c:pt idx="183">
                  <c:v>0.21230769230769228</c:v>
                </c:pt>
                <c:pt idx="184">
                  <c:v>0.21230769230769228</c:v>
                </c:pt>
                <c:pt idx="185">
                  <c:v>0.21230769230769228</c:v>
                </c:pt>
                <c:pt idx="186">
                  <c:v>0.21230769230769228</c:v>
                </c:pt>
                <c:pt idx="187">
                  <c:v>0.21230769230769228</c:v>
                </c:pt>
                <c:pt idx="188">
                  <c:v>0.21230769230769228</c:v>
                </c:pt>
                <c:pt idx="189">
                  <c:v>0.21230769230769228</c:v>
                </c:pt>
                <c:pt idx="190">
                  <c:v>0.21230769230769228</c:v>
                </c:pt>
                <c:pt idx="191">
                  <c:v>0.21230769230769228</c:v>
                </c:pt>
                <c:pt idx="192">
                  <c:v>0.21230769230769228</c:v>
                </c:pt>
                <c:pt idx="193">
                  <c:v>0.21230769230769228</c:v>
                </c:pt>
                <c:pt idx="194">
                  <c:v>0.21230769230769228</c:v>
                </c:pt>
                <c:pt idx="195">
                  <c:v>0.21230769230769228</c:v>
                </c:pt>
                <c:pt idx="196">
                  <c:v>0.21230769230769228</c:v>
                </c:pt>
                <c:pt idx="197">
                  <c:v>0.21230769230769228</c:v>
                </c:pt>
                <c:pt idx="198">
                  <c:v>0.21230769230769228</c:v>
                </c:pt>
                <c:pt idx="199">
                  <c:v>0.21230769230769228</c:v>
                </c:pt>
                <c:pt idx="200">
                  <c:v>0.21230769230769228</c:v>
                </c:pt>
                <c:pt idx="201">
                  <c:v>0.21230769230769228</c:v>
                </c:pt>
                <c:pt idx="202">
                  <c:v>0.21230769230769228</c:v>
                </c:pt>
                <c:pt idx="203">
                  <c:v>0.21230769230769228</c:v>
                </c:pt>
                <c:pt idx="204">
                  <c:v>0.21230769230769228</c:v>
                </c:pt>
                <c:pt idx="205">
                  <c:v>0.21230769230769228</c:v>
                </c:pt>
                <c:pt idx="206">
                  <c:v>0.21230769230769228</c:v>
                </c:pt>
                <c:pt idx="207">
                  <c:v>0.21230769230769228</c:v>
                </c:pt>
                <c:pt idx="208">
                  <c:v>0.21230769230769228</c:v>
                </c:pt>
                <c:pt idx="209">
                  <c:v>0.21230769230769228</c:v>
                </c:pt>
                <c:pt idx="210">
                  <c:v>0.21230769230769228</c:v>
                </c:pt>
                <c:pt idx="211">
                  <c:v>0.21230769230769228</c:v>
                </c:pt>
                <c:pt idx="212">
                  <c:v>0.21230769230769228</c:v>
                </c:pt>
                <c:pt idx="213">
                  <c:v>0.21230769230769228</c:v>
                </c:pt>
                <c:pt idx="214">
                  <c:v>0.21230769230769228</c:v>
                </c:pt>
                <c:pt idx="215">
                  <c:v>0.21230769230769228</c:v>
                </c:pt>
                <c:pt idx="216">
                  <c:v>0.21230769230769228</c:v>
                </c:pt>
                <c:pt idx="217">
                  <c:v>0.21230769230769228</c:v>
                </c:pt>
                <c:pt idx="218">
                  <c:v>0.21230769230769228</c:v>
                </c:pt>
                <c:pt idx="219">
                  <c:v>0.21230769230769228</c:v>
                </c:pt>
                <c:pt idx="220">
                  <c:v>0.21230769230769228</c:v>
                </c:pt>
                <c:pt idx="221">
                  <c:v>0.21230769230769228</c:v>
                </c:pt>
                <c:pt idx="222">
                  <c:v>0.21230769230769228</c:v>
                </c:pt>
                <c:pt idx="223">
                  <c:v>0.21230769230769228</c:v>
                </c:pt>
                <c:pt idx="224">
                  <c:v>0.21230769230769228</c:v>
                </c:pt>
                <c:pt idx="225">
                  <c:v>0.21230769230769228</c:v>
                </c:pt>
                <c:pt idx="226">
                  <c:v>0.21230769230769228</c:v>
                </c:pt>
                <c:pt idx="227">
                  <c:v>0.21230769230769228</c:v>
                </c:pt>
                <c:pt idx="228">
                  <c:v>0.21230769230769228</c:v>
                </c:pt>
                <c:pt idx="229">
                  <c:v>0.21230769230769228</c:v>
                </c:pt>
                <c:pt idx="230">
                  <c:v>0.21230769230769228</c:v>
                </c:pt>
                <c:pt idx="231">
                  <c:v>0.21230769230769228</c:v>
                </c:pt>
                <c:pt idx="232">
                  <c:v>0.21230769230769228</c:v>
                </c:pt>
                <c:pt idx="233">
                  <c:v>0.21230769230769228</c:v>
                </c:pt>
                <c:pt idx="234">
                  <c:v>0.21230769230769228</c:v>
                </c:pt>
                <c:pt idx="235">
                  <c:v>0.21230769230769228</c:v>
                </c:pt>
                <c:pt idx="236">
                  <c:v>0.21230769230769228</c:v>
                </c:pt>
                <c:pt idx="237">
                  <c:v>0.21230769230769228</c:v>
                </c:pt>
                <c:pt idx="238">
                  <c:v>0.21230769230769228</c:v>
                </c:pt>
                <c:pt idx="239">
                  <c:v>0.21230769230769228</c:v>
                </c:pt>
                <c:pt idx="240">
                  <c:v>0.21230769230769228</c:v>
                </c:pt>
                <c:pt idx="241">
                  <c:v>0.21230769230769228</c:v>
                </c:pt>
                <c:pt idx="242">
                  <c:v>0.21230769230769228</c:v>
                </c:pt>
                <c:pt idx="243">
                  <c:v>0.21230769230769228</c:v>
                </c:pt>
                <c:pt idx="244">
                  <c:v>0.21230769230769228</c:v>
                </c:pt>
                <c:pt idx="245">
                  <c:v>0.21230769230769228</c:v>
                </c:pt>
                <c:pt idx="246">
                  <c:v>0.21230769230769228</c:v>
                </c:pt>
                <c:pt idx="247">
                  <c:v>0.21230769230769228</c:v>
                </c:pt>
                <c:pt idx="248">
                  <c:v>0.21230769230769228</c:v>
                </c:pt>
                <c:pt idx="249">
                  <c:v>0.21230769230769228</c:v>
                </c:pt>
                <c:pt idx="250">
                  <c:v>0.21230769230769228</c:v>
                </c:pt>
                <c:pt idx="251">
                  <c:v>0.21230769230769228</c:v>
                </c:pt>
                <c:pt idx="252">
                  <c:v>0.21230769230769228</c:v>
                </c:pt>
                <c:pt idx="253">
                  <c:v>0.21230769230769228</c:v>
                </c:pt>
                <c:pt idx="254">
                  <c:v>0.21230769230769228</c:v>
                </c:pt>
                <c:pt idx="255">
                  <c:v>0.21230769230769228</c:v>
                </c:pt>
                <c:pt idx="256">
                  <c:v>0.21230769230769228</c:v>
                </c:pt>
                <c:pt idx="257">
                  <c:v>0.21230769230769228</c:v>
                </c:pt>
                <c:pt idx="258">
                  <c:v>0.21230769230769228</c:v>
                </c:pt>
                <c:pt idx="259">
                  <c:v>0.21230769230769228</c:v>
                </c:pt>
                <c:pt idx="260">
                  <c:v>0.21230769230769228</c:v>
                </c:pt>
                <c:pt idx="261">
                  <c:v>0.21230769230769228</c:v>
                </c:pt>
                <c:pt idx="262">
                  <c:v>0.21230769230769228</c:v>
                </c:pt>
                <c:pt idx="263">
                  <c:v>0.21230769230769228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FE-42F0-BD64-6DE4F4CA98BD}"/>
            </c:ext>
          </c:extLst>
        </c:ser>
        <c:ser>
          <c:idx val="2"/>
          <c:order val="2"/>
          <c:tx>
            <c:strRef>
              <c:f>'Amplitude Jump'!$D$4</c:f>
              <c:strCache>
                <c:ptCount val="1"/>
                <c:pt idx="0">
                  <c:v>Qexpected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'Amplitude Jump'!$A$5:$A$268</c:f>
              <c:numCache>
                <c:formatCode>General</c:formatCode>
                <c:ptCount val="264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  <c:pt idx="81">
                  <c:v>0.40500000000000003</c:v>
                </c:pt>
                <c:pt idx="82">
                  <c:v>0.41</c:v>
                </c:pt>
                <c:pt idx="83">
                  <c:v>0.41499999999999998</c:v>
                </c:pt>
                <c:pt idx="84">
                  <c:v>0.42</c:v>
                </c:pt>
                <c:pt idx="85">
                  <c:v>0.42499999999999999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0.44500000000000001</c:v>
                </c:pt>
                <c:pt idx="90">
                  <c:v>0.45</c:v>
                </c:pt>
                <c:pt idx="91">
                  <c:v>0.45500000000000002</c:v>
                </c:pt>
                <c:pt idx="92">
                  <c:v>0.46</c:v>
                </c:pt>
                <c:pt idx="93">
                  <c:v>0.46500000000000002</c:v>
                </c:pt>
                <c:pt idx="94">
                  <c:v>0.47</c:v>
                </c:pt>
                <c:pt idx="95">
                  <c:v>0.47499999999999998</c:v>
                </c:pt>
                <c:pt idx="96">
                  <c:v>0.48</c:v>
                </c:pt>
                <c:pt idx="97">
                  <c:v>0.48499999999999999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0.51500000000000001</c:v>
                </c:pt>
                <c:pt idx="104">
                  <c:v>0.52</c:v>
                </c:pt>
                <c:pt idx="105">
                  <c:v>0.52500000000000002</c:v>
                </c:pt>
                <c:pt idx="106">
                  <c:v>0.53</c:v>
                </c:pt>
                <c:pt idx="107">
                  <c:v>0.53500000000000003</c:v>
                </c:pt>
                <c:pt idx="108">
                  <c:v>0.54</c:v>
                </c:pt>
                <c:pt idx="109">
                  <c:v>0.54500000000000004</c:v>
                </c:pt>
                <c:pt idx="110">
                  <c:v>0.55000000000000004</c:v>
                </c:pt>
                <c:pt idx="111">
                  <c:v>0.55500000000000005</c:v>
                </c:pt>
                <c:pt idx="112">
                  <c:v>0.56000000000000005</c:v>
                </c:pt>
                <c:pt idx="113">
                  <c:v>0.56499999999999995</c:v>
                </c:pt>
                <c:pt idx="114">
                  <c:v>0.56999999999999995</c:v>
                </c:pt>
                <c:pt idx="115">
                  <c:v>0.57499999999999996</c:v>
                </c:pt>
                <c:pt idx="116">
                  <c:v>0.57999999999999996</c:v>
                </c:pt>
                <c:pt idx="117">
                  <c:v>0.58499999999999996</c:v>
                </c:pt>
                <c:pt idx="118">
                  <c:v>0.59</c:v>
                </c:pt>
                <c:pt idx="119">
                  <c:v>0.59499999999999997</c:v>
                </c:pt>
                <c:pt idx="120">
                  <c:v>0.6</c:v>
                </c:pt>
                <c:pt idx="121">
                  <c:v>0.60499999999999998</c:v>
                </c:pt>
                <c:pt idx="122">
                  <c:v>0.61</c:v>
                </c:pt>
                <c:pt idx="123">
                  <c:v>0.61499999999999999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0.63500000000000001</c:v>
                </c:pt>
                <c:pt idx="128">
                  <c:v>0.64</c:v>
                </c:pt>
                <c:pt idx="129">
                  <c:v>0.64500000000000002</c:v>
                </c:pt>
                <c:pt idx="130">
                  <c:v>0.65</c:v>
                </c:pt>
                <c:pt idx="131">
                  <c:v>0.65500000000000003</c:v>
                </c:pt>
                <c:pt idx="132">
                  <c:v>0.66</c:v>
                </c:pt>
                <c:pt idx="133">
                  <c:v>0.66500000000000004</c:v>
                </c:pt>
                <c:pt idx="134">
                  <c:v>0.67</c:v>
                </c:pt>
                <c:pt idx="135">
                  <c:v>0.67500000000000004</c:v>
                </c:pt>
                <c:pt idx="136">
                  <c:v>0.68</c:v>
                </c:pt>
                <c:pt idx="137">
                  <c:v>0.68500000000000005</c:v>
                </c:pt>
                <c:pt idx="138">
                  <c:v>0.69</c:v>
                </c:pt>
                <c:pt idx="139">
                  <c:v>0.69499999999999995</c:v>
                </c:pt>
                <c:pt idx="140">
                  <c:v>0.7</c:v>
                </c:pt>
                <c:pt idx="141">
                  <c:v>0.70499999999999996</c:v>
                </c:pt>
                <c:pt idx="142">
                  <c:v>0.71</c:v>
                </c:pt>
                <c:pt idx="143">
                  <c:v>0.71499999999999997</c:v>
                </c:pt>
                <c:pt idx="144">
                  <c:v>0.72</c:v>
                </c:pt>
                <c:pt idx="145">
                  <c:v>0.72499999999999998</c:v>
                </c:pt>
                <c:pt idx="146">
                  <c:v>0.73</c:v>
                </c:pt>
                <c:pt idx="147">
                  <c:v>0.73499999999999999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0.76500000000000001</c:v>
                </c:pt>
                <c:pt idx="154">
                  <c:v>0.77</c:v>
                </c:pt>
                <c:pt idx="155">
                  <c:v>0.77500000000000002</c:v>
                </c:pt>
                <c:pt idx="156">
                  <c:v>0.78</c:v>
                </c:pt>
                <c:pt idx="157">
                  <c:v>0.78500000000000003</c:v>
                </c:pt>
                <c:pt idx="158">
                  <c:v>0.79</c:v>
                </c:pt>
                <c:pt idx="159">
                  <c:v>0.79500000000000004</c:v>
                </c:pt>
                <c:pt idx="160">
                  <c:v>0.8</c:v>
                </c:pt>
                <c:pt idx="161">
                  <c:v>0.80500000000000005</c:v>
                </c:pt>
                <c:pt idx="162">
                  <c:v>0.81</c:v>
                </c:pt>
                <c:pt idx="163">
                  <c:v>0.81499999999999995</c:v>
                </c:pt>
                <c:pt idx="164">
                  <c:v>0.82</c:v>
                </c:pt>
                <c:pt idx="165">
                  <c:v>0.82499999999999996</c:v>
                </c:pt>
                <c:pt idx="166">
                  <c:v>0.83</c:v>
                </c:pt>
                <c:pt idx="167">
                  <c:v>0.83499999999999996</c:v>
                </c:pt>
                <c:pt idx="168">
                  <c:v>0.84000000000000097</c:v>
                </c:pt>
                <c:pt idx="169">
                  <c:v>0.84500000000000097</c:v>
                </c:pt>
                <c:pt idx="170">
                  <c:v>0.85000000000000098</c:v>
                </c:pt>
                <c:pt idx="171">
                  <c:v>0.85500000000000098</c:v>
                </c:pt>
                <c:pt idx="172">
                  <c:v>0.86000000000000099</c:v>
                </c:pt>
                <c:pt idx="173">
                  <c:v>0.86500000000000099</c:v>
                </c:pt>
                <c:pt idx="174">
                  <c:v>0.87000000000000099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0.88500000000000101</c:v>
                </c:pt>
                <c:pt idx="178">
                  <c:v>0.89000000000000101</c:v>
                </c:pt>
                <c:pt idx="179">
                  <c:v>0.89500000000000102</c:v>
                </c:pt>
                <c:pt idx="180">
                  <c:v>0.90000000000000102</c:v>
                </c:pt>
                <c:pt idx="181">
                  <c:v>0.90500000000000103</c:v>
                </c:pt>
                <c:pt idx="182">
                  <c:v>0.91000000000000103</c:v>
                </c:pt>
                <c:pt idx="183">
                  <c:v>0.91500000000000103</c:v>
                </c:pt>
                <c:pt idx="184">
                  <c:v>0.92000000000000104</c:v>
                </c:pt>
                <c:pt idx="185">
                  <c:v>0.92500000000000104</c:v>
                </c:pt>
                <c:pt idx="186">
                  <c:v>0.93000000000000105</c:v>
                </c:pt>
                <c:pt idx="187">
                  <c:v>0.93500000000000105</c:v>
                </c:pt>
                <c:pt idx="188">
                  <c:v>0.94000000000000095</c:v>
                </c:pt>
                <c:pt idx="189">
                  <c:v>0.94500000000000095</c:v>
                </c:pt>
                <c:pt idx="190">
                  <c:v>0.95000000000000095</c:v>
                </c:pt>
                <c:pt idx="191">
                  <c:v>0.95500000000000096</c:v>
                </c:pt>
                <c:pt idx="192">
                  <c:v>0.96000000000000096</c:v>
                </c:pt>
                <c:pt idx="193">
                  <c:v>0.96500000000000097</c:v>
                </c:pt>
                <c:pt idx="194">
                  <c:v>0.97000000000000097</c:v>
                </c:pt>
                <c:pt idx="195">
                  <c:v>0.97500000000000098</c:v>
                </c:pt>
                <c:pt idx="196">
                  <c:v>0.98000000000000098</c:v>
                </c:pt>
                <c:pt idx="197">
                  <c:v>0.98500000000000099</c:v>
                </c:pt>
                <c:pt idx="198">
                  <c:v>0.99000000000000099</c:v>
                </c:pt>
                <c:pt idx="199">
                  <c:v>0.99500000000000099</c:v>
                </c:pt>
                <c:pt idx="200">
                  <c:v>1</c:v>
                </c:pt>
                <c:pt idx="201">
                  <c:v>1.0049999999999999</c:v>
                </c:pt>
                <c:pt idx="202">
                  <c:v>1.01</c:v>
                </c:pt>
                <c:pt idx="203">
                  <c:v>1.0149999999999999</c:v>
                </c:pt>
                <c:pt idx="204">
                  <c:v>1.02</c:v>
                </c:pt>
                <c:pt idx="205">
                  <c:v>1.0249999999999999</c:v>
                </c:pt>
                <c:pt idx="206">
                  <c:v>1.03</c:v>
                </c:pt>
                <c:pt idx="207">
                  <c:v>1.0349999999999999</c:v>
                </c:pt>
                <c:pt idx="208">
                  <c:v>1.04</c:v>
                </c:pt>
                <c:pt idx="209">
                  <c:v>1.0449999999999999</c:v>
                </c:pt>
                <c:pt idx="210">
                  <c:v>1.05</c:v>
                </c:pt>
                <c:pt idx="211">
                  <c:v>1.0549999999999999</c:v>
                </c:pt>
                <c:pt idx="212">
                  <c:v>1.06</c:v>
                </c:pt>
                <c:pt idx="213">
                  <c:v>1.0649999999999999</c:v>
                </c:pt>
                <c:pt idx="214">
                  <c:v>1.07</c:v>
                </c:pt>
                <c:pt idx="215">
                  <c:v>1.075</c:v>
                </c:pt>
                <c:pt idx="216">
                  <c:v>1.08</c:v>
                </c:pt>
                <c:pt idx="217">
                  <c:v>1.085</c:v>
                </c:pt>
                <c:pt idx="218">
                  <c:v>1.0900000000000001</c:v>
                </c:pt>
                <c:pt idx="219">
                  <c:v>1.095</c:v>
                </c:pt>
                <c:pt idx="220">
                  <c:v>1.1000000000000001</c:v>
                </c:pt>
                <c:pt idx="221">
                  <c:v>1.105</c:v>
                </c:pt>
                <c:pt idx="222">
                  <c:v>1.1100000000000001</c:v>
                </c:pt>
                <c:pt idx="223">
                  <c:v>1.115</c:v>
                </c:pt>
                <c:pt idx="224">
                  <c:v>1.1200000000000001</c:v>
                </c:pt>
                <c:pt idx="225">
                  <c:v>1.125</c:v>
                </c:pt>
                <c:pt idx="226">
                  <c:v>1.1299999999999999</c:v>
                </c:pt>
                <c:pt idx="227">
                  <c:v>1.135</c:v>
                </c:pt>
                <c:pt idx="228">
                  <c:v>1.1399999999999999</c:v>
                </c:pt>
                <c:pt idx="229">
                  <c:v>1.145</c:v>
                </c:pt>
                <c:pt idx="230">
                  <c:v>1.1499999999999999</c:v>
                </c:pt>
                <c:pt idx="231">
                  <c:v>1.155</c:v>
                </c:pt>
                <c:pt idx="232">
                  <c:v>1.1599999999999999</c:v>
                </c:pt>
                <c:pt idx="233">
                  <c:v>1.165</c:v>
                </c:pt>
                <c:pt idx="234">
                  <c:v>1.17</c:v>
                </c:pt>
                <c:pt idx="235">
                  <c:v>1.175</c:v>
                </c:pt>
                <c:pt idx="236">
                  <c:v>1.18</c:v>
                </c:pt>
                <c:pt idx="237">
                  <c:v>1.1850000000000001</c:v>
                </c:pt>
                <c:pt idx="238">
                  <c:v>1.19</c:v>
                </c:pt>
                <c:pt idx="239">
                  <c:v>1.1950000000000001</c:v>
                </c:pt>
                <c:pt idx="240">
                  <c:v>1.2</c:v>
                </c:pt>
                <c:pt idx="241">
                  <c:v>1.2050000000000001</c:v>
                </c:pt>
                <c:pt idx="242">
                  <c:v>1.21</c:v>
                </c:pt>
                <c:pt idx="243">
                  <c:v>1.2150000000000001</c:v>
                </c:pt>
                <c:pt idx="244">
                  <c:v>1.22</c:v>
                </c:pt>
                <c:pt idx="245">
                  <c:v>1.2250000000000001</c:v>
                </c:pt>
                <c:pt idx="246">
                  <c:v>1.23</c:v>
                </c:pt>
                <c:pt idx="247">
                  <c:v>1.2350000000000001</c:v>
                </c:pt>
                <c:pt idx="248">
                  <c:v>1.24</c:v>
                </c:pt>
                <c:pt idx="249">
                  <c:v>1.2450000000000001</c:v>
                </c:pt>
                <c:pt idx="250">
                  <c:v>1.25</c:v>
                </c:pt>
                <c:pt idx="251">
                  <c:v>1.2549999999999999</c:v>
                </c:pt>
                <c:pt idx="252">
                  <c:v>1.26</c:v>
                </c:pt>
                <c:pt idx="253">
                  <c:v>1.2649999999999999</c:v>
                </c:pt>
                <c:pt idx="254">
                  <c:v>1.27</c:v>
                </c:pt>
                <c:pt idx="255">
                  <c:v>1.2749999999999999</c:v>
                </c:pt>
                <c:pt idx="256">
                  <c:v>1.28</c:v>
                </c:pt>
                <c:pt idx="257">
                  <c:v>1.2849999999999999</c:v>
                </c:pt>
                <c:pt idx="258">
                  <c:v>1.29</c:v>
                </c:pt>
                <c:pt idx="259">
                  <c:v>1.2949999999999999</c:v>
                </c:pt>
                <c:pt idx="260">
                  <c:v>1.3</c:v>
                </c:pt>
                <c:pt idx="261">
                  <c:v>1.3049999999999999</c:v>
                </c:pt>
                <c:pt idx="262">
                  <c:v>1.31</c:v>
                </c:pt>
                <c:pt idx="263">
                  <c:v>1.3149999999999999</c:v>
                </c:pt>
              </c:numCache>
            </c:numRef>
          </c:xVal>
          <c:yVal>
            <c:numRef>
              <c:f>'Amplitude Jump'!$D$5:$D$268</c:f>
              <c:numCache>
                <c:formatCode>General</c:formatCode>
                <c:ptCount val="264"/>
                <c:pt idx="0">
                  <c:v>0</c:v>
                </c:pt>
                <c:pt idx="1">
                  <c:v>0.1314946603813773</c:v>
                </c:pt>
                <c:pt idx="2">
                  <c:v>0.17307692307692307</c:v>
                </c:pt>
                <c:pt idx="3">
                  <c:v>0.18622638911506079</c:v>
                </c:pt>
                <c:pt idx="4">
                  <c:v>0.19038461538461537</c:v>
                </c:pt>
                <c:pt idx="5">
                  <c:v>0.19169956198842913</c:v>
                </c:pt>
                <c:pt idx="6">
                  <c:v>0.1921153846153846</c:v>
                </c:pt>
                <c:pt idx="7">
                  <c:v>0.19224687927576598</c:v>
                </c:pt>
                <c:pt idx="8">
                  <c:v>0.19228846153846152</c:v>
                </c:pt>
                <c:pt idx="9">
                  <c:v>0.19230161100449966</c:v>
                </c:pt>
                <c:pt idx="10">
                  <c:v>0.19230576923076922</c:v>
                </c:pt>
                <c:pt idx="11">
                  <c:v>0.19230708417737302</c:v>
                </c:pt>
                <c:pt idx="12">
                  <c:v>0.19230749999999996</c:v>
                </c:pt>
                <c:pt idx="13">
                  <c:v>0.19230763149466037</c:v>
                </c:pt>
                <c:pt idx="14">
                  <c:v>0.19230767307692306</c:v>
                </c:pt>
                <c:pt idx="15">
                  <c:v>0.19230768622638911</c:v>
                </c:pt>
                <c:pt idx="16">
                  <c:v>0.19230769038461537</c:v>
                </c:pt>
                <c:pt idx="17">
                  <c:v>0.19230769169956197</c:v>
                </c:pt>
                <c:pt idx="18">
                  <c:v>0.19230769211538459</c:v>
                </c:pt>
                <c:pt idx="19">
                  <c:v>0.19230769224687927</c:v>
                </c:pt>
                <c:pt idx="20">
                  <c:v>0.19230769228846151</c:v>
                </c:pt>
                <c:pt idx="21">
                  <c:v>0.19230769230161099</c:v>
                </c:pt>
                <c:pt idx="22">
                  <c:v>0.19230769230576922</c:v>
                </c:pt>
                <c:pt idx="23">
                  <c:v>0.19230769230708417</c:v>
                </c:pt>
                <c:pt idx="24">
                  <c:v>0.1923076923075</c:v>
                </c:pt>
                <c:pt idx="25">
                  <c:v>0.19230769230763148</c:v>
                </c:pt>
                <c:pt idx="26">
                  <c:v>0.19230769230767306</c:v>
                </c:pt>
                <c:pt idx="27">
                  <c:v>0.19230769230768621</c:v>
                </c:pt>
                <c:pt idx="28">
                  <c:v>0.19230769230769038</c:v>
                </c:pt>
                <c:pt idx="29">
                  <c:v>0.19230769230769168</c:v>
                </c:pt>
                <c:pt idx="30">
                  <c:v>0.1923076923076921</c:v>
                </c:pt>
                <c:pt idx="31">
                  <c:v>0.19230769230769224</c:v>
                </c:pt>
                <c:pt idx="32">
                  <c:v>0.19230769230769226</c:v>
                </c:pt>
                <c:pt idx="33">
                  <c:v>0.19230769230769229</c:v>
                </c:pt>
                <c:pt idx="34">
                  <c:v>0.19230769230769229</c:v>
                </c:pt>
                <c:pt idx="35">
                  <c:v>0.19230769230769229</c:v>
                </c:pt>
                <c:pt idx="36">
                  <c:v>0.19230769230769229</c:v>
                </c:pt>
                <c:pt idx="37">
                  <c:v>0.19230769230769229</c:v>
                </c:pt>
                <c:pt idx="38">
                  <c:v>0.19230769230769229</c:v>
                </c:pt>
                <c:pt idx="39">
                  <c:v>0.19230769230769229</c:v>
                </c:pt>
                <c:pt idx="40">
                  <c:v>0.19230769230769229</c:v>
                </c:pt>
                <c:pt idx="41">
                  <c:v>0.19230769230769229</c:v>
                </c:pt>
                <c:pt idx="42">
                  <c:v>0.19230769230769229</c:v>
                </c:pt>
                <c:pt idx="43">
                  <c:v>0.19230769230769229</c:v>
                </c:pt>
                <c:pt idx="44">
                  <c:v>0.19230769230769229</c:v>
                </c:pt>
                <c:pt idx="45">
                  <c:v>0.19230769230769229</c:v>
                </c:pt>
                <c:pt idx="46">
                  <c:v>0.19230769230769229</c:v>
                </c:pt>
                <c:pt idx="47">
                  <c:v>0.19230769230769229</c:v>
                </c:pt>
                <c:pt idx="48">
                  <c:v>0.19230769230769229</c:v>
                </c:pt>
                <c:pt idx="49">
                  <c:v>0.19230769230769229</c:v>
                </c:pt>
                <c:pt idx="50">
                  <c:v>0.19230769230769229</c:v>
                </c:pt>
                <c:pt idx="51">
                  <c:v>0.19230769230769229</c:v>
                </c:pt>
                <c:pt idx="52">
                  <c:v>0.19230769230769229</c:v>
                </c:pt>
                <c:pt idx="53">
                  <c:v>0.19230769230769229</c:v>
                </c:pt>
                <c:pt idx="54">
                  <c:v>0.19230769230769229</c:v>
                </c:pt>
                <c:pt idx="55">
                  <c:v>0.19230769230769229</c:v>
                </c:pt>
                <c:pt idx="56">
                  <c:v>0.19230769230769229</c:v>
                </c:pt>
                <c:pt idx="57">
                  <c:v>0.19230769230769229</c:v>
                </c:pt>
                <c:pt idx="58">
                  <c:v>0.19230769230769229</c:v>
                </c:pt>
                <c:pt idx="59">
                  <c:v>0.19230769230769229</c:v>
                </c:pt>
                <c:pt idx="60">
                  <c:v>0.19230769230769229</c:v>
                </c:pt>
                <c:pt idx="61">
                  <c:v>0.19230769230769229</c:v>
                </c:pt>
                <c:pt idx="62">
                  <c:v>0.19230769230769229</c:v>
                </c:pt>
                <c:pt idx="63">
                  <c:v>0.19230769230769229</c:v>
                </c:pt>
                <c:pt idx="64">
                  <c:v>0.19230769230769229</c:v>
                </c:pt>
                <c:pt idx="65">
                  <c:v>0.19230769230769229</c:v>
                </c:pt>
                <c:pt idx="66">
                  <c:v>0.19230769230769229</c:v>
                </c:pt>
                <c:pt idx="67">
                  <c:v>0.19230769230769229</c:v>
                </c:pt>
                <c:pt idx="68">
                  <c:v>0.19230769230769229</c:v>
                </c:pt>
                <c:pt idx="69">
                  <c:v>0.19230769230769229</c:v>
                </c:pt>
                <c:pt idx="70">
                  <c:v>0.19230769230769229</c:v>
                </c:pt>
                <c:pt idx="71">
                  <c:v>0.19230769230769229</c:v>
                </c:pt>
                <c:pt idx="72">
                  <c:v>0.19230769230769229</c:v>
                </c:pt>
                <c:pt idx="73">
                  <c:v>0.19230769230769229</c:v>
                </c:pt>
                <c:pt idx="74">
                  <c:v>0.19230769230769229</c:v>
                </c:pt>
                <c:pt idx="75">
                  <c:v>0.19230769230769229</c:v>
                </c:pt>
                <c:pt idx="76">
                  <c:v>0.19230769230769229</c:v>
                </c:pt>
                <c:pt idx="77">
                  <c:v>0.19230769230769229</c:v>
                </c:pt>
                <c:pt idx="78">
                  <c:v>0.19230769230769229</c:v>
                </c:pt>
                <c:pt idx="79">
                  <c:v>0.19230769230769229</c:v>
                </c:pt>
                <c:pt idx="80">
                  <c:v>0.19230769230769229</c:v>
                </c:pt>
                <c:pt idx="81">
                  <c:v>0.19230769230769229</c:v>
                </c:pt>
                <c:pt idx="82">
                  <c:v>0.19230769230769229</c:v>
                </c:pt>
                <c:pt idx="83">
                  <c:v>0.19230769230769229</c:v>
                </c:pt>
                <c:pt idx="84">
                  <c:v>0.19230769230769229</c:v>
                </c:pt>
                <c:pt idx="85">
                  <c:v>0.19230769230769229</c:v>
                </c:pt>
                <c:pt idx="86">
                  <c:v>0.19230769230769229</c:v>
                </c:pt>
                <c:pt idx="87">
                  <c:v>0.19230769230769229</c:v>
                </c:pt>
                <c:pt idx="88">
                  <c:v>0.19230769230769229</c:v>
                </c:pt>
                <c:pt idx="89">
                  <c:v>0.19230769230769229</c:v>
                </c:pt>
                <c:pt idx="90">
                  <c:v>0.19230769230769229</c:v>
                </c:pt>
                <c:pt idx="91">
                  <c:v>0.19230769230769229</c:v>
                </c:pt>
                <c:pt idx="92">
                  <c:v>0.19230769230769229</c:v>
                </c:pt>
                <c:pt idx="93">
                  <c:v>0.19230769230769229</c:v>
                </c:pt>
                <c:pt idx="94">
                  <c:v>0.19230769230769229</c:v>
                </c:pt>
                <c:pt idx="95">
                  <c:v>0.19230769230769229</c:v>
                </c:pt>
                <c:pt idx="96">
                  <c:v>0.19230769230769229</c:v>
                </c:pt>
                <c:pt idx="97">
                  <c:v>0.19230769230769229</c:v>
                </c:pt>
                <c:pt idx="98">
                  <c:v>0.19230769230769229</c:v>
                </c:pt>
                <c:pt idx="99">
                  <c:v>0.19230769230769229</c:v>
                </c:pt>
                <c:pt idx="100">
                  <c:v>0.19230769230769229</c:v>
                </c:pt>
                <c:pt idx="101">
                  <c:v>0.19230769230769229</c:v>
                </c:pt>
                <c:pt idx="102">
                  <c:v>0.19230769230769229</c:v>
                </c:pt>
                <c:pt idx="103">
                  <c:v>0.19230769230769229</c:v>
                </c:pt>
                <c:pt idx="104">
                  <c:v>0.19230769230769229</c:v>
                </c:pt>
                <c:pt idx="105">
                  <c:v>0.19230769230769229</c:v>
                </c:pt>
                <c:pt idx="106">
                  <c:v>0.19230769230769229</c:v>
                </c:pt>
                <c:pt idx="107">
                  <c:v>0.19230769230769229</c:v>
                </c:pt>
                <c:pt idx="108">
                  <c:v>0.19230769230769229</c:v>
                </c:pt>
                <c:pt idx="109">
                  <c:v>0.19230769230769229</c:v>
                </c:pt>
                <c:pt idx="110">
                  <c:v>0.19230769230769229</c:v>
                </c:pt>
                <c:pt idx="111">
                  <c:v>0.19230769230769229</c:v>
                </c:pt>
                <c:pt idx="112">
                  <c:v>0.19230769230769229</c:v>
                </c:pt>
                <c:pt idx="113">
                  <c:v>0.19230769230769229</c:v>
                </c:pt>
                <c:pt idx="114">
                  <c:v>0.19230769230769229</c:v>
                </c:pt>
                <c:pt idx="115">
                  <c:v>0.19230769230769229</c:v>
                </c:pt>
                <c:pt idx="116">
                  <c:v>0.19230769230769229</c:v>
                </c:pt>
                <c:pt idx="117">
                  <c:v>0.19230769230769229</c:v>
                </c:pt>
                <c:pt idx="118">
                  <c:v>0.19230769230769229</c:v>
                </c:pt>
                <c:pt idx="119">
                  <c:v>0.19230769230769229</c:v>
                </c:pt>
                <c:pt idx="120">
                  <c:v>0.19230769230769229</c:v>
                </c:pt>
                <c:pt idx="121">
                  <c:v>0.19230769230769229</c:v>
                </c:pt>
                <c:pt idx="122">
                  <c:v>0.19230769230769229</c:v>
                </c:pt>
                <c:pt idx="123">
                  <c:v>0.19230769230769229</c:v>
                </c:pt>
                <c:pt idx="124">
                  <c:v>0.19230769230769229</c:v>
                </c:pt>
                <c:pt idx="125">
                  <c:v>0.19230769230769229</c:v>
                </c:pt>
                <c:pt idx="126">
                  <c:v>0.19230769230769229</c:v>
                </c:pt>
                <c:pt idx="127">
                  <c:v>0.19230769230769229</c:v>
                </c:pt>
                <c:pt idx="128">
                  <c:v>0.19230769230769229</c:v>
                </c:pt>
                <c:pt idx="129">
                  <c:v>0.19230769230769229</c:v>
                </c:pt>
                <c:pt idx="130">
                  <c:v>0.19230769230769229</c:v>
                </c:pt>
                <c:pt idx="131">
                  <c:v>0.19230769230769229</c:v>
                </c:pt>
                <c:pt idx="132">
                  <c:v>0.19230769230769229</c:v>
                </c:pt>
                <c:pt idx="133">
                  <c:v>0.19230769230769229</c:v>
                </c:pt>
                <c:pt idx="134">
                  <c:v>0.19230769230769229</c:v>
                </c:pt>
                <c:pt idx="135">
                  <c:v>0.19230769230769229</c:v>
                </c:pt>
                <c:pt idx="136">
                  <c:v>0.19230769230769229</c:v>
                </c:pt>
                <c:pt idx="137">
                  <c:v>0.19230769230769229</c:v>
                </c:pt>
                <c:pt idx="138">
                  <c:v>0.19230769230769229</c:v>
                </c:pt>
                <c:pt idx="139">
                  <c:v>0.19230769230769229</c:v>
                </c:pt>
                <c:pt idx="140">
                  <c:v>0.19230769230769229</c:v>
                </c:pt>
                <c:pt idx="141">
                  <c:v>0.19230769230769229</c:v>
                </c:pt>
                <c:pt idx="142">
                  <c:v>0.19230769230769229</c:v>
                </c:pt>
                <c:pt idx="143">
                  <c:v>0.19230769230769229</c:v>
                </c:pt>
                <c:pt idx="144">
                  <c:v>0.19230769230769229</c:v>
                </c:pt>
                <c:pt idx="145">
                  <c:v>0.19230769230769229</c:v>
                </c:pt>
                <c:pt idx="146">
                  <c:v>0.19230769230769229</c:v>
                </c:pt>
                <c:pt idx="147">
                  <c:v>0.19230769230769229</c:v>
                </c:pt>
                <c:pt idx="148">
                  <c:v>0.19230769230769229</c:v>
                </c:pt>
                <c:pt idx="149">
                  <c:v>0.19230769230769229</c:v>
                </c:pt>
                <c:pt idx="150">
                  <c:v>0.19230769230769229</c:v>
                </c:pt>
                <c:pt idx="151">
                  <c:v>0.19230769230769229</c:v>
                </c:pt>
                <c:pt idx="152">
                  <c:v>0.19230769230769229</c:v>
                </c:pt>
                <c:pt idx="153">
                  <c:v>0.19230769230769229</c:v>
                </c:pt>
                <c:pt idx="154">
                  <c:v>0.19230769230769229</c:v>
                </c:pt>
                <c:pt idx="155">
                  <c:v>0.19230769230769229</c:v>
                </c:pt>
                <c:pt idx="156">
                  <c:v>0.19230769230769229</c:v>
                </c:pt>
                <c:pt idx="157">
                  <c:v>0.19230769230769229</c:v>
                </c:pt>
                <c:pt idx="158">
                  <c:v>0.19230769230769229</c:v>
                </c:pt>
                <c:pt idx="159">
                  <c:v>0.19230769230769229</c:v>
                </c:pt>
                <c:pt idx="160">
                  <c:v>0.19230769230769229</c:v>
                </c:pt>
                <c:pt idx="161">
                  <c:v>0.19230769230769229</c:v>
                </c:pt>
                <c:pt idx="162">
                  <c:v>0.19230769230769229</c:v>
                </c:pt>
                <c:pt idx="163">
                  <c:v>0.19230769230769229</c:v>
                </c:pt>
                <c:pt idx="164">
                  <c:v>0.19230769230769229</c:v>
                </c:pt>
                <c:pt idx="165">
                  <c:v>0.19230769230769229</c:v>
                </c:pt>
                <c:pt idx="166">
                  <c:v>0.19230769230769229</c:v>
                </c:pt>
                <c:pt idx="167">
                  <c:v>0.19230769230769229</c:v>
                </c:pt>
                <c:pt idx="168">
                  <c:v>0.19230769230769229</c:v>
                </c:pt>
                <c:pt idx="169">
                  <c:v>0.19230769230769229</c:v>
                </c:pt>
                <c:pt idx="170">
                  <c:v>0.19230769230769229</c:v>
                </c:pt>
                <c:pt idx="171">
                  <c:v>0.19230769230769229</c:v>
                </c:pt>
                <c:pt idx="172">
                  <c:v>0.19230769230769229</c:v>
                </c:pt>
                <c:pt idx="173">
                  <c:v>0.19230769230769229</c:v>
                </c:pt>
                <c:pt idx="174">
                  <c:v>0.19230769230769229</c:v>
                </c:pt>
                <c:pt idx="175">
                  <c:v>0.19230769230769229</c:v>
                </c:pt>
                <c:pt idx="176">
                  <c:v>0.19230769230769229</c:v>
                </c:pt>
                <c:pt idx="177">
                  <c:v>0.19230769230769229</c:v>
                </c:pt>
                <c:pt idx="178">
                  <c:v>0.19230769230769229</c:v>
                </c:pt>
                <c:pt idx="179">
                  <c:v>0.19230769230769229</c:v>
                </c:pt>
                <c:pt idx="180">
                  <c:v>0.19230769230769229</c:v>
                </c:pt>
                <c:pt idx="181">
                  <c:v>0.19230769230769229</c:v>
                </c:pt>
                <c:pt idx="182">
                  <c:v>0.19230769230769229</c:v>
                </c:pt>
                <c:pt idx="183">
                  <c:v>0.19230769230769229</c:v>
                </c:pt>
                <c:pt idx="184">
                  <c:v>0.19230769230769229</c:v>
                </c:pt>
                <c:pt idx="185">
                  <c:v>0.19230769230769229</c:v>
                </c:pt>
                <c:pt idx="186">
                  <c:v>0.19230769230769229</c:v>
                </c:pt>
                <c:pt idx="187">
                  <c:v>0.19230769230769229</c:v>
                </c:pt>
                <c:pt idx="188">
                  <c:v>0.19230769230769229</c:v>
                </c:pt>
                <c:pt idx="189">
                  <c:v>0.19230769230769229</c:v>
                </c:pt>
                <c:pt idx="190">
                  <c:v>0.19230769230769229</c:v>
                </c:pt>
                <c:pt idx="191">
                  <c:v>0.19230769230769229</c:v>
                </c:pt>
                <c:pt idx="192">
                  <c:v>0.19230769230769229</c:v>
                </c:pt>
                <c:pt idx="193">
                  <c:v>0.19230769230769229</c:v>
                </c:pt>
                <c:pt idx="194">
                  <c:v>0.19230769230769229</c:v>
                </c:pt>
                <c:pt idx="195">
                  <c:v>0.19230769230769229</c:v>
                </c:pt>
                <c:pt idx="196">
                  <c:v>0.19230769230769229</c:v>
                </c:pt>
                <c:pt idx="197">
                  <c:v>0.19230769230769229</c:v>
                </c:pt>
                <c:pt idx="198">
                  <c:v>0.19230769230769229</c:v>
                </c:pt>
                <c:pt idx="199">
                  <c:v>0.19230769230769229</c:v>
                </c:pt>
                <c:pt idx="200">
                  <c:v>0.19230769230769229</c:v>
                </c:pt>
                <c:pt idx="201">
                  <c:v>0.19230769230769229</c:v>
                </c:pt>
                <c:pt idx="202">
                  <c:v>0.19230769230769229</c:v>
                </c:pt>
                <c:pt idx="203">
                  <c:v>0.19230769230769229</c:v>
                </c:pt>
                <c:pt idx="204">
                  <c:v>0.19230769230769229</c:v>
                </c:pt>
                <c:pt idx="205">
                  <c:v>0.19230769230769229</c:v>
                </c:pt>
                <c:pt idx="206">
                  <c:v>0.19230769230769229</c:v>
                </c:pt>
                <c:pt idx="207">
                  <c:v>0.19230769230769229</c:v>
                </c:pt>
                <c:pt idx="208">
                  <c:v>0.19230769230769229</c:v>
                </c:pt>
                <c:pt idx="209">
                  <c:v>0.19230769230769229</c:v>
                </c:pt>
                <c:pt idx="210">
                  <c:v>0.19230769230769229</c:v>
                </c:pt>
                <c:pt idx="211">
                  <c:v>0.19230769230769229</c:v>
                </c:pt>
                <c:pt idx="212">
                  <c:v>0.19230769230769229</c:v>
                </c:pt>
                <c:pt idx="213">
                  <c:v>0.19230769230769229</c:v>
                </c:pt>
                <c:pt idx="214">
                  <c:v>0.19230769230769229</c:v>
                </c:pt>
                <c:pt idx="215">
                  <c:v>0.19230769230769229</c:v>
                </c:pt>
                <c:pt idx="216">
                  <c:v>0.19230769230769229</c:v>
                </c:pt>
                <c:pt idx="217">
                  <c:v>0.19230769230769229</c:v>
                </c:pt>
                <c:pt idx="218">
                  <c:v>0.19230769230769229</c:v>
                </c:pt>
                <c:pt idx="219">
                  <c:v>0.19230769230769229</c:v>
                </c:pt>
                <c:pt idx="220">
                  <c:v>0.19230769230769229</c:v>
                </c:pt>
                <c:pt idx="221">
                  <c:v>0.19230769230769229</c:v>
                </c:pt>
                <c:pt idx="222">
                  <c:v>0.19230769230769229</c:v>
                </c:pt>
                <c:pt idx="223">
                  <c:v>0.19230769230769229</c:v>
                </c:pt>
                <c:pt idx="224">
                  <c:v>0.19230769230769229</c:v>
                </c:pt>
                <c:pt idx="225">
                  <c:v>0.19230769230769229</c:v>
                </c:pt>
                <c:pt idx="226">
                  <c:v>0.19230769230769229</c:v>
                </c:pt>
                <c:pt idx="227">
                  <c:v>0.19230769230769229</c:v>
                </c:pt>
                <c:pt idx="228">
                  <c:v>0.19230769230769229</c:v>
                </c:pt>
                <c:pt idx="229">
                  <c:v>0.19230769230769229</c:v>
                </c:pt>
                <c:pt idx="230">
                  <c:v>0.19230769230769229</c:v>
                </c:pt>
                <c:pt idx="231">
                  <c:v>0.19230769230769229</c:v>
                </c:pt>
                <c:pt idx="232">
                  <c:v>0.19230769230769229</c:v>
                </c:pt>
                <c:pt idx="233">
                  <c:v>0.19230769230769229</c:v>
                </c:pt>
                <c:pt idx="234">
                  <c:v>0.19230769230769229</c:v>
                </c:pt>
                <c:pt idx="235">
                  <c:v>0.19230769230769229</c:v>
                </c:pt>
                <c:pt idx="236">
                  <c:v>0.19230769230769229</c:v>
                </c:pt>
                <c:pt idx="237">
                  <c:v>0.19230769230769229</c:v>
                </c:pt>
                <c:pt idx="238">
                  <c:v>0.19230769230769229</c:v>
                </c:pt>
                <c:pt idx="239">
                  <c:v>0.19230769230769229</c:v>
                </c:pt>
                <c:pt idx="240">
                  <c:v>0.19230769230769229</c:v>
                </c:pt>
                <c:pt idx="241">
                  <c:v>0.19230769230769229</c:v>
                </c:pt>
                <c:pt idx="242">
                  <c:v>0.19230769230769229</c:v>
                </c:pt>
                <c:pt idx="243">
                  <c:v>0.19230769230769229</c:v>
                </c:pt>
                <c:pt idx="244">
                  <c:v>0.19230769230769229</c:v>
                </c:pt>
                <c:pt idx="245">
                  <c:v>0.19230769230769229</c:v>
                </c:pt>
                <c:pt idx="246">
                  <c:v>0.19230769230769229</c:v>
                </c:pt>
                <c:pt idx="247">
                  <c:v>0.19230769230769229</c:v>
                </c:pt>
                <c:pt idx="248">
                  <c:v>0.19230769230769229</c:v>
                </c:pt>
                <c:pt idx="249">
                  <c:v>0.19230769230769229</c:v>
                </c:pt>
                <c:pt idx="250">
                  <c:v>0.19230769230769229</c:v>
                </c:pt>
                <c:pt idx="251">
                  <c:v>0.19230769230769229</c:v>
                </c:pt>
                <c:pt idx="252">
                  <c:v>0.19230769230769229</c:v>
                </c:pt>
                <c:pt idx="253">
                  <c:v>0.19230769230769229</c:v>
                </c:pt>
                <c:pt idx="254">
                  <c:v>0.19230769230769229</c:v>
                </c:pt>
                <c:pt idx="255">
                  <c:v>0.19230769230769229</c:v>
                </c:pt>
                <c:pt idx="256">
                  <c:v>0.19230769230769229</c:v>
                </c:pt>
                <c:pt idx="257">
                  <c:v>0.19230769230769229</c:v>
                </c:pt>
                <c:pt idx="258">
                  <c:v>0.19230769230769229</c:v>
                </c:pt>
                <c:pt idx="259">
                  <c:v>0.19230769230769229</c:v>
                </c:pt>
                <c:pt idx="260">
                  <c:v>0.19230769230769229</c:v>
                </c:pt>
                <c:pt idx="261">
                  <c:v>0.19230769230769229</c:v>
                </c:pt>
                <c:pt idx="262">
                  <c:v>0.19230769230769229</c:v>
                </c:pt>
                <c:pt idx="263">
                  <c:v>0.19230769230769229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43-41BD-BD60-12FF6640E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090440"/>
        <c:axId val="319090800"/>
      </c:scatterChart>
      <c:valAx>
        <c:axId val="319090440"/>
        <c:scaling>
          <c:orientation val="minMax"/>
          <c:max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19090800"/>
        <c:crosses val="autoZero"/>
        <c:crossBetween val="midCat"/>
      </c:valAx>
      <c:valAx>
        <c:axId val="31909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19090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62</xdr:row>
      <xdr:rowOff>0</xdr:rowOff>
    </xdr:from>
    <xdr:to>
      <xdr:col>30</xdr:col>
      <xdr:colOff>306522</xdr:colOff>
      <xdr:row>105</xdr:row>
      <xdr:rowOff>103353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511C613E-CCE6-484F-A2D1-FD0C59101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553778</xdr:colOff>
      <xdr:row>15</xdr:row>
      <xdr:rowOff>66454</xdr:rowOff>
    </xdr:from>
    <xdr:to>
      <xdr:col>21</xdr:col>
      <xdr:colOff>232587</xdr:colOff>
      <xdr:row>52</xdr:row>
      <xdr:rowOff>22151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7BC8068-A786-FCB1-86DC-9580D3042B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0</xdr:row>
          <xdr:rowOff>180975</xdr:rowOff>
        </xdr:from>
        <xdr:to>
          <xdr:col>13</xdr:col>
          <xdr:colOff>209550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Exporter VSC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62</xdr:row>
      <xdr:rowOff>0</xdr:rowOff>
    </xdr:from>
    <xdr:to>
      <xdr:col>31</xdr:col>
      <xdr:colOff>306522</xdr:colOff>
      <xdr:row>105</xdr:row>
      <xdr:rowOff>103353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390C5C8-33CC-4DD5-A0D8-81709B649C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0</xdr:row>
          <xdr:rowOff>180975</xdr:rowOff>
        </xdr:from>
        <xdr:to>
          <xdr:col>14</xdr:col>
          <xdr:colOff>209550</xdr:colOff>
          <xdr:row>3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Exporter VSC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300077</xdr:colOff>
      <xdr:row>18</xdr:row>
      <xdr:rowOff>56789</xdr:rowOff>
    </xdr:from>
    <xdr:to>
      <xdr:col>15</xdr:col>
      <xdr:colOff>502709</xdr:colOff>
      <xdr:row>45</xdr:row>
      <xdr:rowOff>13229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256997BA-A8AE-7715-0BC2-59B706ED39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214311</xdr:colOff>
      <xdr:row>19</xdr:row>
      <xdr:rowOff>28575</xdr:rowOff>
    </xdr:from>
    <xdr:to>
      <xdr:col>23</xdr:col>
      <xdr:colOff>590550</xdr:colOff>
      <xdr:row>49</xdr:row>
      <xdr:rowOff>133350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B34E9943-75A3-1E07-4934-DA9AB37C13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466725</xdr:colOff>
      <xdr:row>52</xdr:row>
      <xdr:rowOff>180975</xdr:rowOff>
    </xdr:from>
    <xdr:to>
      <xdr:col>24</xdr:col>
      <xdr:colOff>80964</xdr:colOff>
      <xdr:row>83</xdr:row>
      <xdr:rowOff>95250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B8166747-2FDF-4C08-BDE8-E1AE175ED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244880</xdr:colOff>
      <xdr:row>20</xdr:row>
      <xdr:rowOff>170324</xdr:rowOff>
    </xdr:from>
    <xdr:to>
      <xdr:col>25</xdr:col>
      <xdr:colOff>704106</xdr:colOff>
      <xdr:row>44</xdr:row>
      <xdr:rowOff>175089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B4494A4C-2010-995C-AA09-7759628C38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382869</xdr:colOff>
      <xdr:row>20</xdr:row>
      <xdr:rowOff>112058</xdr:rowOff>
    </xdr:from>
    <xdr:to>
      <xdr:col>29</xdr:col>
      <xdr:colOff>172292</xdr:colOff>
      <xdr:row>51</xdr:row>
      <xdr:rowOff>158749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7835051-97C9-41BD-9849-2CFA6A04B0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0</xdr:row>
          <xdr:rowOff>152400</xdr:rowOff>
        </xdr:from>
        <xdr:to>
          <xdr:col>16</xdr:col>
          <xdr:colOff>714375</xdr:colOff>
          <xdr:row>3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Exporter CSV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507886</xdr:colOff>
      <xdr:row>10</xdr:row>
      <xdr:rowOff>178594</xdr:rowOff>
    </xdr:from>
    <xdr:to>
      <xdr:col>17</xdr:col>
      <xdr:colOff>34019</xdr:colOff>
      <xdr:row>34</xdr:row>
      <xdr:rowOff>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F55A34DA-EDCB-F464-72BC-722A9CAC39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2</xdr:row>
          <xdr:rowOff>28575</xdr:rowOff>
        </xdr:from>
        <xdr:to>
          <xdr:col>14</xdr:col>
          <xdr:colOff>285750</xdr:colOff>
          <xdr:row>5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REVOST Thibault" id="{8FB82136-DE79-4BEC-B381-D6AD0B2C2D37}" userId="S::thibault.prevost@rte-france.com::aede6345-c616-427b-860f-5c53dc844335" providerId="AD"/>
</personLis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5-04-02T12:42:23.83" personId="{8FB82136-DE79-4BEC-B381-D6AD0B2C2D37}" id="{2DB1BA80-145C-4531-9E33-95282088E307}">
    <text xml:space="preserve">Add 20 ms delay in enveloppe as expected in the ENTSOE Document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ACF48-ABA1-4FEB-B3FA-1A6AF84316B3}">
  <sheetPr codeName="Feuil1"/>
  <dimension ref="A1:L268"/>
  <sheetViews>
    <sheetView zoomScale="86" workbookViewId="0">
      <selection activeCell="C5" sqref="C5"/>
    </sheetView>
  </sheetViews>
  <sheetFormatPr baseColWidth="10" defaultRowHeight="15" x14ac:dyDescent="0.25"/>
  <cols>
    <col min="4" max="6" width="11.42578125" style="2"/>
  </cols>
  <sheetData>
    <row r="1" spans="1:12" ht="24" x14ac:dyDescent="0.4">
      <c r="B1" s="6" t="s">
        <v>17</v>
      </c>
    </row>
    <row r="3" spans="1:12" x14ac:dyDescent="0.25">
      <c r="H3" t="s">
        <v>1</v>
      </c>
      <c r="I3" s="3">
        <v>0.75</v>
      </c>
    </row>
    <row r="4" spans="1:12" x14ac:dyDescent="0.25">
      <c r="A4" t="s">
        <v>0</v>
      </c>
      <c r="B4" t="s">
        <v>24</v>
      </c>
      <c r="C4" t="s">
        <v>28</v>
      </c>
      <c r="F4" s="2" t="s">
        <v>40</v>
      </c>
      <c r="H4" t="s">
        <v>36</v>
      </c>
      <c r="I4" s="3">
        <v>5</v>
      </c>
    </row>
    <row r="5" spans="1:12" x14ac:dyDescent="0.25">
      <c r="A5">
        <v>0</v>
      </c>
      <c r="B5">
        <f t="shared" ref="B5:B68" si="0">$I$3-$L$6*EXP(-$L$8*A5)</f>
        <v>0.63468360299323179</v>
      </c>
      <c r="C5">
        <f t="shared" ref="C5:C68" si="1">MIN($I$3-(1+$I$13)*$L$6*EXP(-$L$8*A5)-$L$11,$I$3-$L$11)</f>
        <v>0.59432286404086299</v>
      </c>
      <c r="E5" s="2">
        <f>I3</f>
        <v>0.75</v>
      </c>
      <c r="F5" s="2">
        <f>E5</f>
        <v>0.75</v>
      </c>
      <c r="H5" t="s">
        <v>2</v>
      </c>
      <c r="I5" s="3">
        <v>2</v>
      </c>
      <c r="K5" t="s">
        <v>9</v>
      </c>
      <c r="L5" s="4">
        <f>3.7*PI()/180</f>
        <v>6.4577182323790186E-2</v>
      </c>
    </row>
    <row r="6" spans="1:12" x14ac:dyDescent="0.25">
      <c r="A6">
        <v>5.0000000000000001E-3</v>
      </c>
      <c r="B6">
        <f t="shared" si="0"/>
        <v>0.63769360095941929</v>
      </c>
      <c r="C6">
        <f t="shared" si="1"/>
        <v>0.59823586139690665</v>
      </c>
      <c r="E6" s="2">
        <f>I3</f>
        <v>0.75</v>
      </c>
      <c r="F6" s="2">
        <f t="shared" ref="F6:F45" si="2">E6</f>
        <v>0.75</v>
      </c>
      <c r="H6" t="s">
        <v>3</v>
      </c>
      <c r="I6" s="3">
        <v>106</v>
      </c>
      <c r="K6" t="s">
        <v>11</v>
      </c>
      <c r="L6" s="4">
        <f>L5*I11*I12/L9</f>
        <v>0.11531639700676818</v>
      </c>
    </row>
    <row r="7" spans="1:12" x14ac:dyDescent="0.25">
      <c r="A7">
        <v>0.01</v>
      </c>
      <c r="B7">
        <f t="shared" si="0"/>
        <v>0.64062503171407725</v>
      </c>
      <c r="C7">
        <f t="shared" si="1"/>
        <v>0.602046721377962</v>
      </c>
      <c r="E7" s="2">
        <f t="shared" ref="E7:E70" si="3">$I$3-$I$14*$L$6*EXP(-$L$8*A5)</f>
        <v>0.69234180149661595</v>
      </c>
      <c r="F7" s="2">
        <f t="shared" si="2"/>
        <v>0.69234180149661595</v>
      </c>
      <c r="H7" t="s">
        <v>4</v>
      </c>
      <c r="I7" s="3">
        <v>0.06</v>
      </c>
      <c r="K7" t="s">
        <v>12</v>
      </c>
      <c r="L7" s="4">
        <f>I6*L9/(I9*I11*I12)</f>
        <v>0.18904458598726118</v>
      </c>
    </row>
    <row r="8" spans="1:12" x14ac:dyDescent="0.25">
      <c r="A8">
        <v>1.4999999999999999E-2</v>
      </c>
      <c r="B8">
        <f t="shared" si="0"/>
        <v>0.64347994602494607</v>
      </c>
      <c r="C8">
        <f t="shared" si="1"/>
        <v>0.60575810998209145</v>
      </c>
      <c r="E8" s="2">
        <f t="shared" si="3"/>
        <v>0.6938468004797097</v>
      </c>
      <c r="F8" s="2">
        <f t="shared" si="2"/>
        <v>0.6938468004797097</v>
      </c>
      <c r="H8" t="s">
        <v>5</v>
      </c>
      <c r="I8" s="3">
        <v>3</v>
      </c>
      <c r="K8" t="s">
        <v>13</v>
      </c>
      <c r="L8" s="4">
        <f>1/L7</f>
        <v>5.2897574123989211</v>
      </c>
    </row>
    <row r="9" spans="1:12" x14ac:dyDescent="0.25">
      <c r="A9">
        <v>0.02</v>
      </c>
      <c r="B9">
        <f t="shared" si="0"/>
        <v>0.64626034113045983</v>
      </c>
      <c r="C9">
        <f t="shared" si="1"/>
        <v>0.60937262361925926</v>
      </c>
      <c r="E9" s="2">
        <f t="shared" si="3"/>
        <v>0.69531251585703868</v>
      </c>
      <c r="F9" s="2">
        <f t="shared" si="2"/>
        <v>0.69531251585703868</v>
      </c>
      <c r="H9" t="s">
        <v>6</v>
      </c>
      <c r="I9" s="3">
        <v>314</v>
      </c>
      <c r="K9" t="s">
        <v>14</v>
      </c>
      <c r="L9" s="4">
        <f>I7+L12+I10</f>
        <v>0.56000000000000005</v>
      </c>
    </row>
    <row r="10" spans="1:12" x14ac:dyDescent="0.25">
      <c r="A10">
        <v>2.5000000000000001E-2</v>
      </c>
      <c r="B10">
        <f t="shared" si="0"/>
        <v>0.64896816213697261</v>
      </c>
      <c r="C10">
        <f t="shared" si="1"/>
        <v>0.61289279092772597</v>
      </c>
      <c r="E10" s="2">
        <f t="shared" si="3"/>
        <v>0.69673997301247304</v>
      </c>
      <c r="F10" s="2">
        <f t="shared" si="2"/>
        <v>0.69673997301247304</v>
      </c>
      <c r="H10" t="s">
        <v>20</v>
      </c>
      <c r="I10" s="3">
        <v>0</v>
      </c>
      <c r="K10" t="s">
        <v>15</v>
      </c>
      <c r="L10" s="4">
        <f>SQRT(I9*I12*I11/(2*I8*L9))</f>
        <v>9.6670771669818052</v>
      </c>
    </row>
    <row r="11" spans="1:12" x14ac:dyDescent="0.25">
      <c r="A11">
        <v>0.03</v>
      </c>
      <c r="B11">
        <f t="shared" si="0"/>
        <v>0.65160530337951461</v>
      </c>
      <c r="C11">
        <f t="shared" si="1"/>
        <v>0.61632107454303064</v>
      </c>
      <c r="E11" s="2">
        <f t="shared" si="3"/>
        <v>0.69813017056522986</v>
      </c>
      <c r="F11" s="2">
        <f t="shared" si="2"/>
        <v>0.69813017056522986</v>
      </c>
      <c r="H11" t="s">
        <v>10</v>
      </c>
      <c r="I11" s="3">
        <v>1</v>
      </c>
      <c r="K11" t="s">
        <v>16</v>
      </c>
      <c r="L11" s="5">
        <f>I15*(I3-B5)</f>
        <v>5.7658198503384109E-3</v>
      </c>
    </row>
    <row r="12" spans="1:12" x14ac:dyDescent="0.25">
      <c r="A12">
        <v>3.5000000000000003E-2</v>
      </c>
      <c r="B12">
        <f t="shared" si="0"/>
        <v>0.65417360974702898</v>
      </c>
      <c r="C12">
        <f t="shared" si="1"/>
        <v>0.61965987282079926</v>
      </c>
      <c r="E12" s="2">
        <f t="shared" si="3"/>
        <v>0.69948408106848636</v>
      </c>
      <c r="F12" s="2">
        <f t="shared" si="2"/>
        <v>0.69948408106848636</v>
      </c>
      <c r="H12" t="s">
        <v>8</v>
      </c>
      <c r="I12" s="3">
        <v>1</v>
      </c>
      <c r="K12" t="s">
        <v>7</v>
      </c>
      <c r="L12" s="4">
        <f>1/I5</f>
        <v>0.5</v>
      </c>
    </row>
    <row r="13" spans="1:12" x14ac:dyDescent="0.25">
      <c r="A13">
        <v>0.04</v>
      </c>
      <c r="B13">
        <f t="shared" si="0"/>
        <v>0.65667487797301771</v>
      </c>
      <c r="C13">
        <f t="shared" si="1"/>
        <v>0.62291152151458462</v>
      </c>
      <c r="E13" s="2">
        <f t="shared" si="3"/>
        <v>0.70080265168975731</v>
      </c>
      <c r="F13" s="2">
        <f t="shared" si="2"/>
        <v>0.70080265168975731</v>
      </c>
      <c r="H13" t="s">
        <v>25</v>
      </c>
      <c r="I13" s="3">
        <v>0.3</v>
      </c>
    </row>
    <row r="14" spans="1:12" x14ac:dyDescent="0.25">
      <c r="A14">
        <v>4.4999999999999998E-2</v>
      </c>
      <c r="B14">
        <f t="shared" si="0"/>
        <v>0.65911085789249901</v>
      </c>
      <c r="C14">
        <f t="shared" si="1"/>
        <v>0.62607829540991033</v>
      </c>
      <c r="E14" s="2">
        <f t="shared" si="3"/>
        <v>0.70208680487351449</v>
      </c>
      <c r="F14" s="2">
        <f t="shared" si="2"/>
        <v>0.70208680487351449</v>
      </c>
      <c r="H14" t="s">
        <v>26</v>
      </c>
      <c r="I14" s="3">
        <v>0.5</v>
      </c>
    </row>
    <row r="15" spans="1:12" x14ac:dyDescent="0.25">
      <c r="A15">
        <v>0.05</v>
      </c>
      <c r="B15">
        <f t="shared" si="0"/>
        <v>0.66148325366615512</v>
      </c>
      <c r="C15">
        <f t="shared" si="1"/>
        <v>0.62916240991566319</v>
      </c>
      <c r="E15" s="2">
        <f t="shared" si="3"/>
        <v>0.70333743898650891</v>
      </c>
      <c r="F15" s="2">
        <f t="shared" si="2"/>
        <v>0.70333743898650891</v>
      </c>
      <c r="H15" t="s">
        <v>27</v>
      </c>
      <c r="I15" s="7">
        <v>0.05</v>
      </c>
    </row>
    <row r="16" spans="1:12" x14ac:dyDescent="0.25">
      <c r="A16">
        <v>5.5E-2</v>
      </c>
      <c r="B16">
        <f t="shared" si="0"/>
        <v>0.66379372497252764</v>
      </c>
      <c r="C16">
        <f t="shared" si="1"/>
        <v>0.63216602261394761</v>
      </c>
      <c r="E16" s="2">
        <f t="shared" si="3"/>
        <v>0.70455542894624956</v>
      </c>
      <c r="F16" s="2">
        <f t="shared" si="2"/>
        <v>0.70455542894624956</v>
      </c>
    </row>
    <row r="17" spans="1:6" x14ac:dyDescent="0.25">
      <c r="A17">
        <v>0.06</v>
      </c>
      <c r="B17">
        <f t="shared" si="0"/>
        <v>0.66604388816909432</v>
      </c>
      <c r="C17">
        <f t="shared" si="1"/>
        <v>0.63509123476948415</v>
      </c>
      <c r="E17" s="2">
        <f t="shared" si="3"/>
        <v>0.70574162683307751</v>
      </c>
      <c r="F17" s="2">
        <f t="shared" si="2"/>
        <v>0.70574162683307751</v>
      </c>
    </row>
    <row r="18" spans="1:6" x14ac:dyDescent="0.25">
      <c r="A18">
        <v>6.5000000000000002E-2</v>
      </c>
      <c r="B18">
        <f t="shared" si="0"/>
        <v>0.66823531742303821</v>
      </c>
      <c r="C18">
        <f t="shared" si="1"/>
        <v>0.63794009279961117</v>
      </c>
      <c r="E18" s="2">
        <f t="shared" si="3"/>
        <v>0.70689686248626382</v>
      </c>
      <c r="F18" s="2">
        <f t="shared" si="2"/>
        <v>0.70689686248626382</v>
      </c>
    </row>
    <row r="19" spans="1:6" x14ac:dyDescent="0.25">
      <c r="A19">
        <v>7.0000000000000007E-2</v>
      </c>
      <c r="B19">
        <f t="shared" si="0"/>
        <v>0.67036954581250285</v>
      </c>
      <c r="C19">
        <f t="shared" si="1"/>
        <v>0.64071458970591522</v>
      </c>
      <c r="E19" s="2">
        <f t="shared" si="3"/>
        <v>0.70802194408454711</v>
      </c>
      <c r="F19" s="2">
        <f t="shared" si="2"/>
        <v>0.70802194408454711</v>
      </c>
    </row>
    <row r="20" spans="1:6" x14ac:dyDescent="0.25">
      <c r="A20">
        <v>7.4999999999999997E-2</v>
      </c>
      <c r="B20">
        <f t="shared" si="0"/>
        <v>0.67244806639910149</v>
      </c>
      <c r="C20">
        <f t="shared" si="1"/>
        <v>0.64341666646849349</v>
      </c>
      <c r="E20" s="2">
        <f t="shared" si="3"/>
        <v>0.70911765871151911</v>
      </c>
      <c r="F20" s="2">
        <f t="shared" si="2"/>
        <v>0.70911765871151911</v>
      </c>
    </row>
    <row r="21" spans="1:6" x14ac:dyDescent="0.25">
      <c r="A21">
        <v>0.08</v>
      </c>
      <c r="B21">
        <f t="shared" si="0"/>
        <v>0.67447233327243183</v>
      </c>
      <c r="C21">
        <f t="shared" si="1"/>
        <v>0.64604821340382301</v>
      </c>
      <c r="E21" s="2">
        <f t="shared" si="3"/>
        <v>0.71018477290625137</v>
      </c>
      <c r="F21" s="2">
        <f t="shared" si="2"/>
        <v>0.71018477290625137</v>
      </c>
    </row>
    <row r="22" spans="1:6" x14ac:dyDescent="0.25">
      <c r="A22">
        <v>8.5000000000000006E-2</v>
      </c>
      <c r="B22">
        <f t="shared" si="0"/>
        <v>0.67644376256732675</v>
      </c>
      <c r="C22">
        <f t="shared" si="1"/>
        <v>0.64861107148718622</v>
      </c>
      <c r="E22" s="2">
        <f t="shared" si="3"/>
        <v>0.71122403319955074</v>
      </c>
      <c r="F22" s="2">
        <f t="shared" si="2"/>
        <v>0.71122403319955074</v>
      </c>
    </row>
    <row r="23" spans="1:6" x14ac:dyDescent="0.25">
      <c r="A23">
        <v>0.09</v>
      </c>
      <c r="B23">
        <f t="shared" si="0"/>
        <v>0.67836373345455236</v>
      </c>
      <c r="C23">
        <f t="shared" si="1"/>
        <v>0.65110703364057965</v>
      </c>
      <c r="E23" s="2">
        <f t="shared" si="3"/>
        <v>0.71223616663621592</v>
      </c>
      <c r="F23" s="2">
        <f t="shared" si="2"/>
        <v>0.71223616663621592</v>
      </c>
    </row>
    <row r="24" spans="1:6" x14ac:dyDescent="0.25">
      <c r="A24">
        <v>9.5000000000000001E-2</v>
      </c>
      <c r="B24">
        <f t="shared" si="0"/>
        <v>0.68023358910564768</v>
      </c>
      <c r="C24">
        <f t="shared" si="1"/>
        <v>0.6535378459870036</v>
      </c>
      <c r="E24" s="2">
        <f t="shared" si="3"/>
        <v>0.71322188128366337</v>
      </c>
      <c r="F24" s="2">
        <f t="shared" si="2"/>
        <v>0.71322188128366337</v>
      </c>
    </row>
    <row r="25" spans="1:6" x14ac:dyDescent="0.25">
      <c r="A25">
        <v>0.1</v>
      </c>
      <c r="B25">
        <f t="shared" si="0"/>
        <v>0.68205463763257901</v>
      </c>
      <c r="C25">
        <f t="shared" si="1"/>
        <v>0.65590520907201433</v>
      </c>
      <c r="E25" s="2">
        <f t="shared" si="3"/>
        <v>0.71418186672727613</v>
      </c>
      <c r="F25" s="2">
        <f t="shared" si="2"/>
        <v>0.71418186672727613</v>
      </c>
    </row>
    <row r="26" spans="1:6" x14ac:dyDescent="0.25">
      <c r="A26">
        <v>0.105</v>
      </c>
      <c r="B26">
        <f t="shared" si="0"/>
        <v>0.6838281530028677</v>
      </c>
      <c r="C26">
        <f t="shared" si="1"/>
        <v>0.65821077905338954</v>
      </c>
      <c r="E26" s="2">
        <f t="shared" si="3"/>
        <v>0.71511679455282384</v>
      </c>
      <c r="F26" s="2">
        <f t="shared" si="2"/>
        <v>0.71511679455282384</v>
      </c>
    </row>
    <row r="27" spans="1:6" x14ac:dyDescent="0.25">
      <c r="A27">
        <v>0.11</v>
      </c>
      <c r="B27">
        <f t="shared" si="0"/>
        <v>0.68555537593083127</v>
      </c>
      <c r="C27">
        <f t="shared" si="1"/>
        <v>0.66045616885974223</v>
      </c>
      <c r="E27" s="2">
        <f t="shared" si="3"/>
        <v>0.71602731881628956</v>
      </c>
      <c r="F27" s="2">
        <f t="shared" si="2"/>
        <v>0.71602731881628956</v>
      </c>
    </row>
    <row r="28" spans="1:6" x14ac:dyDescent="0.25">
      <c r="A28">
        <v>0.115</v>
      </c>
      <c r="B28">
        <f t="shared" si="0"/>
        <v>0.68723751474556138</v>
      </c>
      <c r="C28">
        <f t="shared" si="1"/>
        <v>0.66264294931889134</v>
      </c>
      <c r="E28" s="2">
        <f t="shared" si="3"/>
        <v>0.71691407650143379</v>
      </c>
      <c r="F28" s="2">
        <f t="shared" si="2"/>
        <v>0.71691407650143379</v>
      </c>
    </row>
    <row r="29" spans="1:6" x14ac:dyDescent="0.25">
      <c r="A29">
        <v>0.12</v>
      </c>
      <c r="B29">
        <f t="shared" si="0"/>
        <v>0.68887574623624559</v>
      </c>
      <c r="C29">
        <f t="shared" si="1"/>
        <v>0.66477265025678089</v>
      </c>
      <c r="E29" s="2">
        <f t="shared" si="3"/>
        <v>0.71777768796541563</v>
      </c>
      <c r="F29" s="2">
        <f t="shared" si="2"/>
        <v>0.71777768796541563</v>
      </c>
    </row>
    <row r="30" spans="1:6" x14ac:dyDescent="0.25">
      <c r="A30">
        <v>0.125</v>
      </c>
      <c r="B30">
        <f t="shared" si="0"/>
        <v>0.69047121647542442</v>
      </c>
      <c r="C30">
        <f t="shared" si="1"/>
        <v>0.66684676156771339</v>
      </c>
      <c r="E30" s="2">
        <f t="shared" si="3"/>
        <v>0.71861875737278069</v>
      </c>
      <c r="F30" s="2">
        <f t="shared" si="2"/>
        <v>0.71861875737278069</v>
      </c>
    </row>
    <row r="31" spans="1:6" x14ac:dyDescent="0.25">
      <c r="A31">
        <v>0.13</v>
      </c>
      <c r="B31">
        <f t="shared" si="0"/>
        <v>0.69202504162075973</v>
      </c>
      <c r="C31">
        <f t="shared" si="1"/>
        <v>0.66886673425664933</v>
      </c>
      <c r="E31" s="2">
        <f t="shared" si="3"/>
        <v>0.71943787311812279</v>
      </c>
      <c r="F31" s="2">
        <f t="shared" si="2"/>
        <v>0.71943787311812279</v>
      </c>
    </row>
    <row r="32" spans="1:6" x14ac:dyDescent="0.25">
      <c r="A32">
        <v>0.13500000000000001</v>
      </c>
      <c r="B32">
        <f t="shared" si="0"/>
        <v>0.69353830869587552</v>
      </c>
      <c r="C32">
        <f t="shared" si="1"/>
        <v>0.67083398145429973</v>
      </c>
      <c r="E32" s="2">
        <f t="shared" si="3"/>
        <v>0.72023560823771227</v>
      </c>
      <c r="F32" s="2">
        <f t="shared" si="2"/>
        <v>0.72023560823771227</v>
      </c>
    </row>
    <row r="33" spans="1:8" x14ac:dyDescent="0.25">
      <c r="A33">
        <v>0.14000000000000001</v>
      </c>
      <c r="B33">
        <f t="shared" si="0"/>
        <v>0.69501207635081663</v>
      </c>
      <c r="C33">
        <f t="shared" si="1"/>
        <v>0.67274987940572317</v>
      </c>
      <c r="E33" s="2">
        <f t="shared" si="3"/>
        <v>0.72101252081037992</v>
      </c>
      <c r="F33" s="2">
        <f t="shared" si="2"/>
        <v>0.72101252081037992</v>
      </c>
    </row>
    <row r="34" spans="1:8" x14ac:dyDescent="0.25">
      <c r="A34">
        <v>0.14499999999999999</v>
      </c>
      <c r="B34">
        <f t="shared" si="0"/>
        <v>0.69644737560265846</v>
      </c>
      <c r="C34">
        <f t="shared" si="1"/>
        <v>0.67461576843311766</v>
      </c>
      <c r="E34" s="2">
        <f t="shared" si="3"/>
        <v>0.72176915434793776</v>
      </c>
      <c r="F34" s="2">
        <f t="shared" si="2"/>
        <v>0.72176915434793776</v>
      </c>
    </row>
    <row r="35" spans="1:8" x14ac:dyDescent="0.25">
      <c r="A35">
        <v>0.15</v>
      </c>
      <c r="B35">
        <f t="shared" si="0"/>
        <v>0.69784521055678506</v>
      </c>
      <c r="C35">
        <f t="shared" si="1"/>
        <v>0.67643295387348223</v>
      </c>
      <c r="E35" s="2">
        <f t="shared" si="3"/>
        <v>0.72250603817540826</v>
      </c>
      <c r="F35" s="2">
        <f t="shared" si="2"/>
        <v>0.72250603817540826</v>
      </c>
    </row>
    <row r="36" spans="1:8" x14ac:dyDescent="0.25">
      <c r="A36">
        <v>0.155</v>
      </c>
      <c r="B36">
        <f t="shared" si="0"/>
        <v>0.69920655910934004</v>
      </c>
      <c r="C36">
        <f t="shared" si="1"/>
        <v>0.67820270699180363</v>
      </c>
      <c r="E36" s="2">
        <f t="shared" si="3"/>
        <v>0.72322368780132928</v>
      </c>
      <c r="F36" s="2">
        <f t="shared" si="2"/>
        <v>0.72322368780132928</v>
      </c>
      <c r="H36" s="1"/>
    </row>
    <row r="37" spans="1:8" x14ac:dyDescent="0.25">
      <c r="A37">
        <v>0.16</v>
      </c>
      <c r="B37">
        <f t="shared" si="0"/>
        <v>0.70053237363134224</v>
      </c>
      <c r="C37">
        <f t="shared" si="1"/>
        <v>0.6799262658704065</v>
      </c>
      <c r="E37" s="2">
        <f t="shared" si="3"/>
        <v>0.72392260527839258</v>
      </c>
      <c r="F37" s="2">
        <f t="shared" si="2"/>
        <v>0.72392260527839258</v>
      </c>
    </row>
    <row r="38" spans="1:8" x14ac:dyDescent="0.25">
      <c r="A38">
        <v>0.16500000000000001</v>
      </c>
      <c r="B38">
        <f t="shared" si="0"/>
        <v>0.70182358163494518</v>
      </c>
      <c r="C38">
        <f t="shared" si="1"/>
        <v>0.68160483627509028</v>
      </c>
      <c r="E38" s="2">
        <f t="shared" si="3"/>
        <v>0.72460327955466997</v>
      </c>
      <c r="F38" s="2">
        <f t="shared" si="2"/>
        <v>0.72460327955466997</v>
      </c>
    </row>
    <row r="39" spans="1:8" x14ac:dyDescent="0.25">
      <c r="A39">
        <v>0.17</v>
      </c>
      <c r="B39">
        <f t="shared" si="0"/>
        <v>0.70308108642230427</v>
      </c>
      <c r="C39">
        <f t="shared" si="1"/>
        <v>0.68323959249865707</v>
      </c>
      <c r="E39" s="2">
        <f t="shared" si="3"/>
        <v>0.72526618681567112</v>
      </c>
      <c r="F39" s="2">
        <f t="shared" si="2"/>
        <v>0.72526618681567112</v>
      </c>
    </row>
    <row r="40" spans="1:8" x14ac:dyDescent="0.25">
      <c r="A40">
        <v>0.17499999999999999</v>
      </c>
      <c r="B40">
        <f t="shared" si="0"/>
        <v>0.70430576771750897</v>
      </c>
      <c r="C40">
        <f t="shared" si="1"/>
        <v>0.68483167818242319</v>
      </c>
      <c r="E40" s="2">
        <f t="shared" si="3"/>
        <v>0.72591179081747259</v>
      </c>
      <c r="F40" s="2">
        <f t="shared" si="2"/>
        <v>0.72591179081747259</v>
      </c>
    </row>
    <row r="41" spans="1:8" x14ac:dyDescent="0.25">
      <c r="A41">
        <v>0.18</v>
      </c>
      <c r="B41">
        <f t="shared" si="0"/>
        <v>0.70549848228201906</v>
      </c>
      <c r="C41">
        <f t="shared" si="1"/>
        <v>0.68638220711628628</v>
      </c>
      <c r="E41" s="2">
        <f t="shared" si="3"/>
        <v>0.72654054321115213</v>
      </c>
      <c r="F41" s="2">
        <f t="shared" si="2"/>
        <v>0.72654054321115213</v>
      </c>
    </row>
    <row r="42" spans="1:8" x14ac:dyDescent="0.25">
      <c r="A42">
        <v>0.185</v>
      </c>
      <c r="B42">
        <f t="shared" si="0"/>
        <v>0.70666006451403685</v>
      </c>
      <c r="C42">
        <f t="shared" si="1"/>
        <v>0.68789226401790948</v>
      </c>
      <c r="E42" s="2">
        <f t="shared" si="3"/>
        <v>0.72715288385875443</v>
      </c>
      <c r="F42" s="2">
        <f t="shared" si="2"/>
        <v>0.72715288385875443</v>
      </c>
    </row>
    <row r="43" spans="1:8" x14ac:dyDescent="0.25">
      <c r="A43">
        <v>0.19</v>
      </c>
      <c r="B43">
        <f t="shared" si="0"/>
        <v>0.70779132703223535</v>
      </c>
      <c r="C43">
        <f t="shared" si="1"/>
        <v>0.68936290529156752</v>
      </c>
      <c r="E43" s="2">
        <f t="shared" si="3"/>
        <v>0.72774924114100947</v>
      </c>
      <c r="F43" s="2">
        <f t="shared" si="2"/>
        <v>0.72774924114100947</v>
      </c>
    </row>
    <row r="44" spans="1:8" x14ac:dyDescent="0.25">
      <c r="A44">
        <v>0.19500000000000001</v>
      </c>
      <c r="B44">
        <f t="shared" si="0"/>
        <v>0.70889306124424845</v>
      </c>
      <c r="C44">
        <f t="shared" si="1"/>
        <v>0.69079515976718453</v>
      </c>
      <c r="E44" s="2">
        <f t="shared" si="3"/>
        <v>0.72833003225701842</v>
      </c>
      <c r="F44" s="2">
        <f t="shared" si="2"/>
        <v>0.72833003225701842</v>
      </c>
    </row>
    <row r="45" spans="1:8" x14ac:dyDescent="0.25">
      <c r="A45">
        <v>0.2</v>
      </c>
      <c r="B45">
        <f t="shared" si="0"/>
        <v>0.70996603790032398</v>
      </c>
      <c r="C45">
        <f t="shared" si="1"/>
        <v>0.69219002942008279</v>
      </c>
      <c r="E45" s="2">
        <f t="shared" si="3"/>
        <v>0.72889566351611768</v>
      </c>
      <c r="F45" s="2">
        <f t="shared" si="2"/>
        <v>0.72889566351611768</v>
      </c>
    </row>
    <row r="46" spans="1:8" x14ac:dyDescent="0.25">
      <c r="A46">
        <v>0.20499999999999999</v>
      </c>
      <c r="B46">
        <f t="shared" si="0"/>
        <v>0.71101100763252423</v>
      </c>
      <c r="C46">
        <f t="shared" si="1"/>
        <v>0.69354849007194308</v>
      </c>
      <c r="E46" s="2">
        <f t="shared" si="3"/>
        <v>0.72944653062212428</v>
      </c>
      <c r="F46" s="2">
        <f t="shared" ref="F46:F69" si="4">E46+$L$11</f>
        <v>0.73521235047246269</v>
      </c>
    </row>
    <row r="47" spans="1:8" x14ac:dyDescent="0.25">
      <c r="A47">
        <v>0.21</v>
      </c>
      <c r="B47">
        <f t="shared" si="0"/>
        <v>0.71202870147985209</v>
      </c>
      <c r="C47">
        <f t="shared" si="1"/>
        <v>0.69487149207346921</v>
      </c>
      <c r="E47" s="2">
        <f t="shared" si="3"/>
        <v>0.72998301895016204</v>
      </c>
      <c r="F47" s="2">
        <f t="shared" si="4"/>
        <v>0.73574883880050046</v>
      </c>
    </row>
    <row r="48" spans="1:8" x14ac:dyDescent="0.25">
      <c r="A48">
        <v>0.215</v>
      </c>
      <c r="B48">
        <f t="shared" si="0"/>
        <v>0.71301983139967118</v>
      </c>
      <c r="C48">
        <f t="shared" si="1"/>
        <v>0.69615996096923405</v>
      </c>
      <c r="E48" s="2">
        <f t="shared" si="3"/>
        <v>0.73050550381626211</v>
      </c>
      <c r="F48" s="2">
        <f t="shared" si="4"/>
        <v>0.73627132366660053</v>
      </c>
    </row>
    <row r="49" spans="1:6" x14ac:dyDescent="0.25">
      <c r="A49">
        <v>0.22</v>
      </c>
      <c r="B49">
        <f t="shared" si="0"/>
        <v>0.7139850907657761</v>
      </c>
      <c r="C49">
        <f t="shared" si="1"/>
        <v>0.69741479814517049</v>
      </c>
      <c r="E49" s="2">
        <f t="shared" si="3"/>
        <v>0.73101435073992604</v>
      </c>
      <c r="F49" s="2">
        <f t="shared" si="4"/>
        <v>0.73678017059026446</v>
      </c>
    </row>
    <row r="50" spans="1:6" x14ac:dyDescent="0.25">
      <c r="A50">
        <v>0.22500000000000001</v>
      </c>
      <c r="B50">
        <f t="shared" si="0"/>
        <v>0.71492515485346242</v>
      </c>
      <c r="C50">
        <f t="shared" si="1"/>
        <v>0.6986368814591627</v>
      </c>
      <c r="E50" s="2">
        <f t="shared" si="3"/>
        <v>0.73150991569983559</v>
      </c>
      <c r="F50" s="2">
        <f t="shared" si="4"/>
        <v>0.73727573555017401</v>
      </c>
    </row>
    <row r="51" spans="1:6" x14ac:dyDescent="0.25">
      <c r="A51">
        <v>0.23</v>
      </c>
      <c r="B51">
        <f t="shared" si="0"/>
        <v>0.7158406813119349</v>
      </c>
      <c r="C51">
        <f t="shared" si="1"/>
        <v>0.69982706585517696</v>
      </c>
      <c r="E51" s="2">
        <f t="shared" si="3"/>
        <v>0.73199254538288805</v>
      </c>
      <c r="F51" s="2">
        <f t="shared" si="4"/>
        <v>0.73775836523322647</v>
      </c>
    </row>
    <row r="52" spans="1:6" x14ac:dyDescent="0.25">
      <c r="A52">
        <v>0.23499999999999999</v>
      </c>
      <c r="B52">
        <f t="shared" si="0"/>
        <v>0.71673231062438558</v>
      </c>
      <c r="C52">
        <f t="shared" si="1"/>
        <v>0.70098618396136281</v>
      </c>
      <c r="E52" s="2">
        <f t="shared" si="3"/>
        <v>0.73246257742673115</v>
      </c>
      <c r="F52" s="2">
        <f t="shared" si="4"/>
        <v>0.73822839727706957</v>
      </c>
    </row>
    <row r="53" spans="1:6" x14ac:dyDescent="0.25">
      <c r="A53">
        <v>0.24</v>
      </c>
      <c r="B53">
        <f t="shared" si="0"/>
        <v>0.71760066655606181</v>
      </c>
      <c r="C53">
        <f t="shared" si="1"/>
        <v>0.70211504667254188</v>
      </c>
      <c r="E53" s="2">
        <f t="shared" si="3"/>
        <v>0.73292034065596745</v>
      </c>
      <c r="F53" s="2">
        <f t="shared" si="4"/>
        <v>0.73868616050630587</v>
      </c>
    </row>
    <row r="54" spans="1:6" x14ac:dyDescent="0.25">
      <c r="A54">
        <v>0.245</v>
      </c>
      <c r="B54">
        <f t="shared" si="0"/>
        <v>0.71844635659063993</v>
      </c>
      <c r="C54">
        <f t="shared" si="1"/>
        <v>0.70321444371749353</v>
      </c>
      <c r="E54" s="2">
        <f t="shared" si="3"/>
        <v>0.73336615531219274</v>
      </c>
      <c r="F54" s="2">
        <f t="shared" si="4"/>
        <v>0.73913197516253115</v>
      </c>
    </row>
    <row r="55" spans="1:6" x14ac:dyDescent="0.25">
      <c r="A55">
        <v>0.25</v>
      </c>
      <c r="B55">
        <f t="shared" si="0"/>
        <v>0.71926997235520818</v>
      </c>
      <c r="C55">
        <f t="shared" si="1"/>
        <v>0.70428514421143218</v>
      </c>
      <c r="E55" s="2">
        <f t="shared" si="3"/>
        <v>0.73380033327803085</v>
      </c>
      <c r="F55" s="2">
        <f t="shared" si="4"/>
        <v>0.73956615312836926</v>
      </c>
    </row>
    <row r="56" spans="1:6" x14ac:dyDescent="0.25">
      <c r="A56">
        <v>0.255</v>
      </c>
      <c r="B56">
        <f t="shared" si="0"/>
        <v>0.72007209003415606</v>
      </c>
      <c r="C56">
        <f t="shared" si="1"/>
        <v>0.70532789719406452</v>
      </c>
      <c r="E56" s="2">
        <f t="shared" si="3"/>
        <v>0.73422317829532002</v>
      </c>
      <c r="F56" s="2">
        <f t="shared" si="4"/>
        <v>0.73998899814565844</v>
      </c>
    </row>
    <row r="57" spans="1:6" x14ac:dyDescent="0.25">
      <c r="A57">
        <v>0.26</v>
      </c>
      <c r="B57">
        <f t="shared" si="0"/>
        <v>0.7208532707722618</v>
      </c>
      <c r="C57">
        <f t="shared" si="1"/>
        <v>0.70634343215360185</v>
      </c>
      <c r="E57" s="2">
        <f t="shared" si="3"/>
        <v>0.73463498617760403</v>
      </c>
      <c r="F57" s="2">
        <f t="shared" si="4"/>
        <v>0.74040080602794245</v>
      </c>
    </row>
    <row r="58" spans="1:6" x14ac:dyDescent="0.25">
      <c r="A58">
        <v>0.26500000000000001</v>
      </c>
      <c r="B58">
        <f t="shared" si="0"/>
        <v>0.72161406106725645</v>
      </c>
      <c r="C58">
        <f t="shared" si="1"/>
        <v>0.707332459537095</v>
      </c>
      <c r="E58" s="2">
        <f t="shared" si="3"/>
        <v>0.73503604501707809</v>
      </c>
      <c r="F58" s="2">
        <f t="shared" si="4"/>
        <v>0.7408018648674165</v>
      </c>
    </row>
    <row r="59" spans="1:6" x14ac:dyDescent="0.25">
      <c r="A59">
        <v>0.27</v>
      </c>
      <c r="B59">
        <f t="shared" si="0"/>
        <v>0.72235499315214347</v>
      </c>
      <c r="C59">
        <f t="shared" si="1"/>
        <v>0.70829567124744808</v>
      </c>
      <c r="E59" s="2">
        <f t="shared" si="3"/>
        <v>0.73542663538613084</v>
      </c>
      <c r="F59" s="2">
        <f t="shared" si="4"/>
        <v>0.74119245523646926</v>
      </c>
    </row>
    <row r="60" spans="1:6" x14ac:dyDescent="0.25">
      <c r="A60">
        <v>0.27500000000000002</v>
      </c>
      <c r="B60">
        <f t="shared" si="0"/>
        <v>0.72307658536753683</v>
      </c>
      <c r="C60">
        <f t="shared" si="1"/>
        <v>0.70923374112745941</v>
      </c>
      <c r="E60" s="2">
        <f t="shared" si="3"/>
        <v>0.73580703053362828</v>
      </c>
      <c r="F60" s="2">
        <f t="shared" si="4"/>
        <v>0.7415728503839667</v>
      </c>
    </row>
    <row r="61" spans="1:6" x14ac:dyDescent="0.25">
      <c r="A61">
        <v>0.28000000000000003</v>
      </c>
      <c r="B61">
        <f t="shared" si="0"/>
        <v>0.72377934252428167</v>
      </c>
      <c r="C61">
        <f t="shared" si="1"/>
        <v>0.71014732543122772</v>
      </c>
      <c r="E61" s="2">
        <f t="shared" si="3"/>
        <v>0.73617749657607179</v>
      </c>
      <c r="F61" s="2">
        <f t="shared" si="4"/>
        <v>0.7419433164264102</v>
      </c>
    </row>
    <row r="62" spans="1:6" x14ac:dyDescent="0.25">
      <c r="A62">
        <v>0.28499999999999998</v>
      </c>
      <c r="B62">
        <f t="shared" si="0"/>
        <v>0.72446375625660953</v>
      </c>
      <c r="C62">
        <f t="shared" si="1"/>
        <v>0.711037063283254</v>
      </c>
      <c r="E62" s="2">
        <f t="shared" si="3"/>
        <v>0.73653829268376836</v>
      </c>
      <c r="F62" s="2">
        <f t="shared" si="4"/>
        <v>0.74230411253410677</v>
      </c>
    </row>
    <row r="63" spans="1:6" x14ac:dyDescent="0.25">
      <c r="A63">
        <v>0.28999999999999998</v>
      </c>
      <c r="B63">
        <f t="shared" si="0"/>
        <v>0.72513030536607548</v>
      </c>
      <c r="C63">
        <f t="shared" si="1"/>
        <v>0.71190357712555963</v>
      </c>
      <c r="E63" s="2">
        <f t="shared" si="3"/>
        <v>0.73688967126214078</v>
      </c>
      <c r="F63" s="2">
        <f t="shared" si="4"/>
        <v>0.74265549111247919</v>
      </c>
    </row>
    <row r="64" spans="1:6" x14ac:dyDescent="0.25">
      <c r="A64">
        <v>0.29499999999999998</v>
      </c>
      <c r="B64">
        <f t="shared" si="0"/>
        <v>0.72577945615651696</v>
      </c>
      <c r="C64">
        <f t="shared" si="1"/>
        <v>0.71274747315313369</v>
      </c>
      <c r="E64" s="2">
        <f t="shared" si="3"/>
        <v>0.73723187812830482</v>
      </c>
      <c r="F64" s="2">
        <f t="shared" si="4"/>
        <v>0.74299769797864323</v>
      </c>
    </row>
    <row r="65" spans="1:6" x14ac:dyDescent="0.25">
      <c r="A65">
        <v>0.3</v>
      </c>
      <c r="B65">
        <f t="shared" si="0"/>
        <v>0.72641166276027136</v>
      </c>
      <c r="C65">
        <f t="shared" si="1"/>
        <v>0.71356934173801434</v>
      </c>
      <c r="E65" s="2">
        <f t="shared" si="3"/>
        <v>0.73756515268303768</v>
      </c>
      <c r="F65" s="2">
        <f t="shared" si="4"/>
        <v>0.7433309725333761</v>
      </c>
    </row>
    <row r="66" spans="1:6" x14ac:dyDescent="0.25">
      <c r="A66">
        <v>0.30499999999999999</v>
      </c>
      <c r="B66">
        <f t="shared" si="0"/>
        <v>0.72702736745587648</v>
      </c>
      <c r="C66">
        <f t="shared" si="1"/>
        <v>0.71436975784230095</v>
      </c>
      <c r="E66" s="2">
        <f t="shared" si="3"/>
        <v>0.73788972807825848</v>
      </c>
      <c r="F66" s="2">
        <f t="shared" si="4"/>
        <v>0.74365554792859689</v>
      </c>
    </row>
    <row r="67" spans="1:6" x14ac:dyDescent="0.25">
      <c r="A67">
        <v>0.31</v>
      </c>
      <c r="B67">
        <f t="shared" si="0"/>
        <v>0.7276270009774799</v>
      </c>
      <c r="C67">
        <f t="shared" si="1"/>
        <v>0.71514928142038536</v>
      </c>
      <c r="E67" s="2">
        <f t="shared" si="3"/>
        <v>0.73820583138013574</v>
      </c>
      <c r="F67" s="2">
        <f t="shared" si="4"/>
        <v>0.74397165123047415</v>
      </c>
    </row>
    <row r="68" spans="1:6" x14ac:dyDescent="0.25">
      <c r="A68">
        <v>0.315</v>
      </c>
      <c r="B68">
        <f t="shared" si="0"/>
        <v>0.72821098281617147</v>
      </c>
      <c r="C68">
        <f t="shared" si="1"/>
        <v>0.71590845781068446</v>
      </c>
      <c r="E68" s="2">
        <f t="shared" si="3"/>
        <v>0.73851368372793824</v>
      </c>
      <c r="F68" s="2">
        <f t="shared" si="4"/>
        <v>0.74427950357827666</v>
      </c>
    </row>
    <row r="69" spans="1:6" x14ac:dyDescent="0.25">
      <c r="A69">
        <v>0.32</v>
      </c>
      <c r="B69">
        <f t="shared" ref="B69:B132" si="5">$I$3-$L$6*EXP(-$L$8*A69)</f>
        <v>0.7287797215134505</v>
      </c>
      <c r="C69">
        <f t="shared" ref="C69:C132" si="6">MIN($I$3-(1+$I$13)*$L$6*EXP(-$L$8*A69)-$L$11,$I$3-$L$11)</f>
        <v>0.71664781811714728</v>
      </c>
      <c r="E69" s="2">
        <f t="shared" si="3"/>
        <v>0.73881350048873995</v>
      </c>
      <c r="F69" s="2">
        <f t="shared" si="4"/>
        <v>0.74457932033907837</v>
      </c>
    </row>
    <row r="70" spans="1:6" x14ac:dyDescent="0.25">
      <c r="A70">
        <v>0.32500000000000001</v>
      </c>
      <c r="B70">
        <f t="shared" si="5"/>
        <v>0.72933361494703308</v>
      </c>
      <c r="C70">
        <f t="shared" si="6"/>
        <v>0.71736787958080461</v>
      </c>
      <c r="E70" s="2">
        <f t="shared" si="3"/>
        <v>0.73910549140808568</v>
      </c>
      <c r="F70" s="2">
        <f t="shared" ref="F70:F133" si="7">E70+$L$11</f>
        <v>0.7448713112584241</v>
      </c>
    </row>
    <row r="71" spans="1:6" x14ac:dyDescent="0.25">
      <c r="A71">
        <v>0.33</v>
      </c>
      <c r="B71">
        <f t="shared" si="5"/>
        <v>0.72987305060919849</v>
      </c>
      <c r="C71">
        <f t="shared" si="6"/>
        <v>0.71806914594161964</v>
      </c>
      <c r="E71" s="2">
        <f t="shared" ref="E71:E134" si="8">$I$3-$I$14*$L$6*EXP(-$L$8*A69)</f>
        <v>0.7393898607567253</v>
      </c>
      <c r="F71" s="2">
        <f t="shared" si="7"/>
        <v>0.74515568060706372</v>
      </c>
    </row>
    <row r="72" spans="1:6" x14ac:dyDescent="0.25">
      <c r="A72">
        <v>0.33500000000000002</v>
      </c>
      <c r="B72">
        <f t="shared" si="5"/>
        <v>0.7303984058778713</v>
      </c>
      <c r="C72">
        <f t="shared" si="6"/>
        <v>0.71875210779089427</v>
      </c>
      <c r="E72" s="2">
        <f t="shared" si="8"/>
        <v>0.73966680747351654</v>
      </c>
      <c r="F72" s="2">
        <f t="shared" si="7"/>
        <v>0.74543262732385496</v>
      </c>
    </row>
    <row r="73" spans="1:6" x14ac:dyDescent="0.25">
      <c r="A73">
        <v>0.34</v>
      </c>
      <c r="B73">
        <f t="shared" si="5"/>
        <v>0.73091004828062678</v>
      </c>
      <c r="C73">
        <f t="shared" si="6"/>
        <v>0.7194172429144764</v>
      </c>
      <c r="E73" s="2">
        <f t="shared" si="8"/>
        <v>0.7399365253045993</v>
      </c>
      <c r="F73" s="2">
        <f t="shared" si="7"/>
        <v>0.74570234515493772</v>
      </c>
    </row>
    <row r="74" spans="1:6" x14ac:dyDescent="0.25">
      <c r="A74">
        <v>0.34499999999999997</v>
      </c>
      <c r="B74">
        <f t="shared" si="5"/>
        <v>0.73140833575180531</v>
      </c>
      <c r="C74">
        <f t="shared" si="6"/>
        <v>0.7200650166270085</v>
      </c>
      <c r="E74" s="2">
        <f t="shared" si="8"/>
        <v>0.74019920293893571</v>
      </c>
      <c r="F74" s="2">
        <f t="shared" si="7"/>
        <v>0.74596502278927412</v>
      </c>
    </row>
    <row r="75" spans="1:6" x14ac:dyDescent="0.25">
      <c r="A75">
        <v>0.35</v>
      </c>
      <c r="B75">
        <f t="shared" si="5"/>
        <v>0.73189361688291654</v>
      </c>
      <c r="C75">
        <f t="shared" si="6"/>
        <v>0.72069588209745306</v>
      </c>
      <c r="E75" s="2">
        <f t="shared" si="8"/>
        <v>0.74045502414031339</v>
      </c>
      <c r="F75" s="2">
        <f t="shared" si="7"/>
        <v>0.74622084399065181</v>
      </c>
    </row>
    <row r="76" spans="1:6" x14ac:dyDescent="0.25">
      <c r="A76">
        <v>0.35499999999999998</v>
      </c>
      <c r="B76">
        <f t="shared" si="5"/>
        <v>0.73236623116650557</v>
      </c>
      <c r="C76">
        <f t="shared" si="6"/>
        <v>0.72131028066611891</v>
      </c>
      <c r="E76" s="2">
        <f t="shared" si="8"/>
        <v>0.74070416787590265</v>
      </c>
      <c r="F76" s="2">
        <f t="shared" si="7"/>
        <v>0.74646998772624107</v>
      </c>
    </row>
    <row r="77" spans="1:6" x14ac:dyDescent="0.25">
      <c r="A77">
        <v>0.36</v>
      </c>
      <c r="B77">
        <f t="shared" si="5"/>
        <v>0.73282650923365611</v>
      </c>
      <c r="C77">
        <f t="shared" si="6"/>
        <v>0.72190864215341455</v>
      </c>
      <c r="E77" s="2">
        <f t="shared" si="8"/>
        <v>0.74094680844145822</v>
      </c>
      <c r="F77" s="2">
        <f t="shared" si="7"/>
        <v>0.74671262829179663</v>
      </c>
    </row>
    <row r="78" spans="1:6" x14ac:dyDescent="0.25">
      <c r="A78">
        <v>0.36499999999999999</v>
      </c>
      <c r="B78">
        <f t="shared" si="5"/>
        <v>0.7332747730852921</v>
      </c>
      <c r="C78">
        <f t="shared" si="6"/>
        <v>0.72249138516054134</v>
      </c>
      <c r="E78" s="2">
        <f t="shared" si="8"/>
        <v>0.74118311558325278</v>
      </c>
      <c r="F78" s="2">
        <f t="shared" si="7"/>
        <v>0.7469489354335912</v>
      </c>
    </row>
    <row r="79" spans="1:6" x14ac:dyDescent="0.25">
      <c r="A79">
        <v>0.37</v>
      </c>
      <c r="B79">
        <f t="shared" si="5"/>
        <v>0.73371133631744323</v>
      </c>
      <c r="C79">
        <f t="shared" si="6"/>
        <v>0.72305891736233774</v>
      </c>
      <c r="E79" s="2">
        <f t="shared" si="8"/>
        <v>0.74141325461682805</v>
      </c>
      <c r="F79" s="2">
        <f t="shared" si="7"/>
        <v>0.74717907446716647</v>
      </c>
    </row>
    <row r="80" spans="1:6" x14ac:dyDescent="0.25">
      <c r="A80">
        <v>0.375</v>
      </c>
      <c r="B80">
        <f t="shared" si="5"/>
        <v>0.73413650434063016</v>
      </c>
      <c r="C80">
        <f t="shared" si="6"/>
        <v>0.72361163579248078</v>
      </c>
      <c r="E80" s="2">
        <f t="shared" si="8"/>
        <v>0.7416373865426461</v>
      </c>
      <c r="F80" s="2">
        <f t="shared" si="7"/>
        <v>0.74740320639298452</v>
      </c>
    </row>
    <row r="81" spans="1:6" x14ac:dyDescent="0.25">
      <c r="A81">
        <v>0.38</v>
      </c>
      <c r="B81">
        <f t="shared" si="5"/>
        <v>0.73455057459352335</v>
      </c>
      <c r="C81">
        <f t="shared" si="6"/>
        <v>0.72414992712124193</v>
      </c>
      <c r="E81" s="2">
        <f t="shared" si="8"/>
        <v>0.74185566815872162</v>
      </c>
      <c r="F81" s="2">
        <f t="shared" si="7"/>
        <v>0.74762148800906003</v>
      </c>
    </row>
    <row r="82" spans="1:6" x14ac:dyDescent="0.25">
      <c r="A82">
        <v>0.38500000000000001</v>
      </c>
      <c r="B82">
        <f t="shared" si="5"/>
        <v>0.73495383675102499</v>
      </c>
      <c r="C82">
        <f t="shared" si="6"/>
        <v>0.72467416792599404</v>
      </c>
      <c r="E82" s="2">
        <f t="shared" si="8"/>
        <v>0.74206825217031502</v>
      </c>
      <c r="F82" s="2">
        <f t="shared" si="7"/>
        <v>0.74783407202065344</v>
      </c>
    </row>
    <row r="83" spans="1:6" x14ac:dyDescent="0.25">
      <c r="A83">
        <v>0.39</v>
      </c>
      <c r="B83">
        <f t="shared" si="5"/>
        <v>0.73534657292691918</v>
      </c>
      <c r="C83">
        <f t="shared" si="6"/>
        <v>0.72518472495465658</v>
      </c>
      <c r="E83" s="2">
        <f t="shared" si="8"/>
        <v>0.74227528729676173</v>
      </c>
      <c r="F83" s="2">
        <f t="shared" si="7"/>
        <v>0.74804110714710015</v>
      </c>
    </row>
    <row r="84" spans="1:6" x14ac:dyDescent="0.25">
      <c r="A84">
        <v>0.39500000000000002</v>
      </c>
      <c r="B84">
        <f t="shared" si="5"/>
        <v>0.73572905787123344</v>
      </c>
      <c r="C84">
        <f t="shared" si="6"/>
        <v>0.72568195538226499</v>
      </c>
      <c r="E84" s="2">
        <f t="shared" si="8"/>
        <v>0.74247691837551244</v>
      </c>
      <c r="F84" s="2">
        <f t="shared" si="7"/>
        <v>0.74824273822585086</v>
      </c>
    </row>
    <row r="85" spans="1:6" x14ac:dyDescent="0.25">
      <c r="A85">
        <v>0.4</v>
      </c>
      <c r="B85">
        <f t="shared" si="5"/>
        <v>0.73610155916244746</v>
      </c>
      <c r="C85">
        <f t="shared" si="6"/>
        <v>0.72616620706084323</v>
      </c>
      <c r="E85" s="2">
        <f t="shared" si="8"/>
        <v>0.74267328646345965</v>
      </c>
      <c r="F85" s="2">
        <f t="shared" si="7"/>
        <v>0.74843910631379806</v>
      </c>
    </row>
    <row r="86" spans="1:6" x14ac:dyDescent="0.25">
      <c r="A86">
        <v>0.40500000000000003</v>
      </c>
      <c r="B86">
        <f t="shared" si="5"/>
        <v>0.73646433739468575</v>
      </c>
      <c r="C86">
        <f t="shared" si="6"/>
        <v>0.72663781876275313</v>
      </c>
      <c r="E86" s="2">
        <f t="shared" si="8"/>
        <v>0.74286452893561672</v>
      </c>
      <c r="F86" s="2">
        <f t="shared" si="7"/>
        <v>0.74863034878595514</v>
      </c>
    </row>
    <row r="87" spans="1:6" x14ac:dyDescent="0.25">
      <c r="A87">
        <v>0.41</v>
      </c>
      <c r="B87">
        <f t="shared" si="5"/>
        <v>0.736817646360024</v>
      </c>
      <c r="C87">
        <f t="shared" si="6"/>
        <v>0.72709712041769281</v>
      </c>
      <c r="E87" s="2">
        <f t="shared" si="8"/>
        <v>0.74305077958122367</v>
      </c>
      <c r="F87" s="2">
        <f t="shared" si="7"/>
        <v>0.74881659943156209</v>
      </c>
    </row>
    <row r="88" spans="1:6" x14ac:dyDescent="0.25">
      <c r="A88">
        <v>0.41499999999999998</v>
      </c>
      <c r="B88">
        <f t="shared" si="5"/>
        <v>0.7371617332260364</v>
      </c>
      <c r="C88">
        <f t="shared" si="6"/>
        <v>0.72754443334350882</v>
      </c>
      <c r="E88" s="2">
        <f t="shared" si="8"/>
        <v>0.74323216869734288</v>
      </c>
      <c r="F88" s="2">
        <f t="shared" si="7"/>
        <v>0.74899798854768129</v>
      </c>
    </row>
    <row r="89" spans="1:6" x14ac:dyDescent="0.25">
      <c r="A89">
        <v>0.42</v>
      </c>
      <c r="B89">
        <f t="shared" si="5"/>
        <v>0.73749683870870886</v>
      </c>
      <c r="C89">
        <f t="shared" si="6"/>
        <v>0.72798007047098301</v>
      </c>
      <c r="E89" s="2">
        <f t="shared" si="8"/>
        <v>0.743408823180012</v>
      </c>
      <c r="F89" s="2">
        <f t="shared" si="7"/>
        <v>0.74917464303035042</v>
      </c>
    </row>
    <row r="90" spans="1:6" x14ac:dyDescent="0.25">
      <c r="A90">
        <v>0.42499999999999999</v>
      </c>
      <c r="B90">
        <f t="shared" si="5"/>
        <v>0.73782319724083922</v>
      </c>
      <c r="C90">
        <f t="shared" si="6"/>
        <v>0.72840433656275261</v>
      </c>
      <c r="E90" s="2">
        <f t="shared" si="8"/>
        <v>0.74358086661301814</v>
      </c>
      <c r="F90" s="2">
        <f t="shared" si="7"/>
        <v>0.74934668646335656</v>
      </c>
    </row>
    <row r="91" spans="1:6" x14ac:dyDescent="0.25">
      <c r="A91">
        <v>0.43</v>
      </c>
      <c r="B91">
        <f t="shared" si="5"/>
        <v>0.73814103713604162</v>
      </c>
      <c r="C91">
        <f t="shared" si="6"/>
        <v>0.72881752842651559</v>
      </c>
      <c r="E91" s="2">
        <f t="shared" si="8"/>
        <v>0.74374841935435443</v>
      </c>
      <c r="F91" s="2">
        <f t="shared" si="7"/>
        <v>0.74951423920469284</v>
      </c>
    </row>
    <row r="92" spans="1:6" x14ac:dyDescent="0.25">
      <c r="A92">
        <v>0.435</v>
      </c>
      <c r="B92">
        <f t="shared" si="5"/>
        <v>0.73845058074846914</v>
      </c>
      <c r="C92">
        <f t="shared" si="6"/>
        <v>0.72921993512267147</v>
      </c>
      <c r="E92" s="2">
        <f t="shared" si="8"/>
        <v>0.74391159862041967</v>
      </c>
      <c r="F92" s="2">
        <f t="shared" si="7"/>
        <v>0.74967741847075808</v>
      </c>
    </row>
    <row r="93" spans="1:6" x14ac:dyDescent="0.25">
      <c r="A93">
        <v>0.44</v>
      </c>
      <c r="B93">
        <f t="shared" si="5"/>
        <v>0.73875204462836919</v>
      </c>
      <c r="C93">
        <f t="shared" si="6"/>
        <v>0.72961183816654152</v>
      </c>
      <c r="E93" s="2">
        <f t="shared" si="8"/>
        <v>0.74407051856802076</v>
      </c>
      <c r="F93" s="2">
        <f t="shared" si="7"/>
        <v>0.74983633841835917</v>
      </c>
    </row>
    <row r="94" spans="1:6" x14ac:dyDescent="0.25">
      <c r="A94">
        <v>0.44500000000000001</v>
      </c>
      <c r="B94">
        <f t="shared" si="5"/>
        <v>0.73904563967357673</v>
      </c>
      <c r="C94">
        <f t="shared" si="6"/>
        <v>0.72999351172531135</v>
      </c>
      <c r="E94" s="2">
        <f t="shared" si="8"/>
        <v>0.74422529037423457</v>
      </c>
      <c r="F94" s="2">
        <f t="shared" si="7"/>
        <v>0.74999111022457299</v>
      </c>
    </row>
    <row r="95" spans="1:6" x14ac:dyDescent="0.25">
      <c r="A95">
        <v>0.45</v>
      </c>
      <c r="B95">
        <f t="shared" si="5"/>
        <v>0.73933157127705451</v>
      </c>
      <c r="C95">
        <f t="shared" si="6"/>
        <v>0.7303652228098324</v>
      </c>
      <c r="E95" s="2">
        <f t="shared" si="8"/>
        <v>0.74437602231418465</v>
      </c>
      <c r="F95" s="2">
        <f t="shared" si="7"/>
        <v>0.75014184216452306</v>
      </c>
    </row>
    <row r="96" spans="1:6" x14ac:dyDescent="0.25">
      <c r="A96">
        <v>0.45500000000000002</v>
      </c>
      <c r="B96">
        <f t="shared" si="5"/>
        <v>0.73961003947058124</v>
      </c>
      <c r="C96">
        <f t="shared" si="6"/>
        <v>0.73072723146141716</v>
      </c>
      <c r="E96" s="2">
        <f t="shared" si="8"/>
        <v>0.74452281983678836</v>
      </c>
      <c r="F96" s="2">
        <f t="shared" si="7"/>
        <v>0.75028863968712678</v>
      </c>
    </row>
    <row r="97" spans="1:6" x14ac:dyDescent="0.25">
      <c r="A97">
        <v>0.46</v>
      </c>
      <c r="B97">
        <f t="shared" si="5"/>
        <v>0.73988123906468994</v>
      </c>
      <c r="C97">
        <f t="shared" si="6"/>
        <v>0.73107979093375852</v>
      </c>
      <c r="E97" s="2">
        <f t="shared" si="8"/>
        <v>0.74466578563852726</v>
      </c>
      <c r="F97" s="2">
        <f t="shared" si="7"/>
        <v>0.75043160548886567</v>
      </c>
    </row>
    <row r="98" spans="1:6" x14ac:dyDescent="0.25">
      <c r="A98">
        <v>0.46500000000000002</v>
      </c>
      <c r="B98">
        <f t="shared" si="5"/>
        <v>0.74014535978495344</v>
      </c>
      <c r="C98">
        <f t="shared" si="6"/>
        <v>0.7314231478701011</v>
      </c>
      <c r="E98" s="2">
        <f t="shared" si="8"/>
        <v>0.74480501973529056</v>
      </c>
      <c r="F98" s="2">
        <f t="shared" si="7"/>
        <v>0.75057083958562898</v>
      </c>
    </row>
    <row r="99" spans="1:6" x14ac:dyDescent="0.25">
      <c r="A99">
        <v>0.47</v>
      </c>
      <c r="B99">
        <f t="shared" si="5"/>
        <v>0.74040258640471213</v>
      </c>
      <c r="C99">
        <f t="shared" si="6"/>
        <v>0.73175754247578739</v>
      </c>
      <c r="E99" s="2">
        <f t="shared" si="8"/>
        <v>0.74494061953234503</v>
      </c>
      <c r="F99" s="2">
        <f t="shared" si="7"/>
        <v>0.75070643938268344</v>
      </c>
    </row>
    <row r="100" spans="1:6" x14ac:dyDescent="0.25">
      <c r="A100">
        <v>0.47499999999999998</v>
      </c>
      <c r="B100">
        <f t="shared" si="5"/>
        <v>0.74065309887433761</v>
      </c>
      <c r="C100">
        <f t="shared" si="6"/>
        <v>0.7320832086863005</v>
      </c>
      <c r="E100" s="2">
        <f t="shared" si="8"/>
        <v>0.74507267989247672</v>
      </c>
      <c r="F100" s="2">
        <f t="shared" si="7"/>
        <v>0.75083849974281514</v>
      </c>
    </row>
    <row r="101" spans="1:6" x14ac:dyDescent="0.25">
      <c r="A101">
        <v>0.48</v>
      </c>
      <c r="B101">
        <f t="shared" si="5"/>
        <v>0.74089707244712233</v>
      </c>
      <c r="C101">
        <f t="shared" si="6"/>
        <v>0.73240037433092053</v>
      </c>
      <c r="E101" s="2">
        <f t="shared" si="8"/>
        <v>0.74520129320235606</v>
      </c>
      <c r="F101" s="2">
        <f t="shared" si="7"/>
        <v>0.75096711305269448</v>
      </c>
    </row>
    <row r="102" spans="1:6" x14ac:dyDescent="0.25">
      <c r="A102">
        <v>0.48499999999999999</v>
      </c>
      <c r="B102">
        <f t="shared" si="5"/>
        <v>0.74113467780188291</v>
      </c>
      <c r="C102">
        <f t="shared" si="6"/>
        <v>0.73270926129210945</v>
      </c>
      <c r="E102" s="2">
        <f t="shared" si="8"/>
        <v>0.74532654943716881</v>
      </c>
      <c r="F102" s="2">
        <f t="shared" si="7"/>
        <v>0.75109236928750722</v>
      </c>
    </row>
    <row r="103" spans="1:6" x14ac:dyDescent="0.25">
      <c r="A103">
        <v>0.49</v>
      </c>
      <c r="B103">
        <f t="shared" si="5"/>
        <v>0.74136608116236402</v>
      </c>
      <c r="C103">
        <f t="shared" si="6"/>
        <v>0.73301008566073478</v>
      </c>
      <c r="E103" s="2">
        <f t="shared" si="8"/>
        <v>0.74544853622356111</v>
      </c>
      <c r="F103" s="2">
        <f t="shared" si="7"/>
        <v>0.75121435607389953</v>
      </c>
    </row>
    <row r="104" spans="1:6" x14ac:dyDescent="0.25">
      <c r="A104">
        <v>0.495</v>
      </c>
      <c r="B104">
        <f t="shared" si="5"/>
        <v>0.74159144441352409</v>
      </c>
      <c r="C104">
        <f t="shared" si="6"/>
        <v>0.73330305788724282</v>
      </c>
      <c r="E104" s="2">
        <f t="shared" si="8"/>
        <v>0.74556733890094151</v>
      </c>
      <c r="F104" s="2">
        <f t="shared" si="7"/>
        <v>0.75133315875127993</v>
      </c>
    </row>
    <row r="105" spans="1:6" x14ac:dyDescent="0.25">
      <c r="A105">
        <v>0.5</v>
      </c>
      <c r="B105">
        <f t="shared" si="5"/>
        <v>0.74181092521478753</v>
      </c>
      <c r="C105">
        <f t="shared" si="6"/>
        <v>0.7335883829288854</v>
      </c>
      <c r="E105" s="2">
        <f t="shared" si="8"/>
        <v>0.74568304058118196</v>
      </c>
      <c r="F105" s="2">
        <f t="shared" si="7"/>
        <v>0.75144886043152037</v>
      </c>
    </row>
    <row r="106" spans="1:6" x14ac:dyDescent="0.25">
      <c r="A106">
        <v>0.505</v>
      </c>
      <c r="B106">
        <f t="shared" si="5"/>
        <v>0.74202467711033981</v>
      </c>
      <c r="C106">
        <f t="shared" si="6"/>
        <v>0.73386626039310332</v>
      </c>
      <c r="E106" s="2">
        <f t="shared" si="8"/>
        <v>0.74579572220676205</v>
      </c>
      <c r="F106" s="2">
        <f t="shared" si="7"/>
        <v>0.75156154205710046</v>
      </c>
    </row>
    <row r="107" spans="1:6" x14ac:dyDescent="0.25">
      <c r="A107">
        <v>0.51</v>
      </c>
      <c r="B107">
        <f t="shared" si="5"/>
        <v>0.74223284963654312</v>
      </c>
      <c r="C107">
        <f t="shared" si="6"/>
        <v>0.73413688467716764</v>
      </c>
      <c r="E107" s="2">
        <f t="shared" si="8"/>
        <v>0.74590546260739377</v>
      </c>
      <c r="F107" s="2">
        <f t="shared" si="7"/>
        <v>0.75167128245773218</v>
      </c>
    </row>
    <row r="108" spans="1:6" x14ac:dyDescent="0.25">
      <c r="A108">
        <v>0.51500000000000001</v>
      </c>
      <c r="B108">
        <f t="shared" si="5"/>
        <v>0.74243558842654978</v>
      </c>
      <c r="C108">
        <f t="shared" si="6"/>
        <v>0.73440044510417624</v>
      </c>
      <c r="E108" s="2">
        <f t="shared" si="8"/>
        <v>0.74601233855516991</v>
      </c>
      <c r="F108" s="2">
        <f t="shared" si="7"/>
        <v>0.75177815840550832</v>
      </c>
    </row>
    <row r="109" spans="1:6" x14ac:dyDescent="0.25">
      <c r="A109">
        <v>0.52</v>
      </c>
      <c r="B109">
        <f t="shared" si="5"/>
        <v>0.7426330353121835</v>
      </c>
      <c r="C109">
        <f t="shared" si="6"/>
        <v>0.73465712605550015</v>
      </c>
      <c r="E109" s="2">
        <f t="shared" si="8"/>
        <v>0.74611642481827156</v>
      </c>
      <c r="F109" s="2">
        <f t="shared" si="7"/>
        <v>0.75188224466860998</v>
      </c>
    </row>
    <row r="110" spans="1:6" x14ac:dyDescent="0.25">
      <c r="A110">
        <v>0.52500000000000002</v>
      </c>
      <c r="B110">
        <f t="shared" si="5"/>
        <v>0.74282532842316229</v>
      </c>
      <c r="C110">
        <f t="shared" si="6"/>
        <v>0.73490710709977258</v>
      </c>
      <c r="E110" s="2">
        <f t="shared" si="8"/>
        <v>0.74621779421327483</v>
      </c>
      <c r="F110" s="2">
        <f t="shared" si="7"/>
        <v>0.75198361406361325</v>
      </c>
    </row>
    <row r="111" spans="1:6" x14ac:dyDescent="0.25">
      <c r="A111">
        <v>0.53</v>
      </c>
      <c r="B111">
        <f t="shared" si="5"/>
        <v>0.74301260228373112</v>
      </c>
      <c r="C111">
        <f t="shared" si="6"/>
        <v>0.73515056311851212</v>
      </c>
      <c r="E111" s="2">
        <f t="shared" si="8"/>
        <v>0.74631651765609175</v>
      </c>
      <c r="F111" s="2">
        <f t="shared" si="7"/>
        <v>0.75208233750643017</v>
      </c>
    </row>
    <row r="112" spans="1:6" x14ac:dyDescent="0.25">
      <c r="A112">
        <v>0.53500000000000003</v>
      </c>
      <c r="B112">
        <f t="shared" si="5"/>
        <v>0.74319498790677208</v>
      </c>
      <c r="C112">
        <f t="shared" si="6"/>
        <v>0.73538766442846526</v>
      </c>
      <c r="E112" s="2">
        <f t="shared" si="8"/>
        <v>0.74641266421158114</v>
      </c>
      <c r="F112" s="2">
        <f t="shared" si="7"/>
        <v>0.75217848406191956</v>
      </c>
    </row>
    <row r="113" spans="1:6" x14ac:dyDescent="0.25">
      <c r="A113">
        <v>0.54</v>
      </c>
      <c r="B113">
        <f t="shared" si="5"/>
        <v>0.74337261288545831</v>
      </c>
      <c r="C113">
        <f t="shared" si="6"/>
        <v>0.73561857690075738</v>
      </c>
      <c r="E113" s="2">
        <f t="shared" si="8"/>
        <v>0.74650630114186556</v>
      </c>
      <c r="F113" s="2">
        <f t="shared" si="7"/>
        <v>0.75227212099220397</v>
      </c>
    </row>
    <row r="114" spans="1:6" x14ac:dyDescent="0.25">
      <c r="A114">
        <v>0.54500000000000004</v>
      </c>
      <c r="B114">
        <f t="shared" si="5"/>
        <v>0.74354560148251558</v>
      </c>
      <c r="C114">
        <f t="shared" si="6"/>
        <v>0.73584346207693185</v>
      </c>
      <c r="E114" s="2">
        <f t="shared" si="8"/>
        <v>0.74659749395338604</v>
      </c>
      <c r="F114" s="2">
        <f t="shared" si="7"/>
        <v>0.75236331380372445</v>
      </c>
    </row>
    <row r="115" spans="1:6" x14ac:dyDescent="0.25">
      <c r="A115">
        <v>0.55000000000000004</v>
      </c>
      <c r="B115">
        <f t="shared" si="5"/>
        <v>0.74371407471715412</v>
      </c>
      <c r="C115">
        <f t="shared" si="6"/>
        <v>0.73606247728196195</v>
      </c>
      <c r="E115" s="2">
        <f t="shared" si="8"/>
        <v>0.74668630644272915</v>
      </c>
      <c r="F115" s="2">
        <f t="shared" si="7"/>
        <v>0.75245212629306757</v>
      </c>
    </row>
    <row r="116" spans="1:6" x14ac:dyDescent="0.25">
      <c r="A116">
        <v>0.55500000000000005</v>
      </c>
      <c r="B116">
        <f t="shared" si="5"/>
        <v>0.74387815044973071</v>
      </c>
      <c r="C116">
        <f t="shared" si="6"/>
        <v>0.73627577573431147</v>
      </c>
      <c r="E116" s="2">
        <f t="shared" si="8"/>
        <v>0.74677280074125785</v>
      </c>
      <c r="F116" s="2">
        <f t="shared" si="7"/>
        <v>0.75253862059159626</v>
      </c>
    </row>
    <row r="117" spans="1:6" x14ac:dyDescent="0.25">
      <c r="A117">
        <v>0.56000000000000005</v>
      </c>
      <c r="B117">
        <f t="shared" si="5"/>
        <v>0.74403794346420138</v>
      </c>
      <c r="C117">
        <f t="shared" si="6"/>
        <v>0.73648350665312345</v>
      </c>
      <c r="E117" s="2">
        <f t="shared" si="8"/>
        <v>0.74685703735857711</v>
      </c>
      <c r="F117" s="2">
        <f t="shared" si="7"/>
        <v>0.75262285720891553</v>
      </c>
    </row>
    <row r="118" spans="1:6" x14ac:dyDescent="0.25">
      <c r="A118">
        <v>0.56499999999999995</v>
      </c>
      <c r="B118">
        <f t="shared" si="5"/>
        <v>0.74419356554842242</v>
      </c>
      <c r="C118">
        <f t="shared" si="6"/>
        <v>0.73668581536261069</v>
      </c>
      <c r="E118" s="2">
        <f t="shared" si="8"/>
        <v>0.74693907522486536</v>
      </c>
      <c r="F118" s="2">
        <f t="shared" si="7"/>
        <v>0.75270489507520377</v>
      </c>
    </row>
    <row r="119" spans="1:6" x14ac:dyDescent="0.25">
      <c r="A119">
        <v>0.56999999999999995</v>
      </c>
      <c r="B119">
        <f t="shared" si="5"/>
        <v>0.74434512557235399</v>
      </c>
      <c r="C119">
        <f t="shared" si="6"/>
        <v>0.73688284339372179</v>
      </c>
      <c r="E119" s="2">
        <f t="shared" si="8"/>
        <v>0.74701897173210074</v>
      </c>
      <c r="F119" s="2">
        <f t="shared" si="7"/>
        <v>0.75278479158243916</v>
      </c>
    </row>
    <row r="120" spans="1:6" x14ac:dyDescent="0.25">
      <c r="A120">
        <v>0.57499999999999996</v>
      </c>
      <c r="B120">
        <f t="shared" si="5"/>
        <v>0.74449272956422397</v>
      </c>
      <c r="C120">
        <f t="shared" si="6"/>
        <v>0.73707472858315271</v>
      </c>
      <c r="E120" s="2">
        <f t="shared" si="8"/>
        <v>0.74709678277421121</v>
      </c>
      <c r="F120" s="2">
        <f t="shared" si="7"/>
        <v>0.75286260262454963</v>
      </c>
    </row>
    <row r="121" spans="1:6" x14ac:dyDescent="0.25">
      <c r="A121">
        <v>0.57999999999999996</v>
      </c>
      <c r="B121">
        <f t="shared" si="5"/>
        <v>0.74463648078470268</v>
      </c>
      <c r="C121">
        <f t="shared" si="6"/>
        <v>0.73726160516977501</v>
      </c>
      <c r="E121" s="2">
        <f t="shared" si="8"/>
        <v>0.74717256278617705</v>
      </c>
      <c r="F121" s="2">
        <f t="shared" si="7"/>
        <v>0.75293838263651547</v>
      </c>
    </row>
    <row r="122" spans="1:6" x14ac:dyDescent="0.25">
      <c r="A122">
        <v>0.58499999999999996</v>
      </c>
      <c r="B122">
        <f t="shared" si="5"/>
        <v>0.74477647979914208</v>
      </c>
      <c r="C122">
        <f t="shared" si="6"/>
        <v>0.73744360388854635</v>
      </c>
      <c r="E122" s="2">
        <f t="shared" si="8"/>
        <v>0.74724636478211193</v>
      </c>
      <c r="F122" s="2">
        <f t="shared" si="7"/>
        <v>0.75301218463245034</v>
      </c>
    </row>
    <row r="123" spans="1:6" x14ac:dyDescent="0.25">
      <c r="A123">
        <v>0.59</v>
      </c>
      <c r="B123">
        <f t="shared" si="5"/>
        <v>0.74491282454792918</v>
      </c>
      <c r="C123">
        <f t="shared" si="6"/>
        <v>0.73762085206196959</v>
      </c>
      <c r="E123" s="2">
        <f t="shared" si="8"/>
        <v>0.74731824039235129</v>
      </c>
      <c r="F123" s="2">
        <f t="shared" si="7"/>
        <v>0.7530840602426897</v>
      </c>
    </row>
    <row r="124" spans="1:6" x14ac:dyDescent="0.25">
      <c r="A124">
        <v>0.59499999999999997</v>
      </c>
      <c r="B124">
        <f t="shared" si="5"/>
        <v>0.74504561041500306</v>
      </c>
      <c r="C124">
        <f t="shared" si="6"/>
        <v>0.73779347368916548</v>
      </c>
      <c r="E124" s="2">
        <f t="shared" si="8"/>
        <v>0.74738823989957104</v>
      </c>
      <c r="F124" s="2">
        <f t="shared" si="7"/>
        <v>0.75315405974990945</v>
      </c>
    </row>
    <row r="125" spans="1:6" x14ac:dyDescent="0.25">
      <c r="A125">
        <v>0.6</v>
      </c>
      <c r="B125">
        <f t="shared" si="5"/>
        <v>0.74517493029458326</v>
      </c>
      <c r="C125">
        <f t="shared" si="6"/>
        <v>0.73796158953261981</v>
      </c>
      <c r="E125" s="2">
        <f t="shared" si="8"/>
        <v>0.74745641227396464</v>
      </c>
      <c r="F125" s="2">
        <f t="shared" si="7"/>
        <v>0.75322223212430306</v>
      </c>
    </row>
    <row r="126" spans="1:6" x14ac:dyDescent="0.25">
      <c r="A126">
        <v>0.60499999999999998</v>
      </c>
      <c r="B126">
        <f t="shared" si="5"/>
        <v>0.74530087465615713</v>
      </c>
      <c r="C126">
        <f t="shared" si="6"/>
        <v>0.73812531720266583</v>
      </c>
      <c r="E126" s="2">
        <f t="shared" si="8"/>
        <v>0.74752280520750147</v>
      </c>
      <c r="F126" s="2">
        <f t="shared" si="7"/>
        <v>0.75328862505783989</v>
      </c>
    </row>
    <row r="127" spans="1:6" x14ac:dyDescent="0.25">
      <c r="A127">
        <v>0.61</v>
      </c>
      <c r="B127">
        <f t="shared" si="5"/>
        <v>0.74542353160776997</v>
      </c>
      <c r="C127">
        <f t="shared" si="6"/>
        <v>0.73828477123976255</v>
      </c>
      <c r="E127" s="2">
        <f t="shared" si="8"/>
        <v>0.74758746514729157</v>
      </c>
      <c r="F127" s="2">
        <f t="shared" si="7"/>
        <v>0.75335328499762999</v>
      </c>
    </row>
    <row r="128" spans="1:6" x14ac:dyDescent="0.25">
      <c r="A128">
        <v>0.61499999999999999</v>
      </c>
      <c r="B128">
        <f t="shared" si="5"/>
        <v>0.74554298695766374</v>
      </c>
      <c r="C128">
        <f t="shared" si="6"/>
        <v>0.73844006319462452</v>
      </c>
      <c r="E128" s="2">
        <f t="shared" si="8"/>
        <v>0.74765043732807857</v>
      </c>
      <c r="F128" s="2">
        <f t="shared" si="7"/>
        <v>0.75341625717841698</v>
      </c>
    </row>
    <row r="129" spans="1:6" x14ac:dyDescent="0.25">
      <c r="A129">
        <v>0.62</v>
      </c>
      <c r="B129">
        <f t="shared" si="5"/>
        <v>0.7456593242743067</v>
      </c>
      <c r="C129">
        <f t="shared" si="6"/>
        <v>0.73859130170626031</v>
      </c>
      <c r="E129" s="2">
        <f t="shared" si="8"/>
        <v>0.74771176580388499</v>
      </c>
      <c r="F129" s="2">
        <f t="shared" si="7"/>
        <v>0.7534775856542234</v>
      </c>
    </row>
    <row r="130" spans="1:6" x14ac:dyDescent="0.25">
      <c r="A130">
        <v>0.625</v>
      </c>
      <c r="B130">
        <f t="shared" si="5"/>
        <v>0.74577262494485619</v>
      </c>
      <c r="C130">
        <f t="shared" si="6"/>
        <v>0.7387385925779747</v>
      </c>
      <c r="E130" s="2">
        <f t="shared" si="8"/>
        <v>0.74777149347883187</v>
      </c>
      <c r="F130" s="2">
        <f t="shared" si="7"/>
        <v>0.75353731332917029</v>
      </c>
    </row>
    <row r="131" spans="1:6" x14ac:dyDescent="0.25">
      <c r="A131">
        <v>0.63</v>
      </c>
      <c r="B131">
        <f t="shared" si="5"/>
        <v>0.74588296823209532</v>
      </c>
      <c r="C131">
        <f t="shared" si="6"/>
        <v>0.73888203885138548</v>
      </c>
      <c r="E131" s="2">
        <f t="shared" si="8"/>
        <v>0.74782966213715341</v>
      </c>
      <c r="F131" s="2">
        <f t="shared" si="7"/>
        <v>0.75359548198749182</v>
      </c>
    </row>
    <row r="132" spans="1:6" x14ac:dyDescent="0.25">
      <c r="A132">
        <v>0.63500000000000001</v>
      </c>
      <c r="B132">
        <f t="shared" si="5"/>
        <v>0.74599043132988352</v>
      </c>
      <c r="C132">
        <f t="shared" si="6"/>
        <v>0.73902174087851014</v>
      </c>
      <c r="E132" s="2">
        <f t="shared" si="8"/>
        <v>0.74788631247242809</v>
      </c>
      <c r="F132" s="2">
        <f t="shared" si="7"/>
        <v>0.75365213232276651</v>
      </c>
    </row>
    <row r="133" spans="1:6" x14ac:dyDescent="0.25">
      <c r="A133">
        <v>0.64</v>
      </c>
      <c r="B133">
        <f t="shared" ref="B133:B196" si="9">$I$3-$L$6*EXP(-$L$8*A133)</f>
        <v>0.74609508941715996</v>
      </c>
      <c r="C133">
        <f t="shared" ref="C133:C196" si="10">MIN($I$3-(1+$I$13)*$L$6*EXP(-$L$8*A133)-$L$11,$I$3-$L$11)</f>
        <v>0.73915779639196955</v>
      </c>
      <c r="E133" s="2">
        <f t="shared" si="8"/>
        <v>0.74794148411604766</v>
      </c>
      <c r="F133" s="2">
        <f t="shared" si="7"/>
        <v>0.75370730396638608</v>
      </c>
    </row>
    <row r="134" spans="1:6" x14ac:dyDescent="0.25">
      <c r="A134">
        <v>0.64500000000000002</v>
      </c>
      <c r="B134">
        <f t="shared" si="9"/>
        <v>0.74619701571053698</v>
      </c>
      <c r="C134">
        <f t="shared" si="10"/>
        <v>0.73929030057335965</v>
      </c>
      <c r="E134" s="2">
        <f t="shared" si="8"/>
        <v>0.74799521566494176</v>
      </c>
      <c r="F134" s="2">
        <f t="shared" ref="F134:F197" si="11">E134+$L$11</f>
        <v>0.75376103551528018</v>
      </c>
    </row>
    <row r="135" spans="1:6" x14ac:dyDescent="0.25">
      <c r="A135">
        <v>0.65</v>
      </c>
      <c r="B135">
        <f t="shared" si="9"/>
        <v>0.74629628151552097</v>
      </c>
      <c r="C135">
        <f t="shared" si="10"/>
        <v>0.73941934611983884</v>
      </c>
      <c r="E135" s="2">
        <f t="shared" ref="E135:E198" si="12">$I$3-$I$14*$L$6*EXP(-$L$8*A133)</f>
        <v>0.74804754470857993</v>
      </c>
      <c r="F135" s="2">
        <f t="shared" si="11"/>
        <v>0.75381336455891834</v>
      </c>
    </row>
    <row r="136" spans="1:6" x14ac:dyDescent="0.25">
      <c r="A136">
        <v>0.65500000000000003</v>
      </c>
      <c r="B136">
        <f t="shared" si="9"/>
        <v>0.74639295627639612</v>
      </c>
      <c r="C136">
        <f t="shared" si="10"/>
        <v>0.73954502330897653</v>
      </c>
      <c r="E136" s="2">
        <f t="shared" si="12"/>
        <v>0.74809850785526844</v>
      </c>
      <c r="F136" s="2">
        <f t="shared" si="11"/>
        <v>0.75386432770560685</v>
      </c>
    </row>
    <row r="137" spans="1:6" x14ac:dyDescent="0.25">
      <c r="A137">
        <v>0.66</v>
      </c>
      <c r="B137">
        <f t="shared" si="9"/>
        <v>0.7464871076248063</v>
      </c>
      <c r="C137">
        <f t="shared" si="10"/>
        <v>0.73966742006190977</v>
      </c>
      <c r="E137" s="2">
        <f t="shared" si="12"/>
        <v>0.74814814075776048</v>
      </c>
      <c r="F137" s="2">
        <f t="shared" si="11"/>
        <v>0.7539139606080989</v>
      </c>
    </row>
    <row r="138" spans="1:6" x14ac:dyDescent="0.25">
      <c r="A138">
        <v>0.66500000000000004</v>
      </c>
      <c r="B138">
        <f t="shared" si="9"/>
        <v>0.74657880142706889</v>
      </c>
      <c r="C138">
        <f t="shared" si="10"/>
        <v>0.73978662200485112</v>
      </c>
      <c r="E138" s="2">
        <f t="shared" si="12"/>
        <v>0.74819647813819801</v>
      </c>
      <c r="F138" s="2">
        <f t="shared" si="11"/>
        <v>0.75396229798853642</v>
      </c>
    </row>
    <row r="139" spans="1:6" x14ac:dyDescent="0.25">
      <c r="A139">
        <v>0.67</v>
      </c>
      <c r="B139">
        <f t="shared" si="9"/>
        <v>0.74666810183025301</v>
      </c>
      <c r="C139">
        <f t="shared" si="10"/>
        <v>0.73990271252899054</v>
      </c>
      <c r="E139" s="2">
        <f t="shared" si="12"/>
        <v>0.74824355381240315</v>
      </c>
      <c r="F139" s="2">
        <f t="shared" si="11"/>
        <v>0.75400937366274157</v>
      </c>
    </row>
    <row r="140" spans="1:6" x14ac:dyDescent="0.25">
      <c r="A140">
        <v>0.67500000000000004</v>
      </c>
      <c r="B140">
        <f t="shared" si="9"/>
        <v>0.74675507130705598</v>
      </c>
      <c r="C140">
        <f t="shared" si="10"/>
        <v>0.74001577284883435</v>
      </c>
      <c r="E140" s="2">
        <f t="shared" si="12"/>
        <v>0.74828940071353445</v>
      </c>
      <c r="F140" s="2">
        <f t="shared" si="11"/>
        <v>0.75405522056387286</v>
      </c>
    </row>
    <row r="141" spans="1:6" x14ac:dyDescent="0.25">
      <c r="A141">
        <v>0.68</v>
      </c>
      <c r="B141">
        <f t="shared" si="9"/>
        <v>0.74683977069950758</v>
      </c>
      <c r="C141">
        <f t="shared" si="10"/>
        <v>0.74012588205902152</v>
      </c>
      <c r="E141" s="2">
        <f t="shared" si="12"/>
        <v>0.7483340509151265</v>
      </c>
      <c r="F141" s="2">
        <f t="shared" si="11"/>
        <v>0.75409987076546492</v>
      </c>
    </row>
    <row r="142" spans="1:6" x14ac:dyDescent="0.25">
      <c r="A142">
        <v>0.68500000000000005</v>
      </c>
      <c r="B142">
        <f t="shared" si="9"/>
        <v>0.7469222592615341</v>
      </c>
      <c r="C142">
        <f t="shared" si="10"/>
        <v>0.74023311718965601</v>
      </c>
      <c r="E142" s="2">
        <f t="shared" si="12"/>
        <v>0.74837753565352794</v>
      </c>
      <c r="F142" s="2">
        <f t="shared" si="11"/>
        <v>0.75414335550386635</v>
      </c>
    </row>
    <row r="143" spans="1:6" x14ac:dyDescent="0.25">
      <c r="A143">
        <v>0.69</v>
      </c>
      <c r="B143">
        <f t="shared" si="9"/>
        <v>0.74700259470041097</v>
      </c>
      <c r="C143">
        <f t="shared" si="10"/>
        <v>0.74033755326019579</v>
      </c>
      <c r="E143" s="2">
        <f t="shared" si="12"/>
        <v>0.74841988534975379</v>
      </c>
      <c r="F143" s="2">
        <f t="shared" si="11"/>
        <v>0.7541857052000922</v>
      </c>
    </row>
    <row r="144" spans="1:6" x14ac:dyDescent="0.25">
      <c r="A144">
        <v>0.69499999999999995</v>
      </c>
      <c r="B144">
        <f t="shared" si="9"/>
        <v>0.74708083321713359</v>
      </c>
      <c r="C144">
        <f t="shared" si="10"/>
        <v>0.74043926333193522</v>
      </c>
      <c r="E144" s="2">
        <f t="shared" si="12"/>
        <v>0.74846112963076705</v>
      </c>
      <c r="F144" s="2">
        <f t="shared" si="11"/>
        <v>0.75422694948110547</v>
      </c>
    </row>
    <row r="145" spans="1:6" x14ac:dyDescent="0.25">
      <c r="A145">
        <v>0.7</v>
      </c>
      <c r="B145">
        <f t="shared" si="9"/>
        <v>0.74715702954573437</v>
      </c>
      <c r="C145">
        <f t="shared" si="10"/>
        <v>0.74053831855911623</v>
      </c>
      <c r="E145" s="2">
        <f t="shared" si="12"/>
        <v>0.74850129735020543</v>
      </c>
      <c r="F145" s="2">
        <f t="shared" si="11"/>
        <v>0.75426711720054385</v>
      </c>
    </row>
    <row r="146" spans="1:6" x14ac:dyDescent="0.25">
      <c r="A146">
        <v>0.70499999999999996</v>
      </c>
      <c r="B146">
        <f t="shared" si="9"/>
        <v>0.74723123699157379</v>
      </c>
      <c r="C146">
        <f t="shared" si="10"/>
        <v>0.74063478823870743</v>
      </c>
      <c r="E146" s="2">
        <f t="shared" si="12"/>
        <v>0.74854041660856674</v>
      </c>
      <c r="F146" s="2">
        <f t="shared" si="11"/>
        <v>0.75430623645890515</v>
      </c>
    </row>
    <row r="147" spans="1:6" x14ac:dyDescent="0.25">
      <c r="A147">
        <v>0.71</v>
      </c>
      <c r="B147">
        <f t="shared" si="9"/>
        <v>0.74730350746863117</v>
      </c>
      <c r="C147">
        <f t="shared" si="10"/>
        <v>0.7407287398588821</v>
      </c>
      <c r="E147" s="2">
        <f t="shared" si="12"/>
        <v>0.74857851477286719</v>
      </c>
      <c r="F147" s="2">
        <f t="shared" si="11"/>
        <v>0.7543443346232056</v>
      </c>
    </row>
    <row r="148" spans="1:6" x14ac:dyDescent="0.25">
      <c r="A148">
        <v>0.71499999999999997</v>
      </c>
      <c r="B148">
        <f t="shared" si="9"/>
        <v>0.74737389153582312</v>
      </c>
      <c r="C148">
        <f t="shared" si="10"/>
        <v>0.74082023914623163</v>
      </c>
      <c r="E148" s="2">
        <f t="shared" si="12"/>
        <v>0.74861561849578684</v>
      </c>
      <c r="F148" s="2">
        <f t="shared" si="11"/>
        <v>0.75438143834612525</v>
      </c>
    </row>
    <row r="149" spans="1:6" x14ac:dyDescent="0.25">
      <c r="A149">
        <v>0.72</v>
      </c>
      <c r="B149">
        <f t="shared" si="9"/>
        <v>0.74744243843237324</v>
      </c>
      <c r="C149">
        <f t="shared" si="10"/>
        <v>0.74090935011174686</v>
      </c>
      <c r="E149" s="2">
        <f t="shared" si="12"/>
        <v>0.74865175373431558</v>
      </c>
      <c r="F149" s="2">
        <f t="shared" si="11"/>
        <v>0.754417573584654</v>
      </c>
    </row>
    <row r="150" spans="1:6" x14ac:dyDescent="0.25">
      <c r="A150">
        <v>0.72499999999999998</v>
      </c>
      <c r="B150">
        <f t="shared" si="9"/>
        <v>0.74750919611225897</v>
      </c>
      <c r="C150">
        <f t="shared" si="10"/>
        <v>0.74099613509559825</v>
      </c>
      <c r="E150" s="2">
        <f t="shared" si="12"/>
        <v>0.7486869457679115</v>
      </c>
      <c r="F150" s="2">
        <f t="shared" si="11"/>
        <v>0.75445276561824992</v>
      </c>
    </row>
    <row r="151" spans="1:6" x14ac:dyDescent="0.25">
      <c r="A151">
        <v>0.73</v>
      </c>
      <c r="B151">
        <f t="shared" si="9"/>
        <v>0.74757421127775914</v>
      </c>
      <c r="C151">
        <f t="shared" si="10"/>
        <v>0.74108065481074847</v>
      </c>
      <c r="E151" s="2">
        <f t="shared" si="12"/>
        <v>0.74872121921618662</v>
      </c>
      <c r="F151" s="2">
        <f t="shared" si="11"/>
        <v>0.75448703906652503</v>
      </c>
    </row>
    <row r="152" spans="1:6" x14ac:dyDescent="0.25">
      <c r="A152">
        <v>0.73499999999999999</v>
      </c>
      <c r="B152">
        <f t="shared" si="9"/>
        <v>0.74763752941212569</v>
      </c>
      <c r="C152">
        <f t="shared" si="10"/>
        <v>0.74116296838542506</v>
      </c>
      <c r="E152" s="2">
        <f t="shared" si="12"/>
        <v>0.74875459805612954</v>
      </c>
      <c r="F152" s="2">
        <f t="shared" si="11"/>
        <v>0.75452041790646796</v>
      </c>
    </row>
    <row r="153" spans="1:6" x14ac:dyDescent="0.25">
      <c r="A153">
        <v>0.74</v>
      </c>
      <c r="B153">
        <f t="shared" si="9"/>
        <v>0.74769919481140334</v>
      </c>
      <c r="C153">
        <f t="shared" si="10"/>
        <v>0.74124313340448589</v>
      </c>
      <c r="E153" s="2">
        <f t="shared" si="12"/>
        <v>0.74878710563887951</v>
      </c>
      <c r="F153" s="2">
        <f t="shared" si="11"/>
        <v>0.75455292548921793</v>
      </c>
    </row>
    <row r="154" spans="1:6" x14ac:dyDescent="0.25">
      <c r="A154">
        <v>0.745</v>
      </c>
      <c r="B154">
        <f t="shared" si="9"/>
        <v>0.74775925061541759</v>
      </c>
      <c r="C154">
        <f t="shared" si="10"/>
        <v>0.74132120594970452</v>
      </c>
      <c r="E154" s="2">
        <f t="shared" si="12"/>
        <v>0.7488187647060629</v>
      </c>
      <c r="F154" s="2">
        <f t="shared" si="11"/>
        <v>0.75458458455640132</v>
      </c>
    </row>
    <row r="155" spans="1:6" x14ac:dyDescent="0.25">
      <c r="A155">
        <v>0.75</v>
      </c>
      <c r="B155">
        <f t="shared" si="9"/>
        <v>0.74781773883795488</v>
      </c>
      <c r="C155">
        <f t="shared" si="10"/>
        <v>0.74139724063900292</v>
      </c>
      <c r="E155" s="2">
        <f t="shared" si="12"/>
        <v>0.74884959740570167</v>
      </c>
      <c r="F155" s="2">
        <f t="shared" si="11"/>
        <v>0.75461541725604009</v>
      </c>
    </row>
    <row r="156" spans="1:6" x14ac:dyDescent="0.25">
      <c r="A156">
        <v>0.755</v>
      </c>
      <c r="B156">
        <f t="shared" si="9"/>
        <v>0.74787470039615433</v>
      </c>
      <c r="C156">
        <f t="shared" si="10"/>
        <v>0.74147129066466211</v>
      </c>
      <c r="E156" s="2">
        <f t="shared" si="12"/>
        <v>0.7488796253077088</v>
      </c>
      <c r="F156" s="2">
        <f t="shared" si="11"/>
        <v>0.75464544515804721</v>
      </c>
    </row>
    <row r="157" spans="1:6" x14ac:dyDescent="0.25">
      <c r="A157">
        <v>0.76</v>
      </c>
      <c r="B157">
        <f t="shared" si="9"/>
        <v>0.7479301751391324</v>
      </c>
      <c r="C157">
        <f t="shared" si="10"/>
        <v>0.74154340783053374</v>
      </c>
      <c r="E157" s="2">
        <f t="shared" si="12"/>
        <v>0.7489088694189775</v>
      </c>
      <c r="F157" s="2">
        <f t="shared" si="11"/>
        <v>0.75467468926931591</v>
      </c>
    </row>
    <row r="158" spans="1:6" x14ac:dyDescent="0.25">
      <c r="A158">
        <v>0.76500000000000001</v>
      </c>
      <c r="B158">
        <f t="shared" si="9"/>
        <v>0.74798420187586101</v>
      </c>
      <c r="C158">
        <f t="shared" si="10"/>
        <v>0.74161364258828089</v>
      </c>
      <c r="E158" s="2">
        <f t="shared" si="12"/>
        <v>0.74893735019807717</v>
      </c>
      <c r="F158" s="2">
        <f t="shared" si="11"/>
        <v>0.75470317004841558</v>
      </c>
    </row>
    <row r="159" spans="1:6" x14ac:dyDescent="0.25">
      <c r="A159">
        <v>0.77</v>
      </c>
      <c r="B159">
        <f t="shared" si="9"/>
        <v>0.74803681840231684</v>
      </c>
      <c r="C159">
        <f t="shared" si="10"/>
        <v>0.74168204407267357</v>
      </c>
      <c r="E159" s="2">
        <f t="shared" si="12"/>
        <v>0.74896508756956626</v>
      </c>
      <c r="F159" s="2">
        <f t="shared" si="11"/>
        <v>0.75473090741990467</v>
      </c>
    </row>
    <row r="160" spans="1:6" x14ac:dyDescent="0.25">
      <c r="A160">
        <v>0.77500000000000002</v>
      </c>
      <c r="B160">
        <f t="shared" si="9"/>
        <v>0.74808806152792318</v>
      </c>
      <c r="C160">
        <f t="shared" si="10"/>
        <v>0.74174866013596175</v>
      </c>
      <c r="E160" s="2">
        <f t="shared" si="12"/>
        <v>0.74899210093793056</v>
      </c>
      <c r="F160" s="2">
        <f t="shared" si="11"/>
        <v>0.75475792078826898</v>
      </c>
    </row>
    <row r="161" spans="1:6" x14ac:dyDescent="0.25">
      <c r="A161">
        <v>0.78</v>
      </c>
      <c r="B161">
        <f t="shared" si="9"/>
        <v>0.74813796710130043</v>
      </c>
      <c r="C161">
        <f t="shared" si="10"/>
        <v>0.74181353738135225</v>
      </c>
      <c r="E161" s="2">
        <f t="shared" si="12"/>
        <v>0.74901840920115847</v>
      </c>
      <c r="F161" s="2">
        <f t="shared" si="11"/>
        <v>0.75478422905149689</v>
      </c>
    </row>
    <row r="162" spans="1:6" x14ac:dyDescent="0.25">
      <c r="A162">
        <v>0.78500000000000003</v>
      </c>
      <c r="B162">
        <f t="shared" si="9"/>
        <v>0.74818657003534572</v>
      </c>
      <c r="C162">
        <f t="shared" si="10"/>
        <v>0.7418767211956111</v>
      </c>
      <c r="E162" s="2">
        <f t="shared" si="12"/>
        <v>0.74904403076396164</v>
      </c>
      <c r="F162" s="2">
        <f t="shared" si="11"/>
        <v>0.75480985061430006</v>
      </c>
    </row>
    <row r="163" spans="1:6" x14ac:dyDescent="0.25">
      <c r="A163">
        <v>0.79</v>
      </c>
      <c r="B163">
        <f t="shared" si="9"/>
        <v>0.74823390433165671</v>
      </c>
      <c r="C163">
        <f t="shared" si="10"/>
        <v>0.7419382557808154</v>
      </c>
      <c r="E163" s="2">
        <f t="shared" si="12"/>
        <v>0.74906898355065021</v>
      </c>
      <c r="F163" s="2">
        <f t="shared" si="11"/>
        <v>0.75483480340098863</v>
      </c>
    </row>
    <row r="164" spans="1:6" x14ac:dyDescent="0.25">
      <c r="A164">
        <v>0.79500000000000004</v>
      </c>
      <c r="B164">
        <f t="shared" si="9"/>
        <v>0.74828000310431864</v>
      </c>
      <c r="C164">
        <f t="shared" si="10"/>
        <v>0.74199818418527586</v>
      </c>
      <c r="E164" s="2">
        <f t="shared" si="12"/>
        <v>0.74909328501767292</v>
      </c>
      <c r="F164" s="2">
        <f t="shared" si="11"/>
        <v>0.75485910486801133</v>
      </c>
    </row>
    <row r="165" spans="1:6" x14ac:dyDescent="0.25">
      <c r="A165">
        <v>0.8</v>
      </c>
      <c r="B165">
        <f t="shared" si="9"/>
        <v>0.74832489860307017</v>
      </c>
      <c r="C165">
        <f t="shared" si="10"/>
        <v>0.74205654833365287</v>
      </c>
      <c r="E165" s="2">
        <f t="shared" si="12"/>
        <v>0.74911695216582841</v>
      </c>
      <c r="F165" s="2">
        <f t="shared" si="11"/>
        <v>0.75488277201616683</v>
      </c>
    </row>
    <row r="166" spans="1:6" x14ac:dyDescent="0.25">
      <c r="A166">
        <v>0.80500000000000005</v>
      </c>
      <c r="B166">
        <f t="shared" si="9"/>
        <v>0.74836862223586476</v>
      </c>
      <c r="C166">
        <f t="shared" si="10"/>
        <v>0.74211338905628577</v>
      </c>
      <c r="E166" s="2">
        <f t="shared" si="12"/>
        <v>0.74914000155215932</v>
      </c>
      <c r="F166" s="2">
        <f t="shared" si="11"/>
        <v>0.75490582140249773</v>
      </c>
    </row>
    <row r="167" spans="1:6" x14ac:dyDescent="0.25">
      <c r="A167">
        <v>0.81</v>
      </c>
      <c r="B167">
        <f t="shared" si="9"/>
        <v>0.74841120459084276</v>
      </c>
      <c r="C167">
        <f t="shared" si="10"/>
        <v>0.74216874611775718</v>
      </c>
      <c r="E167" s="2">
        <f t="shared" si="12"/>
        <v>0.74916244930153508</v>
      </c>
      <c r="F167" s="2">
        <f t="shared" si="11"/>
        <v>0.7549282691518735</v>
      </c>
    </row>
    <row r="168" spans="1:6" x14ac:dyDescent="0.25">
      <c r="A168">
        <v>0.81499999999999995</v>
      </c>
      <c r="B168">
        <f t="shared" si="9"/>
        <v>0.74845267545773064</v>
      </c>
      <c r="C168">
        <f t="shared" si="10"/>
        <v>0.74222265824471145</v>
      </c>
      <c r="E168" s="2">
        <f t="shared" si="12"/>
        <v>0.74918431111793238</v>
      </c>
      <c r="F168" s="2">
        <f t="shared" si="11"/>
        <v>0.75495013096827079</v>
      </c>
    </row>
    <row r="169" spans="1:6" x14ac:dyDescent="0.25">
      <c r="A169">
        <v>0.82</v>
      </c>
      <c r="B169">
        <f t="shared" si="9"/>
        <v>0.74849306384868075</v>
      </c>
      <c r="C169">
        <f t="shared" si="10"/>
        <v>0.7422751631529465</v>
      </c>
      <c r="E169" s="2">
        <f t="shared" si="12"/>
        <v>0.74920560229542144</v>
      </c>
      <c r="F169" s="2">
        <f t="shared" si="11"/>
        <v>0.75497142214575985</v>
      </c>
    </row>
    <row r="170" spans="1:6" x14ac:dyDescent="0.25">
      <c r="A170">
        <v>0.82499999999999996</v>
      </c>
      <c r="B170">
        <f t="shared" si="9"/>
        <v>0.74853239801856786</v>
      </c>
      <c r="C170">
        <f t="shared" si="10"/>
        <v>0.74232629757379986</v>
      </c>
      <c r="E170" s="2">
        <f t="shared" si="12"/>
        <v>0.74922633772886527</v>
      </c>
      <c r="F170" s="2">
        <f t="shared" si="11"/>
        <v>0.75499215757920368</v>
      </c>
    </row>
    <row r="171" spans="1:6" x14ac:dyDescent="0.25">
      <c r="A171">
        <v>0.83</v>
      </c>
      <c r="B171">
        <f t="shared" si="9"/>
        <v>0.74857070548475613</v>
      </c>
      <c r="C171">
        <f t="shared" si="10"/>
        <v>0.74237609727984455</v>
      </c>
      <c r="E171" s="2">
        <f t="shared" si="12"/>
        <v>0.74924653192434032</v>
      </c>
      <c r="F171" s="2">
        <f t="shared" si="11"/>
        <v>0.75501235177467874</v>
      </c>
    </row>
    <row r="172" spans="1:6" x14ac:dyDescent="0.25">
      <c r="A172">
        <v>0.83499999999999996</v>
      </c>
      <c r="B172">
        <f t="shared" si="9"/>
        <v>0.74860801304634872</v>
      </c>
      <c r="C172">
        <f t="shared" si="10"/>
        <v>0.74242459710991493</v>
      </c>
      <c r="E172" s="2">
        <f t="shared" si="12"/>
        <v>0.74926619900928393</v>
      </c>
      <c r="F172" s="2">
        <f t="shared" si="11"/>
        <v>0.75503201885962234</v>
      </c>
    </row>
    <row r="173" spans="1:6" x14ac:dyDescent="0.25">
      <c r="A173">
        <v>0.84000000000000097</v>
      </c>
      <c r="B173">
        <f t="shared" si="9"/>
        <v>0.74864434680293679</v>
      </c>
      <c r="C173">
        <f t="shared" si="10"/>
        <v>0.74247183099347935</v>
      </c>
      <c r="E173" s="2">
        <f t="shared" si="12"/>
        <v>0.74928535274237806</v>
      </c>
      <c r="F173" s="2">
        <f t="shared" si="11"/>
        <v>0.75505117259271648</v>
      </c>
    </row>
    <row r="174" spans="1:6" x14ac:dyDescent="0.25">
      <c r="A174">
        <v>0.84500000000000097</v>
      </c>
      <c r="B174">
        <f t="shared" si="9"/>
        <v>0.74867973217285755</v>
      </c>
      <c r="C174">
        <f t="shared" si="10"/>
        <v>0.74251783197437637</v>
      </c>
      <c r="E174" s="2">
        <f t="shared" si="12"/>
        <v>0.74930400652317442</v>
      </c>
      <c r="F174" s="2">
        <f t="shared" si="11"/>
        <v>0.75506982637351283</v>
      </c>
    </row>
    <row r="175" spans="1:6" x14ac:dyDescent="0.25">
      <c r="A175">
        <v>0.85000000000000098</v>
      </c>
      <c r="B175">
        <f t="shared" si="9"/>
        <v>0.74871419391097693</v>
      </c>
      <c r="C175">
        <f t="shared" si="10"/>
        <v>0.7425626322339316</v>
      </c>
      <c r="E175" s="2">
        <f t="shared" si="12"/>
        <v>0.74932217340146834</v>
      </c>
      <c r="F175" s="2">
        <f t="shared" si="11"/>
        <v>0.75508799325180675</v>
      </c>
    </row>
    <row r="176" spans="1:6" x14ac:dyDescent="0.25">
      <c r="A176">
        <v>0.85500000000000098</v>
      </c>
      <c r="B176">
        <f t="shared" si="9"/>
        <v>0.7487477561260073</v>
      </c>
      <c r="C176">
        <f t="shared" si="10"/>
        <v>0.74260626311347111</v>
      </c>
      <c r="E176" s="2">
        <f t="shared" si="12"/>
        <v>0.74933986608642877</v>
      </c>
      <c r="F176" s="2">
        <f t="shared" si="11"/>
        <v>0.75510568593676719</v>
      </c>
    </row>
    <row r="177" spans="1:6" x14ac:dyDescent="0.25">
      <c r="A177">
        <v>0.86000000000000099</v>
      </c>
      <c r="B177">
        <f t="shared" si="9"/>
        <v>0.74878044229737351</v>
      </c>
      <c r="C177">
        <f t="shared" si="10"/>
        <v>0.74264875513624706</v>
      </c>
      <c r="E177" s="2">
        <f t="shared" si="12"/>
        <v>0.74935709695548847</v>
      </c>
      <c r="F177" s="2">
        <f t="shared" si="11"/>
        <v>0.75512291680582688</v>
      </c>
    </row>
    <row r="178" spans="1:6" x14ac:dyDescent="0.25">
      <c r="A178">
        <v>0.86500000000000099</v>
      </c>
      <c r="B178">
        <f t="shared" si="9"/>
        <v>0.7488122752916383</v>
      </c>
      <c r="C178">
        <f t="shared" si="10"/>
        <v>0.74269013802879136</v>
      </c>
      <c r="E178" s="2">
        <f t="shared" si="12"/>
        <v>0.74937387806300371</v>
      </c>
      <c r="F178" s="2">
        <f t="shared" si="11"/>
        <v>0.75513969791334212</v>
      </c>
    </row>
    <row r="179" spans="1:6" x14ac:dyDescent="0.25">
      <c r="A179">
        <v>0.87000000000000099</v>
      </c>
      <c r="B179">
        <f t="shared" si="9"/>
        <v>0.74884327737849976</v>
      </c>
      <c r="C179">
        <f t="shared" si="10"/>
        <v>0.74273044074171124</v>
      </c>
      <c r="E179" s="2">
        <f t="shared" si="12"/>
        <v>0.7493902211486867</v>
      </c>
      <c r="F179" s="2">
        <f t="shared" si="11"/>
        <v>0.75515604099902511</v>
      </c>
    </row>
    <row r="180" spans="1:6" x14ac:dyDescent="0.25">
      <c r="A180">
        <v>0.875000000000001</v>
      </c>
      <c r="B180">
        <f t="shared" si="9"/>
        <v>0.74887347024637052</v>
      </c>
      <c r="C180">
        <f t="shared" si="10"/>
        <v>0.74276969146994332</v>
      </c>
      <c r="E180" s="2">
        <f t="shared" si="12"/>
        <v>0.74940613764581909</v>
      </c>
      <c r="F180" s="2">
        <f t="shared" si="11"/>
        <v>0.75517195749615751</v>
      </c>
    </row>
    <row r="181" spans="1:6" x14ac:dyDescent="0.25">
      <c r="A181">
        <v>0.880000000000001</v>
      </c>
      <c r="B181">
        <f t="shared" si="9"/>
        <v>0.74890287501755048</v>
      </c>
      <c r="C181">
        <f t="shared" si="10"/>
        <v>0.74280791767247711</v>
      </c>
      <c r="E181" s="2">
        <f t="shared" si="12"/>
        <v>0.74942163868924994</v>
      </c>
      <c r="F181" s="2">
        <f t="shared" si="11"/>
        <v>0.75518745853958835</v>
      </c>
    </row>
    <row r="182" spans="1:6" x14ac:dyDescent="0.25">
      <c r="A182">
        <v>0.88500000000000101</v>
      </c>
      <c r="B182">
        <f t="shared" si="9"/>
        <v>0.74893151226300336</v>
      </c>
      <c r="C182">
        <f t="shared" si="10"/>
        <v>0.74284514609156593</v>
      </c>
      <c r="E182" s="2">
        <f t="shared" si="12"/>
        <v>0.74943673512318532</v>
      </c>
      <c r="F182" s="2">
        <f t="shared" si="11"/>
        <v>0.75520255497352373</v>
      </c>
    </row>
    <row r="183" spans="1:6" x14ac:dyDescent="0.25">
      <c r="A183">
        <v>0.89000000000000101</v>
      </c>
      <c r="B183">
        <f t="shared" si="9"/>
        <v>0.74895940201674815</v>
      </c>
      <c r="C183">
        <f t="shared" si="10"/>
        <v>0.74288140277143411</v>
      </c>
      <c r="E183" s="2">
        <f t="shared" si="12"/>
        <v>0.74945143750877519</v>
      </c>
      <c r="F183" s="2">
        <f t="shared" si="11"/>
        <v>0.7552172573591136</v>
      </c>
    </row>
    <row r="184" spans="1:6" x14ac:dyDescent="0.25">
      <c r="A184">
        <v>0.89500000000000102</v>
      </c>
      <c r="B184">
        <f t="shared" si="9"/>
        <v>0.74898656378987416</v>
      </c>
      <c r="C184">
        <f t="shared" si="10"/>
        <v>0.74291671307649798</v>
      </c>
      <c r="E184" s="2">
        <f t="shared" si="12"/>
        <v>0.74946575613150168</v>
      </c>
      <c r="F184" s="2">
        <f t="shared" si="11"/>
        <v>0.7552315759818401</v>
      </c>
    </row>
    <row r="185" spans="1:6" x14ac:dyDescent="0.25">
      <c r="A185">
        <v>0.90000000000000102</v>
      </c>
      <c r="B185">
        <f t="shared" si="9"/>
        <v>0.74901301658419062</v>
      </c>
      <c r="C185">
        <f t="shared" si="10"/>
        <v>0.74295110170910938</v>
      </c>
      <c r="E185" s="2">
        <f t="shared" si="12"/>
        <v>0.74947970100837402</v>
      </c>
      <c r="F185" s="2">
        <f t="shared" si="11"/>
        <v>0.75524552085871244</v>
      </c>
    </row>
    <row r="186" spans="1:6" x14ac:dyDescent="0.25">
      <c r="A186">
        <v>0.90500000000000103</v>
      </c>
      <c r="B186">
        <f t="shared" si="9"/>
        <v>0.74903877890552018</v>
      </c>
      <c r="C186">
        <f t="shared" si="10"/>
        <v>0.7429845927268377</v>
      </c>
      <c r="E186" s="2">
        <f t="shared" si="12"/>
        <v>0.74949328189493702</v>
      </c>
      <c r="F186" s="2">
        <f t="shared" si="11"/>
        <v>0.75525910174527544</v>
      </c>
    </row>
    <row r="187" spans="1:6" x14ac:dyDescent="0.25">
      <c r="A187">
        <v>0.91000000000000103</v>
      </c>
      <c r="B187">
        <f t="shared" si="9"/>
        <v>0.74906386877664466</v>
      </c>
      <c r="C187">
        <f t="shared" si="10"/>
        <v>0.74301720955929962</v>
      </c>
      <c r="E187" s="2">
        <f t="shared" si="12"/>
        <v>0.74950650829209531</v>
      </c>
      <c r="F187" s="2">
        <f t="shared" si="11"/>
        <v>0.75527232814243372</v>
      </c>
    </row>
    <row r="188" spans="1:6" x14ac:dyDescent="0.25">
      <c r="A188">
        <v>0.91500000000000103</v>
      </c>
      <c r="B188">
        <f t="shared" si="9"/>
        <v>0.74908830374991398</v>
      </c>
      <c r="C188">
        <f t="shared" si="10"/>
        <v>0.74304897502454981</v>
      </c>
      <c r="E188" s="2">
        <f t="shared" si="12"/>
        <v>0.74951938945276009</v>
      </c>
      <c r="F188" s="2">
        <f t="shared" si="11"/>
        <v>0.7552852093030985</v>
      </c>
    </row>
    <row r="189" spans="1:6" x14ac:dyDescent="0.25">
      <c r="A189">
        <v>0.92000000000000104</v>
      </c>
      <c r="B189">
        <f t="shared" si="9"/>
        <v>0.7491121009195254</v>
      </c>
      <c r="C189">
        <f t="shared" si="10"/>
        <v>0.74307991134504459</v>
      </c>
      <c r="E189" s="2">
        <f t="shared" si="12"/>
        <v>0.74953193438832233</v>
      </c>
      <c r="F189" s="2">
        <f t="shared" si="11"/>
        <v>0.75529775423866075</v>
      </c>
    </row>
    <row r="190" spans="1:6" x14ac:dyDescent="0.25">
      <c r="A190">
        <v>0.92500000000000104</v>
      </c>
      <c r="B190">
        <f t="shared" si="9"/>
        <v>0.74913527693348159</v>
      </c>
      <c r="C190">
        <f t="shared" si="10"/>
        <v>0.7431100401631876</v>
      </c>
      <c r="E190" s="2">
        <f t="shared" si="12"/>
        <v>0.74954415187495704</v>
      </c>
      <c r="F190" s="2">
        <f t="shared" si="11"/>
        <v>0.75530997172529546</v>
      </c>
    </row>
    <row r="191" spans="1:6" x14ac:dyDescent="0.25">
      <c r="A191">
        <v>0.93000000000000105</v>
      </c>
      <c r="B191">
        <f t="shared" si="9"/>
        <v>0.74915784800523799</v>
      </c>
      <c r="C191">
        <f t="shared" si="10"/>
        <v>0.74313938255647105</v>
      </c>
      <c r="E191" s="2">
        <f t="shared" si="12"/>
        <v>0.7495560504597627</v>
      </c>
      <c r="F191" s="2">
        <f t="shared" si="11"/>
        <v>0.75532187031010112</v>
      </c>
    </row>
    <row r="192" spans="1:6" x14ac:dyDescent="0.25">
      <c r="A192">
        <v>0.93500000000000105</v>
      </c>
      <c r="B192">
        <f t="shared" si="9"/>
        <v>0.74917982992504517</v>
      </c>
      <c r="C192">
        <f t="shared" si="10"/>
        <v>0.74316795905222033</v>
      </c>
      <c r="E192" s="2">
        <f t="shared" si="12"/>
        <v>0.74956763846674079</v>
      </c>
      <c r="F192" s="2">
        <f t="shared" si="11"/>
        <v>0.75533345831707921</v>
      </c>
    </row>
    <row r="193" spans="1:6" x14ac:dyDescent="0.25">
      <c r="A193">
        <v>0.94000000000000095</v>
      </c>
      <c r="B193">
        <f t="shared" si="9"/>
        <v>0.74920123807099515</v>
      </c>
      <c r="C193">
        <f t="shared" si="10"/>
        <v>0.74319578964195532</v>
      </c>
      <c r="E193" s="2">
        <f t="shared" si="12"/>
        <v>0.74957892400261905</v>
      </c>
      <c r="F193" s="2">
        <f t="shared" si="11"/>
        <v>0.75534474385295747</v>
      </c>
    </row>
    <row r="194" spans="1:6" x14ac:dyDescent="0.25">
      <c r="A194">
        <v>0.94500000000000095</v>
      </c>
      <c r="B194">
        <f t="shared" si="9"/>
        <v>0.74922208741977969</v>
      </c>
      <c r="C194">
        <f t="shared" si="10"/>
        <v>0.74322289379537521</v>
      </c>
      <c r="E194" s="2">
        <f t="shared" si="12"/>
        <v>0.74958991496252259</v>
      </c>
      <c r="F194" s="2">
        <f t="shared" si="11"/>
        <v>0.755355734812861</v>
      </c>
    </row>
    <row r="195" spans="1:6" x14ac:dyDescent="0.25">
      <c r="A195">
        <v>0.95000000000000095</v>
      </c>
      <c r="B195">
        <f t="shared" si="9"/>
        <v>0.74924239255716785</v>
      </c>
      <c r="C195">
        <f t="shared" si="10"/>
        <v>0.74324929047397981</v>
      </c>
      <c r="E195" s="2">
        <f t="shared" si="12"/>
        <v>0.74960061903549757</v>
      </c>
      <c r="F195" s="2">
        <f t="shared" si="11"/>
        <v>0.75536643888583599</v>
      </c>
    </row>
    <row r="196" spans="1:6" x14ac:dyDescent="0.25">
      <c r="A196">
        <v>0.95500000000000096</v>
      </c>
      <c r="B196">
        <f t="shared" si="9"/>
        <v>0.74926216768820986</v>
      </c>
      <c r="C196">
        <f t="shared" si="10"/>
        <v>0.7432749981443344</v>
      </c>
      <c r="E196" s="2">
        <f t="shared" si="12"/>
        <v>0.74961104370988985</v>
      </c>
      <c r="F196" s="2">
        <f t="shared" si="11"/>
        <v>0.75537686356022826</v>
      </c>
    </row>
    <row r="197" spans="1:6" x14ac:dyDescent="0.25">
      <c r="A197">
        <v>0.96000000000000096</v>
      </c>
      <c r="B197">
        <f t="shared" ref="B197:B260" si="13">$I$3-$L$6*EXP(-$L$8*A197)</f>
        <v>0.74928142664717423</v>
      </c>
      <c r="C197">
        <f t="shared" ref="C197:C260" si="14">MIN($I$3-(1+$I$13)*$L$6*EXP(-$L$8*A197)-$L$11,$I$3-$L$11)</f>
        <v>0.74330003479098805</v>
      </c>
      <c r="E197" s="2">
        <f t="shared" si="12"/>
        <v>0.74962119627858392</v>
      </c>
      <c r="F197" s="2">
        <f t="shared" si="11"/>
        <v>0.75538701612892234</v>
      </c>
    </row>
    <row r="198" spans="1:6" x14ac:dyDescent="0.25">
      <c r="A198">
        <v>0.96500000000000097</v>
      </c>
      <c r="B198">
        <f t="shared" si="13"/>
        <v>0.74930018290722666</v>
      </c>
      <c r="C198">
        <f t="shared" si="14"/>
        <v>0.74332441792905624</v>
      </c>
      <c r="E198" s="2">
        <f t="shared" si="12"/>
        <v>0.74963108384410493</v>
      </c>
      <c r="F198" s="2">
        <f t="shared" ref="F198:F261" si="15">E198+$L$11</f>
        <v>0.75539690369444334</v>
      </c>
    </row>
    <row r="199" spans="1:6" x14ac:dyDescent="0.25">
      <c r="A199">
        <v>0.97000000000000097</v>
      </c>
      <c r="B199">
        <f t="shared" si="13"/>
        <v>0.74931844958985483</v>
      </c>
      <c r="C199">
        <f t="shared" si="14"/>
        <v>0.74334816461647291</v>
      </c>
      <c r="E199" s="2">
        <f t="shared" ref="E199:E262" si="16">$I$3-$I$14*$L$6*EXP(-$L$8*A197)</f>
        <v>0.74964071332358717</v>
      </c>
      <c r="F199" s="2">
        <f t="shared" si="15"/>
        <v>0.75540653317392559</v>
      </c>
    </row>
    <row r="200" spans="1:6" x14ac:dyDescent="0.25">
      <c r="A200">
        <v>0.97500000000000098</v>
      </c>
      <c r="B200">
        <f t="shared" si="13"/>
        <v>0.74933623947404859</v>
      </c>
      <c r="C200">
        <f t="shared" si="14"/>
        <v>0.74337129146592473</v>
      </c>
      <c r="E200" s="2">
        <f t="shared" si="16"/>
        <v>0.74965009145361328</v>
      </c>
      <c r="F200" s="2">
        <f t="shared" si="15"/>
        <v>0.75541591130395169</v>
      </c>
    </row>
    <row r="201" spans="1:6" x14ac:dyDescent="0.25">
      <c r="A201">
        <v>0.98000000000000098</v>
      </c>
      <c r="B201">
        <f t="shared" si="13"/>
        <v>0.74935356500523931</v>
      </c>
      <c r="C201">
        <f t="shared" si="14"/>
        <v>0.74339381465647281</v>
      </c>
      <c r="E201" s="2">
        <f t="shared" si="16"/>
        <v>0.74965922479492741</v>
      </c>
      <c r="F201" s="2">
        <f t="shared" si="15"/>
        <v>0.75542504464526583</v>
      </c>
    </row>
    <row r="202" spans="1:6" x14ac:dyDescent="0.25">
      <c r="A202">
        <v>0.98500000000000099</v>
      </c>
      <c r="B202">
        <f t="shared" si="13"/>
        <v>0.74937043830400696</v>
      </c>
      <c r="C202">
        <f t="shared" si="14"/>
        <v>0.7434157499448707</v>
      </c>
      <c r="E202" s="2">
        <f t="shared" si="16"/>
        <v>0.7496681197370243</v>
      </c>
      <c r="F202" s="2">
        <f t="shared" si="15"/>
        <v>0.75543393958736271</v>
      </c>
    </row>
    <row r="203" spans="1:6" x14ac:dyDescent="0.25">
      <c r="A203">
        <v>0.99000000000000099</v>
      </c>
      <c r="B203">
        <f t="shared" si="13"/>
        <v>0.74938687117455893</v>
      </c>
      <c r="C203">
        <f t="shared" si="14"/>
        <v>0.74343711267658819</v>
      </c>
      <c r="E203" s="2">
        <f t="shared" si="16"/>
        <v>0.74967678250261971</v>
      </c>
      <c r="F203" s="2">
        <f t="shared" si="15"/>
        <v>0.75544260235295813</v>
      </c>
    </row>
    <row r="204" spans="1:6" x14ac:dyDescent="0.25">
      <c r="A204">
        <v>0.99500000000000099</v>
      </c>
      <c r="B204">
        <f t="shared" si="13"/>
        <v>0.74940287511298831</v>
      </c>
      <c r="C204">
        <f t="shared" si="14"/>
        <v>0.74345791779654635</v>
      </c>
      <c r="E204" s="2">
        <f t="shared" si="16"/>
        <v>0.74968521915200348</v>
      </c>
      <c r="F204" s="2">
        <f t="shared" si="15"/>
        <v>0.7554510390023419</v>
      </c>
    </row>
    <row r="205" spans="1:6" x14ac:dyDescent="0.25">
      <c r="A205">
        <v>1</v>
      </c>
      <c r="B205">
        <f t="shared" si="13"/>
        <v>0.74941846131531609</v>
      </c>
      <c r="C205">
        <f t="shared" si="14"/>
        <v>0.74347817985957254</v>
      </c>
      <c r="E205" s="2">
        <f t="shared" si="16"/>
        <v>0.74969343558727952</v>
      </c>
      <c r="F205" s="2">
        <f t="shared" si="15"/>
        <v>0.75545925543761794</v>
      </c>
    </row>
    <row r="206" spans="1:6" x14ac:dyDescent="0.25">
      <c r="A206">
        <v>1.0049999999999999</v>
      </c>
      <c r="B206">
        <f t="shared" si="13"/>
        <v>0.74943364068532414</v>
      </c>
      <c r="C206">
        <f t="shared" si="14"/>
        <v>0.74349791304058299</v>
      </c>
      <c r="E206" s="2">
        <f t="shared" si="16"/>
        <v>0.7497014375564941</v>
      </c>
      <c r="F206" s="2">
        <f t="shared" si="15"/>
        <v>0.75546725740683252</v>
      </c>
    </row>
    <row r="207" spans="1:6" x14ac:dyDescent="0.25">
      <c r="A207">
        <v>1.01</v>
      </c>
      <c r="B207">
        <f t="shared" si="13"/>
        <v>0.74944842384218258</v>
      </c>
      <c r="C207">
        <f t="shared" si="14"/>
        <v>0.74351713114449902</v>
      </c>
      <c r="E207" s="2">
        <f t="shared" si="16"/>
        <v>0.74970923065765804</v>
      </c>
      <c r="F207" s="2">
        <f t="shared" si="15"/>
        <v>0.75547505050799646</v>
      </c>
    </row>
    <row r="208" spans="1:6" x14ac:dyDescent="0.25">
      <c r="A208">
        <v>1.0149999999999999</v>
      </c>
      <c r="B208">
        <f t="shared" si="13"/>
        <v>0.74946282112787932</v>
      </c>
      <c r="C208">
        <f t="shared" si="14"/>
        <v>0.74353584761590474</v>
      </c>
      <c r="E208" s="2">
        <f t="shared" si="16"/>
        <v>0.74971682034266207</v>
      </c>
      <c r="F208" s="2">
        <f t="shared" si="15"/>
        <v>0.75548264019300049</v>
      </c>
    </row>
    <row r="209" spans="1:6" x14ac:dyDescent="0.25">
      <c r="A209">
        <v>1.02</v>
      </c>
      <c r="B209">
        <f t="shared" si="13"/>
        <v>0.7494768426144548</v>
      </c>
      <c r="C209">
        <f t="shared" si="14"/>
        <v>0.74355407554845288</v>
      </c>
      <c r="E209" s="2">
        <f t="shared" si="16"/>
        <v>0.74972421192109129</v>
      </c>
      <c r="F209" s="2">
        <f t="shared" si="15"/>
        <v>0.7554900317714297</v>
      </c>
    </row>
    <row r="210" spans="1:6" x14ac:dyDescent="0.25">
      <c r="A210">
        <v>1.0249999999999999</v>
      </c>
      <c r="B210">
        <f t="shared" si="13"/>
        <v>0.74949049811104818</v>
      </c>
      <c r="C210">
        <f t="shared" si="14"/>
        <v>0.7435718276940243</v>
      </c>
      <c r="E210" s="2">
        <f t="shared" si="16"/>
        <v>0.74973141056393966</v>
      </c>
      <c r="F210" s="2">
        <f t="shared" si="15"/>
        <v>0.75549723041427808</v>
      </c>
    </row>
    <row r="211" spans="1:6" x14ac:dyDescent="0.25">
      <c r="A211">
        <v>1.03</v>
      </c>
      <c r="B211">
        <f t="shared" si="13"/>
        <v>0.74950379717075977</v>
      </c>
      <c r="C211">
        <f t="shared" si="14"/>
        <v>0.74358911647164927</v>
      </c>
      <c r="E211" s="2">
        <f t="shared" si="16"/>
        <v>0.74973842130722745</v>
      </c>
      <c r="F211" s="2">
        <f t="shared" si="15"/>
        <v>0.75550424115756587</v>
      </c>
    </row>
    <row r="212" spans="1:6" x14ac:dyDescent="0.25">
      <c r="A212">
        <v>1.0349999999999999</v>
      </c>
      <c r="B212">
        <f t="shared" si="13"/>
        <v>0.7495167490973339</v>
      </c>
      <c r="C212">
        <f t="shared" si="14"/>
        <v>0.74360595397619567</v>
      </c>
      <c r="E212" s="2">
        <f t="shared" si="16"/>
        <v>0.74974524905552409</v>
      </c>
      <c r="F212" s="2">
        <f t="shared" si="15"/>
        <v>0.7555110689058625</v>
      </c>
    </row>
    <row r="213" spans="1:6" x14ac:dyDescent="0.25">
      <c r="A213">
        <v>1.04</v>
      </c>
      <c r="B213">
        <f t="shared" si="13"/>
        <v>0.74952936295166805</v>
      </c>
      <c r="C213">
        <f t="shared" si="14"/>
        <v>0.74362235198683013</v>
      </c>
      <c r="E213" s="2">
        <f t="shared" si="16"/>
        <v>0.74975189858537994</v>
      </c>
      <c r="F213" s="2">
        <f t="shared" si="15"/>
        <v>0.75551771843571836</v>
      </c>
    </row>
    <row r="214" spans="1:6" x14ac:dyDescent="0.25">
      <c r="A214">
        <v>1.0449999999999999</v>
      </c>
      <c r="B214">
        <f t="shared" si="13"/>
        <v>0.74954164755815134</v>
      </c>
      <c r="C214">
        <f t="shared" si="14"/>
        <v>0.74363832197525825</v>
      </c>
      <c r="E214" s="2">
        <f t="shared" si="16"/>
        <v>0.74975837454866701</v>
      </c>
      <c r="F214" s="2">
        <f t="shared" si="15"/>
        <v>0.75552419439900542</v>
      </c>
    </row>
    <row r="215" spans="1:6" x14ac:dyDescent="0.25">
      <c r="A215">
        <v>1.05</v>
      </c>
      <c r="B215">
        <f t="shared" si="13"/>
        <v>0.74955361151083777</v>
      </c>
      <c r="C215">
        <f t="shared" si="14"/>
        <v>0.7436538751137507</v>
      </c>
      <c r="E215" s="2">
        <f t="shared" si="16"/>
        <v>0.74976468147583408</v>
      </c>
      <c r="F215" s="2">
        <f t="shared" si="15"/>
        <v>0.7555305013261725</v>
      </c>
    </row>
    <row r="216" spans="1:6" x14ac:dyDescent="0.25">
      <c r="A216">
        <v>1.0549999999999999</v>
      </c>
      <c r="B216">
        <f t="shared" si="13"/>
        <v>0.74956526317945893</v>
      </c>
      <c r="C216">
        <f t="shared" si="14"/>
        <v>0.74366902228295817</v>
      </c>
      <c r="E216" s="2">
        <f t="shared" si="16"/>
        <v>0.74977082377907567</v>
      </c>
      <c r="F216" s="2">
        <f t="shared" si="15"/>
        <v>0.75553664362941408</v>
      </c>
    </row>
    <row r="217" spans="1:6" x14ac:dyDescent="0.25">
      <c r="A217">
        <v>1.06</v>
      </c>
      <c r="B217">
        <f t="shared" si="13"/>
        <v>0.74957661071527881</v>
      </c>
      <c r="C217">
        <f t="shared" si="14"/>
        <v>0.74368377407952402</v>
      </c>
      <c r="E217" s="2">
        <f t="shared" si="16"/>
        <v>0.74977680575541894</v>
      </c>
      <c r="F217" s="2">
        <f t="shared" si="15"/>
        <v>0.75554262560575736</v>
      </c>
    </row>
    <row r="218" spans="1:6" x14ac:dyDescent="0.25">
      <c r="A218">
        <v>1.0649999999999999</v>
      </c>
      <c r="B218">
        <f t="shared" si="13"/>
        <v>0.7495876620567965</v>
      </c>
      <c r="C218">
        <f t="shared" si="14"/>
        <v>0.74369814082349706</v>
      </c>
      <c r="E218" s="2">
        <f t="shared" si="16"/>
        <v>0.74978263158972946</v>
      </c>
      <c r="F218" s="2">
        <f t="shared" si="15"/>
        <v>0.75554845144006788</v>
      </c>
    </row>
    <row r="219" spans="1:6" x14ac:dyDescent="0.25">
      <c r="A219">
        <v>1.07</v>
      </c>
      <c r="B219">
        <f t="shared" si="13"/>
        <v>0.74959842493529982</v>
      </c>
      <c r="C219">
        <f t="shared" si="14"/>
        <v>0.74371213256555146</v>
      </c>
      <c r="E219" s="2">
        <f t="shared" si="16"/>
        <v>0.74978830535763941</v>
      </c>
      <c r="F219" s="2">
        <f t="shared" si="15"/>
        <v>0.75555412520797782</v>
      </c>
    </row>
    <row r="220" spans="1:6" x14ac:dyDescent="0.25">
      <c r="A220">
        <v>1.075</v>
      </c>
      <c r="B220">
        <f t="shared" si="13"/>
        <v>0.74960890688027382</v>
      </c>
      <c r="C220">
        <f t="shared" si="14"/>
        <v>0.7437257590940175</v>
      </c>
      <c r="E220" s="2">
        <f t="shared" si="16"/>
        <v>0.74979383102839825</v>
      </c>
      <c r="F220" s="2">
        <f t="shared" si="15"/>
        <v>0.75555965087873667</v>
      </c>
    </row>
    <row r="221" spans="1:6" x14ac:dyDescent="0.25">
      <c r="A221">
        <v>1.08</v>
      </c>
      <c r="B221">
        <f t="shared" si="13"/>
        <v>0.74961911522466818</v>
      </c>
      <c r="C221">
        <f t="shared" si="14"/>
        <v>0.74373902994173025</v>
      </c>
      <c r="E221" s="2">
        <f t="shared" si="16"/>
        <v>0.74979921246764991</v>
      </c>
      <c r="F221" s="2">
        <f t="shared" si="15"/>
        <v>0.75556503231798833</v>
      </c>
    </row>
    <row r="222" spans="1:6" x14ac:dyDescent="0.25">
      <c r="A222">
        <v>1.085</v>
      </c>
      <c r="B222">
        <f t="shared" si="13"/>
        <v>0.74962905711002759</v>
      </c>
      <c r="C222">
        <f t="shared" si="14"/>
        <v>0.74375195439269748</v>
      </c>
      <c r="E222" s="2">
        <f t="shared" si="16"/>
        <v>0.74980445344013691</v>
      </c>
      <c r="F222" s="2">
        <f t="shared" si="15"/>
        <v>0.75557027329047532</v>
      </c>
    </row>
    <row r="223" spans="1:6" x14ac:dyDescent="0.25">
      <c r="A223">
        <v>1.0900000000000001</v>
      </c>
      <c r="B223">
        <f t="shared" si="13"/>
        <v>0.7496387394914874</v>
      </c>
      <c r="C223">
        <f t="shared" si="14"/>
        <v>0.74376454148859517</v>
      </c>
      <c r="E223" s="2">
        <f t="shared" si="16"/>
        <v>0.74980955761233414</v>
      </c>
      <c r="F223" s="2">
        <f t="shared" si="15"/>
        <v>0.75557537746267256</v>
      </c>
    </row>
    <row r="224" spans="1:6" x14ac:dyDescent="0.25">
      <c r="A224">
        <v>1.095</v>
      </c>
      <c r="B224">
        <f t="shared" si="13"/>
        <v>0.74964816914263943</v>
      </c>
      <c r="C224">
        <f t="shared" si="14"/>
        <v>0.74377680003509294</v>
      </c>
      <c r="E224" s="2">
        <f t="shared" si="16"/>
        <v>0.74981452855501385</v>
      </c>
      <c r="F224" s="2">
        <f t="shared" si="15"/>
        <v>0.75558034840535226</v>
      </c>
    </row>
    <row r="225" spans="1:6" x14ac:dyDescent="0.25">
      <c r="A225">
        <v>1.1000000000000001</v>
      </c>
      <c r="B225">
        <f t="shared" si="13"/>
        <v>0.74965735266027089</v>
      </c>
      <c r="C225">
        <f t="shared" si="14"/>
        <v>0.74378873860801364</v>
      </c>
      <c r="E225" s="2">
        <f t="shared" si="16"/>
        <v>0.7498193697457437</v>
      </c>
      <c r="F225" s="2">
        <f t="shared" si="15"/>
        <v>0.75558518959608212</v>
      </c>
    </row>
    <row r="226" spans="1:6" x14ac:dyDescent="0.25">
      <c r="A226">
        <v>1.105</v>
      </c>
      <c r="B226">
        <f t="shared" si="13"/>
        <v>0.74966629646897864</v>
      </c>
      <c r="C226">
        <f t="shared" si="14"/>
        <v>0.74380036555933382</v>
      </c>
      <c r="E226" s="2">
        <f t="shared" si="16"/>
        <v>0.74982408457131977</v>
      </c>
      <c r="F226" s="2">
        <f t="shared" si="15"/>
        <v>0.75558990442165819</v>
      </c>
    </row>
    <row r="227" spans="1:6" x14ac:dyDescent="0.25">
      <c r="A227">
        <v>1.1100000000000001</v>
      </c>
      <c r="B227">
        <f t="shared" si="13"/>
        <v>0.74967500682566479</v>
      </c>
      <c r="C227">
        <f t="shared" si="14"/>
        <v>0.74381168902302575</v>
      </c>
      <c r="E227" s="2">
        <f t="shared" si="16"/>
        <v>0.74982867633013539</v>
      </c>
      <c r="F227" s="2">
        <f t="shared" si="15"/>
        <v>0.75559449618047381</v>
      </c>
    </row>
    <row r="228" spans="1:6" x14ac:dyDescent="0.25">
      <c r="A228">
        <v>1.115</v>
      </c>
      <c r="B228">
        <f t="shared" si="13"/>
        <v>0.74968348982391275</v>
      </c>
      <c r="C228">
        <f t="shared" si="14"/>
        <v>0.74382271692074819</v>
      </c>
      <c r="E228" s="2">
        <f t="shared" si="16"/>
        <v>0.74983314823448932</v>
      </c>
      <c r="F228" s="2">
        <f t="shared" si="15"/>
        <v>0.75559896808482774</v>
      </c>
    </row>
    <row r="229" spans="1:6" x14ac:dyDescent="0.25">
      <c r="A229">
        <v>1.1200000000000001</v>
      </c>
      <c r="B229">
        <f t="shared" si="13"/>
        <v>0.74969175139825106</v>
      </c>
      <c r="C229">
        <f t="shared" si="14"/>
        <v>0.74383345696738801</v>
      </c>
      <c r="E229" s="2">
        <f t="shared" si="16"/>
        <v>0.7498375034128324</v>
      </c>
      <c r="F229" s="2">
        <f t="shared" si="15"/>
        <v>0.75560332326317081</v>
      </c>
    </row>
    <row r="230" spans="1:6" x14ac:dyDescent="0.25">
      <c r="A230">
        <v>1.125</v>
      </c>
      <c r="B230">
        <f t="shared" si="13"/>
        <v>0.74969979732830461</v>
      </c>
      <c r="C230">
        <f t="shared" si="14"/>
        <v>0.74384391667645766</v>
      </c>
      <c r="E230" s="2">
        <f t="shared" si="16"/>
        <v>0.74984174491195643</v>
      </c>
      <c r="F230" s="2">
        <f t="shared" si="15"/>
        <v>0.75560756476229485</v>
      </c>
    </row>
    <row r="231" spans="1:6" x14ac:dyDescent="0.25">
      <c r="A231">
        <v>1.1299999999999999</v>
      </c>
      <c r="B231">
        <f t="shared" si="13"/>
        <v>0.74970763324283807</v>
      </c>
      <c r="C231">
        <f t="shared" si="14"/>
        <v>0.74385410336535107</v>
      </c>
      <c r="E231" s="2">
        <f t="shared" si="16"/>
        <v>0.74984587569912553</v>
      </c>
      <c r="F231" s="2">
        <f t="shared" si="15"/>
        <v>0.75561169554946395</v>
      </c>
    </row>
    <row r="232" spans="1:6" x14ac:dyDescent="0.25">
      <c r="A232">
        <v>1.135</v>
      </c>
      <c r="B232">
        <f t="shared" si="13"/>
        <v>0.74971526462369353</v>
      </c>
      <c r="C232">
        <f t="shared" si="14"/>
        <v>0.74386402416046316</v>
      </c>
      <c r="E232" s="2">
        <f t="shared" si="16"/>
        <v>0.7498498986641523</v>
      </c>
      <c r="F232" s="2">
        <f t="shared" si="15"/>
        <v>0.75561571851449072</v>
      </c>
    </row>
    <row r="233" spans="1:6" x14ac:dyDescent="0.25">
      <c r="A233">
        <v>1.1399999999999999</v>
      </c>
      <c r="B233">
        <f t="shared" si="13"/>
        <v>0.74972269680962567</v>
      </c>
      <c r="C233">
        <f t="shared" si="14"/>
        <v>0.74387368600217496</v>
      </c>
      <c r="E233" s="2">
        <f t="shared" si="16"/>
        <v>0.74985381662141903</v>
      </c>
      <c r="F233" s="2">
        <f t="shared" si="15"/>
        <v>0.75561963647175745</v>
      </c>
    </row>
    <row r="234" spans="1:6" x14ac:dyDescent="0.25">
      <c r="A234">
        <v>1.145</v>
      </c>
      <c r="B234">
        <f t="shared" si="13"/>
        <v>0.74972993500003671</v>
      </c>
      <c r="C234">
        <f t="shared" si="14"/>
        <v>0.74388309564970934</v>
      </c>
      <c r="E234" s="2">
        <f t="shared" si="16"/>
        <v>0.74985763231184677</v>
      </c>
      <c r="F234" s="2">
        <f t="shared" si="15"/>
        <v>0.75562345216218518</v>
      </c>
    </row>
    <row r="235" spans="1:6" x14ac:dyDescent="0.25">
      <c r="A235">
        <v>1.1499999999999999</v>
      </c>
      <c r="B235">
        <f t="shared" si="13"/>
        <v>0.74973698425861335</v>
      </c>
      <c r="C235">
        <f t="shared" si="14"/>
        <v>0.74389225968585893</v>
      </c>
      <c r="E235" s="2">
        <f t="shared" si="16"/>
        <v>0.74986134840481289</v>
      </c>
      <c r="F235" s="2">
        <f t="shared" si="15"/>
        <v>0.7556271682551513</v>
      </c>
    </row>
    <row r="236" spans="1:6" x14ac:dyDescent="0.25">
      <c r="A236">
        <v>1.155</v>
      </c>
      <c r="B236">
        <f t="shared" si="13"/>
        <v>0.74974384951686979</v>
      </c>
      <c r="C236">
        <f t="shared" si="14"/>
        <v>0.74390118452159226</v>
      </c>
      <c r="E236" s="2">
        <f t="shared" si="16"/>
        <v>0.7498649675000183</v>
      </c>
      <c r="F236" s="2">
        <f t="shared" si="15"/>
        <v>0.75563078735035671</v>
      </c>
    </row>
    <row r="237" spans="1:6" x14ac:dyDescent="0.25">
      <c r="A237">
        <v>1.1599999999999999</v>
      </c>
      <c r="B237">
        <f t="shared" si="13"/>
        <v>0.74975053557759719</v>
      </c>
      <c r="C237">
        <f t="shared" si="14"/>
        <v>0.74390987640053796</v>
      </c>
      <c r="E237" s="2">
        <f t="shared" si="16"/>
        <v>0.74986849212930662</v>
      </c>
      <c r="F237" s="2">
        <f t="shared" si="15"/>
        <v>0.75563431197964503</v>
      </c>
    </row>
    <row r="238" spans="1:6" x14ac:dyDescent="0.25">
      <c r="A238">
        <v>1.165</v>
      </c>
      <c r="B238">
        <f t="shared" si="13"/>
        <v>0.74975704711822422</v>
      </c>
      <c r="C238">
        <f t="shared" si="14"/>
        <v>0.74391834140335311</v>
      </c>
      <c r="E238" s="2">
        <f t="shared" si="16"/>
        <v>0.74987192475843489</v>
      </c>
      <c r="F238" s="2">
        <f t="shared" si="15"/>
        <v>0.75563774460877331</v>
      </c>
    </row>
    <row r="239" spans="1:6" x14ac:dyDescent="0.25">
      <c r="A239">
        <v>1.17</v>
      </c>
      <c r="B239">
        <f t="shared" si="13"/>
        <v>0.74976338869408854</v>
      </c>
      <c r="C239">
        <f t="shared" si="14"/>
        <v>0.74392658545197676</v>
      </c>
      <c r="E239" s="2">
        <f t="shared" si="16"/>
        <v>0.74987526778879865</v>
      </c>
      <c r="F239" s="2">
        <f t="shared" si="15"/>
        <v>0.75564108763913707</v>
      </c>
    </row>
    <row r="240" spans="1:6" x14ac:dyDescent="0.25">
      <c r="A240">
        <v>1.175</v>
      </c>
      <c r="B240">
        <f t="shared" si="13"/>
        <v>0.74976956474162437</v>
      </c>
      <c r="C240">
        <f t="shared" si="14"/>
        <v>0.74393461431377328</v>
      </c>
      <c r="E240" s="2">
        <f t="shared" si="16"/>
        <v>0.74987852355911211</v>
      </c>
      <c r="F240" s="2">
        <f t="shared" si="15"/>
        <v>0.75564434340945053</v>
      </c>
    </row>
    <row r="241" spans="1:6" x14ac:dyDescent="0.25">
      <c r="A241">
        <v>1.18</v>
      </c>
      <c r="B241">
        <f t="shared" si="13"/>
        <v>0.74977557958146546</v>
      </c>
      <c r="C241">
        <f t="shared" si="14"/>
        <v>0.74394243360556667</v>
      </c>
      <c r="E241" s="2">
        <f t="shared" si="16"/>
        <v>0.74988169434704433</v>
      </c>
      <c r="F241" s="2">
        <f t="shared" si="15"/>
        <v>0.75564751419738274</v>
      </c>
    </row>
    <row r="242" spans="1:6" x14ac:dyDescent="0.25">
      <c r="A242">
        <v>1.1850000000000001</v>
      </c>
      <c r="B242">
        <f t="shared" si="13"/>
        <v>0.74978143742146819</v>
      </c>
      <c r="C242">
        <f t="shared" si="14"/>
        <v>0.74395004879757032</v>
      </c>
      <c r="E242" s="2">
        <f t="shared" si="16"/>
        <v>0.74988478237081224</v>
      </c>
      <c r="F242" s="2">
        <f t="shared" si="15"/>
        <v>0.75565060222115066</v>
      </c>
    </row>
    <row r="243" spans="1:6" x14ac:dyDescent="0.25">
      <c r="A243">
        <v>1.19</v>
      </c>
      <c r="B243">
        <f t="shared" si="13"/>
        <v>0.74978714235965516</v>
      </c>
      <c r="C243">
        <f t="shared" si="14"/>
        <v>0.74395746521721329</v>
      </c>
      <c r="E243" s="2">
        <f t="shared" si="16"/>
        <v>0.74988778979073278</v>
      </c>
      <c r="F243" s="2">
        <f t="shared" si="15"/>
        <v>0.7556536096410712</v>
      </c>
    </row>
    <row r="244" spans="1:6" x14ac:dyDescent="0.25">
      <c r="A244">
        <v>1.1950000000000001</v>
      </c>
      <c r="B244">
        <f t="shared" si="13"/>
        <v>0.74979269838708196</v>
      </c>
      <c r="C244">
        <f t="shared" si="14"/>
        <v>0.74396468805286808</v>
      </c>
      <c r="E244" s="2">
        <f t="shared" si="16"/>
        <v>0.74989071871073409</v>
      </c>
      <c r="F244" s="2">
        <f t="shared" si="15"/>
        <v>0.75565653856107251</v>
      </c>
    </row>
    <row r="245" spans="1:6" x14ac:dyDescent="0.25">
      <c r="A245">
        <v>1.2</v>
      </c>
      <c r="B245">
        <f t="shared" si="13"/>
        <v>0.7497981093906293</v>
      </c>
      <c r="C245">
        <f t="shared" si="14"/>
        <v>0.74397172235747966</v>
      </c>
      <c r="E245" s="2">
        <f t="shared" si="16"/>
        <v>0.74989357117982758</v>
      </c>
      <c r="F245" s="2">
        <f t="shared" si="15"/>
        <v>0.75565939103016599</v>
      </c>
    </row>
    <row r="246" spans="1:6" x14ac:dyDescent="0.25">
      <c r="A246">
        <v>1.2050000000000001</v>
      </c>
      <c r="B246">
        <f t="shared" si="13"/>
        <v>0.74980337915572226</v>
      </c>
      <c r="C246">
        <f t="shared" si="14"/>
        <v>0.74397857305210058</v>
      </c>
      <c r="E246" s="2">
        <f t="shared" si="16"/>
        <v>0.74989634919354098</v>
      </c>
      <c r="F246" s="2">
        <f t="shared" si="15"/>
        <v>0.75566216904387939</v>
      </c>
    </row>
    <row r="247" spans="1:6" x14ac:dyDescent="0.25">
      <c r="A247">
        <v>1.21</v>
      </c>
      <c r="B247">
        <f t="shared" si="13"/>
        <v>0.74980851136897864</v>
      </c>
      <c r="C247">
        <f t="shared" si="14"/>
        <v>0.74398524492933371</v>
      </c>
      <c r="E247" s="2">
        <f t="shared" si="16"/>
        <v>0.74989905469531459</v>
      </c>
      <c r="F247" s="2">
        <f t="shared" si="15"/>
        <v>0.75566487454565301</v>
      </c>
    </row>
    <row r="248" spans="1:6" x14ac:dyDescent="0.25">
      <c r="A248">
        <v>1.2150000000000001</v>
      </c>
      <c r="B248">
        <f t="shared" si="13"/>
        <v>0.74981350962078741</v>
      </c>
      <c r="C248">
        <f t="shared" si="14"/>
        <v>0.74399174265668522</v>
      </c>
      <c r="E248" s="2">
        <f t="shared" si="16"/>
        <v>0.74990168957786119</v>
      </c>
      <c r="F248" s="2">
        <f t="shared" si="15"/>
        <v>0.7556675094281996</v>
      </c>
    </row>
    <row r="249" spans="1:6" x14ac:dyDescent="0.25">
      <c r="A249">
        <v>1.22</v>
      </c>
      <c r="B249">
        <f t="shared" si="13"/>
        <v>0.74981837740782131</v>
      </c>
      <c r="C249">
        <f t="shared" si="14"/>
        <v>0.74399807077982927</v>
      </c>
      <c r="E249" s="2">
        <f t="shared" si="16"/>
        <v>0.74990425568448926</v>
      </c>
      <c r="F249" s="2">
        <f t="shared" si="15"/>
        <v>0.75567007553482768</v>
      </c>
    </row>
    <row r="250" spans="1:6" x14ac:dyDescent="0.25">
      <c r="A250">
        <v>1.2250000000000001</v>
      </c>
      <c r="B250">
        <f t="shared" si="13"/>
        <v>0.74982311813548241</v>
      </c>
      <c r="C250">
        <f t="shared" si="14"/>
        <v>0.74400423372578872</v>
      </c>
      <c r="E250" s="2">
        <f t="shared" si="16"/>
        <v>0.74990675481039371</v>
      </c>
      <c r="F250" s="2">
        <f t="shared" si="15"/>
        <v>0.75567257466073212</v>
      </c>
    </row>
    <row r="251" spans="1:6" x14ac:dyDescent="0.25">
      <c r="A251">
        <v>1.23</v>
      </c>
      <c r="B251">
        <f t="shared" si="13"/>
        <v>0.74982773512028489</v>
      </c>
      <c r="C251">
        <f t="shared" si="14"/>
        <v>0.74401023580603187</v>
      </c>
      <c r="E251" s="2">
        <f t="shared" si="16"/>
        <v>0.74990918870391066</v>
      </c>
      <c r="F251" s="2">
        <f t="shared" si="15"/>
        <v>0.75567500855424907</v>
      </c>
    </row>
    <row r="252" spans="1:6" x14ac:dyDescent="0.25">
      <c r="A252">
        <v>1.2350000000000001</v>
      </c>
      <c r="B252">
        <f t="shared" si="13"/>
        <v>0.74983223159217482</v>
      </c>
      <c r="C252">
        <f t="shared" si="14"/>
        <v>0.74401608121948881</v>
      </c>
      <c r="E252" s="2">
        <f t="shared" si="16"/>
        <v>0.74991155906774121</v>
      </c>
      <c r="F252" s="2">
        <f t="shared" si="15"/>
        <v>0.75567737891807962</v>
      </c>
    </row>
    <row r="253" spans="1:6" x14ac:dyDescent="0.25">
      <c r="A253">
        <v>1.24</v>
      </c>
      <c r="B253">
        <f t="shared" si="13"/>
        <v>0.74983661069678997</v>
      </c>
      <c r="C253">
        <f t="shared" si="14"/>
        <v>0.74402177405548864</v>
      </c>
      <c r="E253" s="2">
        <f t="shared" si="16"/>
        <v>0.74991386756014244</v>
      </c>
      <c r="F253" s="2">
        <f t="shared" si="15"/>
        <v>0.75567968741048086</v>
      </c>
    </row>
    <row r="254" spans="1:6" x14ac:dyDescent="0.25">
      <c r="A254">
        <v>1.2450000000000001</v>
      </c>
      <c r="B254">
        <f t="shared" si="13"/>
        <v>0.74984087549766065</v>
      </c>
      <c r="C254">
        <f t="shared" si="14"/>
        <v>0.7440273182966205</v>
      </c>
      <c r="E254" s="2">
        <f t="shared" si="16"/>
        <v>0.74991611579608741</v>
      </c>
      <c r="F254" s="2">
        <f t="shared" si="15"/>
        <v>0.75568193564642583</v>
      </c>
    </row>
    <row r="255" spans="1:6" x14ac:dyDescent="0.25">
      <c r="A255">
        <v>1.25</v>
      </c>
      <c r="B255">
        <f t="shared" si="13"/>
        <v>0.74984502897835248</v>
      </c>
      <c r="C255">
        <f t="shared" si="14"/>
        <v>0.74403271782151981</v>
      </c>
      <c r="E255" s="2">
        <f t="shared" si="16"/>
        <v>0.74991830534839499</v>
      </c>
      <c r="F255" s="2">
        <f t="shared" si="15"/>
        <v>0.7556841251987334</v>
      </c>
    </row>
    <row r="256" spans="1:6" x14ac:dyDescent="0.25">
      <c r="A256">
        <v>1.2549999999999999</v>
      </c>
      <c r="B256">
        <f t="shared" si="13"/>
        <v>0.7498490740445537</v>
      </c>
      <c r="C256">
        <f t="shared" si="14"/>
        <v>0.7440379764075814</v>
      </c>
      <c r="E256" s="2">
        <f t="shared" si="16"/>
        <v>0.74992043774883033</v>
      </c>
      <c r="F256" s="2">
        <f t="shared" si="15"/>
        <v>0.75568625759916874</v>
      </c>
    </row>
    <row r="257" spans="1:6" x14ac:dyDescent="0.25">
      <c r="A257">
        <v>1.26</v>
      </c>
      <c r="B257">
        <f t="shared" si="13"/>
        <v>0.74985301352610811</v>
      </c>
      <c r="C257">
        <f t="shared" si="14"/>
        <v>0.74404309773360222</v>
      </c>
      <c r="E257" s="2">
        <f t="shared" si="16"/>
        <v>0.74992251448917624</v>
      </c>
      <c r="F257" s="2">
        <f t="shared" si="15"/>
        <v>0.75568833433951466</v>
      </c>
    </row>
    <row r="258" spans="1:6" x14ac:dyDescent="0.25">
      <c r="A258">
        <v>1.2649999999999999</v>
      </c>
      <c r="B258">
        <f t="shared" si="13"/>
        <v>0.74985685017899495</v>
      </c>
      <c r="C258">
        <f t="shared" si="14"/>
        <v>0.74404808538235501</v>
      </c>
      <c r="E258" s="2">
        <f t="shared" si="16"/>
        <v>0.74992453702227679</v>
      </c>
      <c r="F258" s="2">
        <f t="shared" si="15"/>
        <v>0.75569035687261521</v>
      </c>
    </row>
    <row r="259" spans="1:6" x14ac:dyDescent="0.25">
      <c r="A259">
        <v>1.27</v>
      </c>
      <c r="B259">
        <f t="shared" si="13"/>
        <v>0.7498605866872563</v>
      </c>
      <c r="C259">
        <f t="shared" si="14"/>
        <v>0.74405294284309476</v>
      </c>
      <c r="E259" s="2">
        <f t="shared" si="16"/>
        <v>0.74992650676305406</v>
      </c>
      <c r="F259" s="2">
        <f t="shared" si="15"/>
        <v>0.75569232661339247</v>
      </c>
    </row>
    <row r="260" spans="1:6" x14ac:dyDescent="0.25">
      <c r="A260">
        <v>1.2749999999999999</v>
      </c>
      <c r="B260">
        <f t="shared" si="13"/>
        <v>0.74986422566487532</v>
      </c>
      <c r="C260">
        <f t="shared" si="14"/>
        <v>0.74405767351399954</v>
      </c>
      <c r="E260" s="2">
        <f t="shared" si="16"/>
        <v>0.74992842508949753</v>
      </c>
      <c r="F260" s="2">
        <f t="shared" si="15"/>
        <v>0.75569424493983595</v>
      </c>
    </row>
    <row r="261" spans="1:6" x14ac:dyDescent="0.25">
      <c r="A261">
        <v>1.28</v>
      </c>
      <c r="B261">
        <f t="shared" ref="B261:B268" si="17">$I$3-$L$6*EXP(-$L$8*A261)</f>
        <v>0.74986776965760493</v>
      </c>
      <c r="C261">
        <f t="shared" ref="C261:C268" si="18">MIN($I$3-(1+$I$13)*$L$6*EXP(-$L$8*A261)-$L$11,$I$3-$L$11)</f>
        <v>0.74406228070454794</v>
      </c>
      <c r="E261" s="2">
        <f t="shared" si="16"/>
        <v>0.74993029334362815</v>
      </c>
      <c r="F261" s="2">
        <f t="shared" si="15"/>
        <v>0.75569611319396657</v>
      </c>
    </row>
    <row r="262" spans="1:6" x14ac:dyDescent="0.25">
      <c r="A262">
        <v>1.2849999999999999</v>
      </c>
      <c r="B262">
        <f t="shared" si="17"/>
        <v>0.74987122114474813</v>
      </c>
      <c r="C262">
        <f t="shared" si="18"/>
        <v>0.74406676763783419</v>
      </c>
      <c r="E262" s="2">
        <f t="shared" si="16"/>
        <v>0.74993211283243766</v>
      </c>
      <c r="F262" s="2">
        <f t="shared" ref="F262:F268" si="19">E262+$L$11</f>
        <v>0.75569793268277607</v>
      </c>
    </row>
    <row r="263" spans="1:6" x14ac:dyDescent="0.25">
      <c r="A263">
        <v>1.29</v>
      </c>
      <c r="B263">
        <f t="shared" si="17"/>
        <v>0.74987458254089356</v>
      </c>
      <c r="C263">
        <f t="shared" si="18"/>
        <v>0.74407113745282316</v>
      </c>
      <c r="E263" s="2">
        <f t="shared" ref="E263:E268" si="20">$I$3-$I$14*$L$6*EXP(-$L$8*A261)</f>
        <v>0.74993388482880241</v>
      </c>
      <c r="F263" s="2">
        <f t="shared" si="19"/>
        <v>0.75569970467914083</v>
      </c>
    </row>
    <row r="264" spans="1:6" x14ac:dyDescent="0.25">
      <c r="A264">
        <v>1.2949999999999999</v>
      </c>
      <c r="B264">
        <f t="shared" si="17"/>
        <v>0.7498778561976035</v>
      </c>
      <c r="C264">
        <f t="shared" si="18"/>
        <v>0.74407539320654614</v>
      </c>
      <c r="E264" s="2">
        <f t="shared" si="20"/>
        <v>0.74993561057237412</v>
      </c>
      <c r="F264" s="2">
        <f t="shared" si="19"/>
        <v>0.75570143042271254</v>
      </c>
    </row>
    <row r="265" spans="1:6" x14ac:dyDescent="0.25">
      <c r="A265">
        <v>1.3</v>
      </c>
      <c r="B265">
        <f t="shared" si="17"/>
        <v>0.74988104440506009</v>
      </c>
      <c r="C265">
        <f t="shared" si="18"/>
        <v>0.74407953787623959</v>
      </c>
      <c r="E265" s="2">
        <f t="shared" si="20"/>
        <v>0.74993729127044673</v>
      </c>
      <c r="F265" s="2">
        <f t="shared" si="19"/>
        <v>0.75570311112078514</v>
      </c>
    </row>
    <row r="266" spans="1:6" x14ac:dyDescent="0.25">
      <c r="A266">
        <v>1.3049999999999999</v>
      </c>
      <c r="B266">
        <f t="shared" si="17"/>
        <v>0.74988414939366643</v>
      </c>
      <c r="C266">
        <f t="shared" si="18"/>
        <v>0.74408357436142791</v>
      </c>
      <c r="E266" s="2">
        <f t="shared" si="20"/>
        <v>0.7499389280988018</v>
      </c>
      <c r="F266" s="2">
        <f t="shared" si="19"/>
        <v>0.75570474794914022</v>
      </c>
    </row>
    <row r="267" spans="1:6" x14ac:dyDescent="0.25">
      <c r="A267">
        <v>1.31</v>
      </c>
      <c r="B267">
        <f t="shared" si="17"/>
        <v>0.74988717333560784</v>
      </c>
      <c r="C267">
        <f t="shared" si="18"/>
        <v>0.74408750548595182</v>
      </c>
      <c r="E267" s="2">
        <f t="shared" si="20"/>
        <v>0.74994052220253005</v>
      </c>
      <c r="F267" s="2">
        <f t="shared" si="19"/>
        <v>0.75570634205286846</v>
      </c>
    </row>
    <row r="268" spans="1:6" x14ac:dyDescent="0.25">
      <c r="A268">
        <v>1.3149999999999999</v>
      </c>
      <c r="B268">
        <f t="shared" si="17"/>
        <v>0.74989011834637098</v>
      </c>
      <c r="C268">
        <f t="shared" si="18"/>
        <v>0.74409133399994387</v>
      </c>
      <c r="E268" s="2">
        <f t="shared" si="20"/>
        <v>0.74994207469683327</v>
      </c>
      <c r="F268" s="2">
        <f t="shared" si="19"/>
        <v>0.75570789454717169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_CSV">
                <anchor moveWithCells="1" sizeWithCells="1">
                  <from>
                    <xdr:col>10</xdr:col>
                    <xdr:colOff>381000</xdr:colOff>
                    <xdr:row>0</xdr:row>
                    <xdr:rowOff>180975</xdr:rowOff>
                  </from>
                  <to>
                    <xdr:col>13</xdr:col>
                    <xdr:colOff>209550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0E4FE-0C81-41D4-A12C-A5CF8C4F2094}">
  <sheetPr codeName="Feuil8"/>
  <dimension ref="A1:M268"/>
  <sheetViews>
    <sheetView zoomScale="108" workbookViewId="0">
      <selection activeCell="S20" sqref="A1:XFD1048576"/>
    </sheetView>
  </sheetViews>
  <sheetFormatPr baseColWidth="10" defaultRowHeight="15" x14ac:dyDescent="0.25"/>
  <cols>
    <col min="2" max="2" width="0" hidden="1" customWidth="1"/>
    <col min="5" max="7" width="11.42578125" style="2"/>
    <col min="13" max="13" width="14.7109375" customWidth="1"/>
  </cols>
  <sheetData>
    <row r="1" spans="1:13" ht="24" x14ac:dyDescent="0.4">
      <c r="B1" s="6" t="s">
        <v>17</v>
      </c>
      <c r="C1" s="6"/>
    </row>
    <row r="3" spans="1:13" x14ac:dyDescent="0.25">
      <c r="I3" t="s">
        <v>1</v>
      </c>
      <c r="J3" s="3">
        <v>0.75</v>
      </c>
    </row>
    <row r="4" spans="1:13" x14ac:dyDescent="0.25">
      <c r="A4" t="s">
        <v>0</v>
      </c>
      <c r="C4" t="s">
        <v>24</v>
      </c>
      <c r="D4" t="s">
        <v>28</v>
      </c>
      <c r="G4" s="2" t="s">
        <v>40</v>
      </c>
      <c r="I4" t="s">
        <v>36</v>
      </c>
      <c r="J4" s="3">
        <v>5</v>
      </c>
    </row>
    <row r="5" spans="1:13" x14ac:dyDescent="0.25">
      <c r="A5">
        <v>0</v>
      </c>
      <c r="B5">
        <f>$J$3-$M$6*EXP(-$M$8*A5)</f>
        <v>0.63468360299323179</v>
      </c>
      <c r="C5">
        <f t="shared" ref="C5:C68" si="0">$J$3-M$19/(2*J$8)*(2*J$8*M$17*(1-M$15*EXP(-M$15*A5))+2*J$8*M$18*(1-M$16*EXP(-M$16*A5))+J$6*M$17*EXP(-M$15*A5)+J$6*M$18*EXP(-M$16*A5))</f>
        <v>0.63468360299323179</v>
      </c>
      <c r="D5">
        <f>MIN($J$3-(1+J$13)*M$19/(2*J$8)*(2*J$8*M$17*(1-M$15*EXP(-M$15*A5))+2*J$8*M$18*(1-M$16*EXP(-M$16*A5))+J$6*M$17*EXP(-M$15*A5)+J$6*M$18*EXP(-M$16*A5))-M$11,$J$3-$M$11)</f>
        <v>0.57125958463950932</v>
      </c>
      <c r="F5" s="2">
        <f>J3</f>
        <v>0.75</v>
      </c>
      <c r="G5" s="2">
        <f>F5</f>
        <v>0.75</v>
      </c>
      <c r="I5" t="s">
        <v>2</v>
      </c>
      <c r="J5" s="3">
        <v>2</v>
      </c>
      <c r="L5" t="s">
        <v>9</v>
      </c>
      <c r="M5" s="4">
        <f>3.7*PI()/180</f>
        <v>6.4577182323790186E-2</v>
      </c>
    </row>
    <row r="6" spans="1:13" x14ac:dyDescent="0.25">
      <c r="A6">
        <v>5.0000000000000001E-3</v>
      </c>
      <c r="B6">
        <f t="shared" ref="B6:B68" si="1">$J$3-$M$6*EXP(-$M$8*A6)</f>
        <v>0.63679106655971651</v>
      </c>
      <c r="C6">
        <f t="shared" si="0"/>
        <v>0.63481277344959608</v>
      </c>
      <c r="D6">
        <f t="shared" ref="D6:D69" si="2">MIN($J$3-(1+J$13)*M$19/(2*J$8)*(2*J$8*M$17*(1-M$15*EXP(-M$15*A6))+2*J$8*M$18*(1-M$16*EXP(-M$16*A6))+J$6*M$17*EXP(-M$15*A6)+J$6*M$18*EXP(-M$16*A6))-M$11,$J$3-$M$11)</f>
        <v>0.5714533403240557</v>
      </c>
      <c r="F6" s="2">
        <f>J3</f>
        <v>0.75</v>
      </c>
      <c r="G6" s="2">
        <f t="shared" ref="G6:G45" si="3">F6</f>
        <v>0.75</v>
      </c>
      <c r="I6" t="s">
        <v>3</v>
      </c>
      <c r="J6" s="3">
        <v>152</v>
      </c>
      <c r="L6" t="s">
        <v>11</v>
      </c>
      <c r="M6" s="4">
        <f>M5*J11*J12/M9</f>
        <v>0.11531639700676818</v>
      </c>
    </row>
    <row r="7" spans="1:13" x14ac:dyDescent="0.25">
      <c r="A7">
        <v>0.01</v>
      </c>
      <c r="B7">
        <f t="shared" si="1"/>
        <v>0.6388600151985816</v>
      </c>
      <c r="C7">
        <f t="shared" si="0"/>
        <v>0.63517929354857372</v>
      </c>
      <c r="D7">
        <f t="shared" si="2"/>
        <v>0.57200312047252222</v>
      </c>
      <c r="F7" s="2">
        <f>$J$3-J$14*M$19/(2*J$8)*(2*J$8*M$17*(1-M$15*EXP(-M$15*A5))+2*J$8*M$18*(1-M$16*EXP(-M$16*A5))+J$6*M$17*EXP(-M$15*A5)+J$6*M$18*EXP(-M$16*A5))</f>
        <v>0.69234180149661595</v>
      </c>
      <c r="G7" s="2">
        <f t="shared" si="3"/>
        <v>0.69234180149661595</v>
      </c>
      <c r="I7" t="s">
        <v>4</v>
      </c>
      <c r="J7" s="3">
        <v>0.06</v>
      </c>
      <c r="L7" t="s">
        <v>12</v>
      </c>
      <c r="M7" s="4">
        <f>J6*M9/(J9*J11*J12)</f>
        <v>0.27108280254777073</v>
      </c>
    </row>
    <row r="8" spans="1:13" x14ac:dyDescent="0.25">
      <c r="A8">
        <v>1.4999999999999999E-2</v>
      </c>
      <c r="B8">
        <f t="shared" si="1"/>
        <v>0.64089115278897046</v>
      </c>
      <c r="C8">
        <f t="shared" si="0"/>
        <v>0.63575412102784212</v>
      </c>
      <c r="D8">
        <f t="shared" si="2"/>
        <v>0.57286536169142488</v>
      </c>
      <c r="F8" s="2">
        <f t="shared" ref="F8:F71" si="4">$J$3-J$14*M$19/(2*J$8)*(2*J$8*M$17*(1-M$15*EXP(-M$15*A6))+2*J$8*M$18*(1-M$16*EXP(-M$16*A6))+J$6*M$17*EXP(-M$15*A6)+J$6*M$18*EXP(-M$16*A6))</f>
        <v>0.69240638672479804</v>
      </c>
      <c r="G8" s="2">
        <f t="shared" si="3"/>
        <v>0.69240638672479804</v>
      </c>
      <c r="I8" t="s">
        <v>5</v>
      </c>
      <c r="J8" s="3">
        <v>3</v>
      </c>
      <c r="L8" t="s">
        <v>13</v>
      </c>
      <c r="M8" s="4">
        <f>1/M7</f>
        <v>3.6889097744360897</v>
      </c>
    </row>
    <row r="9" spans="1:13" x14ac:dyDescent="0.25">
      <c r="A9">
        <v>0.02</v>
      </c>
      <c r="B9">
        <f t="shared" si="1"/>
        <v>0.64288517034629056</v>
      </c>
      <c r="C9">
        <f t="shared" si="0"/>
        <v>0.6365112118411681</v>
      </c>
      <c r="D9">
        <f t="shared" si="2"/>
        <v>0.57400099791141368</v>
      </c>
      <c r="F9" s="2">
        <f t="shared" si="4"/>
        <v>0.69258964677428692</v>
      </c>
      <c r="G9" s="2">
        <f t="shared" si="3"/>
        <v>0.69258964677428692</v>
      </c>
      <c r="I9" t="s">
        <v>6</v>
      </c>
      <c r="J9" s="3">
        <v>314</v>
      </c>
      <c r="L9" t="s">
        <v>14</v>
      </c>
      <c r="M9" s="4">
        <f>J7+M12+J10</f>
        <v>0.56000000000000005</v>
      </c>
    </row>
    <row r="10" spans="1:13" x14ac:dyDescent="0.25">
      <c r="A10">
        <v>2.5000000000000001E-2</v>
      </c>
      <c r="B10">
        <f t="shared" si="1"/>
        <v>0.64484274625730476</v>
      </c>
      <c r="C10">
        <f t="shared" si="0"/>
        <v>0.63742722059241708</v>
      </c>
      <c r="D10">
        <f t="shared" si="2"/>
        <v>0.57537501103828725</v>
      </c>
      <c r="F10" s="2">
        <f t="shared" si="4"/>
        <v>0.69287706051392106</v>
      </c>
      <c r="G10" s="2">
        <f t="shared" si="3"/>
        <v>0.69287706051392106</v>
      </c>
      <c r="I10" t="s">
        <v>20</v>
      </c>
      <c r="J10" s="3">
        <v>0</v>
      </c>
      <c r="L10" t="s">
        <v>15</v>
      </c>
      <c r="M10" s="4">
        <f>SQRT(J9*J12*J11/(2*J8*M9))</f>
        <v>9.6670771669818052</v>
      </c>
    </row>
    <row r="11" spans="1:13" x14ac:dyDescent="0.25">
      <c r="A11">
        <v>0.03</v>
      </c>
      <c r="B11">
        <f t="shared" si="1"/>
        <v>0.64676454651092619</v>
      </c>
      <c r="C11">
        <f t="shared" si="0"/>
        <v>0.63848123068897866</v>
      </c>
      <c r="D11">
        <f t="shared" si="2"/>
        <v>0.57695602618312958</v>
      </c>
      <c r="F11" s="2">
        <f t="shared" si="4"/>
        <v>0.69325560592058399</v>
      </c>
      <c r="G11" s="2">
        <f t="shared" si="3"/>
        <v>0.69325560592058399</v>
      </c>
      <c r="I11" t="s">
        <v>10</v>
      </c>
      <c r="J11" s="3">
        <v>1</v>
      </c>
      <c r="L11" t="s">
        <v>16</v>
      </c>
      <c r="M11" s="5">
        <f>J15*(J3-B5)</f>
        <v>5.7658198503384109E-3</v>
      </c>
    </row>
    <row r="12" spans="1:13" x14ac:dyDescent="0.25">
      <c r="A12">
        <v>3.5000000000000003E-2</v>
      </c>
      <c r="B12">
        <f t="shared" si="1"/>
        <v>0.64865122492479454</v>
      </c>
      <c r="C12">
        <f t="shared" si="0"/>
        <v>0.63965451127084305</v>
      </c>
      <c r="D12">
        <f t="shared" si="2"/>
        <v>0.57871594705592622</v>
      </c>
      <c r="F12" s="2">
        <f t="shared" si="4"/>
        <v>0.69371361029620859</v>
      </c>
      <c r="G12" s="2">
        <f t="shared" si="3"/>
        <v>0.69371361029620859</v>
      </c>
      <c r="I12" t="s">
        <v>8</v>
      </c>
      <c r="J12" s="3">
        <v>1</v>
      </c>
      <c r="L12" t="s">
        <v>7</v>
      </c>
      <c r="M12" s="4">
        <f>1/J5</f>
        <v>0.5</v>
      </c>
    </row>
    <row r="13" spans="1:13" x14ac:dyDescent="0.25">
      <c r="A13">
        <v>0.04</v>
      </c>
      <c r="B13">
        <f t="shared" si="1"/>
        <v>0.6505034233677125</v>
      </c>
      <c r="C13">
        <f t="shared" si="0"/>
        <v>0.64093029826304926</v>
      </c>
      <c r="D13">
        <f t="shared" si="2"/>
        <v>0.58062962754423553</v>
      </c>
      <c r="F13" s="2">
        <f t="shared" si="4"/>
        <v>0.69424061534448933</v>
      </c>
      <c r="G13" s="2">
        <f t="shared" si="3"/>
        <v>0.69424061534448933</v>
      </c>
      <c r="I13" t="s">
        <v>25</v>
      </c>
      <c r="J13" s="3">
        <v>0.5</v>
      </c>
      <c r="L13" t="s">
        <v>37</v>
      </c>
      <c r="M13">
        <f>M10*SQRT(M14^2-1)</f>
        <v>8.1848679581324628</v>
      </c>
    </row>
    <row r="14" spans="1:13" x14ac:dyDescent="0.25">
      <c r="A14">
        <v>4.4999999999999998E-2</v>
      </c>
      <c r="B14">
        <f t="shared" si="1"/>
        <v>0.65232177197801633</v>
      </c>
      <c r="C14">
        <f t="shared" si="0"/>
        <v>0.64229359716184586</v>
      </c>
      <c r="D14">
        <f t="shared" si="2"/>
        <v>0.58267457589243044</v>
      </c>
      <c r="F14" s="2">
        <f t="shared" si="4"/>
        <v>0.69482725563542158</v>
      </c>
      <c r="G14" s="2">
        <f t="shared" si="3"/>
        <v>0.69482725563542158</v>
      </c>
      <c r="I14" t="s">
        <v>26</v>
      </c>
      <c r="J14" s="3">
        <v>0.5</v>
      </c>
      <c r="L14" t="s">
        <v>38</v>
      </c>
      <c r="M14">
        <f>J6/2*SQRT(M9/(2*J8*J9*J12*J11))</f>
        <v>1.3102891854354954</v>
      </c>
    </row>
    <row r="15" spans="1:13" x14ac:dyDescent="0.25">
      <c r="A15">
        <v>0.05</v>
      </c>
      <c r="B15">
        <f t="shared" si="1"/>
        <v>0.6541068893779558</v>
      </c>
      <c r="C15">
        <f t="shared" si="0"/>
        <v>0.64373100540152695</v>
      </c>
      <c r="D15">
        <f t="shared" si="2"/>
        <v>0.58483068825195195</v>
      </c>
      <c r="F15" s="2">
        <f t="shared" si="4"/>
        <v>0.69546514913152468</v>
      </c>
      <c r="G15" s="2">
        <f t="shared" si="3"/>
        <v>0.69546514913152468</v>
      </c>
      <c r="I15" t="s">
        <v>27</v>
      </c>
      <c r="J15" s="7">
        <v>0.05</v>
      </c>
      <c r="L15" t="s">
        <v>53</v>
      </c>
      <c r="M15">
        <f>M14*M10+M13</f>
        <v>20.851534624799129</v>
      </c>
    </row>
    <row r="16" spans="1:13" x14ac:dyDescent="0.25">
      <c r="A16">
        <v>5.5E-2</v>
      </c>
      <c r="B16">
        <f t="shared" si="1"/>
        <v>0.65585938288415668</v>
      </c>
      <c r="C16">
        <f t="shared" si="0"/>
        <v>0.64523055236210058</v>
      </c>
      <c r="D16">
        <f t="shared" si="2"/>
        <v>0.58708000869281241</v>
      </c>
      <c r="F16" s="2">
        <f t="shared" si="4"/>
        <v>0.69614679858092288</v>
      </c>
      <c r="G16" s="2">
        <f t="shared" si="3"/>
        <v>0.69614679858092288</v>
      </c>
      <c r="L16" t="s">
        <v>54</v>
      </c>
      <c r="M16">
        <f>M14*M10-M13</f>
        <v>4.4817987085342033</v>
      </c>
    </row>
    <row r="17" spans="1:13" x14ac:dyDescent="0.25">
      <c r="A17">
        <v>0.06</v>
      </c>
      <c r="B17">
        <f t="shared" si="1"/>
        <v>0.65757984871423614</v>
      </c>
      <c r="C17">
        <f t="shared" si="0"/>
        <v>0.64678155527002945</v>
      </c>
      <c r="D17">
        <f t="shared" si="2"/>
        <v>0.58940651305470582</v>
      </c>
      <c r="F17" s="2">
        <f t="shared" si="4"/>
        <v>0.69686550270076353</v>
      </c>
      <c r="G17" s="2">
        <f t="shared" si="3"/>
        <v>0.69686550270076353</v>
      </c>
      <c r="L17" t="s">
        <v>55</v>
      </c>
      <c r="M17">
        <f>1/(M16-M15)</f>
        <v>-6.1088340405443115E-2</v>
      </c>
    </row>
    <row r="18" spans="1:13" x14ac:dyDescent="0.25">
      <c r="A18">
        <v>6.5000000000000002E-2</v>
      </c>
      <c r="B18">
        <f t="shared" si="1"/>
        <v>0.65926887218964281</v>
      </c>
      <c r="C18">
        <f t="shared" si="0"/>
        <v>0.64837448941735265</v>
      </c>
      <c r="D18">
        <f t="shared" si="2"/>
        <v>0.59179591427569056</v>
      </c>
      <c r="F18" s="2">
        <f t="shared" si="4"/>
        <v>0.69761527618105024</v>
      </c>
      <c r="G18" s="2">
        <f t="shared" si="3"/>
        <v>0.69761527618105024</v>
      </c>
      <c r="L18" t="s">
        <v>56</v>
      </c>
      <c r="M18">
        <f>-M17</f>
        <v>6.1088340405443115E-2</v>
      </c>
    </row>
    <row r="19" spans="1:13" x14ac:dyDescent="0.25">
      <c r="A19">
        <v>7.0000000000000007E-2</v>
      </c>
      <c r="B19">
        <f t="shared" si="1"/>
        <v>0.66092702793478952</v>
      </c>
      <c r="C19">
        <f t="shared" si="0"/>
        <v>0.65000087128042672</v>
      </c>
      <c r="D19">
        <f t="shared" si="2"/>
        <v>0.59423548707030172</v>
      </c>
      <c r="F19" s="2">
        <f t="shared" si="4"/>
        <v>0.69839077763501478</v>
      </c>
      <c r="G19" s="2">
        <f t="shared" si="3"/>
        <v>0.69839077763501478</v>
      </c>
      <c r="L19" t="s">
        <v>39</v>
      </c>
      <c r="M19">
        <f>M5*J11*J12/M9</f>
        <v>0.11531639700676818</v>
      </c>
    </row>
    <row r="20" spans="1:13" x14ac:dyDescent="0.25">
      <c r="A20">
        <v>7.4999999999999997E-2</v>
      </c>
      <c r="B20">
        <f t="shared" si="1"/>
        <v>0.66255488007254681</v>
      </c>
      <c r="C20">
        <f t="shared" si="0"/>
        <v>0.65165315326001783</v>
      </c>
      <c r="D20">
        <f t="shared" si="2"/>
        <v>0.59671391003968832</v>
      </c>
      <c r="F20" s="2">
        <f t="shared" si="4"/>
        <v>0.69918724470867633</v>
      </c>
      <c r="G20" s="2">
        <f t="shared" si="3"/>
        <v>0.69918724470867633</v>
      </c>
    </row>
    <row r="21" spans="1:13" x14ac:dyDescent="0.25">
      <c r="A21">
        <v>0.08</v>
      </c>
      <c r="B21">
        <f t="shared" si="1"/>
        <v>0.66415298241616383</v>
      </c>
      <c r="C21">
        <f t="shared" si="0"/>
        <v>0.65332462889105913</v>
      </c>
      <c r="D21">
        <f t="shared" si="2"/>
        <v>0.59922112348625034</v>
      </c>
      <c r="F21" s="2">
        <f t="shared" si="4"/>
        <v>0.70000043564021341</v>
      </c>
      <c r="G21" s="2">
        <f t="shared" si="3"/>
        <v>0.70000043564021341</v>
      </c>
    </row>
    <row r="22" spans="1:13" x14ac:dyDescent="0.25">
      <c r="A22">
        <v>8.5000000000000006E-2</v>
      </c>
      <c r="B22">
        <f t="shared" si="1"/>
        <v>0.66572187865768173</v>
      </c>
      <c r="C22">
        <f t="shared" si="0"/>
        <v>0.65500934748443507</v>
      </c>
      <c r="D22">
        <f t="shared" si="2"/>
        <v>0.60174820137631413</v>
      </c>
      <c r="F22" s="2">
        <f t="shared" si="4"/>
        <v>0.70082657663000891</v>
      </c>
      <c r="G22" s="2">
        <f t="shared" si="3"/>
        <v>0.70082657663000891</v>
      </c>
    </row>
    <row r="23" spans="1:13" x14ac:dyDescent="0.25">
      <c r="A23">
        <v>0.09</v>
      </c>
      <c r="B23">
        <f t="shared" si="1"/>
        <v>0.66726210255290352</v>
      </c>
      <c r="C23">
        <f t="shared" si="0"/>
        <v>0.65670203726591292</v>
      </c>
      <c r="D23">
        <f t="shared" si="2"/>
        <v>0.60428723604853085</v>
      </c>
      <c r="F23" s="2">
        <f t="shared" si="4"/>
        <v>0.70166231444552962</v>
      </c>
      <c r="G23" s="2">
        <f t="shared" si="3"/>
        <v>0.70166231444552962</v>
      </c>
    </row>
    <row r="24" spans="1:13" x14ac:dyDescent="0.25">
      <c r="A24">
        <v>9.5000000000000001E-2</v>
      </c>
      <c r="B24">
        <f t="shared" si="1"/>
        <v>0.66877417810298401</v>
      </c>
      <c r="C24">
        <f t="shared" si="0"/>
        <v>0.65839803616992421</v>
      </c>
      <c r="D24">
        <f t="shared" si="2"/>
        <v>0.60683123440454789</v>
      </c>
      <c r="F24" s="2">
        <f t="shared" si="4"/>
        <v>0.70250467374221748</v>
      </c>
      <c r="G24" s="2">
        <f t="shared" si="3"/>
        <v>0.70250467374221748</v>
      </c>
    </row>
    <row r="25" spans="1:13" x14ac:dyDescent="0.25">
      <c r="A25">
        <v>0.1</v>
      </c>
      <c r="B25">
        <f t="shared" si="1"/>
        <v>0.67025861973270018</v>
      </c>
      <c r="C25">
        <f t="shared" si="0"/>
        <v>0.66009322952931349</v>
      </c>
      <c r="D25">
        <f t="shared" si="2"/>
        <v>0.60937402444363187</v>
      </c>
      <c r="F25" s="2">
        <f t="shared" si="4"/>
        <v>0.70335101863295646</v>
      </c>
      <c r="G25" s="2">
        <f t="shared" si="3"/>
        <v>0.70335101863295646</v>
      </c>
    </row>
    <row r="26" spans="1:13" x14ac:dyDescent="0.25">
      <c r="A26">
        <v>0.105</v>
      </c>
      <c r="B26">
        <f t="shared" si="1"/>
        <v>0.67171593246546513</v>
      </c>
      <c r="C26">
        <f t="shared" si="0"/>
        <v>0.66178399397733012</v>
      </c>
      <c r="D26">
        <f t="shared" si="2"/>
        <v>0.61191017111565671</v>
      </c>
      <c r="F26" s="2">
        <f t="shared" si="4"/>
        <v>0.7041990180849621</v>
      </c>
      <c r="G26" s="2">
        <f t="shared" si="3"/>
        <v>0.7041990180849621</v>
      </c>
    </row>
    <row r="27" spans="1:13" x14ac:dyDescent="0.25">
      <c r="A27">
        <v>0.11</v>
      </c>
      <c r="B27">
        <f t="shared" si="1"/>
        <v>0.67314661209514148</v>
      </c>
      <c r="C27">
        <f t="shared" si="0"/>
        <v>0.66346714694585263</v>
      </c>
      <c r="D27">
        <f t="shared" si="2"/>
        <v>0.61443490056844052</v>
      </c>
      <c r="F27" s="2">
        <f t="shared" si="4"/>
        <v>0.7050466147646568</v>
      </c>
      <c r="G27" s="2">
        <f t="shared" si="3"/>
        <v>0.7050466147646568</v>
      </c>
    </row>
    <row r="28" spans="1:13" x14ac:dyDescent="0.25">
      <c r="A28">
        <v>0.115</v>
      </c>
      <c r="B28">
        <f t="shared" si="1"/>
        <v>0.67455114535471683</v>
      </c>
      <c r="C28">
        <f t="shared" si="0"/>
        <v>0.6651399012048469</v>
      </c>
      <c r="D28">
        <f t="shared" si="2"/>
        <v>0.61694403195693193</v>
      </c>
      <c r="F28" s="2">
        <f t="shared" si="4"/>
        <v>0.705891996988665</v>
      </c>
      <c r="G28" s="2">
        <f t="shared" si="3"/>
        <v>0.705891996988665</v>
      </c>
    </row>
    <row r="29" spans="1:13" x14ac:dyDescent="0.25">
      <c r="A29">
        <v>0.12</v>
      </c>
      <c r="B29">
        <f t="shared" si="1"/>
        <v>0.67593001008189524</v>
      </c>
      <c r="C29">
        <f t="shared" si="0"/>
        <v>0.66679982394302706</v>
      </c>
      <c r="D29">
        <f t="shared" si="2"/>
        <v>0.61943391606420217</v>
      </c>
      <c r="F29" s="2">
        <f t="shared" si="4"/>
        <v>0.70673357347292631</v>
      </c>
      <c r="G29" s="2">
        <f t="shared" si="3"/>
        <v>0.70673357347292631</v>
      </c>
    </row>
    <row r="30" spans="1:13" x14ac:dyDescent="0.25">
      <c r="A30">
        <v>0.125</v>
      </c>
      <c r="B30">
        <f t="shared" si="1"/>
        <v>0.6772836753816629</v>
      </c>
      <c r="C30">
        <f t="shared" si="0"/>
        <v>0.66844479993921679</v>
      </c>
      <c r="D30">
        <f t="shared" si="2"/>
        <v>0.62190138005848683</v>
      </c>
      <c r="F30" s="2">
        <f t="shared" si="4"/>
        <v>0.70756995060242345</v>
      </c>
      <c r="G30" s="2">
        <f t="shared" si="3"/>
        <v>0.70756995060242345</v>
      </c>
    </row>
    <row r="31" spans="1:13" x14ac:dyDescent="0.25">
      <c r="A31">
        <v>0.13</v>
      </c>
      <c r="B31">
        <f t="shared" si="1"/>
        <v>0.6786126017858829</v>
      </c>
      <c r="C31">
        <f t="shared" si="0"/>
        <v>0.67007299841852952</v>
      </c>
      <c r="D31">
        <f t="shared" si="2"/>
        <v>0.62434367777745592</v>
      </c>
      <c r="F31" s="2">
        <f t="shared" si="4"/>
        <v>0.70839991197151353</v>
      </c>
      <c r="G31" s="2">
        <f t="shared" si="3"/>
        <v>0.70839991197151353</v>
      </c>
    </row>
    <row r="32" spans="1:13" x14ac:dyDescent="0.25">
      <c r="A32">
        <v>0.13500000000000001</v>
      </c>
      <c r="B32">
        <f t="shared" si="1"/>
        <v>0.67991724140997345</v>
      </c>
      <c r="C32">
        <f t="shared" si="0"/>
        <v>0.67168284322769145</v>
      </c>
      <c r="D32">
        <f t="shared" si="2"/>
        <v>0.6267584449911987</v>
      </c>
      <c r="F32" s="2">
        <f t="shared" si="4"/>
        <v>0.70922239996960845</v>
      </c>
      <c r="G32" s="2">
        <f t="shared" si="3"/>
        <v>0.70922239996960845</v>
      </c>
    </row>
    <row r="33" spans="1:9" x14ac:dyDescent="0.25">
      <c r="A33">
        <v>0.14000000000000001</v>
      </c>
      <c r="B33">
        <f t="shared" si="1"/>
        <v>0.68119803810672208</v>
      </c>
      <c r="C33">
        <f t="shared" si="0"/>
        <v>0.67327298600005503</v>
      </c>
      <c r="D33">
        <f t="shared" si="2"/>
        <v>0.62914365914974413</v>
      </c>
      <c r="F33" s="2">
        <f t="shared" si="4"/>
        <v>0.7100364992092647</v>
      </c>
      <c r="G33" s="2">
        <f t="shared" si="3"/>
        <v>0.7100364992092647</v>
      </c>
    </row>
    <row r="34" spans="1:9" x14ac:dyDescent="0.25">
      <c r="A34">
        <v>0.14499999999999999</v>
      </c>
      <c r="B34">
        <f t="shared" si="1"/>
        <v>0.68245542761728961</v>
      </c>
      <c r="C34">
        <f t="shared" si="0"/>
        <v>0.67484228201348573</v>
      </c>
      <c r="D34">
        <f t="shared" si="2"/>
        <v>0.63149760316989012</v>
      </c>
      <c r="F34" s="2">
        <f t="shared" si="4"/>
        <v>0.71084142161384567</v>
      </c>
      <c r="G34" s="2">
        <f t="shared" si="3"/>
        <v>0.71084142161384567</v>
      </c>
    </row>
    <row r="35" spans="1:9" x14ac:dyDescent="0.25">
      <c r="A35">
        <v>0.15</v>
      </c>
      <c r="B35">
        <f t="shared" si="1"/>
        <v>0.68368983771945391</v>
      </c>
      <c r="C35">
        <f t="shared" si="0"/>
        <v>0.67638976847371102</v>
      </c>
      <c r="D35">
        <f t="shared" si="2"/>
        <v>0.63381883286022822</v>
      </c>
      <c r="F35" s="2">
        <f t="shared" si="4"/>
        <v>0.71163649300002751</v>
      </c>
      <c r="G35" s="2">
        <f t="shared" si="3"/>
        <v>0.71163649300002751</v>
      </c>
    </row>
    <row r="36" spans="1:9" x14ac:dyDescent="0.25">
      <c r="A36">
        <v>0.155</v>
      </c>
      <c r="B36">
        <f t="shared" si="1"/>
        <v>0.68490168837314491</v>
      </c>
      <c r="C36">
        <f t="shared" si="0"/>
        <v>0.67791464498221421</v>
      </c>
      <c r="D36">
        <f t="shared" si="2"/>
        <v>0.6361061476229829</v>
      </c>
      <c r="F36" s="2">
        <f t="shared" si="4"/>
        <v>0.71242114100674281</v>
      </c>
      <c r="G36" s="2">
        <f t="shared" si="3"/>
        <v>0.71242114100674281</v>
      </c>
      <c r="I36" s="1"/>
    </row>
    <row r="37" spans="1:9" x14ac:dyDescent="0.25">
      <c r="A37">
        <v>0.16</v>
      </c>
      <c r="B37">
        <f t="shared" si="1"/>
        <v>0.68609139186331902</v>
      </c>
      <c r="C37">
        <f t="shared" si="0"/>
        <v>0.67941625597162303</v>
      </c>
      <c r="D37">
        <f t="shared" si="2"/>
        <v>0.63835856410709613</v>
      </c>
      <c r="F37" s="2">
        <f t="shared" si="4"/>
        <v>0.71319488423685551</v>
      </c>
      <c r="G37" s="2">
        <f t="shared" si="3"/>
        <v>0.71319488423685551</v>
      </c>
    </row>
    <row r="38" spans="1:9" x14ac:dyDescent="0.25">
      <c r="A38">
        <v>0.16500000000000001</v>
      </c>
      <c r="B38">
        <f t="shared" si="1"/>
        <v>0.68725935294022378</v>
      </c>
      <c r="C38">
        <f t="shared" si="0"/>
        <v>0.68089407491305343</v>
      </c>
      <c r="D38">
        <f t="shared" si="2"/>
        <v>0.64057529251924161</v>
      </c>
      <c r="F38" s="2">
        <f t="shared" si="4"/>
        <v>0.7139573224911071</v>
      </c>
      <c r="G38" s="2">
        <f t="shared" si="3"/>
        <v>0.7139573224911071</v>
      </c>
    </row>
    <row r="39" spans="1:9" x14ac:dyDescent="0.25">
      <c r="A39">
        <v>0.17</v>
      </c>
      <c r="B39">
        <f t="shared" si="1"/>
        <v>0.68840596895709771</v>
      </c>
      <c r="C39">
        <f t="shared" si="0"/>
        <v>0.68234769011924079</v>
      </c>
      <c r="D39">
        <f t="shared" si="2"/>
        <v>0.64275571532852271</v>
      </c>
      <c r="F39" s="2">
        <f t="shared" si="4"/>
        <v>0.71470812798581151</v>
      </c>
      <c r="G39" s="2">
        <f t="shared" si="3"/>
        <v>0.71470812798581151</v>
      </c>
    </row>
    <row r="40" spans="1:9" x14ac:dyDescent="0.25">
      <c r="A40">
        <v>0.17499999999999999</v>
      </c>
      <c r="B40">
        <f t="shared" si="1"/>
        <v>0.68953163000535456</v>
      </c>
      <c r="C40">
        <f t="shared" si="0"/>
        <v>0.68377679198475239</v>
      </c>
      <c r="D40">
        <f t="shared" si="2"/>
        <v>0.64489936812679027</v>
      </c>
      <c r="F40" s="2">
        <f t="shared" si="4"/>
        <v>0.71544703745652671</v>
      </c>
      <c r="G40" s="2">
        <f t="shared" si="3"/>
        <v>0.71544703745652671</v>
      </c>
    </row>
    <row r="41" spans="1:9" x14ac:dyDescent="0.25">
      <c r="A41">
        <v>0.18</v>
      </c>
      <c r="B41">
        <f t="shared" si="1"/>
        <v>0.69063671904729673</v>
      </c>
      <c r="C41">
        <f t="shared" si="0"/>
        <v>0.68518116152030129</v>
      </c>
      <c r="D41">
        <f t="shared" si="2"/>
        <v>0.64700592243011346</v>
      </c>
      <c r="F41" s="2">
        <f t="shared" si="4"/>
        <v>0.71617384505962045</v>
      </c>
      <c r="G41" s="2">
        <f t="shared" si="3"/>
        <v>0.71617384505962045</v>
      </c>
    </row>
    <row r="42" spans="1:9" x14ac:dyDescent="0.25">
      <c r="A42">
        <v>0.185</v>
      </c>
      <c r="B42">
        <f t="shared" si="1"/>
        <v>0.69172161204640314</v>
      </c>
      <c r="C42">
        <f t="shared" si="0"/>
        <v>0.68656066005235461</v>
      </c>
      <c r="D42">
        <f t="shared" si="2"/>
        <v>0.64907517022819339</v>
      </c>
      <c r="F42" s="2">
        <f t="shared" si="4"/>
        <v>0.71688839599237619</v>
      </c>
      <c r="G42" s="2">
        <f t="shared" si="3"/>
        <v>0.71688839599237619</v>
      </c>
    </row>
    <row r="43" spans="1:9" x14ac:dyDescent="0.25">
      <c r="A43">
        <v>0.19</v>
      </c>
      <c r="B43">
        <f t="shared" si="1"/>
        <v>0.6927866780952362</v>
      </c>
      <c r="C43">
        <f t="shared" si="0"/>
        <v>0.68791521997199723</v>
      </c>
      <c r="D43">
        <f t="shared" si="2"/>
        <v>0.65110701010765748</v>
      </c>
      <c r="F43" s="2">
        <f t="shared" si="4"/>
        <v>0.71759058076015059</v>
      </c>
      <c r="G43" s="2">
        <f t="shared" si="3"/>
        <v>0.71759058076015059</v>
      </c>
    </row>
    <row r="44" spans="1:9" x14ac:dyDescent="0.25">
      <c r="A44">
        <v>0.19500000000000001</v>
      </c>
      <c r="B44">
        <f t="shared" si="1"/>
        <v>0.69383227954101123</v>
      </c>
      <c r="C44">
        <f t="shared" si="0"/>
        <v>0.68924483642851464</v>
      </c>
      <c r="D44">
        <f t="shared" si="2"/>
        <v>0.65310143479243365</v>
      </c>
      <c r="F44" s="2">
        <f t="shared" si="4"/>
        <v>0.7182803300261773</v>
      </c>
      <c r="G44" s="2">
        <f t="shared" si="3"/>
        <v>0.7182803300261773</v>
      </c>
    </row>
    <row r="45" spans="1:9" x14ac:dyDescent="0.25">
      <c r="A45">
        <v>0.2</v>
      </c>
      <c r="B45">
        <f t="shared" si="1"/>
        <v>0.69485877210887104</v>
      </c>
      <c r="C45">
        <f t="shared" si="0"/>
        <v>0.69054955987352207</v>
      </c>
      <c r="D45">
        <f t="shared" si="2"/>
        <v>0.65505851995994469</v>
      </c>
      <c r="F45" s="2">
        <f t="shared" si="4"/>
        <v>0.71895760998599867</v>
      </c>
      <c r="G45" s="2">
        <f t="shared" si="3"/>
        <v>0.71895760998599867</v>
      </c>
    </row>
    <row r="46" spans="1:9" x14ac:dyDescent="0.25">
      <c r="A46">
        <v>0.20499999999999999</v>
      </c>
      <c r="B46">
        <f t="shared" si="1"/>
        <v>0.69586650502290714</v>
      </c>
      <c r="C46">
        <f t="shared" si="0"/>
        <v>0.69182948937080779</v>
      </c>
      <c r="D46">
        <f t="shared" si="2"/>
        <v>0.65697841420587333</v>
      </c>
      <c r="F46" s="2">
        <f t="shared" si="4"/>
        <v>0.71962241821425732</v>
      </c>
      <c r="G46" s="2">
        <f t="shared" ref="G46:G109" si="5">F46+$M$11</f>
        <v>0.72538823806459574</v>
      </c>
    </row>
    <row r="47" spans="1:9" x14ac:dyDescent="0.25">
      <c r="A47">
        <v>0.21</v>
      </c>
      <c r="B47">
        <f t="shared" si="1"/>
        <v>0.69685582112497035</v>
      </c>
      <c r="C47">
        <f t="shared" si="0"/>
        <v>0.6930847665954688</v>
      </c>
      <c r="D47">
        <f t="shared" si="2"/>
        <v>0.65886133004286473</v>
      </c>
      <c r="F47" s="2">
        <f t="shared" si="4"/>
        <v>0.72027477993676103</v>
      </c>
      <c r="G47" s="2">
        <f t="shared" si="5"/>
        <v>0.72604059978709945</v>
      </c>
    </row>
    <row r="48" spans="1:9" x14ac:dyDescent="0.25">
      <c r="A48">
        <v>0.215</v>
      </c>
      <c r="B48">
        <f t="shared" si="1"/>
        <v>0.69782705699130854</v>
      </c>
      <c r="C48">
        <f t="shared" si="0"/>
        <v>0.69431557045349701</v>
      </c>
      <c r="D48">
        <f t="shared" si="2"/>
        <v>0.66070753582990704</v>
      </c>
      <c r="F48" s="2">
        <f t="shared" si="4"/>
        <v>0.72091474468540395</v>
      </c>
      <c r="G48" s="2">
        <f t="shared" si="5"/>
        <v>0.72668056453574237</v>
      </c>
    </row>
    <row r="49" spans="1:7" x14ac:dyDescent="0.25">
      <c r="A49">
        <v>0.22</v>
      </c>
      <c r="B49">
        <f t="shared" si="1"/>
        <v>0.69878054304707427</v>
      </c>
      <c r="C49">
        <f t="shared" si="0"/>
        <v>0.69552211225980476</v>
      </c>
      <c r="D49">
        <f t="shared" si="2"/>
        <v>0.66251734853936872</v>
      </c>
      <c r="F49" s="2">
        <f t="shared" si="4"/>
        <v>0.72154238329773435</v>
      </c>
      <c r="G49" s="2">
        <f t="shared" si="5"/>
        <v>0.72730820314807276</v>
      </c>
    </row>
    <row r="50" spans="1:7" x14ac:dyDescent="0.25">
      <c r="A50">
        <v>0.22500000000000001</v>
      </c>
      <c r="B50">
        <f t="shared" si="1"/>
        <v>0.69971660367873867</v>
      </c>
      <c r="C50">
        <f t="shared" si="0"/>
        <v>0.69670463141882943</v>
      </c>
      <c r="D50">
        <f t="shared" si="2"/>
        <v>0.66429112727790585</v>
      </c>
      <c r="F50" s="2">
        <f t="shared" si="4"/>
        <v>0.72215778522674845</v>
      </c>
      <c r="G50" s="2">
        <f t="shared" si="5"/>
        <v>0.72792360507708687</v>
      </c>
    </row>
    <row r="51" spans="1:7" x14ac:dyDescent="0.25">
      <c r="A51">
        <v>0.23</v>
      </c>
      <c r="B51">
        <f t="shared" si="1"/>
        <v>0.7006355573444516</v>
      </c>
      <c r="C51">
        <f t="shared" si="0"/>
        <v>0.6978633915574004</v>
      </c>
      <c r="D51">
        <f t="shared" si="2"/>
        <v>0.66602926748576208</v>
      </c>
      <c r="F51" s="2">
        <f t="shared" si="4"/>
        <v>0.72276105612990238</v>
      </c>
      <c r="G51" s="2">
        <f t="shared" si="5"/>
        <v>0.7285268759802408</v>
      </c>
    </row>
    <row r="52" spans="1:7" x14ac:dyDescent="0.25">
      <c r="A52">
        <v>0.23499999999999999</v>
      </c>
      <c r="B52">
        <f t="shared" si="1"/>
        <v>0.70153771668238407</v>
      </c>
      <c r="C52">
        <f t="shared" si="0"/>
        <v>0.69899867706454577</v>
      </c>
      <c r="D52">
        <f t="shared" si="2"/>
        <v>0.66773219574648024</v>
      </c>
      <c r="F52" s="2">
        <f t="shared" si="4"/>
        <v>0.72335231570941472</v>
      </c>
      <c r="G52" s="2">
        <f t="shared" si="5"/>
        <v>0.72911813555975313</v>
      </c>
    </row>
    <row r="53" spans="1:7" x14ac:dyDescent="0.25">
      <c r="A53">
        <v>0.24</v>
      </c>
      <c r="B53">
        <f t="shared" si="1"/>
        <v>0.70242338861709197</v>
      </c>
      <c r="C53">
        <f t="shared" si="0"/>
        <v>0.70011078999741683</v>
      </c>
      <c r="D53">
        <f t="shared" si="2"/>
        <v>0.66940036514578694</v>
      </c>
      <c r="F53" s="2">
        <f t="shared" si="4"/>
        <v>0.7239316957787002</v>
      </c>
      <c r="G53" s="2">
        <f t="shared" si="5"/>
        <v>0.72969751562903862</v>
      </c>
    </row>
    <row r="54" spans="1:7" x14ac:dyDescent="0.25">
      <c r="A54">
        <v>0.245</v>
      </c>
      <c r="B54">
        <f t="shared" si="1"/>
        <v>0.70329287446393474</v>
      </c>
      <c r="C54">
        <f t="shared" si="0"/>
        <v>0.70120004731655905</v>
      </c>
      <c r="D54">
        <f t="shared" si="2"/>
        <v>0.67103425112450021</v>
      </c>
      <c r="F54" s="2">
        <f t="shared" si="4"/>
        <v>0.72449933853227289</v>
      </c>
      <c r="G54" s="2">
        <f t="shared" si="5"/>
        <v>0.7302651583826113</v>
      </c>
    </row>
    <row r="55" spans="1:7" x14ac:dyDescent="0.25">
      <c r="A55">
        <v>0.25</v>
      </c>
      <c r="B55">
        <f t="shared" si="1"/>
        <v>0.70414647003158592</v>
      </c>
      <c r="C55">
        <f t="shared" si="0"/>
        <v>0.7022667784174127</v>
      </c>
      <c r="D55">
        <f t="shared" si="2"/>
        <v>0.67263434777578068</v>
      </c>
      <c r="F55" s="2">
        <f t="shared" si="4"/>
        <v>0.72505539499870841</v>
      </c>
      <c r="G55" s="2">
        <f t="shared" si="5"/>
        <v>0.73082121484904683</v>
      </c>
    </row>
    <row r="56" spans="1:7" x14ac:dyDescent="0.25">
      <c r="A56">
        <v>0.255</v>
      </c>
      <c r="B56">
        <f t="shared" si="1"/>
        <v>0.70498446572267115</v>
      </c>
      <c r="C56">
        <f t="shared" si="0"/>
        <v>0.70331132292821585</v>
      </c>
      <c r="D56">
        <f t="shared" si="2"/>
        <v>0.67420116454198542</v>
      </c>
      <c r="F56" s="2">
        <f t="shared" si="4"/>
        <v>0.72560002365827958</v>
      </c>
      <c r="G56" s="2">
        <f t="shared" si="5"/>
        <v>0.731365843508618</v>
      </c>
    </row>
    <row r="57" spans="1:7" x14ac:dyDescent="0.25">
      <c r="A57">
        <v>0.26</v>
      </c>
      <c r="B57">
        <f t="shared" si="1"/>
        <v>0.70580714663256594</v>
      </c>
      <c r="C57">
        <f t="shared" si="0"/>
        <v>0.70433402874744666</v>
      </c>
      <c r="D57">
        <f t="shared" si="2"/>
        <v>0.67573522327083169</v>
      </c>
      <c r="F57" s="2">
        <f t="shared" si="4"/>
        <v>0.72613338920870629</v>
      </c>
      <c r="G57" s="2">
        <f t="shared" si="5"/>
        <v>0.73189920905904471</v>
      </c>
    </row>
    <row r="58" spans="1:7" x14ac:dyDescent="0.25">
      <c r="A58">
        <v>0.26500000000000001</v>
      </c>
      <c r="B58">
        <f t="shared" si="1"/>
        <v>0.70661479264638816</v>
      </c>
      <c r="C58">
        <f t="shared" si="0"/>
        <v>0.70533525029661148</v>
      </c>
      <c r="D58">
        <f t="shared" si="2"/>
        <v>0.6772370555945787</v>
      </c>
      <c r="F58" s="2">
        <f t="shared" si="4"/>
        <v>0.72665566146410798</v>
      </c>
      <c r="G58" s="2">
        <f t="shared" si="5"/>
        <v>0.7324214813144464</v>
      </c>
    </row>
    <row r="59" spans="1:7" x14ac:dyDescent="0.25">
      <c r="A59">
        <v>0.27</v>
      </c>
      <c r="B59">
        <f t="shared" si="1"/>
        <v>0.7074076785342186</v>
      </c>
      <c r="C59">
        <f t="shared" si="0"/>
        <v>0.70631534696659171</v>
      </c>
      <c r="D59">
        <f t="shared" si="2"/>
        <v>0.67870720059954914</v>
      </c>
      <c r="F59" s="2">
        <f t="shared" si="4"/>
        <v>0.72716701437372333</v>
      </c>
      <c r="G59" s="2">
        <f t="shared" si="5"/>
        <v>0.73293283422406175</v>
      </c>
    </row>
    <row r="60" spans="1:7" x14ac:dyDescent="0.25">
      <c r="A60">
        <v>0.27500000000000002</v>
      </c>
      <c r="B60">
        <f t="shared" si="1"/>
        <v>0.70818607404458023</v>
      </c>
      <c r="C60">
        <f t="shared" si="0"/>
        <v>0.70727468173793129</v>
      </c>
      <c r="D60">
        <f t="shared" si="2"/>
        <v>0.68014620275655857</v>
      </c>
      <c r="F60" s="2">
        <f t="shared" si="4"/>
        <v>0.72766762514830574</v>
      </c>
      <c r="G60" s="2">
        <f t="shared" si="5"/>
        <v>0.73343344499864416</v>
      </c>
    </row>
    <row r="61" spans="1:7" x14ac:dyDescent="0.25">
      <c r="A61">
        <v>0.28000000000000003</v>
      </c>
      <c r="B61">
        <f t="shared" si="1"/>
        <v>0.70895024399620954</v>
      </c>
      <c r="C61">
        <f t="shared" si="0"/>
        <v>0.70821361995739618</v>
      </c>
      <c r="D61">
        <f t="shared" si="2"/>
        <v>0.6815546100857558</v>
      </c>
      <c r="F61" s="2">
        <f t="shared" si="4"/>
        <v>0.72815767348329585</v>
      </c>
      <c r="G61" s="2">
        <f t="shared" si="5"/>
        <v>0.73392349333363427</v>
      </c>
    </row>
    <row r="62" spans="1:7" x14ac:dyDescent="0.25">
      <c r="A62">
        <v>0.28499999999999998</v>
      </c>
      <c r="B62">
        <f t="shared" si="1"/>
        <v>0.70970044836815149</v>
      </c>
      <c r="C62">
        <f t="shared" si="0"/>
        <v>0.70913252825489792</v>
      </c>
      <c r="D62">
        <f t="shared" si="2"/>
        <v>0.68293297253200835</v>
      </c>
      <c r="F62" s="2">
        <f t="shared" si="4"/>
        <v>0.7286373408689657</v>
      </c>
      <c r="G62" s="2">
        <f t="shared" si="5"/>
        <v>0.73440316071930412</v>
      </c>
    </row>
    <row r="63" spans="1:7" x14ac:dyDescent="0.25">
      <c r="A63">
        <v>0.28999999999999998</v>
      </c>
      <c r="B63">
        <f t="shared" si="1"/>
        <v>0.71043694238820665</v>
      </c>
      <c r="C63">
        <f t="shared" si="0"/>
        <v>0.71003177358645952</v>
      </c>
      <c r="D63">
        <f t="shared" si="2"/>
        <v>0.68428184052935082</v>
      </c>
      <c r="F63" s="2">
        <f t="shared" si="4"/>
        <v>0.72910680997869803</v>
      </c>
      <c r="G63" s="2">
        <f t="shared" si="5"/>
        <v>0.73487262982903645</v>
      </c>
    </row>
    <row r="64" spans="1:7" x14ac:dyDescent="0.25">
      <c r="A64">
        <v>0.29499999999999998</v>
      </c>
      <c r="B64">
        <f t="shared" si="1"/>
        <v>0.7111599766197626</v>
      </c>
      <c r="C64">
        <f t="shared" si="0"/>
        <v>0.71091172239032618</v>
      </c>
      <c r="D64">
        <f t="shared" si="2"/>
        <v>0.6856017637351508</v>
      </c>
      <c r="F64" s="2">
        <f t="shared" si="4"/>
        <v>0.72956626412744896</v>
      </c>
      <c r="G64" s="2">
        <f t="shared" si="5"/>
        <v>0.73533208397778738</v>
      </c>
    </row>
    <row r="65" spans="1:7" x14ac:dyDescent="0.25">
      <c r="A65">
        <v>0.3</v>
      </c>
      <c r="B65">
        <f t="shared" si="1"/>
        <v>0.71186979704703846</v>
      </c>
      <c r="C65">
        <f t="shared" si="0"/>
        <v>0.71177273984461198</v>
      </c>
      <c r="D65">
        <f t="shared" si="2"/>
        <v>0.6868932899165795</v>
      </c>
      <c r="F65" s="2">
        <f t="shared" si="4"/>
        <v>0.73001588679322971</v>
      </c>
      <c r="G65" s="2">
        <f t="shared" si="5"/>
        <v>0.73578170664356812</v>
      </c>
    </row>
    <row r="66" spans="1:7" x14ac:dyDescent="0.25">
      <c r="A66">
        <v>0.30499999999999999</v>
      </c>
      <c r="B66">
        <f t="shared" si="1"/>
        <v>0.71256664515877166</v>
      </c>
      <c r="C66">
        <f t="shared" si="0"/>
        <v>0.71261518921603084</v>
      </c>
      <c r="D66">
        <f t="shared" si="2"/>
        <v>0.68815696397370785</v>
      </c>
      <c r="F66" s="2">
        <f t="shared" si="4"/>
        <v>0.73045586119516304</v>
      </c>
      <c r="G66" s="2">
        <f t="shared" si="5"/>
        <v>0.73622168104550145</v>
      </c>
    </row>
    <row r="67" spans="1:7" x14ac:dyDescent="0.25">
      <c r="A67">
        <v>0.31</v>
      </c>
      <c r="B67">
        <f t="shared" si="1"/>
        <v>0.71325075803037441</v>
      </c>
      <c r="C67">
        <f t="shared" si="0"/>
        <v>0.71343943129030474</v>
      </c>
      <c r="D67">
        <f t="shared" si="2"/>
        <v>0.6893933270851188</v>
      </c>
      <c r="F67" s="2">
        <f t="shared" si="4"/>
        <v>0.73088636992230593</v>
      </c>
      <c r="G67" s="2">
        <f t="shared" si="5"/>
        <v>0.73665218977264435</v>
      </c>
    </row>
    <row r="68" spans="1:7" x14ac:dyDescent="0.25">
      <c r="A68">
        <v>0.315</v>
      </c>
      <c r="B68">
        <f t="shared" si="1"/>
        <v>0.71392236840459</v>
      </c>
      <c r="C68">
        <f t="shared" si="0"/>
        <v>0.71424582387578039</v>
      </c>
      <c r="D68">
        <f t="shared" si="2"/>
        <v>0.69060291596333223</v>
      </c>
      <c r="F68" s="2">
        <f t="shared" si="4"/>
        <v>0.73130759460801542</v>
      </c>
      <c r="G68" s="2">
        <f t="shared" si="5"/>
        <v>0.73707341445835384</v>
      </c>
    </row>
    <row r="69" spans="1:7" x14ac:dyDescent="0.25">
      <c r="A69">
        <v>0.32</v>
      </c>
      <c r="B69">
        <f t="shared" ref="B69:B132" si="6">$J$3-$M$6*EXP(-$M$8*A69)</f>
        <v>0.7145817047706744</v>
      </c>
      <c r="C69">
        <f t="shared" ref="C69:C132" si="7">$J$3-M$19/(2*J$8)*(2*J$8*M$17*(1-M$15*EXP(-M$15*A69))+2*J$8*M$18*(1-M$16*EXP(-M$16*A69))+J$6*M$17*EXP(-M$15*A69)+J$6*M$18*EXP(-M$16*A69))</f>
        <v>0.7150347213726348</v>
      </c>
      <c r="D69">
        <f t="shared" si="2"/>
        <v>0.69178626220861383</v>
      </c>
      <c r="F69" s="2">
        <f t="shared" si="4"/>
        <v>0.73171971564515237</v>
      </c>
      <c r="G69" s="2">
        <f t="shared" si="5"/>
        <v>0.73748553549549078</v>
      </c>
    </row>
    <row r="70" spans="1:7" x14ac:dyDescent="0.25">
      <c r="A70">
        <v>0.32500000000000001</v>
      </c>
      <c r="B70">
        <f t="shared" si="6"/>
        <v>0.71522899144213026</v>
      </c>
      <c r="C70">
        <f t="shared" si="7"/>
        <v>0.71580647440081069</v>
      </c>
      <c r="D70">
        <f t="shared" ref="D70:D133" si="8">MIN($J$3-(1+J$13)*M$19/(2*J$8)*(2*J$8*M$17*(1-M$15*EXP(-M$15*A70))+2*J$8*M$18*(1-M$16*EXP(-M$16*A70))+J$6*M$17*EXP(-M$15*A70)+J$6*M$18*EXP(-M$16*A70))-M$11,$J$3-$M$11)</f>
        <v>0.69294389175087767</v>
      </c>
      <c r="F70" s="2">
        <f t="shared" si="4"/>
        <v>0.73212291193789025</v>
      </c>
      <c r="G70" s="2">
        <f t="shared" si="5"/>
        <v>0.73788873178822867</v>
      </c>
    </row>
    <row r="71" spans="1:7" x14ac:dyDescent="0.25">
      <c r="A71">
        <v>0.33</v>
      </c>
      <c r="B71">
        <f t="shared" si="6"/>
        <v>0.71586444863302168</v>
      </c>
      <c r="C71">
        <f t="shared" si="7"/>
        <v>0.71656142948051138</v>
      </c>
      <c r="D71">
        <f t="shared" si="8"/>
        <v>0.69407632437042865</v>
      </c>
      <c r="F71" s="2">
        <f t="shared" si="4"/>
        <v>0.73251736068631745</v>
      </c>
      <c r="G71" s="2">
        <f t="shared" si="5"/>
        <v>0.73828318053665587</v>
      </c>
    </row>
    <row r="72" spans="1:7" x14ac:dyDescent="0.25">
      <c r="A72">
        <v>0.33500000000000002</v>
      </c>
      <c r="B72">
        <f t="shared" si="6"/>
        <v>0.71648829253289259</v>
      </c>
      <c r="C72">
        <f t="shared" si="7"/>
        <v>0.71729992875970272</v>
      </c>
      <c r="D72">
        <f t="shared" si="8"/>
        <v>0.69518407328921561</v>
      </c>
      <c r="F72" s="2">
        <f t="shared" ref="F72:F135" si="9">$J$3-J$14*M$19/(2*J$8)*(2*J$8*M$17*(1-M$15*EXP(-M$15*A70))+2*J$8*M$18*(1-M$16*EXP(-M$16*A70))+J$6*M$17*EXP(-M$15*A70)+J$6*M$18*EXP(-M$16*A70))</f>
        <v>0.7329032372004054</v>
      </c>
      <c r="G72" s="2">
        <f t="shared" si="5"/>
        <v>0.73866905705074382</v>
      </c>
    </row>
    <row r="73" spans="1:7" x14ac:dyDescent="0.25">
      <c r="A73">
        <v>0.34</v>
      </c>
      <c r="B73">
        <f t="shared" si="6"/>
        <v>0.71710073538031771</v>
      </c>
      <c r="C73">
        <f t="shared" si="7"/>
        <v>0.71802230978362713</v>
      </c>
      <c r="D73">
        <f t="shared" si="8"/>
        <v>0.69626764482510228</v>
      </c>
      <c r="F73" s="2">
        <f t="shared" si="9"/>
        <v>0.73328071474025569</v>
      </c>
      <c r="G73" s="2">
        <f t="shared" si="5"/>
        <v>0.73904653459059411</v>
      </c>
    </row>
    <row r="74" spans="1:7" x14ac:dyDescent="0.25">
      <c r="A74">
        <v>0.34499999999999997</v>
      </c>
      <c r="B74">
        <f t="shared" si="6"/>
        <v>0.71770198553510745</v>
      </c>
      <c r="C74">
        <f t="shared" si="7"/>
        <v>0.71872890530183808</v>
      </c>
      <c r="D74">
        <f t="shared" si="8"/>
        <v>0.69732753810241865</v>
      </c>
      <c r="F74" s="2">
        <f t="shared" si="9"/>
        <v>0.7336499643798513</v>
      </c>
      <c r="G74" s="2">
        <f t="shared" si="5"/>
        <v>0.73941578423018972</v>
      </c>
    </row>
    <row r="75" spans="1:7" x14ac:dyDescent="0.25">
      <c r="A75">
        <v>0.35</v>
      </c>
      <c r="B75">
        <f t="shared" si="6"/>
        <v>0.71829224754919518</v>
      </c>
      <c r="C75">
        <f t="shared" si="7"/>
        <v>0.71942004310871299</v>
      </c>
      <c r="D75">
        <f t="shared" si="8"/>
        <v>0.69836424481273107</v>
      </c>
      <c r="F75" s="2">
        <f t="shared" si="9"/>
        <v>0.73401115489181357</v>
      </c>
      <c r="G75" s="2">
        <f t="shared" si="5"/>
        <v>0.73977697474215198</v>
      </c>
    </row>
    <row r="76" spans="1:7" x14ac:dyDescent="0.25">
      <c r="A76">
        <v>0.35499999999999998</v>
      </c>
      <c r="B76">
        <f t="shared" si="6"/>
        <v>0.71887172223622742</v>
      </c>
      <c r="C76">
        <f t="shared" si="7"/>
        <v>0.72009604591381282</v>
      </c>
      <c r="D76">
        <f t="shared" si="8"/>
        <v>0.69937824902038093</v>
      </c>
      <c r="F76" s="2">
        <f t="shared" si="9"/>
        <v>0.73436445265091899</v>
      </c>
      <c r="G76" s="2">
        <f t="shared" si="5"/>
        <v>0.7401302725012574</v>
      </c>
    </row>
    <row r="77" spans="1:7" x14ac:dyDescent="0.25">
      <c r="A77">
        <v>0.36</v>
      </c>
      <c r="B77">
        <f t="shared" si="6"/>
        <v>0.71944060673988319</v>
      </c>
      <c r="C77">
        <f t="shared" si="7"/>
        <v>0.72075723123882118</v>
      </c>
      <c r="D77">
        <f t="shared" si="8"/>
        <v>0.70037002700789341</v>
      </c>
      <c r="F77" s="2">
        <f t="shared" si="9"/>
        <v>0.7347100215543565</v>
      </c>
      <c r="G77" s="2">
        <f t="shared" si="5"/>
        <v>0.74047584140469491</v>
      </c>
    </row>
    <row r="78" spans="1:7" x14ac:dyDescent="0.25">
      <c r="A78">
        <v>0.36499999999999999</v>
      </c>
      <c r="B78">
        <f t="shared" si="6"/>
        <v>0.71999909460094424</v>
      </c>
      <c r="C78">
        <f t="shared" si="7"/>
        <v>0.72140391133812665</v>
      </c>
      <c r="D78">
        <f t="shared" si="8"/>
        <v>0.7013400471568515</v>
      </c>
      <c r="F78" s="2">
        <f t="shared" si="9"/>
        <v>0.73504802295690641</v>
      </c>
      <c r="G78" s="2">
        <f t="shared" si="5"/>
        <v>0.74081384280724483</v>
      </c>
    </row>
    <row r="79" spans="1:7" x14ac:dyDescent="0.25">
      <c r="A79">
        <v>0.37</v>
      </c>
      <c r="B79">
        <f t="shared" si="6"/>
        <v>0.72054737582313977</v>
      </c>
      <c r="C79">
        <f t="shared" si="7"/>
        <v>0.72203639314041013</v>
      </c>
      <c r="D79">
        <f t="shared" si="8"/>
        <v>0.70228876986027666</v>
      </c>
      <c r="F79" s="2">
        <f t="shared" si="9"/>
        <v>0.73537861561941065</v>
      </c>
      <c r="G79" s="2">
        <f t="shared" si="5"/>
        <v>0.74114443546974906</v>
      </c>
    </row>
    <row r="80" spans="1:7" x14ac:dyDescent="0.25">
      <c r="A80">
        <v>0.375</v>
      </c>
      <c r="B80">
        <f t="shared" si="6"/>
        <v>0.72108563693778815</v>
      </c>
      <c r="C80">
        <f t="shared" si="7"/>
        <v>0.72265497820886626</v>
      </c>
      <c r="D80">
        <f t="shared" si="8"/>
        <v>0.70321664746296086</v>
      </c>
      <c r="F80" s="2">
        <f t="shared" si="9"/>
        <v>0.73570195566906327</v>
      </c>
      <c r="G80" s="2">
        <f t="shared" si="5"/>
        <v>0.74146777551940168</v>
      </c>
    </row>
    <row r="81" spans="1:7" x14ac:dyDescent="0.25">
      <c r="A81">
        <v>0.38</v>
      </c>
      <c r="B81">
        <f t="shared" si="6"/>
        <v>0.72161406106725645</v>
      </c>
      <c r="C81">
        <f t="shared" si="7"/>
        <v>0.72325996271792892</v>
      </c>
      <c r="D81">
        <f t="shared" si="8"/>
        <v>0.7041241242265549</v>
      </c>
      <c r="F81" s="2">
        <f t="shared" si="9"/>
        <v>0.73601819657020506</v>
      </c>
      <c r="G81" s="2">
        <f t="shared" si="5"/>
        <v>0.74178401642054348</v>
      </c>
    </row>
    <row r="82" spans="1:7" x14ac:dyDescent="0.25">
      <c r="A82">
        <v>0.38500000000000001</v>
      </c>
      <c r="B82">
        <f t="shared" si="6"/>
        <v>0.72213282798726097</v>
      </c>
      <c r="C82">
        <f t="shared" si="7"/>
        <v>0.72385163744458869</v>
      </c>
      <c r="D82">
        <f t="shared" si="8"/>
        <v>0.70501163631654462</v>
      </c>
      <c r="F82" s="2">
        <f t="shared" si="9"/>
        <v>0.73632748910443313</v>
      </c>
      <c r="G82" s="2">
        <f t="shared" si="5"/>
        <v>0.74209330895477155</v>
      </c>
    </row>
    <row r="83" spans="1:7" x14ac:dyDescent="0.25">
      <c r="A83">
        <v>0.39</v>
      </c>
      <c r="B83">
        <f t="shared" si="6"/>
        <v>0.72264211418802882</v>
      </c>
      <c r="C83">
        <f t="shared" si="7"/>
        <v>0.724430287772585</v>
      </c>
      <c r="D83">
        <f t="shared" si="8"/>
        <v>0.70587961180853909</v>
      </c>
      <c r="F83" s="2">
        <f t="shared" si="9"/>
        <v>0.73662998135896451</v>
      </c>
      <c r="G83" s="2">
        <f t="shared" si="5"/>
        <v>0.74239580120930293</v>
      </c>
    </row>
    <row r="84" spans="1:7" x14ac:dyDescent="0.25">
      <c r="A84">
        <v>0.39500000000000002</v>
      </c>
      <c r="B84">
        <f t="shared" si="6"/>
        <v>0.72314209293434184</v>
      </c>
      <c r="C84">
        <f t="shared" si="7"/>
        <v>0.72499619370793211</v>
      </c>
      <c r="D84">
        <f t="shared" si="8"/>
        <v>0.70672847071155975</v>
      </c>
      <c r="F84" s="2">
        <f t="shared" si="9"/>
        <v>0.73692581872229435</v>
      </c>
      <c r="G84" s="2">
        <f t="shared" si="5"/>
        <v>0.74269163857263276</v>
      </c>
    </row>
    <row r="85" spans="1:7" x14ac:dyDescent="0.25">
      <c r="A85">
        <v>0.4</v>
      </c>
      <c r="B85">
        <f t="shared" si="6"/>
        <v>0.72363293432448328</v>
      </c>
      <c r="C85">
        <f t="shared" si="7"/>
        <v>0.72554962990439675</v>
      </c>
      <c r="D85">
        <f t="shared" si="8"/>
        <v>0.70755862500625677</v>
      </c>
      <c r="F85" s="2">
        <f t="shared" si="9"/>
        <v>0.7372151438862925</v>
      </c>
      <c r="G85" s="2">
        <f t="shared" si="5"/>
        <v>0.74298096373663092</v>
      </c>
    </row>
    <row r="86" spans="1:7" x14ac:dyDescent="0.25">
      <c r="A86">
        <v>0.40500000000000003</v>
      </c>
      <c r="B86">
        <f t="shared" si="6"/>
        <v>0.72411480534810702</v>
      </c>
      <c r="C86">
        <f t="shared" si="7"/>
        <v>0.72609086569768722</v>
      </c>
      <c r="D86">
        <f t="shared" si="8"/>
        <v>0.70837047869619241</v>
      </c>
      <c r="F86" s="2">
        <f t="shared" si="9"/>
        <v>0.73749809685396606</v>
      </c>
      <c r="G86" s="2">
        <f t="shared" si="5"/>
        <v>0.74326391670430447</v>
      </c>
    </row>
    <row r="87" spans="1:7" x14ac:dyDescent="0.25">
      <c r="A87">
        <v>0.41</v>
      </c>
      <c r="B87">
        <f t="shared" si="6"/>
        <v>0.72458786994304947</v>
      </c>
      <c r="C87">
        <f t="shared" si="7"/>
        <v>0.72662016514724215</v>
      </c>
      <c r="D87">
        <f t="shared" si="8"/>
        <v>0.70916442787052481</v>
      </c>
      <c r="F87" s="2">
        <f t="shared" si="9"/>
        <v>0.73777481495219843</v>
      </c>
      <c r="G87" s="2">
        <f t="shared" si="5"/>
        <v>0.74354063480253685</v>
      </c>
    </row>
    <row r="88" spans="1:7" x14ac:dyDescent="0.25">
      <c r="A88">
        <v>0.41499999999999998</v>
      </c>
      <c r="B88">
        <f t="shared" si="6"/>
        <v>0.72505228905110275</v>
      </c>
      <c r="C88">
        <f t="shared" si="7"/>
        <v>0.7271377870846244</v>
      </c>
      <c r="D88">
        <f t="shared" si="8"/>
        <v>0.70994086077659813</v>
      </c>
      <c r="F88" s="2">
        <f t="shared" si="9"/>
        <v>0.73804543284884361</v>
      </c>
      <c r="G88" s="2">
        <f t="shared" si="5"/>
        <v>0.74381125269918202</v>
      </c>
    </row>
    <row r="89" spans="1:7" x14ac:dyDescent="0.25">
      <c r="A89">
        <v>0.42</v>
      </c>
      <c r="B89">
        <f t="shared" si="6"/>
        <v>0.72550822067276888</v>
      </c>
      <c r="C89">
        <f t="shared" si="7"/>
        <v>0.72764398516762618</v>
      </c>
      <c r="D89">
        <f t="shared" si="8"/>
        <v>0.71070015790110097</v>
      </c>
      <c r="F89" s="2">
        <f t="shared" si="9"/>
        <v>0.73831008257362107</v>
      </c>
      <c r="G89" s="2">
        <f t="shared" si="5"/>
        <v>0.74407590242395949</v>
      </c>
    </row>
    <row r="90" spans="1:7" x14ac:dyDescent="0.25">
      <c r="A90">
        <v>0.42499999999999999</v>
      </c>
      <c r="B90">
        <f t="shared" si="6"/>
        <v>0.72595581992101355</v>
      </c>
      <c r="C90">
        <f t="shared" si="7"/>
        <v>0.72813900793928932</v>
      </c>
      <c r="D90">
        <f t="shared" si="8"/>
        <v>0.71144269205859556</v>
      </c>
      <c r="F90" s="2">
        <f t="shared" si="9"/>
        <v>0.73856889354231214</v>
      </c>
      <c r="G90" s="2">
        <f t="shared" si="5"/>
        <v>0.74433471339265056</v>
      </c>
    </row>
    <row r="91" spans="1:7" x14ac:dyDescent="0.25">
      <c r="A91">
        <v>0.43</v>
      </c>
      <c r="B91">
        <f t="shared" si="6"/>
        <v>0.72639523907403725</v>
      </c>
      <c r="C91">
        <f t="shared" si="7"/>
        <v>0.72862309889112398</v>
      </c>
      <c r="D91">
        <f t="shared" si="8"/>
        <v>0.71216882848634755</v>
      </c>
      <c r="F91" s="2">
        <f t="shared" si="9"/>
        <v>0.73882199258381309</v>
      </c>
      <c r="G91" s="2">
        <f t="shared" si="5"/>
        <v>0.74458781243415151</v>
      </c>
    </row>
    <row r="92" spans="1:7" x14ac:dyDescent="0.25">
      <c r="A92">
        <v>0.435</v>
      </c>
      <c r="B92">
        <f t="shared" si="6"/>
        <v>0.72682662762708172</v>
      </c>
      <c r="C92">
        <f t="shared" si="7"/>
        <v>0.72909649652989061</v>
      </c>
      <c r="D92">
        <f t="shared" si="8"/>
        <v>0.71287892494449745</v>
      </c>
      <c r="F92" s="2">
        <f t="shared" si="9"/>
        <v>0.73906950396964466</v>
      </c>
      <c r="G92" s="2">
        <f t="shared" si="5"/>
        <v>0.74483532381998308</v>
      </c>
    </row>
    <row r="93" spans="1:7" x14ac:dyDescent="0.25">
      <c r="A93">
        <v>0.44</v>
      </c>
      <c r="B93">
        <f t="shared" si="6"/>
        <v>0.72725013234328995</v>
      </c>
      <c r="C93">
        <f t="shared" si="7"/>
        <v>0.7295594344473717</v>
      </c>
      <c r="D93">
        <f t="shared" si="8"/>
        <v>0.71357333182071914</v>
      </c>
      <c r="F93" s="2">
        <f t="shared" si="9"/>
        <v>0.73931154944556199</v>
      </c>
      <c r="G93" s="2">
        <f t="shared" si="5"/>
        <v>0.7450773692959004</v>
      </c>
    </row>
    <row r="94" spans="1:7" x14ac:dyDescent="0.25">
      <c r="A94">
        <v>0.44500000000000001</v>
      </c>
      <c r="B94">
        <f t="shared" si="6"/>
        <v>0.72766589730363684</v>
      </c>
      <c r="C94">
        <f t="shared" si="7"/>
        <v>0.73001214139262682</v>
      </c>
      <c r="D94">
        <f t="shared" si="8"/>
        <v>0.71425239223860171</v>
      </c>
      <c r="F94" s="2">
        <f t="shared" si="9"/>
        <v>0.73954824826494525</v>
      </c>
      <c r="G94" s="2">
        <f t="shared" si="5"/>
        <v>0.74531406811528367</v>
      </c>
    </row>
    <row r="95" spans="1:7" x14ac:dyDescent="0.25">
      <c r="A95">
        <v>0.45</v>
      </c>
      <c r="B95">
        <f t="shared" si="6"/>
        <v>0.72807406395594687</v>
      </c>
      <c r="C95">
        <f t="shared" si="7"/>
        <v>0.73045484134627514</v>
      </c>
      <c r="D95">
        <f t="shared" si="8"/>
        <v>0.71491644216907435</v>
      </c>
      <c r="F95" s="2">
        <f t="shared" si="9"/>
        <v>0.73977971722368585</v>
      </c>
      <c r="G95" s="2">
        <f t="shared" si="5"/>
        <v>0.74554553707402427</v>
      </c>
    </row>
    <row r="96" spans="1:7" x14ac:dyDescent="0.25">
      <c r="A96">
        <v>0.45500000000000002</v>
      </c>
      <c r="B96">
        <f t="shared" si="6"/>
        <v>0.72847477116301651</v>
      </c>
      <c r="C96">
        <f t="shared" si="7"/>
        <v>0.73088775359640357</v>
      </c>
      <c r="D96">
        <f t="shared" si="8"/>
        <v>0.71556581054426704</v>
      </c>
      <c r="F96" s="2">
        <f t="shared" si="9"/>
        <v>0.74000607069631341</v>
      </c>
      <c r="G96" s="2">
        <f t="shared" si="5"/>
        <v>0.74577189054665183</v>
      </c>
    </row>
    <row r="97" spans="1:7" x14ac:dyDescent="0.25">
      <c r="A97">
        <v>0.46</v>
      </c>
      <c r="B97">
        <f t="shared" si="6"/>
        <v>0.7288681552498566</v>
      </c>
      <c r="C97">
        <f t="shared" si="7"/>
        <v>0.7313110928157377</v>
      </c>
      <c r="D97">
        <f t="shared" si="8"/>
        <v>0.71620081937326818</v>
      </c>
      <c r="F97" s="2">
        <f t="shared" si="9"/>
        <v>0.74022742067313763</v>
      </c>
      <c r="G97" s="2">
        <f t="shared" si="5"/>
        <v>0.74599324052347604</v>
      </c>
    </row>
    <row r="98" spans="1:7" x14ac:dyDescent="0.25">
      <c r="A98">
        <v>0.46500000000000002</v>
      </c>
      <c r="B98">
        <f t="shared" si="6"/>
        <v>0.72925435005007155</v>
      </c>
      <c r="C98">
        <f t="shared" si="7"/>
        <v>0.73172506913975821</v>
      </c>
      <c r="D98">
        <f t="shared" si="8"/>
        <v>0.71682178385929896</v>
      </c>
      <c r="F98" s="2">
        <f t="shared" si="9"/>
        <v>0.74044387679820178</v>
      </c>
      <c r="G98" s="2">
        <f t="shared" si="5"/>
        <v>0.7462096966485402</v>
      </c>
    </row>
    <row r="99" spans="1:7" x14ac:dyDescent="0.25">
      <c r="A99">
        <v>0.47</v>
      </c>
      <c r="B99">
        <f t="shared" si="6"/>
        <v>0.72963348695139141</v>
      </c>
      <c r="C99">
        <f t="shared" si="7"/>
        <v>0.73212988824547842</v>
      </c>
      <c r="D99">
        <f t="shared" si="8"/>
        <v>0.71742901251787916</v>
      </c>
      <c r="F99" s="2">
        <f t="shared" si="9"/>
        <v>0.7406555464078689</v>
      </c>
      <c r="G99" s="2">
        <f t="shared" si="5"/>
        <v>0.74642136625820732</v>
      </c>
    </row>
    <row r="100" spans="1:7" x14ac:dyDescent="0.25">
      <c r="A100">
        <v>0.47499999999999998</v>
      </c>
      <c r="B100">
        <f t="shared" si="6"/>
        <v>0.73000569494037115</v>
      </c>
      <c r="C100">
        <f t="shared" si="7"/>
        <v>0.73252575143063048</v>
      </c>
      <c r="D100">
        <f t="shared" si="8"/>
        <v>0.7180228072956073</v>
      </c>
      <c r="F100" s="2">
        <f t="shared" si="9"/>
        <v>0.74086253456987916</v>
      </c>
      <c r="G100" s="2">
        <f t="shared" si="5"/>
        <v>0.74662835442021758</v>
      </c>
    </row>
    <row r="101" spans="1:7" x14ac:dyDescent="0.25">
      <c r="A101">
        <v>0.48</v>
      </c>
      <c r="B101">
        <f t="shared" si="6"/>
        <v>0.7303711006462732</v>
      </c>
      <c r="C101">
        <f t="shared" si="7"/>
        <v>0.7329128556930391</v>
      </c>
      <c r="D101">
        <f t="shared" si="8"/>
        <v>0.71860346368922012</v>
      </c>
      <c r="F101" s="2">
        <f t="shared" si="9"/>
        <v>0.74106494412273916</v>
      </c>
      <c r="G101" s="2">
        <f t="shared" si="5"/>
        <v>0.74683076397307757</v>
      </c>
    </row>
    <row r="102" spans="1:7" x14ac:dyDescent="0.25">
      <c r="A102">
        <v>0.48499999999999999</v>
      </c>
      <c r="B102">
        <f t="shared" si="6"/>
        <v>0.73072982838414857</v>
      </c>
      <c r="C102">
        <f t="shared" si="7"/>
        <v>0.73329139380998565</v>
      </c>
      <c r="D102">
        <f t="shared" si="8"/>
        <v>0.71917127086464006</v>
      </c>
      <c r="F102" s="2">
        <f t="shared" si="9"/>
        <v>0.74126287571531524</v>
      </c>
      <c r="G102" s="2">
        <f t="shared" si="5"/>
        <v>0.74702869556565366</v>
      </c>
    </row>
    <row r="103" spans="1:7" x14ac:dyDescent="0.25">
      <c r="A103">
        <v>0.49</v>
      </c>
      <c r="B103">
        <f t="shared" si="6"/>
        <v>0.73108200019712966</v>
      </c>
      <c r="C103">
        <f t="shared" si="7"/>
        <v>0.73366155441739012</v>
      </c>
      <c r="D103">
        <f t="shared" si="8"/>
        <v>0.71972651177574676</v>
      </c>
      <c r="F103" s="2">
        <f t="shared" si="9"/>
        <v>0.74145642784651955</v>
      </c>
      <c r="G103" s="2">
        <f t="shared" si="5"/>
        <v>0.74722224769685797</v>
      </c>
    </row>
    <row r="104" spans="1:7" x14ac:dyDescent="0.25">
      <c r="A104">
        <v>0.495</v>
      </c>
      <c r="B104">
        <f t="shared" si="6"/>
        <v>0.73142773589795085</v>
      </c>
      <c r="C104">
        <f t="shared" si="7"/>
        <v>0.73402352208865795</v>
      </c>
      <c r="D104">
        <f t="shared" si="8"/>
        <v>0.72026946328264851</v>
      </c>
      <c r="F104" s="2">
        <f t="shared" si="9"/>
        <v>0.74164569690499282</v>
      </c>
      <c r="G104" s="2">
        <f t="shared" si="5"/>
        <v>0.74741151675533124</v>
      </c>
    </row>
    <row r="105" spans="1:7" x14ac:dyDescent="0.25">
      <c r="A105">
        <v>0.5</v>
      </c>
      <c r="B105">
        <f t="shared" si="6"/>
        <v>0.73176715310971041</v>
      </c>
      <c r="C105">
        <f t="shared" si="7"/>
        <v>0.73437747741306014</v>
      </c>
      <c r="D105">
        <f t="shared" si="8"/>
        <v>0.72080039626925185</v>
      </c>
      <c r="F105" s="2">
        <f t="shared" si="9"/>
        <v>0.74183077720869506</v>
      </c>
      <c r="G105" s="2">
        <f t="shared" si="5"/>
        <v>0.74759659705903347</v>
      </c>
    </row>
    <row r="106" spans="1:7" x14ac:dyDescent="0.25">
      <c r="A106">
        <v>0.505</v>
      </c>
      <c r="B106">
        <f t="shared" si="6"/>
        <v>0.7321003673058869</v>
      </c>
      <c r="C106">
        <f t="shared" si="7"/>
        <v>0.73472359707352852</v>
      </c>
      <c r="D106">
        <f t="shared" si="8"/>
        <v>0.72131957575995442</v>
      </c>
      <c r="F106" s="2">
        <f t="shared" si="9"/>
        <v>0.74201176104432898</v>
      </c>
      <c r="G106" s="2">
        <f t="shared" si="5"/>
        <v>0.74777758089466739</v>
      </c>
    </row>
    <row r="107" spans="1:7" x14ac:dyDescent="0.25">
      <c r="A107">
        <v>0.51</v>
      </c>
      <c r="B107">
        <f t="shared" si="6"/>
        <v>0.73242749184962452</v>
      </c>
      <c r="C107">
        <f t="shared" si="7"/>
        <v>0.73506205392376678</v>
      </c>
      <c r="D107">
        <f t="shared" si="8"/>
        <v>0.7218272610353117</v>
      </c>
      <c r="F107" s="2">
        <f t="shared" si="9"/>
        <v>0.74218873870653002</v>
      </c>
      <c r="G107" s="2">
        <f t="shared" si="5"/>
        <v>0.74795455855686843</v>
      </c>
    </row>
    <row r="108" spans="1:7" x14ac:dyDescent="0.25">
      <c r="A108">
        <v>0.51500000000000001</v>
      </c>
      <c r="B108">
        <f t="shared" si="6"/>
        <v>0.7327486380323005</v>
      </c>
      <c r="C108">
        <f t="shared" si="7"/>
        <v>0.73539301706458748</v>
      </c>
      <c r="D108">
        <f t="shared" si="8"/>
        <v>0.72232370574654281</v>
      </c>
      <c r="F108" s="2">
        <f t="shared" si="9"/>
        <v>0.74236179853676432</v>
      </c>
      <c r="G108" s="2">
        <f t="shared" si="5"/>
        <v>0.74812761838710273</v>
      </c>
    </row>
    <row r="109" spans="1:7" x14ac:dyDescent="0.25">
      <c r="A109">
        <v>0.52</v>
      </c>
      <c r="B109">
        <f t="shared" si="6"/>
        <v>0.7330639151113878</v>
      </c>
      <c r="C109">
        <f t="shared" si="7"/>
        <v>0.73571665191940205</v>
      </c>
      <c r="D109">
        <f t="shared" si="8"/>
        <v>0.72280915802876466</v>
      </c>
      <c r="F109" s="2">
        <f t="shared" si="9"/>
        <v>0.74253102696188333</v>
      </c>
      <c r="G109" s="2">
        <f t="shared" si="5"/>
        <v>0.74829684681222175</v>
      </c>
    </row>
    <row r="110" spans="1:7" x14ac:dyDescent="0.25">
      <c r="A110">
        <v>0.52500000000000002</v>
      </c>
      <c r="B110">
        <f t="shared" si="6"/>
        <v>0.73337343034762559</v>
      </c>
      <c r="C110">
        <f t="shared" si="7"/>
        <v>0.73603312030879675</v>
      </c>
      <c r="D110">
        <f t="shared" si="8"/>
        <v>0.72328386061285665</v>
      </c>
      <c r="F110" s="2">
        <f t="shared" si="9"/>
        <v>0.74269650853229374</v>
      </c>
      <c r="G110" s="2">
        <f t="shared" ref="G110:G173" si="10">F110+$M$11</f>
        <v>0.74846232838263216</v>
      </c>
    </row>
    <row r="111" spans="1:7" x14ac:dyDescent="0.25">
      <c r="A111">
        <v>0.53</v>
      </c>
      <c r="B111">
        <f t="shared" si="6"/>
        <v>0.73367728904151053</v>
      </c>
      <c r="C111">
        <f t="shared" si="7"/>
        <v>0.73634258052414059</v>
      </c>
      <c r="D111">
        <f t="shared" si="8"/>
        <v>0.72374805093587258</v>
      </c>
      <c r="F111" s="2">
        <f t="shared" si="9"/>
        <v>0.74285832595970103</v>
      </c>
      <c r="G111" s="2">
        <f t="shared" si="10"/>
        <v>0.74862414581003944</v>
      </c>
    </row>
    <row r="112" spans="1:7" x14ac:dyDescent="0.25">
      <c r="A112">
        <v>0.53500000000000003</v>
      </c>
      <c r="B112">
        <f t="shared" si="6"/>
        <v>0.73397559456912131</v>
      </c>
      <c r="C112">
        <f t="shared" si="7"/>
        <v>0.73664518740017992</v>
      </c>
      <c r="D112">
        <f t="shared" si="8"/>
        <v>0.72420196124993141</v>
      </c>
      <c r="F112" s="2">
        <f t="shared" si="9"/>
        <v>0.74301656015439832</v>
      </c>
      <c r="G112" s="2">
        <f t="shared" si="10"/>
        <v>0.74878238000473674</v>
      </c>
    </row>
    <row r="113" spans="1:7" x14ac:dyDescent="0.25">
      <c r="A113">
        <v>0.54</v>
      </c>
      <c r="B113">
        <f t="shared" si="6"/>
        <v>0.73426844841728811</v>
      </c>
      <c r="C113">
        <f t="shared" si="7"/>
        <v>0.73694109238657846</v>
      </c>
      <c r="D113">
        <f t="shared" si="8"/>
        <v>0.72464581872952927</v>
      </c>
      <c r="F113" s="2">
        <f t="shared" si="9"/>
        <v>0.74317129026207029</v>
      </c>
      <c r="G113" s="2">
        <f t="shared" si="10"/>
        <v>0.74893711011240871</v>
      </c>
    </row>
    <row r="114" spans="1:7" x14ac:dyDescent="0.25">
      <c r="A114">
        <v>0.54500000000000004</v>
      </c>
      <c r="B114">
        <f t="shared" si="6"/>
        <v>0.73455595021811948</v>
      </c>
      <c r="C114">
        <f t="shared" si="7"/>
        <v>0.73723044361837409</v>
      </c>
      <c r="D114">
        <f t="shared" si="8"/>
        <v>0.72507984557722271</v>
      </c>
      <c r="F114" s="2">
        <f t="shared" si="9"/>
        <v>0.74332259370008991</v>
      </c>
      <c r="G114" s="2">
        <f t="shared" si="10"/>
        <v>0.74908841355042832</v>
      </c>
    </row>
    <row r="115" spans="1:7" x14ac:dyDescent="0.25">
      <c r="A115">
        <v>0.55000000000000004</v>
      </c>
      <c r="B115">
        <f t="shared" si="6"/>
        <v>0.73483819778289883</v>
      </c>
      <c r="C115">
        <f t="shared" si="7"/>
        <v>0.7375133859853249</v>
      </c>
      <c r="D115">
        <f t="shared" si="8"/>
        <v>0.72550425912764893</v>
      </c>
      <c r="F115" s="2">
        <f t="shared" si="9"/>
        <v>0.74347054619328923</v>
      </c>
      <c r="G115" s="2">
        <f t="shared" si="10"/>
        <v>0.74923636604362764</v>
      </c>
    </row>
    <row r="116" spans="1:7" x14ac:dyDescent="0.25">
      <c r="A116">
        <v>0.55500000000000005</v>
      </c>
      <c r="B116">
        <f t="shared" si="6"/>
        <v>0.73511528713536023</v>
      </c>
      <c r="C116">
        <f t="shared" si="7"/>
        <v>0.7377900612001248</v>
      </c>
      <c r="D116">
        <f t="shared" si="8"/>
        <v>0.72591927194984884</v>
      </c>
      <c r="F116" s="2">
        <f t="shared" si="9"/>
        <v>0.74361522180918704</v>
      </c>
      <c r="G116" s="2">
        <f t="shared" si="10"/>
        <v>0.74938104165952546</v>
      </c>
    </row>
    <row r="117" spans="1:7" x14ac:dyDescent="0.25">
      <c r="A117">
        <v>0.56000000000000005</v>
      </c>
      <c r="B117">
        <f t="shared" si="6"/>
        <v>0.73538731254435719</v>
      </c>
      <c r="C117">
        <f t="shared" si="7"/>
        <v>0.73806060786547412</v>
      </c>
      <c r="D117">
        <f t="shared" si="8"/>
        <v>0.72632509194787265</v>
      </c>
      <c r="F117" s="2">
        <f t="shared" si="9"/>
        <v>0.74375669299266245</v>
      </c>
      <c r="G117" s="2">
        <f t="shared" si="10"/>
        <v>0.74952251284300087</v>
      </c>
    </row>
    <row r="118" spans="1:7" x14ac:dyDescent="0.25">
      <c r="A118">
        <v>0.56499999999999995</v>
      </c>
      <c r="B118">
        <f t="shared" si="6"/>
        <v>0.73565436655593353</v>
      </c>
      <c r="C118">
        <f t="shared" si="7"/>
        <v>0.73832516153999328</v>
      </c>
      <c r="D118">
        <f t="shared" si="8"/>
        <v>0.7267219224596515</v>
      </c>
      <c r="F118" s="2">
        <f t="shared" si="9"/>
        <v>0.74389503060006246</v>
      </c>
      <c r="G118" s="2">
        <f t="shared" si="10"/>
        <v>0.74966085045040087</v>
      </c>
    </row>
    <row r="119" spans="1:7" x14ac:dyDescent="0.25">
      <c r="A119">
        <v>0.56999999999999995</v>
      </c>
      <c r="B119">
        <f t="shared" si="6"/>
        <v>0.73591654002480933</v>
      </c>
      <c r="C119">
        <f t="shared" si="7"/>
        <v>0.73858385480297428</v>
      </c>
      <c r="D119">
        <f t="shared" si="8"/>
        <v>0.72710996235412306</v>
      </c>
      <c r="F119" s="2">
        <f t="shared" si="9"/>
        <v>0.74403030393273706</v>
      </c>
      <c r="G119" s="2">
        <f t="shared" si="10"/>
        <v>0.74979612378307547</v>
      </c>
    </row>
    <row r="120" spans="1:7" x14ac:dyDescent="0.25">
      <c r="A120">
        <v>0.57499999999999996</v>
      </c>
      <c r="B120">
        <f t="shared" si="6"/>
        <v>0.73617392214528965</v>
      </c>
      <c r="C120">
        <f t="shared" si="7"/>
        <v>0.73883681731796369</v>
      </c>
      <c r="D120">
        <f t="shared" si="8"/>
        <v>0.72748940612660717</v>
      </c>
      <c r="F120" s="2">
        <f t="shared" si="9"/>
        <v>0.74416258076999664</v>
      </c>
      <c r="G120" s="2">
        <f t="shared" si="10"/>
        <v>0.74992840062033506</v>
      </c>
    </row>
    <row r="121" spans="1:7" x14ac:dyDescent="0.25">
      <c r="A121">
        <v>0.57999999999999996</v>
      </c>
      <c r="B121">
        <f t="shared" si="6"/>
        <v>0.73642660048161046</v>
      </c>
      <c r="C121">
        <f t="shared" si="7"/>
        <v>0.73908417589517905</v>
      </c>
      <c r="D121">
        <f t="shared" si="8"/>
        <v>0.72786044399243011</v>
      </c>
      <c r="F121" s="2">
        <f t="shared" si="9"/>
        <v>0.7442919274014872</v>
      </c>
      <c r="G121" s="2">
        <f t="shared" si="10"/>
        <v>0.75005774725182561</v>
      </c>
    </row>
    <row r="122" spans="1:7" x14ac:dyDescent="0.25">
      <c r="A122">
        <v>0.58499999999999996</v>
      </c>
      <c r="B122">
        <f t="shared" si="6"/>
        <v>0.73667466099772827</v>
      </c>
      <c r="C122">
        <f t="shared" si="7"/>
        <v>0.73932605455275913</v>
      </c>
      <c r="D122">
        <f t="shared" si="8"/>
        <v>0.72822326197880027</v>
      </c>
      <c r="F122" s="2">
        <f t="shared" si="9"/>
        <v>0.7444184086589819</v>
      </c>
      <c r="G122" s="2">
        <f t="shared" si="10"/>
        <v>0.75018422850932032</v>
      </c>
    </row>
    <row r="123" spans="1:7" x14ac:dyDescent="0.25">
      <c r="A123">
        <v>0.59</v>
      </c>
      <c r="B123">
        <f t="shared" si="6"/>
        <v>0.73691818808656628</v>
      </c>
      <c r="C123">
        <f t="shared" si="7"/>
        <v>0.73956257457685304</v>
      </c>
      <c r="D123">
        <f t="shared" si="8"/>
        <v>0.72857804201494114</v>
      </c>
      <c r="F123" s="2">
        <f t="shared" si="9"/>
        <v>0.74454208794758947</v>
      </c>
      <c r="G123" s="2">
        <f t="shared" si="10"/>
        <v>0.75030790779792789</v>
      </c>
    </row>
    <row r="124" spans="1:7" x14ac:dyDescent="0.25">
      <c r="A124">
        <v>0.59499999999999997</v>
      </c>
      <c r="B124">
        <f t="shared" si="6"/>
        <v>0.73715726459872566</v>
      </c>
      <c r="C124">
        <f t="shared" si="7"/>
        <v>0.73979385458055391</v>
      </c>
      <c r="D124">
        <f t="shared" si="8"/>
        <v>0.72892496202049251</v>
      </c>
      <c r="F124" s="2">
        <f t="shared" si="9"/>
        <v>0.74466302727637956</v>
      </c>
      <c r="G124" s="2">
        <f t="shared" si="10"/>
        <v>0.75042884712671798</v>
      </c>
    </row>
    <row r="125" spans="1:7" x14ac:dyDescent="0.25">
      <c r="A125">
        <v>0.6</v>
      </c>
      <c r="B125">
        <f t="shared" si="6"/>
        <v>0.73739197187067251</v>
      </c>
      <c r="C125">
        <f t="shared" si="7"/>
        <v>0.74002001056168643</v>
      </c>
      <c r="D125">
        <f t="shared" si="8"/>
        <v>0.72926419599219117</v>
      </c>
      <c r="F125" s="2">
        <f t="shared" si="9"/>
        <v>0.74478128728842652</v>
      </c>
      <c r="G125" s="2">
        <f t="shared" si="10"/>
        <v>0.75054710713876494</v>
      </c>
    </row>
    <row r="126" spans="1:7" x14ac:dyDescent="0.25">
      <c r="A126">
        <v>0.60499999999999998</v>
      </c>
      <c r="B126">
        <f t="shared" si="6"/>
        <v>0.7376223897524089</v>
      </c>
      <c r="C126">
        <f t="shared" si="7"/>
        <v>0.74024115595945572</v>
      </c>
      <c r="D126">
        <f t="shared" si="8"/>
        <v>0.72959591408884528</v>
      </c>
      <c r="F126" s="2">
        <f t="shared" si="9"/>
        <v>0.74489692729027701</v>
      </c>
      <c r="G126" s="2">
        <f t="shared" si="10"/>
        <v>0.75066274714061543</v>
      </c>
    </row>
    <row r="127" spans="1:7" x14ac:dyDescent="0.25">
      <c r="A127">
        <v>0.61</v>
      </c>
      <c r="B127">
        <f t="shared" si="6"/>
        <v>0.73784859663463931</v>
      </c>
      <c r="C127">
        <f t="shared" si="7"/>
        <v>0.74045740170997199</v>
      </c>
      <c r="D127">
        <f t="shared" si="8"/>
        <v>0.72992028271461951</v>
      </c>
      <c r="F127" s="2">
        <f t="shared" si="9"/>
        <v>0.74501000528084316</v>
      </c>
      <c r="G127" s="2">
        <f t="shared" si="10"/>
        <v>0.75077582513118157</v>
      </c>
    </row>
    <row r="128" spans="1:7" x14ac:dyDescent="0.25">
      <c r="A128">
        <v>0.61499999999999999</v>
      </c>
      <c r="B128">
        <f t="shared" si="6"/>
        <v>0.73807066947543964</v>
      </c>
      <c r="C128">
        <f t="shared" si="7"/>
        <v>0.74066885630065893</v>
      </c>
      <c r="D128">
        <f t="shared" si="8"/>
        <v>0.73023746460064998</v>
      </c>
      <c r="F128" s="2">
        <f t="shared" si="9"/>
        <v>0.74512057797972786</v>
      </c>
      <c r="G128" s="2">
        <f t="shared" si="10"/>
        <v>0.75088639783006628</v>
      </c>
    </row>
    <row r="129" spans="1:7" x14ac:dyDescent="0.25">
      <c r="A129">
        <v>0.62</v>
      </c>
      <c r="B129">
        <f t="shared" si="6"/>
        <v>0.73828868382643942</v>
      </c>
      <c r="C129">
        <f t="shared" si="7"/>
        <v>0.74087562582356292</v>
      </c>
      <c r="D129">
        <f t="shared" si="8"/>
        <v>0.73054761888500597</v>
      </c>
      <c r="F129" s="2">
        <f t="shared" si="9"/>
        <v>0.74522870085498594</v>
      </c>
      <c r="G129" s="2">
        <f t="shared" si="10"/>
        <v>0.75099452070532435</v>
      </c>
    </row>
    <row r="130" spans="1:7" x14ac:dyDescent="0.25">
      <c r="A130">
        <v>0.625</v>
      </c>
      <c r="B130">
        <f t="shared" si="6"/>
        <v>0.73850271385852506</v>
      </c>
      <c r="C130">
        <f t="shared" si="7"/>
        <v>0.74107781402757467</v>
      </c>
      <c r="D130">
        <f t="shared" si="8"/>
        <v>0.73085090119102347</v>
      </c>
      <c r="F130" s="2">
        <f t="shared" si="9"/>
        <v>0.74533442815032946</v>
      </c>
      <c r="G130" s="2">
        <f t="shared" si="10"/>
        <v>0.75110024800066788</v>
      </c>
    </row>
    <row r="131" spans="1:7" x14ac:dyDescent="0.25">
      <c r="A131">
        <v>0.63</v>
      </c>
      <c r="B131">
        <f t="shared" si="6"/>
        <v>0.73871283238707386</v>
      </c>
      <c r="C131">
        <f t="shared" si="7"/>
        <v>0.74127552236957828</v>
      </c>
      <c r="D131">
        <f t="shared" si="8"/>
        <v>0.73114746370402905</v>
      </c>
      <c r="F131" s="2">
        <f t="shared" si="9"/>
        <v>0.74543781291178146</v>
      </c>
      <c r="G131" s="2">
        <f t="shared" si="10"/>
        <v>0.75120363276211988</v>
      </c>
    </row>
    <row r="132" spans="1:7" x14ac:dyDescent="0.25">
      <c r="A132">
        <v>0.63500000000000001</v>
      </c>
      <c r="B132">
        <f t="shared" si="6"/>
        <v>0.73891911089672635</v>
      </c>
      <c r="C132">
        <f t="shared" si="7"/>
        <v>0.74146885006454488</v>
      </c>
      <c r="D132">
        <f t="shared" si="8"/>
        <v>0.73143745524647885</v>
      </c>
      <c r="F132" s="2">
        <f t="shared" si="9"/>
        <v>0.74553890701378733</v>
      </c>
      <c r="G132" s="2">
        <f t="shared" si="10"/>
        <v>0.75130472686412575</v>
      </c>
    </row>
    <row r="133" spans="1:7" x14ac:dyDescent="0.25">
      <c r="A133">
        <v>0.64</v>
      </c>
      <c r="B133">
        <f t="shared" ref="B133:B196" si="11">$J$3-$M$6*EXP(-$M$8*A133)</f>
        <v>0.73912161956570632</v>
      </c>
      <c r="C133">
        <f t="shared" ref="C133:C196" si="12">$J$3-M$19/(2*J$8)*(2*J$8*M$17*(1-M$15*EXP(-M$15*A133))+2*J$8*M$18*(1-M$16*EXP(-M$16*A133))+J$6*M$17*EXP(-M$15*A133)+J$6*M$18*EXP(-M$16*A133))</f>
        <v>0.74165789413458327</v>
      </c>
      <c r="D133">
        <f t="shared" si="8"/>
        <v>0.73172102135153649</v>
      </c>
      <c r="F133" s="2">
        <f t="shared" si="9"/>
        <v>0.74563776118478919</v>
      </c>
      <c r="G133" s="2">
        <f t="shared" si="10"/>
        <v>0.75140358103512761</v>
      </c>
    </row>
    <row r="134" spans="1:7" x14ac:dyDescent="0.25">
      <c r="A134">
        <v>0.64500000000000002</v>
      </c>
      <c r="B134">
        <f t="shared" si="11"/>
        <v>0.73932042728969627</v>
      </c>
      <c r="C134">
        <f t="shared" si="12"/>
        <v>0.74184274945696782</v>
      </c>
      <c r="D134">
        <f t="shared" ref="D134:D197" si="13">MIN($J$3-(1+J$13)*M$19/(2*J$8)*(2*J$8*M$17*(1-M$15*EXP(-M$15*A134))+2*J$8*M$18*(1-M$16*EXP(-M$16*A134))+J$6*M$17*EXP(-M$15*A134)+J$6*M$18*EXP(-M$16*A134))-M$11,$J$3-$M$11)</f>
        <v>0.73199830433511337</v>
      </c>
      <c r="F134" s="2">
        <f t="shared" si="9"/>
        <v>0.74573442503227239</v>
      </c>
      <c r="G134" s="2">
        <f t="shared" si="10"/>
        <v>0.7515002448826108</v>
      </c>
    </row>
    <row r="135" spans="1:7" x14ac:dyDescent="0.25">
      <c r="A135">
        <v>0.65</v>
      </c>
      <c r="B135">
        <f t="shared" si="11"/>
        <v>0.73951560170527619</v>
      </c>
      <c r="C135">
        <f t="shared" si="12"/>
        <v>0.74202350881115708</v>
      </c>
      <c r="D135">
        <f t="shared" si="13"/>
        <v>0.73226944336639721</v>
      </c>
      <c r="F135" s="2">
        <f t="shared" si="9"/>
        <v>0.74582894706729164</v>
      </c>
      <c r="G135" s="2">
        <f t="shared" si="10"/>
        <v>0.75159476691763005</v>
      </c>
    </row>
    <row r="136" spans="1:7" x14ac:dyDescent="0.25">
      <c r="A136">
        <v>0.65500000000000003</v>
      </c>
      <c r="B136">
        <f t="shared" si="11"/>
        <v>0.73970720921293487</v>
      </c>
      <c r="C136">
        <f t="shared" si="12"/>
        <v>0.742200262924821</v>
      </c>
      <c r="D136">
        <f t="shared" si="13"/>
        <v>0.73253457453689297</v>
      </c>
      <c r="F136" s="2">
        <f t="shared" ref="F136:F199" si="14">$J$3-J$14*M$19/(2*J$8)*(2*J$8*M$17*(1-M$15*EXP(-M$15*A134))+2*J$8*M$18*(1-M$16*EXP(-M$16*A134))+J$6*M$17*EXP(-M$15*A134)+J$6*M$18*EXP(-M$16*A134))</f>
        <v>0.74592137472848397</v>
      </c>
      <c r="G136" s="2">
        <f t="shared" si="10"/>
        <v>0.75168719457882238</v>
      </c>
    </row>
    <row r="137" spans="1:7" x14ac:dyDescent="0.25">
      <c r="A137">
        <v>0.66</v>
      </c>
      <c r="B137">
        <f t="shared" si="11"/>
        <v>0.73989531499965933</v>
      </c>
      <c r="C137">
        <f t="shared" si="12"/>
        <v>0.74237310051889382</v>
      </c>
      <c r="D137">
        <f t="shared" si="13"/>
        <v>0.73279383092800232</v>
      </c>
      <c r="F137" s="2">
        <f t="shared" si="14"/>
        <v>0.74601175440557854</v>
      </c>
      <c r="G137" s="2">
        <f t="shared" si="10"/>
        <v>0.75177757425591696</v>
      </c>
    </row>
    <row r="138" spans="1:7" x14ac:dyDescent="0.25">
      <c r="A138">
        <v>0.66500000000000004</v>
      </c>
      <c r="B138">
        <f t="shared" si="11"/>
        <v>0.74007998306111267</v>
      </c>
      <c r="C138">
        <f t="shared" si="12"/>
        <v>0.74254210835167012</v>
      </c>
      <c r="D138">
        <f t="shared" si="13"/>
        <v>0.73304734267716676</v>
      </c>
      <c r="F138" s="2">
        <f t="shared" si="14"/>
        <v>0.7461001314624105</v>
      </c>
      <c r="G138" s="2">
        <f t="shared" si="10"/>
        <v>0.75186595131274891</v>
      </c>
    </row>
    <row r="139" spans="1:7" x14ac:dyDescent="0.25">
      <c r="A139">
        <v>0.67</v>
      </c>
      <c r="B139">
        <f t="shared" si="11"/>
        <v>0.74026127622340587</v>
      </c>
      <c r="C139">
        <f t="shared" si="12"/>
        <v>0.74270737126195985</v>
      </c>
      <c r="D139">
        <f t="shared" si="13"/>
        <v>0.73329523704260136</v>
      </c>
      <c r="F139" s="2">
        <f t="shared" si="14"/>
        <v>0.74618655025944691</v>
      </c>
      <c r="G139" s="2">
        <f t="shared" si="10"/>
        <v>0.75195237010978533</v>
      </c>
    </row>
    <row r="140" spans="1:7" x14ac:dyDescent="0.25">
      <c r="A140">
        <v>0.67500000000000004</v>
      </c>
      <c r="B140">
        <f t="shared" si="11"/>
        <v>0.74043925616447204</v>
      </c>
      <c r="C140">
        <f t="shared" si="12"/>
        <v>0.74286897221132098</v>
      </c>
      <c r="D140">
        <f t="shared" si="13"/>
        <v>0.73353763846664299</v>
      </c>
      <c r="F140" s="2">
        <f t="shared" si="14"/>
        <v>0.74627105417583506</v>
      </c>
      <c r="G140" s="2">
        <f t="shared" si="10"/>
        <v>0.75203687402617347</v>
      </c>
    </row>
    <row r="141" spans="1:7" x14ac:dyDescent="0.25">
      <c r="A141">
        <v>0.68</v>
      </c>
      <c r="B141">
        <f t="shared" si="11"/>
        <v>0.74061398343504992</v>
      </c>
      <c r="C141">
        <f t="shared" si="12"/>
        <v>0.7430269923253856</v>
      </c>
      <c r="D141">
        <f t="shared" si="13"/>
        <v>0.7337746686377401</v>
      </c>
      <c r="F141" s="2">
        <f t="shared" si="14"/>
        <v>0.74635368563097992</v>
      </c>
      <c r="G141" s="2">
        <f t="shared" si="10"/>
        <v>0.75211950548131834</v>
      </c>
    </row>
    <row r="142" spans="1:7" x14ac:dyDescent="0.25">
      <c r="A142">
        <v>0.68500000000000005</v>
      </c>
      <c r="B142">
        <f t="shared" si="11"/>
        <v>0.74078551747928389</v>
      </c>
      <c r="C142">
        <f t="shared" si="12"/>
        <v>0.74318151093429852</v>
      </c>
      <c r="D142">
        <f t="shared" si="13"/>
        <v>0.73400644655110925</v>
      </c>
      <c r="F142" s="2">
        <f t="shared" si="14"/>
        <v>0.74643448610566043</v>
      </c>
      <c r="G142" s="2">
        <f t="shared" si="10"/>
        <v>0.75220030595599885</v>
      </c>
    </row>
    <row r="143" spans="1:7" x14ac:dyDescent="0.25">
      <c r="A143">
        <v>0.69</v>
      </c>
      <c r="B143">
        <f t="shared" si="11"/>
        <v>0.74095391665494736</v>
      </c>
      <c r="C143">
        <f t="shared" si="12"/>
        <v>0.74333260561228209</v>
      </c>
      <c r="D143">
        <f t="shared" si="13"/>
        <v>0.73423308856808467</v>
      </c>
      <c r="F143" s="2">
        <f t="shared" si="14"/>
        <v>0.7465134961626928</v>
      </c>
      <c r="G143" s="2">
        <f t="shared" si="10"/>
        <v>0.75227931601303122</v>
      </c>
    </row>
    <row r="144" spans="1:7" x14ac:dyDescent="0.25">
      <c r="A144">
        <v>0.69499999999999995</v>
      </c>
      <c r="B144">
        <f t="shared" si="11"/>
        <v>0.74111923825329695</v>
      </c>
      <c r="C144">
        <f t="shared" si="12"/>
        <v>0.74348035221634845</v>
      </c>
      <c r="D144">
        <f t="shared" si="13"/>
        <v>0.73445470847418426</v>
      </c>
      <c r="F144" s="2">
        <f t="shared" si="14"/>
        <v>0.74659075546714926</v>
      </c>
      <c r="G144" s="2">
        <f t="shared" si="10"/>
        <v>0.75235657531748767</v>
      </c>
    </row>
    <row r="145" spans="1:7" x14ac:dyDescent="0.25">
      <c r="A145">
        <v>0.7</v>
      </c>
      <c r="B145">
        <f t="shared" si="11"/>
        <v>0.74128153851856371</v>
      </c>
      <c r="C145">
        <f t="shared" si="12"/>
        <v>0.74362482492417226</v>
      </c>
      <c r="D145">
        <f t="shared" si="13"/>
        <v>0.73467141753592002</v>
      </c>
      <c r="F145" s="2">
        <f t="shared" si="14"/>
        <v>0.74666630280614099</v>
      </c>
      <c r="G145" s="2">
        <f t="shared" si="10"/>
        <v>0.75243212265647941</v>
      </c>
    </row>
    <row r="146" spans="1:7" x14ac:dyDescent="0.25">
      <c r="A146">
        <v>0.70499999999999996</v>
      </c>
      <c r="B146">
        <f t="shared" si="11"/>
        <v>0.74144087266708769</v>
      </c>
      <c r="C146">
        <f t="shared" si="12"/>
        <v>0.74376609627114221</v>
      </c>
      <c r="D146">
        <f t="shared" si="13"/>
        <v>0.73488332455637495</v>
      </c>
      <c r="F146" s="2">
        <f t="shared" si="14"/>
        <v>0.74674017610817423</v>
      </c>
      <c r="G146" s="2">
        <f t="shared" si="10"/>
        <v>0.75250599595851264</v>
      </c>
    </row>
    <row r="147" spans="1:7" x14ac:dyDescent="0.25">
      <c r="A147">
        <v>0.71</v>
      </c>
      <c r="B147">
        <f t="shared" si="11"/>
        <v>0.74159729490610338</v>
      </c>
      <c r="C147">
        <f t="shared" si="12"/>
        <v>0.74390423718660803</v>
      </c>
      <c r="D147">
        <f t="shared" si="13"/>
        <v>0.73509053592957352</v>
      </c>
      <c r="F147" s="2">
        <f t="shared" si="14"/>
        <v>0.74681241246208618</v>
      </c>
      <c r="G147" s="2">
        <f t="shared" si="10"/>
        <v>0.7525782323124246</v>
      </c>
    </row>
    <row r="148" spans="1:7" x14ac:dyDescent="0.25">
      <c r="A148">
        <v>0.71499999999999997</v>
      </c>
      <c r="B148">
        <f t="shared" si="11"/>
        <v>0.74175085845218147</v>
      </c>
      <c r="C148">
        <f t="shared" si="12"/>
        <v>0.74403931702933779</v>
      </c>
      <c r="D148">
        <f t="shared" si="13"/>
        <v>0.73529315569366827</v>
      </c>
      <c r="F148" s="2">
        <f t="shared" si="14"/>
        <v>0.74688304813557116</v>
      </c>
      <c r="G148" s="2">
        <f t="shared" si="10"/>
        <v>0.75264886798590958</v>
      </c>
    </row>
    <row r="149" spans="1:7" x14ac:dyDescent="0.25">
      <c r="A149">
        <v>0.72</v>
      </c>
      <c r="B149">
        <f t="shared" si="11"/>
        <v>0.74190161554933376</v>
      </c>
      <c r="C149">
        <f t="shared" si="12"/>
        <v>0.74417140362220402</v>
      </c>
      <c r="D149">
        <f t="shared" si="13"/>
        <v>0.73549128558296761</v>
      </c>
      <c r="F149" s="2">
        <f t="shared" si="14"/>
        <v>0.74695211859330402</v>
      </c>
      <c r="G149" s="2">
        <f t="shared" si="10"/>
        <v>0.75271793844364243</v>
      </c>
    </row>
    <row r="150" spans="1:7" x14ac:dyDescent="0.25">
      <c r="A150">
        <v>0.72499999999999998</v>
      </c>
      <c r="B150">
        <f t="shared" si="11"/>
        <v>0.74204961748678733</v>
      </c>
      <c r="C150">
        <f t="shared" si="12"/>
        <v>0.74430056328611105</v>
      </c>
      <c r="D150">
        <f t="shared" si="13"/>
        <v>0.73568502507882816</v>
      </c>
      <c r="F150" s="2">
        <f t="shared" si="14"/>
        <v>0.74701965851466889</v>
      </c>
      <c r="G150" s="2">
        <f t="shared" si="10"/>
        <v>0.75278547836500731</v>
      </c>
    </row>
    <row r="151" spans="1:7" x14ac:dyDescent="0.25">
      <c r="A151">
        <v>0.73</v>
      </c>
      <c r="B151">
        <f t="shared" si="11"/>
        <v>0.74219491461643339</v>
      </c>
      <c r="C151">
        <f t="shared" si="12"/>
        <v>0.74442686087318277</v>
      </c>
      <c r="D151">
        <f t="shared" si="13"/>
        <v>0.73587447145943563</v>
      </c>
      <c r="F151" s="2">
        <f t="shared" si="14"/>
        <v>0.74708570181110201</v>
      </c>
      <c r="G151" s="2">
        <f t="shared" si="10"/>
        <v>0.75285152166144043</v>
      </c>
    </row>
    <row r="152" spans="1:7" x14ac:dyDescent="0.25">
      <c r="A152">
        <v>0.73499999999999999</v>
      </c>
      <c r="B152">
        <f t="shared" si="11"/>
        <v>0.7423375563699578</v>
      </c>
      <c r="C152">
        <f t="shared" si="12"/>
        <v>0.74455035979922324</v>
      </c>
      <c r="D152">
        <f t="shared" si="13"/>
        <v>0.7360597198484965</v>
      </c>
      <c r="F152" s="2">
        <f t="shared" si="14"/>
        <v>0.74715028164305552</v>
      </c>
      <c r="G152" s="2">
        <f t="shared" si="10"/>
        <v>0.75291610149339394</v>
      </c>
    </row>
    <row r="153" spans="1:7" x14ac:dyDescent="0.25">
      <c r="A153">
        <v>0.74</v>
      </c>
      <c r="B153">
        <f t="shared" si="11"/>
        <v>0.74247759127565827</v>
      </c>
      <c r="C153">
        <f t="shared" si="12"/>
        <v>0.74467112207546771</v>
      </c>
      <c r="D153">
        <f t="shared" si="13"/>
        <v>0.7362408632628632</v>
      </c>
      <c r="F153" s="2">
        <f t="shared" si="14"/>
        <v>0.74721343043659139</v>
      </c>
      <c r="G153" s="2">
        <f t="shared" si="10"/>
        <v>0.7529792502869298</v>
      </c>
    </row>
    <row r="154" spans="1:7" x14ac:dyDescent="0.25">
      <c r="A154">
        <v>0.745</v>
      </c>
      <c r="B154">
        <f t="shared" si="11"/>
        <v>0.74261506697495383</v>
      </c>
      <c r="C154">
        <f t="shared" si="12"/>
        <v>0.74478920833963658</v>
      </c>
      <c r="D154">
        <f t="shared" si="13"/>
        <v>0.73641799265911634</v>
      </c>
      <c r="F154" s="2">
        <f t="shared" si="14"/>
        <v>0.74727517989961167</v>
      </c>
      <c r="G154" s="2">
        <f t="shared" si="10"/>
        <v>0.75304099974995009</v>
      </c>
    </row>
    <row r="155" spans="1:7" x14ac:dyDescent="0.25">
      <c r="A155">
        <v>0.75</v>
      </c>
      <c r="B155">
        <f t="shared" si="11"/>
        <v>0.74275003023859365</v>
      </c>
      <c r="C155">
        <f t="shared" si="12"/>
        <v>0.74490467788630876</v>
      </c>
      <c r="D155">
        <f t="shared" si="13"/>
        <v>0.73659119697912478</v>
      </c>
      <c r="F155" s="2">
        <f t="shared" si="14"/>
        <v>0.74733556103773391</v>
      </c>
      <c r="G155" s="2">
        <f t="shared" si="10"/>
        <v>0.75310138088807232</v>
      </c>
    </row>
    <row r="156" spans="1:7" x14ac:dyDescent="0.25">
      <c r="A156">
        <v>0.755</v>
      </c>
      <c r="B156">
        <f t="shared" si="11"/>
        <v>0.74288252698256829</v>
      </c>
      <c r="C156">
        <f t="shared" si="12"/>
        <v>0.74501758869662904</v>
      </c>
      <c r="D156">
        <f t="shared" si="13"/>
        <v>0.73676056319460526</v>
      </c>
      <c r="F156" s="2">
        <f t="shared" si="14"/>
        <v>0.74739460416981829</v>
      </c>
      <c r="G156" s="2">
        <f t="shared" si="10"/>
        <v>0.7531604240201567</v>
      </c>
    </row>
    <row r="157" spans="1:7" x14ac:dyDescent="0.25">
      <c r="A157">
        <v>0.76</v>
      </c>
      <c r="B157">
        <f t="shared" si="11"/>
        <v>0.74301260228373112</v>
      </c>
      <c r="C157">
        <f t="shared" si="12"/>
        <v>0.74512799746736114</v>
      </c>
      <c r="D157">
        <f t="shared" si="13"/>
        <v>0.73692617635070323</v>
      </c>
      <c r="F157" s="2">
        <f t="shared" si="14"/>
        <v>0.74745233894315444</v>
      </c>
      <c r="G157" s="2">
        <f t="shared" si="10"/>
        <v>0.75321815879349285</v>
      </c>
    </row>
    <row r="158" spans="1:7" x14ac:dyDescent="0.25">
      <c r="A158">
        <v>0.76500000000000001</v>
      </c>
      <c r="B158">
        <f t="shared" si="11"/>
        <v>0.74314030039513423</v>
      </c>
      <c r="C158">
        <f t="shared" si="12"/>
        <v>0.745235959639303</v>
      </c>
      <c r="D158">
        <f t="shared" si="13"/>
        <v>0.73708811960861609</v>
      </c>
      <c r="F158" s="2">
        <f t="shared" si="14"/>
        <v>0.74750879434831452</v>
      </c>
      <c r="G158" s="2">
        <f t="shared" si="10"/>
        <v>0.75327461419865294</v>
      </c>
    </row>
    <row r="159" spans="1:7" x14ac:dyDescent="0.25">
      <c r="A159">
        <v>0.77</v>
      </c>
      <c r="B159">
        <f t="shared" si="11"/>
        <v>0.74326566476108336</v>
      </c>
      <c r="C159">
        <f t="shared" si="12"/>
        <v>0.7453415294250777</v>
      </c>
      <c r="D159">
        <f t="shared" si="13"/>
        <v>0.73724647428727808</v>
      </c>
      <c r="F159" s="2">
        <f t="shared" si="14"/>
        <v>0.74756399873368051</v>
      </c>
      <c r="G159" s="2">
        <f t="shared" si="10"/>
        <v>0.75332981858401893</v>
      </c>
    </row>
    <row r="160" spans="1:7" x14ac:dyDescent="0.25">
      <c r="A160">
        <v>0.77500000000000002</v>
      </c>
      <c r="B160">
        <f t="shared" si="11"/>
        <v>0.74338873803191818</v>
      </c>
      <c r="C160">
        <f t="shared" si="12"/>
        <v>0.74544475983631087</v>
      </c>
      <c r="D160">
        <f t="shared" si="13"/>
        <v>0.73740131990412794</v>
      </c>
      <c r="F160" s="2">
        <f t="shared" si="14"/>
        <v>0.7476179798196515</v>
      </c>
      <c r="G160" s="2">
        <f t="shared" si="10"/>
        <v>0.75338379966998992</v>
      </c>
    </row>
    <row r="161" spans="1:7" x14ac:dyDescent="0.25">
      <c r="A161">
        <v>0.78</v>
      </c>
      <c r="B161">
        <f t="shared" si="11"/>
        <v>0.7435095620785227</v>
      </c>
      <c r="C161">
        <f t="shared" si="12"/>
        <v>0.74554570271021148</v>
      </c>
      <c r="D161">
        <f t="shared" si="13"/>
        <v>0.73755273421497869</v>
      </c>
      <c r="F161" s="2">
        <f t="shared" si="14"/>
        <v>0.74767076471253879</v>
      </c>
      <c r="G161" s="2">
        <f t="shared" si="10"/>
        <v>0.75343658456287721</v>
      </c>
    </row>
    <row r="162" spans="1:7" x14ac:dyDescent="0.25">
      <c r="A162">
        <v>0.78500000000000003</v>
      </c>
      <c r="B162">
        <f t="shared" si="11"/>
        <v>0.74362817800657022</v>
      </c>
      <c r="C162">
        <f t="shared" si="12"/>
        <v>0.74564440873556515</v>
      </c>
      <c r="D162">
        <f t="shared" si="13"/>
        <v>0.7377007932530093</v>
      </c>
      <c r="F162" s="2">
        <f t="shared" si="14"/>
        <v>0.74772237991815549</v>
      </c>
      <c r="G162" s="2">
        <f t="shared" si="10"/>
        <v>0.7534881997684939</v>
      </c>
    </row>
    <row r="163" spans="1:7" x14ac:dyDescent="0.25">
      <c r="A163">
        <v>0.79</v>
      </c>
      <c r="B163">
        <f t="shared" si="11"/>
        <v>0.74374462617050729</v>
      </c>
      <c r="C163">
        <f t="shared" si="12"/>
        <v>0.74574092747815646</v>
      </c>
      <c r="D163">
        <f t="shared" si="13"/>
        <v>0.73784557136689632</v>
      </c>
      <c r="F163" s="2">
        <f t="shared" si="14"/>
        <v>0.74777285135510574</v>
      </c>
      <c r="G163" s="2">
        <f t="shared" si="10"/>
        <v>0.75353867120544415</v>
      </c>
    </row>
    <row r="164" spans="1:7" x14ac:dyDescent="0.25">
      <c r="A164">
        <v>0.79500000000000004</v>
      </c>
      <c r="B164">
        <f t="shared" si="11"/>
        <v>0.74385894618728354</v>
      </c>
      <c r="C164">
        <f t="shared" si="12"/>
        <v>0.74583530740562876</v>
      </c>
      <c r="D164">
        <f t="shared" si="13"/>
        <v>0.73798714125810483</v>
      </c>
      <c r="F164" s="2">
        <f t="shared" si="14"/>
        <v>0.74782220436778257</v>
      </c>
      <c r="G164" s="2">
        <f t="shared" si="10"/>
        <v>0.75358802421812099</v>
      </c>
    </row>
    <row r="165" spans="1:7" x14ac:dyDescent="0.25">
      <c r="A165">
        <v>0.8</v>
      </c>
      <c r="B165">
        <f t="shared" si="11"/>
        <v>0.7439711769498295</v>
      </c>
      <c r="C165">
        <f t="shared" si="12"/>
        <v>0.74592759591179691</v>
      </c>
      <c r="D165">
        <f t="shared" si="13"/>
        <v>0.7381255740173569</v>
      </c>
      <c r="F165" s="2">
        <f t="shared" si="14"/>
        <v>0.74787046373907828</v>
      </c>
      <c r="G165" s="2">
        <f t="shared" si="10"/>
        <v>0.7536362835894167</v>
      </c>
    </row>
    <row r="166" spans="1:7" x14ac:dyDescent="0.25">
      <c r="A166">
        <v>0.80500000000000005</v>
      </c>
      <c r="B166">
        <f t="shared" si="11"/>
        <v>0.74408135664028818</v>
      </c>
      <c r="C166">
        <f t="shared" si="12"/>
        <v>0.74601783934042243</v>
      </c>
      <c r="D166">
        <f t="shared" si="13"/>
        <v>0.73826093916029512</v>
      </c>
      <c r="F166" s="2">
        <f t="shared" si="14"/>
        <v>0.74791765370281438</v>
      </c>
      <c r="G166" s="2">
        <f t="shared" si="10"/>
        <v>0.75368347355315279</v>
      </c>
    </row>
    <row r="167" spans="1:7" x14ac:dyDescent="0.25">
      <c r="A167">
        <v>0.81</v>
      </c>
      <c r="B167">
        <f t="shared" si="11"/>
        <v>0.74418952274300543</v>
      </c>
      <c r="C167">
        <f t="shared" si="12"/>
        <v>0.7461060830084647</v>
      </c>
      <c r="D167">
        <f t="shared" si="13"/>
        <v>0.73839330466235864</v>
      </c>
      <c r="F167" s="2">
        <f t="shared" si="14"/>
        <v>0.7479637979558984</v>
      </c>
      <c r="G167" s="2">
        <f t="shared" si="10"/>
        <v>0.75372961780623682</v>
      </c>
    </row>
    <row r="168" spans="1:7" x14ac:dyDescent="0.25">
      <c r="A168">
        <v>0.81499999999999995</v>
      </c>
      <c r="B168">
        <f t="shared" si="11"/>
        <v>0.74429571205728207</v>
      </c>
      <c r="C168">
        <f t="shared" si="12"/>
        <v>0.74619237122881832</v>
      </c>
      <c r="D168">
        <f t="shared" si="13"/>
        <v>0.73852273699288906</v>
      </c>
      <c r="F168" s="2">
        <f t="shared" si="14"/>
        <v>0.74800891967021121</v>
      </c>
      <c r="G168" s="2">
        <f t="shared" si="10"/>
        <v>0.75377473952054963</v>
      </c>
    </row>
    <row r="169" spans="1:7" x14ac:dyDescent="0.25">
      <c r="A169">
        <v>0.82</v>
      </c>
      <c r="B169">
        <f t="shared" si="11"/>
        <v>0.744399960709894</v>
      </c>
      <c r="C169">
        <f t="shared" si="12"/>
        <v>0.74627674733254801</v>
      </c>
      <c r="D169">
        <f t="shared" si="13"/>
        <v>0.73864930114848359</v>
      </c>
      <c r="F169" s="2">
        <f t="shared" si="14"/>
        <v>0.74805304150423235</v>
      </c>
      <c r="G169" s="2">
        <f t="shared" si="10"/>
        <v>0.75381886135457077</v>
      </c>
    </row>
    <row r="170" spans="1:7" x14ac:dyDescent="0.25">
      <c r="A170">
        <v>0.82499999999999996</v>
      </c>
      <c r="B170">
        <f t="shared" si="11"/>
        <v>0.74450230416738239</v>
      </c>
      <c r="C170">
        <f t="shared" si="12"/>
        <v>0.7463592536906325</v>
      </c>
      <c r="D170">
        <f t="shared" si="13"/>
        <v>0.73877306068561044</v>
      </c>
      <c r="F170" s="2">
        <f t="shared" si="14"/>
        <v>0.74809618561440916</v>
      </c>
      <c r="G170" s="2">
        <f t="shared" si="10"/>
        <v>0.75386200546474758</v>
      </c>
    </row>
    <row r="171" spans="1:7" x14ac:dyDescent="0.25">
      <c r="A171">
        <v>0.83</v>
      </c>
      <c r="B171">
        <f t="shared" si="11"/>
        <v>0.74460277724812018</v>
      </c>
      <c r="C171">
        <f t="shared" si="12"/>
        <v>0.74643993173522805</v>
      </c>
      <c r="D171">
        <f t="shared" si="13"/>
        <v>0.73889407775250371</v>
      </c>
      <c r="F171" s="2">
        <f t="shared" si="14"/>
        <v>0.748138373666274</v>
      </c>
      <c r="G171" s="2">
        <f t="shared" si="10"/>
        <v>0.75390419351661242</v>
      </c>
    </row>
    <row r="172" spans="1:7" x14ac:dyDescent="0.25">
      <c r="A172">
        <v>0.83499999999999996</v>
      </c>
      <c r="B172">
        <f t="shared" si="11"/>
        <v>0.74470141413415747</v>
      </c>
      <c r="C172">
        <f t="shared" si="12"/>
        <v>0.74651882198046149</v>
      </c>
      <c r="D172">
        <f t="shared" si="13"/>
        <v>0.73901241312035382</v>
      </c>
      <c r="F172" s="2">
        <f t="shared" si="14"/>
        <v>0.74817962684531625</v>
      </c>
      <c r="G172" s="2">
        <f t="shared" si="10"/>
        <v>0.75394544669565466</v>
      </c>
    </row>
    <row r="173" spans="1:7" x14ac:dyDescent="0.25">
      <c r="A173">
        <v>0.84000000000000097</v>
      </c>
      <c r="B173">
        <f t="shared" si="11"/>
        <v>0.74479824838285069</v>
      </c>
      <c r="C173">
        <f t="shared" si="12"/>
        <v>0.74659596404276418</v>
      </c>
      <c r="D173">
        <f t="shared" si="13"/>
        <v>0.73912812621380775</v>
      </c>
      <c r="F173" s="2">
        <f t="shared" si="14"/>
        <v>0.74821996586761408</v>
      </c>
      <c r="G173" s="2">
        <f t="shared" si="10"/>
        <v>0.75398578571795249</v>
      </c>
    </row>
    <row r="174" spans="1:7" x14ac:dyDescent="0.25">
      <c r="A174">
        <v>0.84500000000000097</v>
      </c>
      <c r="B174">
        <f t="shared" si="11"/>
        <v>0.74489331293827898</v>
      </c>
      <c r="C174">
        <f t="shared" si="12"/>
        <v>0.74667139666075544</v>
      </c>
      <c r="D174">
        <f t="shared" si="13"/>
        <v>0.73924127514079474</v>
      </c>
      <c r="F174" s="2">
        <f t="shared" si="14"/>
        <v>0.74825941099023074</v>
      </c>
      <c r="G174" s="2">
        <f t="shared" ref="G174:G237" si="15">F174+$M$11</f>
        <v>0.75402523084056916</v>
      </c>
    </row>
    <row r="175" spans="1:7" x14ac:dyDescent="0.25">
      <c r="A175">
        <v>0.85000000000000098</v>
      </c>
      <c r="B175">
        <f t="shared" si="11"/>
        <v>0.74498664014245264</v>
      </c>
      <c r="C175">
        <f t="shared" si="12"/>
        <v>0.74674515771468764</v>
      </c>
      <c r="D175">
        <f t="shared" si="13"/>
        <v>0.73935191672169309</v>
      </c>
      <c r="F175" s="2">
        <f t="shared" si="14"/>
        <v>0.74829798202138209</v>
      </c>
      <c r="G175" s="2">
        <f t="shared" si="15"/>
        <v>0.75406380187172051</v>
      </c>
    </row>
    <row r="176" spans="1:7" x14ac:dyDescent="0.25">
      <c r="A176">
        <v>0.85500000000000098</v>
      </c>
      <c r="B176">
        <f t="shared" si="11"/>
        <v>0.74507826174631564</v>
      </c>
      <c r="C176">
        <f t="shared" si="12"/>
        <v>0.74681728424545946</v>
      </c>
      <c r="D176">
        <f t="shared" si="13"/>
        <v>0.73946010651785088</v>
      </c>
      <c r="F176" s="2">
        <f t="shared" si="14"/>
        <v>0.74833569833037772</v>
      </c>
      <c r="G176" s="2">
        <f t="shared" si="15"/>
        <v>0.75410151818071613</v>
      </c>
    </row>
    <row r="177" spans="1:7" x14ac:dyDescent="0.25">
      <c r="A177">
        <v>0.86000000000000099</v>
      </c>
      <c r="B177">
        <f t="shared" si="11"/>
        <v>0.74516820892054791</v>
      </c>
      <c r="C177">
        <f t="shared" si="12"/>
        <v>0.74688781247321001</v>
      </c>
      <c r="D177">
        <f t="shared" si="13"/>
        <v>0.73956589885947654</v>
      </c>
      <c r="F177" s="2">
        <f t="shared" si="14"/>
        <v>0.74837257885734387</v>
      </c>
      <c r="G177" s="2">
        <f t="shared" si="15"/>
        <v>0.75413839870768229</v>
      </c>
    </row>
    <row r="178" spans="1:7" x14ac:dyDescent="0.25">
      <c r="A178">
        <v>0.86500000000000099</v>
      </c>
      <c r="B178">
        <f t="shared" si="11"/>
        <v>0.74525651226617029</v>
      </c>
      <c r="C178">
        <f t="shared" si="12"/>
        <v>0.74695677781550029</v>
      </c>
      <c r="D178">
        <f t="shared" si="13"/>
        <v>0.73966934687291208</v>
      </c>
      <c r="F178" s="2">
        <f t="shared" si="14"/>
        <v>0.74840864212272973</v>
      </c>
      <c r="G178" s="2">
        <f t="shared" si="15"/>
        <v>0.75417446197306814</v>
      </c>
    </row>
    <row r="179" spans="1:7" x14ac:dyDescent="0.25">
      <c r="A179">
        <v>0.87000000000000099</v>
      </c>
      <c r="B179">
        <f t="shared" si="11"/>
        <v>0.74534320182495462</v>
      </c>
      <c r="C179">
        <f t="shared" si="12"/>
        <v>0.74702421490509385</v>
      </c>
      <c r="D179">
        <f t="shared" si="13"/>
        <v>0.73977050250730225</v>
      </c>
      <c r="F179" s="2">
        <f t="shared" si="14"/>
        <v>0.74844390623660495</v>
      </c>
      <c r="G179" s="2">
        <f t="shared" si="15"/>
        <v>0.75420972608694337</v>
      </c>
    </row>
    <row r="180" spans="1:7" x14ac:dyDescent="0.25">
      <c r="A180">
        <v>0.875000000000001</v>
      </c>
      <c r="B180">
        <f t="shared" si="11"/>
        <v>0.7454283070896448</v>
      </c>
      <c r="C180">
        <f t="shared" si="12"/>
        <v>0.74709015760734188</v>
      </c>
      <c r="D180">
        <f t="shared" si="13"/>
        <v>0.7398694165606744</v>
      </c>
      <c r="F180" s="2">
        <f t="shared" si="14"/>
        <v>0.7484783889077502</v>
      </c>
      <c r="G180" s="2">
        <f t="shared" si="15"/>
        <v>0.75424420875808862</v>
      </c>
    </row>
    <row r="181" spans="1:7" x14ac:dyDescent="0.25">
      <c r="A181">
        <v>0.880000000000001</v>
      </c>
      <c r="B181">
        <f t="shared" si="11"/>
        <v>0.74551185701399048</v>
      </c>
      <c r="C181">
        <f t="shared" si="12"/>
        <v>0.74715463903718582</v>
      </c>
      <c r="D181">
        <f t="shared" si="13"/>
        <v>0.73996613870544037</v>
      </c>
      <c r="F181" s="2">
        <f t="shared" si="14"/>
        <v>0.74851210745254693</v>
      </c>
      <c r="G181" s="2">
        <f t="shared" si="15"/>
        <v>0.75427792730288534</v>
      </c>
    </row>
    <row r="182" spans="1:7" x14ac:dyDescent="0.25">
      <c r="A182">
        <v>0.88500000000000101</v>
      </c>
      <c r="B182">
        <f t="shared" si="11"/>
        <v>0.74559388002259719</v>
      </c>
      <c r="C182">
        <f t="shared" si="12"/>
        <v>0.74721769157578177</v>
      </c>
      <c r="D182">
        <f t="shared" si="13"/>
        <v>0.74006071751333424</v>
      </c>
      <c r="F182" s="2">
        <f t="shared" si="14"/>
        <v>0.74854507880367094</v>
      </c>
      <c r="G182" s="2">
        <f t="shared" si="15"/>
        <v>0.75431089865400935</v>
      </c>
    </row>
    <row r="183" spans="1:7" x14ac:dyDescent="0.25">
      <c r="A183">
        <v>0.89000000000000101</v>
      </c>
      <c r="B183">
        <f t="shared" si="11"/>
        <v>0.74567440402059715</v>
      </c>
      <c r="C183">
        <f t="shared" si="12"/>
        <v>0.74727934688675768</v>
      </c>
      <c r="D183">
        <f t="shared" si="13"/>
        <v>0.74015320047979816</v>
      </c>
      <c r="F183" s="2">
        <f t="shared" si="14"/>
        <v>0.74857731951859297</v>
      </c>
      <c r="G183" s="2">
        <f t="shared" si="15"/>
        <v>0.75434313936893138</v>
      </c>
    </row>
    <row r="184" spans="1:7" x14ac:dyDescent="0.25">
      <c r="A184">
        <v>0.89500000000000102</v>
      </c>
      <c r="B184">
        <f t="shared" si="11"/>
        <v>0.7457534564031425</v>
      </c>
      <c r="C184">
        <f t="shared" si="12"/>
        <v>0.74733963593211084</v>
      </c>
      <c r="D184">
        <f t="shared" si="13"/>
        <v>0.74024363404782778</v>
      </c>
      <c r="F184" s="2">
        <f t="shared" si="14"/>
        <v>0.74860884578789089</v>
      </c>
      <c r="G184" s="2">
        <f t="shared" si="15"/>
        <v>0.7543746656382293</v>
      </c>
    </row>
    <row r="185" spans="1:7" x14ac:dyDescent="0.25">
      <c r="A185">
        <v>0.90000000000000102</v>
      </c>
      <c r="B185">
        <f t="shared" si="11"/>
        <v>0.74583106406472544</v>
      </c>
      <c r="C185">
        <f t="shared" si="12"/>
        <v>0.74739858898775269</v>
      </c>
      <c r="D185">
        <f t="shared" si="13"/>
        <v>0.74033206363129067</v>
      </c>
      <c r="F185" s="2">
        <f t="shared" si="14"/>
        <v>0.74863967344337889</v>
      </c>
      <c r="G185" s="2">
        <f t="shared" si="15"/>
        <v>0.75440549329371731</v>
      </c>
    </row>
    <row r="186" spans="1:7" x14ac:dyDescent="0.25">
      <c r="A186">
        <v>0.90500000000000103</v>
      </c>
      <c r="B186">
        <f t="shared" si="11"/>
        <v>0.74590725340832831</v>
      </c>
      <c r="C186">
        <f t="shared" si="12"/>
        <v>0.74745623565871011</v>
      </c>
      <c r="D186">
        <f t="shared" si="13"/>
        <v>0.74041853363772681</v>
      </c>
      <c r="F186" s="2">
        <f t="shared" si="14"/>
        <v>0.74866981796605536</v>
      </c>
      <c r="G186" s="2">
        <f t="shared" si="15"/>
        <v>0.75443563781639378</v>
      </c>
    </row>
    <row r="187" spans="1:7" x14ac:dyDescent="0.25">
      <c r="A187">
        <v>0.91000000000000103</v>
      </c>
      <c r="B187">
        <f t="shared" si="11"/>
        <v>0.74598205035440612</v>
      </c>
      <c r="C187">
        <f t="shared" si="12"/>
        <v>0.74751260489398974</v>
      </c>
      <c r="D187">
        <f t="shared" si="13"/>
        <v>0.74050308749064608</v>
      </c>
      <c r="F187" s="2">
        <f t="shared" si="14"/>
        <v>0.7486992944938764</v>
      </c>
      <c r="G187" s="2">
        <f t="shared" si="15"/>
        <v>0.75446511434421482</v>
      </c>
    </row>
    <row r="188" spans="1:7" x14ac:dyDescent="0.25">
      <c r="A188">
        <v>0.91500000000000103</v>
      </c>
      <c r="B188">
        <f t="shared" si="11"/>
        <v>0.74605548034970481</v>
      </c>
      <c r="C188">
        <f t="shared" si="12"/>
        <v>0.7475677250011129</v>
      </c>
      <c r="D188">
        <f t="shared" si="13"/>
        <v>0.740585767651331</v>
      </c>
      <c r="F188" s="2">
        <f t="shared" si="14"/>
        <v>0.74872811782935511</v>
      </c>
      <c r="G188" s="2">
        <f t="shared" si="15"/>
        <v>0.75449393767969353</v>
      </c>
    </row>
    <row r="189" spans="1:7" x14ac:dyDescent="0.25">
      <c r="A189">
        <v>0.92000000000000104</v>
      </c>
      <c r="B189">
        <f t="shared" si="11"/>
        <v>0.74612756837591832</v>
      </c>
      <c r="C189">
        <f t="shared" si="12"/>
        <v>0.74762162366032969</v>
      </c>
      <c r="D189">
        <f t="shared" si="13"/>
        <v>0.74066661564015612</v>
      </c>
      <c r="F189" s="2">
        <f t="shared" si="14"/>
        <v>0.74875630244699487</v>
      </c>
      <c r="G189" s="2">
        <f t="shared" si="15"/>
        <v>0.75452212229733329</v>
      </c>
    </row>
    <row r="190" spans="1:7" x14ac:dyDescent="0.25">
      <c r="A190">
        <v>0.92500000000000104</v>
      </c>
      <c r="B190">
        <f t="shared" si="11"/>
        <v>0.74619833895818843</v>
      </c>
      <c r="C190">
        <f t="shared" si="12"/>
        <v>0.74767432793851674</v>
      </c>
      <c r="D190">
        <f t="shared" si="13"/>
        <v>0.74074567205743658</v>
      </c>
      <c r="F190" s="2">
        <f t="shared" si="14"/>
        <v>0.74878386250055651</v>
      </c>
      <c r="G190" s="2">
        <f t="shared" si="15"/>
        <v>0.75454968235089492</v>
      </c>
    </row>
    <row r="191" spans="1:7" x14ac:dyDescent="0.25">
      <c r="A191">
        <v>0.93000000000000105</v>
      </c>
      <c r="B191">
        <f t="shared" si="11"/>
        <v>0.74626781617344751</v>
      </c>
      <c r="C191">
        <f t="shared" si="12"/>
        <v>0.74772586430276811</v>
      </c>
      <c r="D191">
        <f t="shared" si="13"/>
        <v>0.7408229766038138</v>
      </c>
      <c r="F191" s="2">
        <f t="shared" si="14"/>
        <v>0.74881081183016485</v>
      </c>
      <c r="G191" s="2">
        <f t="shared" si="15"/>
        <v>0.75457663168050326</v>
      </c>
    </row>
    <row r="192" spans="1:7" x14ac:dyDescent="0.25">
      <c r="A192">
        <v>0.93500000000000105</v>
      </c>
      <c r="B192">
        <f t="shared" si="11"/>
        <v>0.7463360236586104</v>
      </c>
      <c r="C192">
        <f t="shared" si="12"/>
        <v>0.74777625863368558</v>
      </c>
      <c r="D192">
        <f t="shared" si="13"/>
        <v>0.74089856810019006</v>
      </c>
      <c r="F192" s="2">
        <f t="shared" si="14"/>
        <v>0.74883716396925837</v>
      </c>
      <c r="G192" s="2">
        <f t="shared" si="15"/>
        <v>0.75460298381959678</v>
      </c>
    </row>
    <row r="193" spans="1:7" x14ac:dyDescent="0.25">
      <c r="A193">
        <v>0.94000000000000095</v>
      </c>
      <c r="B193">
        <f t="shared" si="11"/>
        <v>0.74640298461861587</v>
      </c>
      <c r="C193">
        <f t="shared" si="12"/>
        <v>0.74782553623837322</v>
      </c>
      <c r="D193">
        <f t="shared" si="13"/>
        <v>0.74097248450722142</v>
      </c>
      <c r="F193" s="2">
        <f t="shared" si="14"/>
        <v>0.74886293215138411</v>
      </c>
      <c r="G193" s="2">
        <f t="shared" si="15"/>
        <v>0.75462875200172252</v>
      </c>
    </row>
    <row r="194" spans="1:7" x14ac:dyDescent="0.25">
      <c r="A194">
        <v>0.94500000000000095</v>
      </c>
      <c r="B194">
        <f t="shared" si="11"/>
        <v>0.74646872183432078</v>
      </c>
      <c r="C194">
        <f t="shared" si="12"/>
        <v>0.74787372186314538</v>
      </c>
      <c r="D194">
        <f t="shared" si="13"/>
        <v>0.7410447629443796</v>
      </c>
      <c r="F194" s="2">
        <f t="shared" si="14"/>
        <v>0.74888812931684279</v>
      </c>
      <c r="G194" s="2">
        <f t="shared" si="15"/>
        <v>0.7546539491671812</v>
      </c>
    </row>
    <row r="195" spans="1:7" x14ac:dyDescent="0.25">
      <c r="A195">
        <v>0.95000000000000095</v>
      </c>
      <c r="B195">
        <f t="shared" si="11"/>
        <v>0.74653325767025103</v>
      </c>
      <c r="C195">
        <f t="shared" si="12"/>
        <v>0.74792083970595225</v>
      </c>
      <c r="D195">
        <f t="shared" si="13"/>
        <v>0.74111543970858995</v>
      </c>
      <c r="F195" s="2">
        <f t="shared" si="14"/>
        <v>0.74891276811918661</v>
      </c>
      <c r="G195" s="2">
        <f t="shared" si="15"/>
        <v>0.75467858796952503</v>
      </c>
    </row>
    <row r="196" spans="1:7" x14ac:dyDescent="0.25">
      <c r="A196">
        <v>0.95500000000000096</v>
      </c>
      <c r="B196">
        <f t="shared" si="11"/>
        <v>0.74659661408220956</v>
      </c>
      <c r="C196">
        <f t="shared" si="12"/>
        <v>0.74796691342853117</v>
      </c>
      <c r="D196">
        <f t="shared" si="13"/>
        <v>0.74118455029245833</v>
      </c>
      <c r="F196" s="2">
        <f t="shared" si="14"/>
        <v>0.74893686093157263</v>
      </c>
      <c r="G196" s="2">
        <f t="shared" si="15"/>
        <v>0.75470268078191105</v>
      </c>
    </row>
    <row r="197" spans="1:7" x14ac:dyDescent="0.25">
      <c r="A197">
        <v>0.96000000000000096</v>
      </c>
      <c r="B197">
        <f t="shared" ref="B197:B260" si="16">$J$3-$M$6*EXP(-$M$8*A197)</f>
        <v>0.74665881262474654</v>
      </c>
      <c r="C197">
        <f t="shared" ref="C197:C260" si="17">$J$3-M$19/(2*J$8)*(2*J$8*M$17*(1-M$15*EXP(-M$15*A197))+2*J$8*M$18*(1-M$16*EXP(-M$16*A197))+J$6*M$17*EXP(-M$15*A197)+J$6*M$18*EXP(-M$16*A197))</f>
        <v>0.7480119661682878</v>
      </c>
      <c r="D197">
        <f t="shared" si="13"/>
        <v>0.74125212940209328</v>
      </c>
      <c r="F197" s="2">
        <f t="shared" si="14"/>
        <v>0.74896041985297612</v>
      </c>
      <c r="G197" s="2">
        <f t="shared" si="15"/>
        <v>0.75472623970331454</v>
      </c>
    </row>
    <row r="198" spans="1:7" x14ac:dyDescent="0.25">
      <c r="A198">
        <v>0.96500000000000097</v>
      </c>
      <c r="B198">
        <f t="shared" si="16"/>
        <v>0.74671987445849186</v>
      </c>
      <c r="C198">
        <f t="shared" si="17"/>
        <v>0.7480560205499146</v>
      </c>
      <c r="D198">
        <f t="shared" ref="D198:D261" si="18">MIN($J$3-(1+J$13)*M$19/(2*J$8)*(2*J$8*M$17*(1-M$15*EXP(-M$15*A198))+2*J$8*M$18*(1-M$16*EXP(-M$16*A198))+J$6*M$17*EXP(-M$15*A198)+J$6*M$18*EXP(-M$16*A198))-M$11,$J$3-$M$11)</f>
        <v>0.74131821097453343</v>
      </c>
      <c r="F198" s="2">
        <f t="shared" si="14"/>
        <v>0.74898345671426558</v>
      </c>
      <c r="G198" s="2">
        <f t="shared" si="15"/>
        <v>0.754749276564604</v>
      </c>
    </row>
    <row r="199" spans="1:7" x14ac:dyDescent="0.25">
      <c r="A199">
        <v>0.97000000000000097</v>
      </c>
      <c r="B199">
        <f t="shared" si="16"/>
        <v>0.74677982035735502</v>
      </c>
      <c r="C199">
        <f t="shared" si="17"/>
        <v>0.74809909869675151</v>
      </c>
      <c r="D199">
        <f t="shared" si="18"/>
        <v>0.74138282819478885</v>
      </c>
      <c r="F199" s="2">
        <f t="shared" si="14"/>
        <v>0.7490059830841439</v>
      </c>
      <c r="G199" s="2">
        <f t="shared" si="15"/>
        <v>0.75477180293448232</v>
      </c>
    </row>
    <row r="200" spans="1:7" x14ac:dyDescent="0.25">
      <c r="A200">
        <v>0.97500000000000098</v>
      </c>
      <c r="B200">
        <f t="shared" si="16"/>
        <v>0.74683867071559162</v>
      </c>
      <c r="C200">
        <f t="shared" si="17"/>
        <v>0.74814122224189583</v>
      </c>
      <c r="D200">
        <f t="shared" si="18"/>
        <v>0.74144601351250539</v>
      </c>
      <c r="F200" s="2">
        <f t="shared" ref="F200:F263" si="19">$J$3-J$14*M$19/(2*J$8)*(2*J$8*M$17*(1-M$15*EXP(-M$15*A198))+2*J$8*M$18*(1-M$16*EXP(-M$16*A198))+J$6*M$17*EXP(-M$15*A198)+J$6*M$18*EXP(-M$16*A198))</f>
        <v>0.74902801027495725</v>
      </c>
      <c r="G200" s="2">
        <f t="shared" si="15"/>
        <v>0.75479383012529566</v>
      </c>
    </row>
    <row r="201" spans="1:7" x14ac:dyDescent="0.25">
      <c r="A201">
        <v>0.98000000000000098</v>
      </c>
      <c r="B201">
        <f t="shared" si="16"/>
        <v>0.74689644555474277</v>
      </c>
      <c r="C201">
        <f t="shared" si="17"/>
        <v>0.74818241233906491</v>
      </c>
      <c r="D201">
        <f t="shared" si="18"/>
        <v>0.74150779865825889</v>
      </c>
      <c r="F201" s="2">
        <f t="shared" si="19"/>
        <v>0.74904954934837575</v>
      </c>
      <c r="G201" s="2">
        <f t="shared" si="15"/>
        <v>0.75481536919871417</v>
      </c>
    </row>
    <row r="202" spans="1:7" x14ac:dyDescent="0.25">
      <c r="A202">
        <v>0.98500000000000099</v>
      </c>
      <c r="B202">
        <f t="shared" si="16"/>
        <v>0.7469531645304458</v>
      </c>
      <c r="C202">
        <f t="shared" si="17"/>
        <v>0.74822268967321859</v>
      </c>
      <c r="D202">
        <f t="shared" si="18"/>
        <v>0.74156821465948941</v>
      </c>
      <c r="F202" s="2">
        <f t="shared" si="19"/>
        <v>0.74907061112094797</v>
      </c>
      <c r="G202" s="2">
        <f t="shared" si="15"/>
        <v>0.75483643097128639</v>
      </c>
    </row>
    <row r="203" spans="1:7" x14ac:dyDescent="0.25">
      <c r="A203">
        <v>0.99000000000000099</v>
      </c>
      <c r="B203">
        <f t="shared" si="16"/>
        <v>0.74700884693912162</v>
      </c>
      <c r="C203">
        <f t="shared" si="17"/>
        <v>0.74826207447094661</v>
      </c>
      <c r="D203">
        <f t="shared" si="18"/>
        <v>0.74162729185608145</v>
      </c>
      <c r="F203" s="2">
        <f t="shared" si="19"/>
        <v>0.7490912061695324</v>
      </c>
      <c r="G203" s="2">
        <f t="shared" si="15"/>
        <v>0.75485702601987081</v>
      </c>
    </row>
    <row r="204" spans="1:7" x14ac:dyDescent="0.25">
      <c r="A204">
        <v>0.99500000000000099</v>
      </c>
      <c r="B204">
        <f t="shared" si="16"/>
        <v>0.74706351172453989</v>
      </c>
      <c r="C204">
        <f t="shared" si="17"/>
        <v>0.74830058651062548</v>
      </c>
      <c r="D204">
        <f t="shared" si="18"/>
        <v>0.74168505991559974</v>
      </c>
      <c r="F204" s="2">
        <f t="shared" si="19"/>
        <v>0.74911134483660924</v>
      </c>
      <c r="G204" s="2">
        <f t="shared" si="15"/>
        <v>0.75487716468694765</v>
      </c>
    </row>
    <row r="205" spans="1:7" x14ac:dyDescent="0.25">
      <c r="A205">
        <v>1</v>
      </c>
      <c r="B205">
        <f t="shared" si="16"/>
        <v>0.74711717748426332</v>
      </c>
      <c r="C205">
        <f t="shared" si="17"/>
        <v>0.74833824513235037</v>
      </c>
      <c r="D205">
        <f t="shared" si="18"/>
        <v>0.74174154784818713</v>
      </c>
      <c r="F205" s="2">
        <f t="shared" si="19"/>
        <v>0.74913103723547325</v>
      </c>
      <c r="G205" s="2">
        <f t="shared" si="15"/>
        <v>0.75489685708581167</v>
      </c>
    </row>
    <row r="206" spans="1:7" x14ac:dyDescent="0.25">
      <c r="A206">
        <v>1.0049999999999999</v>
      </c>
      <c r="B206">
        <f t="shared" si="16"/>
        <v>0.74716986247597528</v>
      </c>
      <c r="C206">
        <f t="shared" si="17"/>
        <v>0.74837506924764718</v>
      </c>
      <c r="D206">
        <f t="shared" si="18"/>
        <v>0.74179678402113236</v>
      </c>
      <c r="F206" s="2">
        <f t="shared" si="19"/>
        <v>0.74915029325531268</v>
      </c>
      <c r="G206" s="2">
        <f t="shared" si="15"/>
        <v>0.7549161131056511</v>
      </c>
    </row>
    <row r="207" spans="1:7" x14ac:dyDescent="0.25">
      <c r="A207">
        <v>1.01</v>
      </c>
      <c r="B207">
        <f t="shared" si="16"/>
        <v>0.74722158462369093</v>
      </c>
      <c r="C207">
        <f t="shared" si="17"/>
        <v>0.74841107734896906</v>
      </c>
      <c r="D207">
        <f t="shared" si="18"/>
        <v>0.74185079617311522</v>
      </c>
      <c r="F207" s="2">
        <f t="shared" si="19"/>
        <v>0.74916912256617518</v>
      </c>
      <c r="G207" s="2">
        <f t="shared" si="15"/>
        <v>0.7549349424165136</v>
      </c>
    </row>
    <row r="208" spans="1:7" x14ac:dyDescent="0.25">
      <c r="A208">
        <v>1.0149999999999999</v>
      </c>
      <c r="B208">
        <f t="shared" si="16"/>
        <v>0.74727236152385534</v>
      </c>
      <c r="C208">
        <f t="shared" si="17"/>
        <v>0.7484462875189829</v>
      </c>
      <c r="D208">
        <f t="shared" si="18"/>
        <v>0.74190361142813599</v>
      </c>
      <c r="F208" s="2">
        <f t="shared" si="19"/>
        <v>0.74918753462382359</v>
      </c>
      <c r="G208" s="2">
        <f t="shared" si="15"/>
        <v>0.75495335447416201</v>
      </c>
    </row>
    <row r="209" spans="1:7" x14ac:dyDescent="0.25">
      <c r="A209">
        <v>1.02</v>
      </c>
      <c r="B209">
        <f t="shared" si="16"/>
        <v>0.74732221045132996</v>
      </c>
      <c r="C209">
        <f t="shared" si="17"/>
        <v>0.74848071743964983</v>
      </c>
      <c r="D209">
        <f t="shared" si="18"/>
        <v>0.74195525630913628</v>
      </c>
      <c r="F209" s="2">
        <f t="shared" si="19"/>
        <v>0.74920553867448458</v>
      </c>
      <c r="G209" s="2">
        <f t="shared" si="15"/>
        <v>0.754971358524823</v>
      </c>
    </row>
    <row r="210" spans="1:7" x14ac:dyDescent="0.25">
      <c r="A210">
        <v>1.0249999999999999</v>
      </c>
      <c r="B210">
        <f t="shared" si="16"/>
        <v>0.74737114836526952</v>
      </c>
      <c r="C210">
        <f t="shared" si="17"/>
        <v>0.7485143844011044</v>
      </c>
      <c r="D210">
        <f t="shared" si="18"/>
        <v>0.74200575675131808</v>
      </c>
      <c r="F210" s="2">
        <f t="shared" si="19"/>
        <v>0.74922314375949151</v>
      </c>
      <c r="G210" s="2">
        <f t="shared" si="15"/>
        <v>0.75498896360982992</v>
      </c>
    </row>
    <row r="211" spans="1:7" x14ac:dyDescent="0.25">
      <c r="A211">
        <v>1.03</v>
      </c>
      <c r="B211">
        <f t="shared" si="16"/>
        <v>0.74741919191489203</v>
      </c>
      <c r="C211">
        <f t="shared" si="17"/>
        <v>0.74854730531033731</v>
      </c>
      <c r="D211">
        <f t="shared" si="18"/>
        <v>0.74205513811516755</v>
      </c>
      <c r="F211" s="2">
        <f t="shared" si="19"/>
        <v>0.74924035871982486</v>
      </c>
      <c r="G211" s="2">
        <f t="shared" si="15"/>
        <v>0.75500617857016328</v>
      </c>
    </row>
    <row r="212" spans="1:7" x14ac:dyDescent="0.25">
      <c r="A212">
        <v>1.0349999999999999</v>
      </c>
      <c r="B212">
        <f t="shared" si="16"/>
        <v>0.747466357445143</v>
      </c>
      <c r="C212">
        <f t="shared" si="17"/>
        <v>0.74857949669968571</v>
      </c>
      <c r="D212">
        <f t="shared" si="18"/>
        <v>0.74210342519919026</v>
      </c>
      <c r="F212" s="2">
        <f t="shared" si="19"/>
        <v>0.7492571922005522</v>
      </c>
      <c r="G212" s="2">
        <f t="shared" si="15"/>
        <v>0.75502301205089062</v>
      </c>
    </row>
    <row r="213" spans="1:7" x14ac:dyDescent="0.25">
      <c r="A213">
        <v>1.04</v>
      </c>
      <c r="B213">
        <f t="shared" si="16"/>
        <v>0.74751266100225588</v>
      </c>
      <c r="C213">
        <f t="shared" si="17"/>
        <v>0.74861097473513538</v>
      </c>
      <c r="D213">
        <f t="shared" si="18"/>
        <v>0.7421506422523646</v>
      </c>
      <c r="F213" s="2">
        <f t="shared" si="19"/>
        <v>0.74927365265516865</v>
      </c>
      <c r="G213" s="2">
        <f t="shared" si="15"/>
        <v>0.75503947250550707</v>
      </c>
    </row>
    <row r="214" spans="1:7" x14ac:dyDescent="0.25">
      <c r="A214">
        <v>1.0449999999999999</v>
      </c>
      <c r="B214">
        <f t="shared" si="16"/>
        <v>0.74755811833921149</v>
      </c>
      <c r="C214">
        <f t="shared" si="17"/>
        <v>0.74864175522443832</v>
      </c>
      <c r="D214">
        <f t="shared" si="18"/>
        <v>0.74219681298631901</v>
      </c>
      <c r="F214" s="2">
        <f t="shared" si="19"/>
        <v>0.74928974834984285</v>
      </c>
      <c r="G214" s="2">
        <f t="shared" si="15"/>
        <v>0.75505556820018127</v>
      </c>
    </row>
    <row r="215" spans="1:7" x14ac:dyDescent="0.25">
      <c r="A215">
        <v>1.05</v>
      </c>
      <c r="B215">
        <f t="shared" si="16"/>
        <v>0.74760274492109713</v>
      </c>
      <c r="C215">
        <f t="shared" si="17"/>
        <v>0.74867185362505162</v>
      </c>
      <c r="D215">
        <f t="shared" si="18"/>
        <v>0.74224196058723901</v>
      </c>
      <c r="F215" s="2">
        <f t="shared" si="19"/>
        <v>0.74930548736756764</v>
      </c>
      <c r="G215" s="2">
        <f t="shared" si="15"/>
        <v>0.75507130721790605</v>
      </c>
    </row>
    <row r="216" spans="1:7" x14ac:dyDescent="0.25">
      <c r="A216">
        <v>1.0549999999999999</v>
      </c>
      <c r="B216">
        <f t="shared" si="16"/>
        <v>0.74764655593036811</v>
      </c>
      <c r="C216">
        <f t="shared" si="17"/>
        <v>0.74870128505189948</v>
      </c>
      <c r="D216">
        <f t="shared" si="18"/>
        <v>0.7422861077275108</v>
      </c>
      <c r="F216" s="2">
        <f t="shared" si="19"/>
        <v>0.74932087761221911</v>
      </c>
      <c r="G216" s="2">
        <f t="shared" si="15"/>
        <v>0.75508669746255752</v>
      </c>
    </row>
    <row r="217" spans="1:7" x14ac:dyDescent="0.25">
      <c r="A217">
        <v>1.06</v>
      </c>
      <c r="B217">
        <f t="shared" si="16"/>
        <v>0.74768956627201288</v>
      </c>
      <c r="C217">
        <f t="shared" si="17"/>
        <v>0.74873006428496369</v>
      </c>
      <c r="D217">
        <f t="shared" si="18"/>
        <v>0.74232927657710712</v>
      </c>
      <c r="F217" s="2">
        <f t="shared" si="19"/>
        <v>0.74933592681252581</v>
      </c>
      <c r="G217" s="2">
        <f t="shared" si="15"/>
        <v>0.75510174666286423</v>
      </c>
    </row>
    <row r="218" spans="1:7" x14ac:dyDescent="0.25">
      <c r="A218">
        <v>1.0649999999999999</v>
      </c>
      <c r="B218">
        <f t="shared" si="16"/>
        <v>0.74773179057862404</v>
      </c>
      <c r="C218">
        <f t="shared" si="17"/>
        <v>0.74875820577670571</v>
      </c>
      <c r="D218">
        <f t="shared" si="18"/>
        <v>0.74237148881472026</v>
      </c>
      <c r="F218" s="2">
        <f t="shared" si="19"/>
        <v>0.74935064252594974</v>
      </c>
      <c r="G218" s="2">
        <f t="shared" si="15"/>
        <v>0.75511646237628816</v>
      </c>
    </row>
    <row r="219" spans="1:7" x14ac:dyDescent="0.25">
      <c r="A219">
        <v>1.07</v>
      </c>
      <c r="B219">
        <f t="shared" si="16"/>
        <v>0.74777324321537642</v>
      </c>
      <c r="C219">
        <f t="shared" si="17"/>
        <v>0.7487857236593245</v>
      </c>
      <c r="D219">
        <f t="shared" si="18"/>
        <v>0.74241276563864844</v>
      </c>
      <c r="F219" s="2">
        <f t="shared" si="19"/>
        <v>0.74936503214248185</v>
      </c>
      <c r="G219" s="2">
        <f t="shared" si="15"/>
        <v>0.75513085199282026</v>
      </c>
    </row>
    <row r="220" spans="1:7" x14ac:dyDescent="0.25">
      <c r="A220">
        <v>1.075</v>
      </c>
      <c r="B220">
        <f t="shared" si="16"/>
        <v>0.74781393828491394</v>
      </c>
      <c r="C220">
        <f t="shared" si="17"/>
        <v>0.7488126317518532</v>
      </c>
      <c r="D220">
        <f t="shared" si="18"/>
        <v>0.74245312777744144</v>
      </c>
      <c r="F220" s="2">
        <f t="shared" si="19"/>
        <v>0.74937910288835285</v>
      </c>
      <c r="G220" s="2">
        <f t="shared" si="15"/>
        <v>0.75514492273869127</v>
      </c>
    </row>
    <row r="221" spans="1:7" x14ac:dyDescent="0.25">
      <c r="A221">
        <v>1.08</v>
      </c>
      <c r="B221">
        <f t="shared" si="16"/>
        <v>0.74785388963214827</v>
      </c>
      <c r="C221">
        <f t="shared" si="17"/>
        <v>0.7488389435670989</v>
      </c>
      <c r="D221">
        <f t="shared" si="18"/>
        <v>0.74249259550030999</v>
      </c>
      <c r="F221" s="2">
        <f t="shared" si="19"/>
        <v>0.74939286182966225</v>
      </c>
      <c r="G221" s="2">
        <f t="shared" si="15"/>
        <v>0.75515868168000067</v>
      </c>
    </row>
    <row r="222" spans="1:7" x14ac:dyDescent="0.25">
      <c r="A222">
        <v>1.085</v>
      </c>
      <c r="B222">
        <f t="shared" si="16"/>
        <v>0.74789311084896826</v>
      </c>
      <c r="C222">
        <f t="shared" si="17"/>
        <v>0.74886467231842835</v>
      </c>
      <c r="D222">
        <f t="shared" si="18"/>
        <v>0.74253118862730416</v>
      </c>
      <c r="F222" s="2">
        <f t="shared" si="19"/>
        <v>0.74940631587592665</v>
      </c>
      <c r="G222" s="2">
        <f t="shared" si="15"/>
        <v>0.75517213572626507</v>
      </c>
    </row>
    <row r="223" spans="1:7" x14ac:dyDescent="0.25">
      <c r="A223">
        <v>1.0900000000000001</v>
      </c>
      <c r="B223">
        <f t="shared" si="16"/>
        <v>0.74793161527886443</v>
      </c>
      <c r="C223">
        <f t="shared" si="17"/>
        <v>0.7488898309264036</v>
      </c>
      <c r="D223">
        <f t="shared" si="18"/>
        <v>0.74256892653926698</v>
      </c>
      <c r="F223" s="2">
        <f t="shared" si="19"/>
        <v>0.74941947178354951</v>
      </c>
      <c r="G223" s="2">
        <f t="shared" si="15"/>
        <v>0.75518529163388792</v>
      </c>
    </row>
    <row r="224" spans="1:7" x14ac:dyDescent="0.25">
      <c r="A224">
        <v>1.095</v>
      </c>
      <c r="B224">
        <f t="shared" si="16"/>
        <v>0.74796941602146838</v>
      </c>
      <c r="C224">
        <f t="shared" si="17"/>
        <v>0.7489144320252703</v>
      </c>
      <c r="D224">
        <f t="shared" si="18"/>
        <v>0.74260582818756715</v>
      </c>
      <c r="F224" s="2">
        <f t="shared" si="19"/>
        <v>0.74943233615921423</v>
      </c>
      <c r="G224" s="2">
        <f t="shared" si="15"/>
        <v>0.75519815600955265</v>
      </c>
    </row>
    <row r="225" spans="1:7" x14ac:dyDescent="0.25">
      <c r="A225">
        <v>1.1000000000000001</v>
      </c>
      <c r="B225">
        <f t="shared" si="16"/>
        <v>0.74800652593700967</v>
      </c>
      <c r="C225">
        <f t="shared" si="17"/>
        <v>0.74893848796930262</v>
      </c>
      <c r="D225">
        <f t="shared" si="18"/>
        <v>0.74264191210361552</v>
      </c>
      <c r="F225" s="2">
        <f t="shared" si="19"/>
        <v>0.7494449154632018</v>
      </c>
      <c r="G225" s="2">
        <f t="shared" si="15"/>
        <v>0.75521073531354022</v>
      </c>
    </row>
    <row r="226" spans="1:7" x14ac:dyDescent="0.25">
      <c r="A226">
        <v>1.105</v>
      </c>
      <c r="B226">
        <f t="shared" si="16"/>
        <v>0.74804295765069073</v>
      </c>
      <c r="C226">
        <f t="shared" si="17"/>
        <v>0.74896201083900682</v>
      </c>
      <c r="D226">
        <f t="shared" si="18"/>
        <v>0.74267719640817176</v>
      </c>
      <c r="F226" s="2">
        <f t="shared" si="19"/>
        <v>0.74945721601263515</v>
      </c>
      <c r="G226" s="2">
        <f t="shared" si="15"/>
        <v>0.75522303586297357</v>
      </c>
    </row>
    <row r="227" spans="1:7" x14ac:dyDescent="0.25">
      <c r="A227">
        <v>1.1100000000000001</v>
      </c>
      <c r="B227">
        <f t="shared" si="16"/>
        <v>0.74807872355698235</v>
      </c>
      <c r="C227">
        <f t="shared" si="17"/>
        <v>0.74898501244718829</v>
      </c>
      <c r="D227">
        <f t="shared" si="18"/>
        <v>0.74271169882044397</v>
      </c>
      <c r="F227" s="2">
        <f t="shared" si="19"/>
        <v>0.74946924398465131</v>
      </c>
      <c r="G227" s="2">
        <f t="shared" si="15"/>
        <v>0.75523506383498973</v>
      </c>
    </row>
    <row r="228" spans="1:7" x14ac:dyDescent="0.25">
      <c r="A228">
        <v>1.115</v>
      </c>
      <c r="B228">
        <f t="shared" si="16"/>
        <v>0.74811383582384039</v>
      </c>
      <c r="C228">
        <f t="shared" si="17"/>
        <v>0.74900750434488361</v>
      </c>
      <c r="D228">
        <f t="shared" si="18"/>
        <v>0.74274543666698689</v>
      </c>
      <c r="F228" s="2">
        <f t="shared" si="19"/>
        <v>0.74948100541950335</v>
      </c>
      <c r="G228" s="2">
        <f t="shared" si="15"/>
        <v>0.75524682526984177</v>
      </c>
    </row>
    <row r="229" spans="1:7" x14ac:dyDescent="0.25">
      <c r="A229">
        <v>1.1200000000000001</v>
      </c>
      <c r="B229">
        <f t="shared" si="16"/>
        <v>0.74814830639684515</v>
      </c>
      <c r="C229">
        <f t="shared" si="17"/>
        <v>0.74902949782716111</v>
      </c>
      <c r="D229">
        <f t="shared" si="18"/>
        <v>0.7427784268904033</v>
      </c>
      <c r="F229" s="2">
        <f t="shared" si="19"/>
        <v>0.74949250622359409</v>
      </c>
      <c r="G229" s="2">
        <f t="shared" si="15"/>
        <v>0.75525832607393251</v>
      </c>
    </row>
    <row r="230" spans="1:7" x14ac:dyDescent="0.25">
      <c r="A230">
        <v>1.125</v>
      </c>
      <c r="B230">
        <f t="shared" si="16"/>
        <v>0.74818214700326569</v>
      </c>
      <c r="C230">
        <f t="shared" si="17"/>
        <v>0.74905100393879342</v>
      </c>
      <c r="D230">
        <f t="shared" si="18"/>
        <v>0.74281068605785172</v>
      </c>
      <c r="F230" s="2">
        <f t="shared" si="19"/>
        <v>0.74950375217244181</v>
      </c>
      <c r="G230" s="2">
        <f t="shared" si="15"/>
        <v>0.75526957202278022</v>
      </c>
    </row>
    <row r="231" spans="1:7" x14ac:dyDescent="0.25">
      <c r="A231">
        <v>1.1299999999999999</v>
      </c>
      <c r="B231">
        <f t="shared" si="16"/>
        <v>0.74821536915604947</v>
      </c>
      <c r="C231">
        <f t="shared" si="17"/>
        <v>0.74907203347980333</v>
      </c>
      <c r="D231">
        <f t="shared" si="18"/>
        <v>0.74284223036936659</v>
      </c>
      <c r="F231" s="2">
        <f t="shared" si="19"/>
        <v>0.74951474891358061</v>
      </c>
      <c r="G231" s="2">
        <f t="shared" si="15"/>
        <v>0.75528056876391902</v>
      </c>
    </row>
    <row r="232" spans="1:7" x14ac:dyDescent="0.25">
      <c r="A232">
        <v>1.135</v>
      </c>
      <c r="B232">
        <f t="shared" si="16"/>
        <v>0.74824798415773941</v>
      </c>
      <c r="C232">
        <f t="shared" si="17"/>
        <v>0.74909259701088793</v>
      </c>
      <c r="D232">
        <f t="shared" si="18"/>
        <v>0.74287307566599348</v>
      </c>
      <c r="F232" s="2">
        <f t="shared" si="19"/>
        <v>0.74952550196939671</v>
      </c>
      <c r="G232" s="2">
        <f t="shared" si="15"/>
        <v>0.75529132181973513</v>
      </c>
    </row>
    <row r="233" spans="1:7" x14ac:dyDescent="0.25">
      <c r="A233">
        <v>1.1399999999999999</v>
      </c>
      <c r="B233">
        <f t="shared" si="16"/>
        <v>0.74828000310431864</v>
      </c>
      <c r="C233">
        <f t="shared" si="17"/>
        <v>0.74911270485872172</v>
      </c>
      <c r="D233">
        <f t="shared" si="18"/>
        <v>0.74290323743774422</v>
      </c>
      <c r="F233" s="2">
        <f t="shared" si="19"/>
        <v>0.74953601673990167</v>
      </c>
      <c r="G233" s="2">
        <f t="shared" si="15"/>
        <v>0.75530183659024008</v>
      </c>
    </row>
    <row r="234" spans="1:7" x14ac:dyDescent="0.25">
      <c r="A234">
        <v>1.145</v>
      </c>
      <c r="B234">
        <f t="shared" si="16"/>
        <v>0.74831143688898594</v>
      </c>
      <c r="C234">
        <f t="shared" si="17"/>
        <v>0.74913236712114262</v>
      </c>
      <c r="D234">
        <f t="shared" si="18"/>
        <v>0.74293273083137557</v>
      </c>
      <c r="F234" s="2">
        <f t="shared" si="19"/>
        <v>0.74954629850544396</v>
      </c>
      <c r="G234" s="2">
        <f t="shared" si="15"/>
        <v>0.75531211835578238</v>
      </c>
    </row>
    <row r="235" spans="1:7" x14ac:dyDescent="0.25">
      <c r="A235">
        <v>1.1499999999999999</v>
      </c>
      <c r="B235">
        <f t="shared" si="16"/>
        <v>0.74834229620586146</v>
      </c>
      <c r="C235">
        <f t="shared" si="17"/>
        <v>0.74915159367222273</v>
      </c>
      <c r="D235">
        <f t="shared" si="18"/>
        <v>0.74296157065799573</v>
      </c>
      <c r="F235" s="2">
        <f t="shared" si="19"/>
        <v>0.74955635242936092</v>
      </c>
      <c r="G235" s="2">
        <f t="shared" si="15"/>
        <v>0.75532217227969933</v>
      </c>
    </row>
    <row r="236" spans="1:7" x14ac:dyDescent="0.25">
      <c r="A236">
        <v>1.155</v>
      </c>
      <c r="B236">
        <f t="shared" si="16"/>
        <v>0.74837259155362501</v>
      </c>
      <c r="C236">
        <f t="shared" si="17"/>
        <v>0.74917039416722719</v>
      </c>
      <c r="D236">
        <f t="shared" si="18"/>
        <v>0.74298977140050237</v>
      </c>
      <c r="F236" s="2">
        <f t="shared" si="19"/>
        <v>0.74956618356057136</v>
      </c>
      <c r="G236" s="2">
        <f t="shared" si="15"/>
        <v>0.75533200341090978</v>
      </c>
    </row>
    <row r="237" spans="1:7" x14ac:dyDescent="0.25">
      <c r="A237">
        <v>1.1599999999999999</v>
      </c>
      <c r="B237">
        <f t="shared" si="16"/>
        <v>0.74840233323908822</v>
      </c>
      <c r="C237">
        <f t="shared" si="17"/>
        <v>0.74918877804746253</v>
      </c>
      <c r="D237">
        <f t="shared" si="18"/>
        <v>0.74301734722085544</v>
      </c>
      <c r="F237" s="2">
        <f t="shared" si="19"/>
        <v>0.74957579683611142</v>
      </c>
      <c r="G237" s="2">
        <f t="shared" si="15"/>
        <v>0.75534161668644983</v>
      </c>
    </row>
    <row r="238" spans="1:7" x14ac:dyDescent="0.25">
      <c r="A238">
        <v>1.165</v>
      </c>
      <c r="B238">
        <f t="shared" si="16"/>
        <v>0.7484315313807004</v>
      </c>
      <c r="C238">
        <f t="shared" si="17"/>
        <v>0.74920675454501839</v>
      </c>
      <c r="D238">
        <f t="shared" si="18"/>
        <v>0.74304431196718912</v>
      </c>
      <c r="F238" s="2">
        <f t="shared" si="19"/>
        <v>0.7495851970836136</v>
      </c>
      <c r="G238" s="2">
        <f t="shared" ref="G238:G268" si="20">F238+$M$11</f>
        <v>0.75535101693395201</v>
      </c>
    </row>
    <row r="239" spans="1:7" x14ac:dyDescent="0.25">
      <c r="A239">
        <v>1.17</v>
      </c>
      <c r="B239">
        <f t="shared" si="16"/>
        <v>0.7484601959119912</v>
      </c>
      <c r="C239">
        <f t="shared" si="17"/>
        <v>0.74922433268740318</v>
      </c>
      <c r="D239">
        <f t="shared" si="18"/>
        <v>0.7430706791807663</v>
      </c>
      <c r="F239" s="2">
        <f t="shared" si="19"/>
        <v>0.74959438902373132</v>
      </c>
      <c r="G239" s="2">
        <f t="shared" si="20"/>
        <v>0.75536020887406974</v>
      </c>
    </row>
    <row r="240" spans="1:7" x14ac:dyDescent="0.25">
      <c r="A240">
        <v>1.175</v>
      </c>
      <c r="B240">
        <f t="shared" si="16"/>
        <v>0.74848833658495051</v>
      </c>
      <c r="C240">
        <f t="shared" si="17"/>
        <v>0.749241521302078</v>
      </c>
      <c r="D240">
        <f t="shared" si="18"/>
        <v>0.74309646210277858</v>
      </c>
      <c r="F240" s="2">
        <f t="shared" si="19"/>
        <v>0.74960337727250914</v>
      </c>
      <c r="G240" s="2">
        <f t="shared" si="20"/>
        <v>0.75536919712284756</v>
      </c>
    </row>
    <row r="241" spans="1:7" x14ac:dyDescent="0.25">
      <c r="A241">
        <v>1.18</v>
      </c>
      <c r="B241">
        <f t="shared" si="16"/>
        <v>0.74851596297334533</v>
      </c>
      <c r="C241">
        <f t="shared" si="17"/>
        <v>0.7492583290208894</v>
      </c>
      <c r="D241">
        <f t="shared" si="18"/>
        <v>0.74312167368099558</v>
      </c>
      <c r="F241" s="2">
        <f t="shared" si="19"/>
        <v>0.74961216634370154</v>
      </c>
      <c r="G241" s="2">
        <f t="shared" si="20"/>
        <v>0.75537798619403995</v>
      </c>
    </row>
    <row r="242" spans="1:7" x14ac:dyDescent="0.25">
      <c r="A242">
        <v>1.1850000000000001</v>
      </c>
      <c r="B242">
        <f t="shared" si="16"/>
        <v>0.74854308447597784</v>
      </c>
      <c r="C242">
        <f t="shared" si="17"/>
        <v>0.74927476428440409</v>
      </c>
      <c r="D242">
        <f t="shared" si="18"/>
        <v>0.74314632657626778</v>
      </c>
      <c r="F242" s="2">
        <f t="shared" si="19"/>
        <v>0.749620760651039</v>
      </c>
      <c r="G242" s="2">
        <f t="shared" si="20"/>
        <v>0.75538658050137741</v>
      </c>
    </row>
    <row r="243" spans="1:7" x14ac:dyDescent="0.25">
      <c r="A243">
        <v>1.19</v>
      </c>
      <c r="B243">
        <f t="shared" si="16"/>
        <v>0.74856971031988229</v>
      </c>
      <c r="C243">
        <f t="shared" si="17"/>
        <v>0.74929083534614804</v>
      </c>
      <c r="D243">
        <f t="shared" si="18"/>
        <v>0.74317043316888365</v>
      </c>
      <c r="F243" s="2">
        <f t="shared" si="19"/>
        <v>0.7496291645104447</v>
      </c>
      <c r="G243" s="2">
        <f t="shared" si="20"/>
        <v>0.75539498436078312</v>
      </c>
    </row>
    <row r="244" spans="1:7" x14ac:dyDescent="0.25">
      <c r="A244">
        <v>1.1950000000000001</v>
      </c>
      <c r="B244">
        <f t="shared" si="16"/>
        <v>0.74859584956346426</v>
      </c>
      <c r="C244">
        <f t="shared" si="17"/>
        <v>0.74930655027675075</v>
      </c>
      <c r="D244">
        <f t="shared" si="18"/>
        <v>0.74319400556478776</v>
      </c>
      <c r="F244" s="2">
        <f t="shared" si="19"/>
        <v>0.7496373821422021</v>
      </c>
      <c r="G244" s="2">
        <f t="shared" si="20"/>
        <v>0.75540320199254052</v>
      </c>
    </row>
    <row r="245" spans="1:7" x14ac:dyDescent="0.25">
      <c r="A245">
        <v>1.2</v>
      </c>
      <c r="B245">
        <f t="shared" si="16"/>
        <v>0.74862151109958297</v>
      </c>
      <c r="C245">
        <f t="shared" si="17"/>
        <v>0.74932191696799855</v>
      </c>
      <c r="D245">
        <f t="shared" si="18"/>
        <v>0.7432170556016594</v>
      </c>
      <c r="F245" s="2">
        <f t="shared" si="19"/>
        <v>0.74964541767307402</v>
      </c>
      <c r="G245" s="2">
        <f t="shared" si="20"/>
        <v>0.75541123752341244</v>
      </c>
    </row>
    <row r="246" spans="1:7" x14ac:dyDescent="0.25">
      <c r="A246">
        <v>1.2050000000000001</v>
      </c>
      <c r="B246">
        <f t="shared" si="16"/>
        <v>0.74864670365857577</v>
      </c>
      <c r="C246">
        <f t="shared" si="17"/>
        <v>0.74933694313679733</v>
      </c>
      <c r="D246">
        <f t="shared" si="18"/>
        <v>0.74323959485485758</v>
      </c>
      <c r="F246" s="2">
        <f t="shared" si="19"/>
        <v>0.74965327513837543</v>
      </c>
      <c r="G246" s="2">
        <f t="shared" si="20"/>
        <v>0.75541909498871385</v>
      </c>
    </row>
    <row r="247" spans="1:7" x14ac:dyDescent="0.25">
      <c r="A247">
        <v>1.21</v>
      </c>
      <c r="B247">
        <f t="shared" si="16"/>
        <v>0.74867143581122919</v>
      </c>
      <c r="C247">
        <f t="shared" si="17"/>
        <v>0.74935163632904844</v>
      </c>
      <c r="D247">
        <f t="shared" si="18"/>
        <v>0.74326163464323425</v>
      </c>
      <c r="F247" s="2">
        <f t="shared" si="19"/>
        <v>0.74966095848399927</v>
      </c>
      <c r="G247" s="2">
        <f t="shared" si="20"/>
        <v>0.75542677833433769</v>
      </c>
    </row>
    <row r="248" spans="1:7" x14ac:dyDescent="0.25">
      <c r="A248">
        <v>1.2150000000000001</v>
      </c>
      <c r="B248">
        <f t="shared" si="16"/>
        <v>0.74869571597169415</v>
      </c>
      <c r="C248">
        <f t="shared" si="17"/>
        <v>0.74936600392343766</v>
      </c>
      <c r="D248">
        <f t="shared" si="18"/>
        <v>0.74328318603481802</v>
      </c>
      <c r="F248" s="2">
        <f t="shared" si="19"/>
        <v>0.74966847156839866</v>
      </c>
      <c r="G248" s="2">
        <f t="shared" si="20"/>
        <v>0.75543429141873708</v>
      </c>
    </row>
    <row r="249" spans="1:7" x14ac:dyDescent="0.25">
      <c r="A249">
        <v>1.22</v>
      </c>
      <c r="B249">
        <f t="shared" si="16"/>
        <v>0.74871955240034915</v>
      </c>
      <c r="C249">
        <f t="shared" si="17"/>
        <v>0.74938005313514056</v>
      </c>
      <c r="D249">
        <f t="shared" si="18"/>
        <v>0.74330425985237247</v>
      </c>
      <c r="F249" s="2">
        <f t="shared" si="19"/>
        <v>0.74967581816452422</v>
      </c>
      <c r="G249" s="2">
        <f t="shared" si="20"/>
        <v>0.75544163801486264</v>
      </c>
    </row>
    <row r="250" spans="1:7" x14ac:dyDescent="0.25">
      <c r="A250">
        <v>1.2250000000000001</v>
      </c>
      <c r="B250">
        <f t="shared" si="16"/>
        <v>0.74874295320661</v>
      </c>
      <c r="C250">
        <f t="shared" si="17"/>
        <v>0.74939379101944636</v>
      </c>
      <c r="D250">
        <f t="shared" si="18"/>
        <v>0.74332486667883124</v>
      </c>
      <c r="F250" s="2">
        <f t="shared" si="19"/>
        <v>0.74968300196171878</v>
      </c>
      <c r="G250" s="2">
        <f t="shared" si="20"/>
        <v>0.75544882181205719</v>
      </c>
    </row>
    <row r="251" spans="1:7" x14ac:dyDescent="0.25">
      <c r="A251">
        <v>1.23</v>
      </c>
      <c r="B251">
        <f t="shared" si="16"/>
        <v>0.74876592635168915</v>
      </c>
      <c r="C251">
        <f t="shared" si="17"/>
        <v>0.74940722447530062</v>
      </c>
      <c r="D251">
        <f t="shared" si="18"/>
        <v>0.74334501686261256</v>
      </c>
      <c r="F251" s="2">
        <f t="shared" si="19"/>
        <v>0.74969002656757033</v>
      </c>
      <c r="G251" s="2">
        <f t="shared" si="20"/>
        <v>0.75545584641790875</v>
      </c>
    </row>
    <row r="252" spans="1:7" x14ac:dyDescent="0.25">
      <c r="A252">
        <v>1.2350000000000001</v>
      </c>
      <c r="B252">
        <f t="shared" si="16"/>
        <v>0.7487884796513038</v>
      </c>
      <c r="C252">
        <f t="shared" si="17"/>
        <v>0.74942036024876957</v>
      </c>
      <c r="D252">
        <f t="shared" si="18"/>
        <v>0.74336472052281599</v>
      </c>
      <c r="F252" s="2">
        <f t="shared" si="19"/>
        <v>0.74969689550972318</v>
      </c>
      <c r="G252" s="2">
        <f t="shared" si="20"/>
        <v>0.7554627153600616</v>
      </c>
    </row>
    <row r="253" spans="1:7" x14ac:dyDescent="0.25">
      <c r="A253">
        <v>1.24</v>
      </c>
      <c r="B253">
        <f t="shared" si="16"/>
        <v>0.74881062077833516</v>
      </c>
      <c r="C253">
        <f t="shared" si="17"/>
        <v>0.7494332049364284</v>
      </c>
      <c r="D253">
        <f t="shared" si="18"/>
        <v>0.74338398755430424</v>
      </c>
      <c r="F253" s="2">
        <f t="shared" si="19"/>
        <v>0.74970361223765036</v>
      </c>
      <c r="G253" s="2">
        <f t="shared" si="20"/>
        <v>0.75546943208798878</v>
      </c>
    </row>
    <row r="254" spans="1:7" x14ac:dyDescent="0.25">
      <c r="A254">
        <v>1.2450000000000001</v>
      </c>
      <c r="B254">
        <f t="shared" si="16"/>
        <v>0.74883235726543895</v>
      </c>
      <c r="C254">
        <f t="shared" si="17"/>
        <v>0.74944576498867366</v>
      </c>
      <c r="D254">
        <f t="shared" si="18"/>
        <v>0.74340282763267207</v>
      </c>
      <c r="F254" s="2">
        <f t="shared" si="19"/>
        <v>0.74971018012438484</v>
      </c>
      <c r="G254" s="2">
        <f t="shared" si="20"/>
        <v>0.75547599997472326</v>
      </c>
    </row>
    <row r="255" spans="1:7" x14ac:dyDescent="0.25">
      <c r="A255">
        <v>1.25</v>
      </c>
      <c r="B255">
        <f t="shared" si="16"/>
        <v>0.74885369650760769</v>
      </c>
      <c r="C255">
        <f t="shared" si="17"/>
        <v>0.74945804671296246</v>
      </c>
      <c r="D255">
        <f t="shared" si="18"/>
        <v>0.74342125021910521</v>
      </c>
      <c r="F255" s="2">
        <f t="shared" si="19"/>
        <v>0.74971660246821425</v>
      </c>
      <c r="G255" s="2">
        <f t="shared" si="20"/>
        <v>0.75548242231855267</v>
      </c>
    </row>
    <row r="256" spans="1:7" x14ac:dyDescent="0.25">
      <c r="A256">
        <v>1.2549999999999999</v>
      </c>
      <c r="B256">
        <f t="shared" si="16"/>
        <v>0.74887464576468699</v>
      </c>
      <c r="C256">
        <f t="shared" si="17"/>
        <v>0.74947005627698005</v>
      </c>
      <c r="D256">
        <f t="shared" si="18"/>
        <v>0.74343926456513176</v>
      </c>
      <c r="F256" s="2">
        <f t="shared" si="19"/>
        <v>0.74972288249433683</v>
      </c>
      <c r="G256" s="2">
        <f t="shared" si="20"/>
        <v>0.75548870234467524</v>
      </c>
    </row>
    <row r="257" spans="1:7" x14ac:dyDescent="0.25">
      <c r="A257">
        <v>1.26</v>
      </c>
      <c r="B257">
        <f t="shared" si="16"/>
        <v>0.74889521216384514</v>
      </c>
      <c r="C257">
        <f t="shared" si="17"/>
        <v>0.74948179971173734</v>
      </c>
      <c r="D257">
        <f t="shared" si="18"/>
        <v>0.7434568797172677</v>
      </c>
      <c r="F257" s="2">
        <f t="shared" si="19"/>
        <v>0.74972902335648117</v>
      </c>
      <c r="G257" s="2">
        <f t="shared" si="20"/>
        <v>0.75549484320681959</v>
      </c>
    </row>
    <row r="258" spans="1:7" x14ac:dyDescent="0.25">
      <c r="A258">
        <v>1.2649999999999999</v>
      </c>
      <c r="B258">
        <f t="shared" si="16"/>
        <v>0.74891540270199775</v>
      </c>
      <c r="C258">
        <f t="shared" si="17"/>
        <v>0.74949328291459938</v>
      </c>
      <c r="D258">
        <f t="shared" si="18"/>
        <v>0.7434741045215606</v>
      </c>
      <c r="F258" s="2">
        <f t="shared" si="19"/>
        <v>0.74973502813849002</v>
      </c>
      <c r="G258" s="2">
        <f t="shared" si="20"/>
        <v>0.75550084798882844</v>
      </c>
    </row>
    <row r="259" spans="1:7" x14ac:dyDescent="0.25">
      <c r="A259">
        <v>1.27</v>
      </c>
      <c r="B259">
        <f t="shared" si="16"/>
        <v>0.7489352242481887</v>
      </c>
      <c r="C259">
        <f t="shared" si="17"/>
        <v>0.74950451165224663</v>
      </c>
      <c r="D259">
        <f t="shared" si="18"/>
        <v>0.74349094762803147</v>
      </c>
      <c r="F259" s="2">
        <f t="shared" si="19"/>
        <v>0.74974089985586867</v>
      </c>
      <c r="G259" s="2">
        <f t="shared" si="20"/>
        <v>0.75550671970620709</v>
      </c>
    </row>
    <row r="260" spans="1:7" x14ac:dyDescent="0.25">
      <c r="A260">
        <v>1.2749999999999999</v>
      </c>
      <c r="B260">
        <f t="shared" si="16"/>
        <v>0.74895468354592665</v>
      </c>
      <c r="C260">
        <f t="shared" si="17"/>
        <v>0.74951549156357156</v>
      </c>
      <c r="D260">
        <f t="shared" si="18"/>
        <v>0.74350741749501892</v>
      </c>
      <c r="F260" s="2">
        <f t="shared" si="19"/>
        <v>0.74974664145729963</v>
      </c>
      <c r="G260" s="2">
        <f t="shared" si="20"/>
        <v>0.75551246130763805</v>
      </c>
    </row>
    <row r="261" spans="1:7" x14ac:dyDescent="0.25">
      <c r="A261">
        <v>1.28</v>
      </c>
      <c r="B261">
        <f t="shared" ref="B261:B268" si="21">$J$3-$M$6*EXP(-$M$8*A261)</f>
        <v>0.74897378721547914</v>
      </c>
      <c r="C261">
        <f t="shared" ref="C261:C268" si="22">$J$3-M$19/(2*J$8)*(2*J$8*M$17*(1-M$15*EXP(-M$15*A261))+2*J$8*M$18*(1-M$16*EXP(-M$16*A261))+J$6*M$17*EXP(-M$15*A261)+J$6*M$18*EXP(-M$16*A261))</f>
        <v>0.74952622816250991</v>
      </c>
      <c r="D261">
        <f t="shared" si="18"/>
        <v>0.74352352239342656</v>
      </c>
      <c r="F261" s="2">
        <f t="shared" si="19"/>
        <v>0.74975225582612326</v>
      </c>
      <c r="G261" s="2">
        <f t="shared" si="20"/>
        <v>0.75551807567646168</v>
      </c>
    </row>
    <row r="262" spans="1:7" x14ac:dyDescent="0.25">
      <c r="A262">
        <v>1.2849999999999999</v>
      </c>
      <c r="B262">
        <f t="shared" si="21"/>
        <v>0.7489925417561254</v>
      </c>
      <c r="C262">
        <f t="shared" si="22"/>
        <v>0.74953672684080996</v>
      </c>
      <c r="D262">
        <f t="shared" ref="D262:D268" si="23">MIN($J$3-(1+J$13)*M$19/(2*J$8)*(2*J$8*M$17*(1-M$15*EXP(-M$15*A262))+2*J$8*M$18*(1-M$16*EXP(-M$16*A262))+J$6*M$17*EXP(-M$15*A262)+J$6*M$18*EXP(-M$16*A262))-M$11,$J$3-$M$11)</f>
        <v>0.74353927041087653</v>
      </c>
      <c r="F262" s="2">
        <f t="shared" si="19"/>
        <v>0.74975774578178578</v>
      </c>
      <c r="G262" s="2">
        <f t="shared" si="20"/>
        <v>0.75552356563212419</v>
      </c>
    </row>
    <row r="263" spans="1:7" x14ac:dyDescent="0.25">
      <c r="A263">
        <v>1.29</v>
      </c>
      <c r="B263">
        <f t="shared" si="21"/>
        <v>0.74901095354836689</v>
      </c>
      <c r="C263">
        <f t="shared" si="22"/>
        <v>0.74954699287073978</v>
      </c>
      <c r="D263">
        <f t="shared" si="23"/>
        <v>0.7435546694557712</v>
      </c>
      <c r="F263" s="2">
        <f t="shared" si="19"/>
        <v>0.74976311408125496</v>
      </c>
      <c r="G263" s="2">
        <f t="shared" si="20"/>
        <v>0.75552893393159337</v>
      </c>
    </row>
    <row r="264" spans="1:7" x14ac:dyDescent="0.25">
      <c r="A264">
        <v>1.2949999999999999</v>
      </c>
      <c r="B264">
        <f t="shared" si="21"/>
        <v>0.74902902885609823</v>
      </c>
      <c r="C264">
        <f t="shared" si="22"/>
        <v>0.74955703140773533</v>
      </c>
      <c r="D264">
        <f t="shared" si="23"/>
        <v>0.74356972726126469</v>
      </c>
      <c r="F264" s="2">
        <f t="shared" ref="F264:F268" si="24">$J$3-J$14*M$19/(2*J$8)*(2*J$8*M$17*(1-M$15*EXP(-M$15*A262))+2*J$8*M$18*(1-M$16*EXP(-M$16*A262))+J$6*M$17*EXP(-M$15*A262)+J$6*M$18*EXP(-M$16*A262))</f>
        <v>0.74976836342040498</v>
      </c>
      <c r="G264" s="2">
        <f t="shared" si="20"/>
        <v>0.7555341832707434</v>
      </c>
    </row>
    <row r="265" spans="1:7" x14ac:dyDescent="0.25">
      <c r="A265">
        <v>1.3</v>
      </c>
      <c r="B265">
        <f t="shared" si="21"/>
        <v>0.74904677382873874</v>
      </c>
      <c r="C265">
        <f t="shared" si="22"/>
        <v>0.74956684749298941</v>
      </c>
      <c r="D265">
        <f t="shared" si="23"/>
        <v>0.74358445138914575</v>
      </c>
      <c r="F265" s="2">
        <f t="shared" si="24"/>
        <v>0.74977349643536984</v>
      </c>
      <c r="G265" s="2">
        <f t="shared" si="20"/>
        <v>0.75553931628570825</v>
      </c>
    </row>
    <row r="266" spans="1:7" x14ac:dyDescent="0.25">
      <c r="A266">
        <v>1.3049999999999999</v>
      </c>
      <c r="B266">
        <f t="shared" si="21"/>
        <v>0.74906419450332362</v>
      </c>
      <c r="C266">
        <f t="shared" si="22"/>
        <v>0.74957644605598295</v>
      </c>
      <c r="D266">
        <f t="shared" si="23"/>
        <v>0.74359884923363595</v>
      </c>
      <c r="F266" s="2">
        <f t="shared" si="24"/>
        <v>0.74977851570386767</v>
      </c>
      <c r="G266" s="2">
        <f t="shared" si="20"/>
        <v>0.75554433555420608</v>
      </c>
    </row>
    <row r="267" spans="1:7" x14ac:dyDescent="0.25">
      <c r="A267">
        <v>1.31</v>
      </c>
      <c r="B267">
        <f t="shared" si="21"/>
        <v>0.74908129680655844</v>
      </c>
      <c r="C267">
        <f t="shared" si="22"/>
        <v>0.7495858319169606</v>
      </c>
      <c r="D267">
        <f t="shared" si="23"/>
        <v>0.74361292802510248</v>
      </c>
      <c r="F267" s="2">
        <f t="shared" si="24"/>
        <v>0.74978342374649476</v>
      </c>
      <c r="G267" s="2">
        <f t="shared" si="20"/>
        <v>0.75554924359683318</v>
      </c>
    </row>
    <row r="268" spans="1:7" x14ac:dyDescent="0.25">
      <c r="A268">
        <v>1.3149999999999999</v>
      </c>
      <c r="B268">
        <f t="shared" si="21"/>
        <v>0.74909808655683552</v>
      </c>
      <c r="C268">
        <f t="shared" si="22"/>
        <v>0.74959500978935156</v>
      </c>
      <c r="D268">
        <f t="shared" si="23"/>
        <v>0.74362669483368904</v>
      </c>
      <c r="F268" s="2">
        <f t="shared" si="24"/>
        <v>0.74978822302799142</v>
      </c>
      <c r="G268" s="2">
        <f t="shared" si="20"/>
        <v>0.75555404287832983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port_CSV">
                <anchor moveWithCells="1" sizeWithCells="1">
                  <from>
                    <xdr:col>11</xdr:col>
                    <xdr:colOff>381000</xdr:colOff>
                    <xdr:row>0</xdr:row>
                    <xdr:rowOff>180975</xdr:rowOff>
                  </from>
                  <to>
                    <xdr:col>14</xdr:col>
                    <xdr:colOff>209550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115E2-A510-4811-98EB-71B3532E6CAF}">
  <sheetPr codeName="Feuil2"/>
  <dimension ref="A1:O270"/>
  <sheetViews>
    <sheetView workbookViewId="0">
      <selection activeCell="B4" sqref="B4"/>
    </sheetView>
  </sheetViews>
  <sheetFormatPr baseColWidth="10" defaultRowHeight="15" x14ac:dyDescent="0.25"/>
  <sheetData>
    <row r="1" spans="1:15" ht="24" x14ac:dyDescent="0.4">
      <c r="B1" s="6" t="s">
        <v>29</v>
      </c>
    </row>
    <row r="5" spans="1:15" x14ac:dyDescent="0.25">
      <c r="I5" t="s">
        <v>36</v>
      </c>
      <c r="J5" s="3">
        <v>3.7</v>
      </c>
    </row>
    <row r="6" spans="1:15" x14ac:dyDescent="0.25">
      <c r="A6" t="s">
        <v>0</v>
      </c>
      <c r="B6" t="s">
        <v>30</v>
      </c>
      <c r="C6" t="s">
        <v>31</v>
      </c>
      <c r="E6" t="s">
        <v>32</v>
      </c>
      <c r="F6" t="s">
        <v>33</v>
      </c>
      <c r="G6" t="s">
        <v>34</v>
      </c>
      <c r="H6" t="s">
        <v>35</v>
      </c>
      <c r="I6" t="s">
        <v>1</v>
      </c>
      <c r="J6" s="3">
        <v>0.75</v>
      </c>
    </row>
    <row r="7" spans="1:15" x14ac:dyDescent="0.25">
      <c r="A7">
        <v>0</v>
      </c>
      <c r="B7">
        <f t="shared" ref="B7:B70" si="0">$J$6-$M$8*EXP(-$M$10*A7)</f>
        <v>0.16293470614736194</v>
      </c>
      <c r="C7">
        <f t="shared" ref="C7:C70" si="1">$J$6+$M$8*EXP(-$M$10*A7)</f>
        <v>1.3370652938526382</v>
      </c>
      <c r="D7">
        <f>J6</f>
        <v>0.75</v>
      </c>
      <c r="E7">
        <f>J6</f>
        <v>0.75</v>
      </c>
      <c r="F7">
        <f>J6</f>
        <v>0.75</v>
      </c>
      <c r="G7">
        <f>F7</f>
        <v>0.75</v>
      </c>
      <c r="H7">
        <f>MIN(B7,$J$6-$M$13)</f>
        <v>0.16293470614736194</v>
      </c>
      <c r="I7" t="s">
        <v>2</v>
      </c>
      <c r="J7" s="3">
        <v>20</v>
      </c>
      <c r="L7" t="s">
        <v>9</v>
      </c>
      <c r="M7" s="4">
        <f>J5*PI()/180</f>
        <v>6.4577182323790186E-2</v>
      </c>
    </row>
    <row r="8" spans="1:15" x14ac:dyDescent="0.25">
      <c r="A8">
        <v>5.0000000000000001E-3</v>
      </c>
      <c r="B8">
        <f t="shared" si="0"/>
        <v>0.18900085575331205</v>
      </c>
      <c r="C8">
        <f t="shared" si="1"/>
        <v>1.310999144246688</v>
      </c>
      <c r="D8">
        <f>J6</f>
        <v>0.75</v>
      </c>
      <c r="E8">
        <f>J6</f>
        <v>0.75</v>
      </c>
      <c r="F8">
        <f>J6</f>
        <v>0.75</v>
      </c>
      <c r="G8">
        <f t="shared" ref="G8:G23" si="2">F8</f>
        <v>0.75</v>
      </c>
      <c r="H8">
        <f t="shared" ref="H8:H71" si="3">MIN(B8,$J$6-$M$13)</f>
        <v>0.18900085575331205</v>
      </c>
      <c r="I8" t="s">
        <v>3</v>
      </c>
      <c r="J8" s="3">
        <v>109</v>
      </c>
      <c r="L8" t="s">
        <v>11</v>
      </c>
      <c r="M8" s="4">
        <f>M7*J13*J14/M11</f>
        <v>0.58706529385263806</v>
      </c>
    </row>
    <row r="9" spans="1:15" x14ac:dyDescent="0.25">
      <c r="A9">
        <v>0.01</v>
      </c>
      <c r="B9">
        <f t="shared" si="0"/>
        <v>0.2139096483115972</v>
      </c>
      <c r="C9">
        <f t="shared" si="1"/>
        <v>1.2860903516884028</v>
      </c>
      <c r="D9">
        <f>$J$6-0.5*$M$8*EXP(-$M$10*A7)</f>
        <v>0.45646735307368097</v>
      </c>
      <c r="E9">
        <f>$J$6-$M$8*EXP(-$M$10*A7)*SIN($M$12*A7+PI()/2)</f>
        <v>0.16293470614736194</v>
      </c>
      <c r="F9">
        <f>$J$6-$M$8*EXP(-$M$10*A7)*SIN($M$12*A7+PI()/2)*$J$17</f>
        <v>0.45646735307368097</v>
      </c>
      <c r="G9">
        <f t="shared" si="2"/>
        <v>0.45646735307368097</v>
      </c>
      <c r="H9">
        <f t="shared" si="3"/>
        <v>0.2139096483115972</v>
      </c>
      <c r="I9" t="s">
        <v>4</v>
      </c>
      <c r="J9" s="3">
        <v>0.06</v>
      </c>
      <c r="L9" t="s">
        <v>23</v>
      </c>
      <c r="M9" s="4">
        <f>M10/M12</f>
        <v>0.41643995955608576</v>
      </c>
    </row>
    <row r="10" spans="1:15" x14ac:dyDescent="0.25">
      <c r="A10">
        <v>1.4999999999999999E-2</v>
      </c>
      <c r="B10">
        <f t="shared" si="0"/>
        <v>0.23771247136337836</v>
      </c>
      <c r="C10">
        <f t="shared" si="1"/>
        <v>1.2622875286366217</v>
      </c>
      <c r="D10">
        <f t="shared" ref="D10:D73" si="4">$J$6-0.5*$M$8*EXP(-$M$10*A8)</f>
        <v>0.46950042787665602</v>
      </c>
      <c r="E10">
        <f t="shared" ref="E10:E73" si="5">$J$6-$M$8*EXP(-$M$10*A8)*SIN($M$12*A8+PI()/2)</f>
        <v>0.19233379521700944</v>
      </c>
      <c r="F10">
        <f t="shared" ref="F10:F73" si="6">$J$6-$M$8*EXP(-$M$10*A8)*SIN($M$12*A8+PI()/2)*$J$17</f>
        <v>0.47116689760850472</v>
      </c>
      <c r="G10">
        <f t="shared" si="2"/>
        <v>0.47116689760850472</v>
      </c>
      <c r="H10">
        <f t="shared" si="3"/>
        <v>0.23771247136337836</v>
      </c>
      <c r="I10" t="s">
        <v>5</v>
      </c>
      <c r="J10" s="3">
        <v>3</v>
      </c>
      <c r="L10" t="s">
        <v>13</v>
      </c>
      <c r="M10" s="4">
        <f>J8/(4*J10)</f>
        <v>9.0833333333333339</v>
      </c>
    </row>
    <row r="11" spans="1:15" x14ac:dyDescent="0.25">
      <c r="A11">
        <v>0.02</v>
      </c>
      <c r="B11">
        <f t="shared" si="0"/>
        <v>0.26045843080355008</v>
      </c>
      <c r="C11">
        <f t="shared" si="1"/>
        <v>1.23954156919645</v>
      </c>
      <c r="D11">
        <f t="shared" si="4"/>
        <v>0.4819548241557986</v>
      </c>
      <c r="E11">
        <f t="shared" si="5"/>
        <v>0.22661162176325134</v>
      </c>
      <c r="F11">
        <f t="shared" si="6"/>
        <v>0.48830581088162567</v>
      </c>
      <c r="G11">
        <f t="shared" si="2"/>
        <v>0.48830581088162567</v>
      </c>
      <c r="H11">
        <f t="shared" si="3"/>
        <v>0.26045843080355008</v>
      </c>
      <c r="I11" t="s">
        <v>6</v>
      </c>
      <c r="J11" s="3">
        <v>314</v>
      </c>
      <c r="L11" t="s">
        <v>14</v>
      </c>
      <c r="M11" s="4">
        <f>J9+M14+J12</f>
        <v>0.11</v>
      </c>
    </row>
    <row r="12" spans="1:15" x14ac:dyDescent="0.25">
      <c r="A12">
        <v>2.5000000000000001E-2</v>
      </c>
      <c r="B12">
        <f t="shared" si="0"/>
        <v>0.28219445218758593</v>
      </c>
      <c r="C12">
        <f t="shared" si="1"/>
        <v>1.2178055478124141</v>
      </c>
      <c r="D12">
        <f t="shared" si="4"/>
        <v>0.49385623568168918</v>
      </c>
      <c r="E12">
        <f t="shared" si="5"/>
        <v>0.26488777794747154</v>
      </c>
      <c r="F12">
        <f t="shared" si="6"/>
        <v>0.50744388897373582</v>
      </c>
      <c r="G12">
        <f t="shared" si="2"/>
        <v>0.50744388897373582</v>
      </c>
      <c r="H12">
        <f t="shared" si="3"/>
        <v>0.28219445218758593</v>
      </c>
      <c r="I12" t="s">
        <v>19</v>
      </c>
      <c r="J12" s="3">
        <v>0</v>
      </c>
      <c r="L12" t="s">
        <v>15</v>
      </c>
      <c r="M12" s="4">
        <f>SQRT(J11*J14*J13/(2*J10*M11))</f>
        <v>21.811867773246192</v>
      </c>
      <c r="N12" t="s">
        <v>21</v>
      </c>
      <c r="O12">
        <f>M12/(2*PI())</f>
        <v>3.4714665741789434</v>
      </c>
    </row>
    <row r="13" spans="1:15" x14ac:dyDescent="0.25">
      <c r="A13">
        <v>0.03</v>
      </c>
      <c r="B13">
        <f t="shared" si="0"/>
        <v>0.30296537754028219</v>
      </c>
      <c r="C13">
        <f t="shared" si="1"/>
        <v>1.1970346224597179</v>
      </c>
      <c r="D13">
        <f t="shared" si="4"/>
        <v>0.50522921540177501</v>
      </c>
      <c r="E13">
        <f t="shared" si="5"/>
        <v>0.30630502007060184</v>
      </c>
      <c r="F13">
        <f t="shared" si="6"/>
        <v>0.52815251003530095</v>
      </c>
      <c r="G13">
        <f t="shared" si="2"/>
        <v>0.52815251003530095</v>
      </c>
      <c r="H13">
        <f t="shared" si="3"/>
        <v>0.30296537754028219</v>
      </c>
      <c r="I13" t="s">
        <v>10</v>
      </c>
      <c r="J13" s="3">
        <v>1</v>
      </c>
      <c r="L13" t="s">
        <v>18</v>
      </c>
      <c r="M13" s="4">
        <f>J15*(J6-B7)</f>
        <v>2.9353264692631904E-2</v>
      </c>
      <c r="N13" t="s">
        <v>22</v>
      </c>
      <c r="O13">
        <f>1/O12</f>
        <v>0.28806269011434044</v>
      </c>
    </row>
    <row r="14" spans="1:15" x14ac:dyDescent="0.25">
      <c r="A14">
        <v>3.5000000000000003E-2</v>
      </c>
      <c r="B14">
        <f t="shared" si="0"/>
        <v>0.32281405786611889</v>
      </c>
      <c r="C14">
        <f t="shared" si="1"/>
        <v>1.1771859421338811</v>
      </c>
      <c r="D14">
        <f t="shared" si="4"/>
        <v>0.51609722609379294</v>
      </c>
      <c r="E14">
        <f t="shared" si="5"/>
        <v>0.35003868086359424</v>
      </c>
      <c r="F14">
        <f t="shared" si="6"/>
        <v>0.55001934043179712</v>
      </c>
      <c r="G14">
        <f t="shared" si="2"/>
        <v>0.55001934043179712</v>
      </c>
      <c r="H14">
        <f t="shared" si="3"/>
        <v>0.32281405786611889</v>
      </c>
      <c r="I14" t="s">
        <v>8</v>
      </c>
      <c r="J14" s="3">
        <v>1</v>
      </c>
      <c r="L14" t="s">
        <v>7</v>
      </c>
      <c r="M14" s="4">
        <f>1/J7</f>
        <v>0.05</v>
      </c>
    </row>
    <row r="15" spans="1:15" x14ac:dyDescent="0.25">
      <c r="A15">
        <v>0.04</v>
      </c>
      <c r="B15">
        <f t="shared" si="0"/>
        <v>0.34178144155209017</v>
      </c>
      <c r="C15">
        <f t="shared" si="1"/>
        <v>1.1582185584479099</v>
      </c>
      <c r="D15">
        <f t="shared" si="4"/>
        <v>0.52648268877014104</v>
      </c>
      <c r="E15">
        <f t="shared" si="5"/>
        <v>0.39530483039398606</v>
      </c>
      <c r="F15">
        <f t="shared" si="6"/>
        <v>0.57265241519699306</v>
      </c>
      <c r="G15">
        <f t="shared" si="2"/>
        <v>0.57265241519699306</v>
      </c>
      <c r="H15">
        <f t="shared" si="3"/>
        <v>0.34178144155209017</v>
      </c>
      <c r="I15" t="s">
        <v>27</v>
      </c>
      <c r="J15" s="7">
        <v>0.05</v>
      </c>
    </row>
    <row r="16" spans="1:15" x14ac:dyDescent="0.25">
      <c r="A16">
        <v>4.4999999999999998E-2</v>
      </c>
      <c r="B16">
        <f t="shared" si="0"/>
        <v>0.35990665884538059</v>
      </c>
      <c r="C16">
        <f t="shared" si="1"/>
        <v>1.1400933411546195</v>
      </c>
      <c r="D16">
        <f t="shared" si="4"/>
        <v>0.53640702893305947</v>
      </c>
      <c r="E16">
        <f t="shared" si="5"/>
        <v>0.44136718549405946</v>
      </c>
      <c r="F16">
        <f t="shared" si="6"/>
        <v>0.59568359274702976</v>
      </c>
      <c r="G16">
        <f t="shared" si="2"/>
        <v>0.59568359274702976</v>
      </c>
      <c r="H16">
        <f t="shared" si="3"/>
        <v>0.35990665884538059</v>
      </c>
      <c r="I16" t="s">
        <v>25</v>
      </c>
      <c r="J16" s="3">
        <v>0.3</v>
      </c>
    </row>
    <row r="17" spans="1:10" x14ac:dyDescent="0.25">
      <c r="A17">
        <v>0.05</v>
      </c>
      <c r="B17">
        <f t="shared" si="0"/>
        <v>0.37722710258016834</v>
      </c>
      <c r="C17">
        <f t="shared" si="1"/>
        <v>1.1227728974198317</v>
      </c>
      <c r="D17">
        <f t="shared" si="4"/>
        <v>0.54589072077604506</v>
      </c>
      <c r="E17">
        <f t="shared" si="5"/>
        <v>0.48754278430151649</v>
      </c>
      <c r="F17">
        <f t="shared" si="6"/>
        <v>0.61877139215075827</v>
      </c>
      <c r="G17">
        <f t="shared" si="2"/>
        <v>0.61877139215075827</v>
      </c>
      <c r="H17">
        <f t="shared" si="3"/>
        <v>0.37722710258016834</v>
      </c>
      <c r="I17" t="s">
        <v>26</v>
      </c>
      <c r="J17" s="3">
        <v>0.5</v>
      </c>
    </row>
    <row r="18" spans="1:10" x14ac:dyDescent="0.25">
      <c r="A18">
        <v>5.5E-2</v>
      </c>
      <c r="B18">
        <f t="shared" si="0"/>
        <v>0.39377850532009562</v>
      </c>
      <c r="C18">
        <f t="shared" si="1"/>
        <v>1.1062214946799043</v>
      </c>
      <c r="D18">
        <f t="shared" si="4"/>
        <v>0.55495332942269027</v>
      </c>
      <c r="E18">
        <f t="shared" si="5"/>
        <v>0.533206457519112</v>
      </c>
      <c r="F18">
        <f t="shared" si="6"/>
        <v>0.641603228759556</v>
      </c>
      <c r="G18">
        <f t="shared" si="2"/>
        <v>0.641603228759556</v>
      </c>
      <c r="H18">
        <f t="shared" si="3"/>
        <v>0.39377850532009562</v>
      </c>
    </row>
    <row r="19" spans="1:10" x14ac:dyDescent="0.25">
      <c r="A19">
        <v>0.06</v>
      </c>
      <c r="B19">
        <f t="shared" si="0"/>
        <v>0.4095950130755554</v>
      </c>
      <c r="C19">
        <f t="shared" si="1"/>
        <v>1.0904049869244445</v>
      </c>
      <c r="D19">
        <f t="shared" si="4"/>
        <v>0.56361355129008417</v>
      </c>
      <c r="E19">
        <f t="shared" si="5"/>
        <v>0.57779414129023388</v>
      </c>
      <c r="F19">
        <f t="shared" si="6"/>
        <v>0.66389707064511694</v>
      </c>
      <c r="G19">
        <f t="shared" si="2"/>
        <v>0.66389707064511694</v>
      </c>
      <c r="H19">
        <f t="shared" si="3"/>
        <v>0.4095950130755554</v>
      </c>
    </row>
    <row r="20" spans="1:10" x14ac:dyDescent="0.25">
      <c r="A20">
        <v>6.5000000000000002E-2</v>
      </c>
      <c r="B20">
        <f t="shared" si="0"/>
        <v>0.42470925574787272</v>
      </c>
      <c r="C20">
        <f t="shared" si="1"/>
        <v>1.0752907442521273</v>
      </c>
      <c r="D20">
        <f t="shared" si="4"/>
        <v>0.57188925266004786</v>
      </c>
      <c r="E20">
        <f t="shared" si="5"/>
        <v>0.62080508812563728</v>
      </c>
      <c r="F20">
        <f t="shared" si="6"/>
        <v>0.68540254406281864</v>
      </c>
      <c r="G20">
        <f t="shared" si="2"/>
        <v>0.68540254406281864</v>
      </c>
      <c r="H20">
        <f t="shared" si="3"/>
        <v>0.42470925574787272</v>
      </c>
    </row>
    <row r="21" spans="1:10" x14ac:dyDescent="0.25">
      <c r="A21">
        <v>7.0000000000000007E-2</v>
      </c>
      <c r="B21">
        <f t="shared" si="0"/>
        <v>0.43915241444571118</v>
      </c>
      <c r="C21">
        <f t="shared" si="1"/>
        <v>1.0608475855542889</v>
      </c>
      <c r="D21">
        <f t="shared" si="4"/>
        <v>0.57979750653777773</v>
      </c>
      <c r="E21">
        <f t="shared" si="5"/>
        <v>0.66180304210084595</v>
      </c>
      <c r="F21">
        <f t="shared" si="6"/>
        <v>0.70590152105042303</v>
      </c>
      <c r="G21">
        <f t="shared" si="2"/>
        <v>0.70590152105042303</v>
      </c>
      <c r="H21">
        <f t="shared" si="3"/>
        <v>0.43915241444571118</v>
      </c>
      <c r="I21" t="b">
        <f>IF(E21&lt;E20,TRUE)</f>
        <v>0</v>
      </c>
    </row>
    <row r="22" spans="1:10" x14ac:dyDescent="0.25">
      <c r="A22">
        <v>7.4999999999999997E-2</v>
      </c>
      <c r="B22">
        <f t="shared" si="0"/>
        <v>0.45295428581257874</v>
      </c>
      <c r="C22">
        <f t="shared" si="1"/>
        <v>1.0470457141874212</v>
      </c>
      <c r="D22">
        <f t="shared" si="4"/>
        <v>0.58735462787393633</v>
      </c>
      <c r="E22">
        <f t="shared" si="5"/>
        <v>0.70041645259602037</v>
      </c>
      <c r="F22">
        <f t="shared" si="6"/>
        <v>0.72520822629801018</v>
      </c>
      <c r="G22">
        <f t="shared" si="2"/>
        <v>0.72520822629801018</v>
      </c>
      <c r="H22">
        <f t="shared" si="3"/>
        <v>0.45295428581257874</v>
      </c>
      <c r="I22" t="b">
        <f>IF(I21,TRUE,IF(E22&lt;E21,TRUE))</f>
        <v>0</v>
      </c>
    </row>
    <row r="23" spans="1:10" x14ac:dyDescent="0.25">
      <c r="A23">
        <v>0.08</v>
      </c>
      <c r="B23">
        <f t="shared" si="0"/>
        <v>0.46614334349814374</v>
      </c>
      <c r="C23">
        <f t="shared" si="1"/>
        <v>1.0338566565018563</v>
      </c>
      <c r="D23">
        <f t="shared" si="4"/>
        <v>0.59457620722285554</v>
      </c>
      <c r="E23">
        <f t="shared" si="5"/>
        <v>0.7363378072134541</v>
      </c>
      <c r="F23">
        <f t="shared" si="6"/>
        <v>0.74316890360672705</v>
      </c>
      <c r="G23">
        <f t="shared" si="2"/>
        <v>0.74316890360672705</v>
      </c>
      <c r="H23">
        <f t="shared" si="3"/>
        <v>0.46614334349814374</v>
      </c>
      <c r="I23" t="b">
        <f t="shared" ref="I23:I86" si="7">IF(I22,TRUE,IF(E23&lt;E22,TRUE))</f>
        <v>0</v>
      </c>
    </row>
    <row r="24" spans="1:10" x14ac:dyDescent="0.25">
      <c r="A24">
        <v>8.5000000000000006E-2</v>
      </c>
      <c r="B24">
        <f t="shared" si="0"/>
        <v>0.47874679690017607</v>
      </c>
      <c r="C24">
        <f t="shared" si="1"/>
        <v>1.0212532030998238</v>
      </c>
      <c r="D24">
        <f t="shared" si="4"/>
        <v>0.6014771429062894</v>
      </c>
      <c r="E24">
        <f t="shared" si="5"/>
        <v>0.76932216924414576</v>
      </c>
      <c r="F24">
        <f t="shared" si="6"/>
        <v>0.75966108462207294</v>
      </c>
      <c r="G24">
        <f>IF(I24,MAX(C24,$J$6+$M$13),MAX(E24,$J$6+$M$13))</f>
        <v>0.77935326469263189</v>
      </c>
      <c r="H24">
        <f t="shared" si="3"/>
        <v>0.47874679690017607</v>
      </c>
      <c r="I24" t="b">
        <f t="shared" si="7"/>
        <v>0</v>
      </c>
    </row>
    <row r="25" spans="1:10" x14ac:dyDescent="0.25">
      <c r="A25">
        <v>0.09</v>
      </c>
      <c r="B25">
        <f t="shared" si="0"/>
        <v>0.49079064729830224</v>
      </c>
      <c r="C25">
        <f t="shared" si="1"/>
        <v>1.0092093527016979</v>
      </c>
      <c r="D25">
        <f t="shared" si="4"/>
        <v>0.60807167174907184</v>
      </c>
      <c r="E25">
        <f t="shared" si="5"/>
        <v>0.79918500824226379</v>
      </c>
      <c r="F25">
        <f t="shared" si="6"/>
        <v>0.7745925041211319</v>
      </c>
      <c r="G25">
        <f t="shared" ref="G25:G88" si="8">IF(I25,MAX(C25,$J$6+$M$13),MAX(E25,$J$6+$M$13))</f>
        <v>0.79918500824226379</v>
      </c>
      <c r="H25">
        <f t="shared" si="3"/>
        <v>0.49079064729830224</v>
      </c>
      <c r="I25" t="b">
        <f t="shared" si="7"/>
        <v>0</v>
      </c>
    </row>
    <row r="26" spans="1:10" x14ac:dyDescent="0.25">
      <c r="A26">
        <v>9.5000000000000001E-2</v>
      </c>
      <c r="B26">
        <f t="shared" si="0"/>
        <v>0.50229974149537793</v>
      </c>
      <c r="C26">
        <f t="shared" si="1"/>
        <v>0.99770025850462207</v>
      </c>
      <c r="D26">
        <f t="shared" si="4"/>
        <v>0.61437339845008809</v>
      </c>
      <c r="E26">
        <f t="shared" si="5"/>
        <v>0.82579941399680079</v>
      </c>
      <c r="F26">
        <f t="shared" si="6"/>
        <v>0.7878997069984004</v>
      </c>
      <c r="G26">
        <f t="shared" si="8"/>
        <v>0.82579941399680079</v>
      </c>
      <c r="H26">
        <f t="shared" si="3"/>
        <v>0.50229974149537793</v>
      </c>
      <c r="I26" t="b">
        <f t="shared" si="7"/>
        <v>0</v>
      </c>
    </row>
    <row r="27" spans="1:10" x14ac:dyDescent="0.25">
      <c r="A27">
        <v>0.1</v>
      </c>
      <c r="B27">
        <f t="shared" si="0"/>
        <v>0.51329782307714267</v>
      </c>
      <c r="C27">
        <f t="shared" si="1"/>
        <v>0.98670217692285733</v>
      </c>
      <c r="D27">
        <f t="shared" si="4"/>
        <v>0.62039532364915106</v>
      </c>
      <c r="E27">
        <f t="shared" si="5"/>
        <v>0.84909278456673953</v>
      </c>
      <c r="F27">
        <f t="shared" si="6"/>
        <v>0.79954639228336977</v>
      </c>
      <c r="G27">
        <f t="shared" si="8"/>
        <v>0.84909278456673953</v>
      </c>
      <c r="H27">
        <f t="shared" si="3"/>
        <v>0.51329782307714267</v>
      </c>
      <c r="I27" t="b">
        <f t="shared" si="7"/>
        <v>0</v>
      </c>
    </row>
    <row r="28" spans="1:10" x14ac:dyDescent="0.25">
      <c r="A28">
        <v>0.105</v>
      </c>
      <c r="B28">
        <f t="shared" si="0"/>
        <v>0.52380758139590644</v>
      </c>
      <c r="C28">
        <f t="shared" si="1"/>
        <v>0.97619241860409356</v>
      </c>
      <c r="D28">
        <f t="shared" si="4"/>
        <v>0.62614987074768902</v>
      </c>
      <c r="E28">
        <f t="shared" si="5"/>
        <v>0.86904307818211257</v>
      </c>
      <c r="F28">
        <f t="shared" si="6"/>
        <v>0.80952153909105629</v>
      </c>
      <c r="G28">
        <f t="shared" si="8"/>
        <v>0.86904307818211257</v>
      </c>
      <c r="H28">
        <f t="shared" si="3"/>
        <v>0.52380758139590644</v>
      </c>
      <c r="I28" t="b">
        <f t="shared" si="7"/>
        <v>0</v>
      </c>
    </row>
    <row r="29" spans="1:10" x14ac:dyDescent="0.25">
      <c r="A29">
        <v>0.11</v>
      </c>
      <c r="B29">
        <f t="shared" si="0"/>
        <v>0.5338506983793232</v>
      </c>
      <c r="C29">
        <f t="shared" si="1"/>
        <v>0.9661493016206768</v>
      </c>
      <c r="D29">
        <f t="shared" si="4"/>
        <v>0.63164891153857128</v>
      </c>
      <c r="E29">
        <f t="shared" si="5"/>
        <v>0.88567471682772281</v>
      </c>
      <c r="F29">
        <f t="shared" si="6"/>
        <v>0.8178373584138614</v>
      </c>
      <c r="G29">
        <f t="shared" si="8"/>
        <v>0.88567471682772281</v>
      </c>
      <c r="H29">
        <f t="shared" si="3"/>
        <v>0.5338506983793232</v>
      </c>
      <c r="I29" t="b">
        <f t="shared" si="7"/>
        <v>0</v>
      </c>
    </row>
    <row r="30" spans="1:10" x14ac:dyDescent="0.25">
      <c r="A30">
        <v>0.115</v>
      </c>
      <c r="B30">
        <f t="shared" si="0"/>
        <v>0.54344789326081866</v>
      </c>
      <c r="C30">
        <f t="shared" si="1"/>
        <v>0.95655210673918134</v>
      </c>
      <c r="D30">
        <f t="shared" si="4"/>
        <v>0.63690379069795322</v>
      </c>
      <c r="E30">
        <f t="shared" si="5"/>
        <v>0.89905422634282384</v>
      </c>
      <c r="F30">
        <f t="shared" si="6"/>
        <v>0.82452711317141192</v>
      </c>
      <c r="G30">
        <f t="shared" si="8"/>
        <v>0.89905422634282384</v>
      </c>
      <c r="H30">
        <f t="shared" si="3"/>
        <v>0.54344789326081866</v>
      </c>
      <c r="I30" t="b">
        <f t="shared" si="7"/>
        <v>0</v>
      </c>
    </row>
    <row r="31" spans="1:10" x14ac:dyDescent="0.25">
      <c r="A31">
        <v>0.12</v>
      </c>
      <c r="B31">
        <f t="shared" si="0"/>
        <v>0.55261896532395294</v>
      </c>
      <c r="C31">
        <f t="shared" si="1"/>
        <v>0.94738103467604706</v>
      </c>
      <c r="D31">
        <f t="shared" si="4"/>
        <v>0.6419253491896616</v>
      </c>
      <c r="E31">
        <f t="shared" si="5"/>
        <v>0.90928569401516879</v>
      </c>
      <c r="F31">
        <f t="shared" si="6"/>
        <v>0.82964284700758439</v>
      </c>
      <c r="G31">
        <f t="shared" si="8"/>
        <v>0.90928569401516879</v>
      </c>
      <c r="H31">
        <f t="shared" si="3"/>
        <v>0.55261896532395294</v>
      </c>
      <c r="I31" t="b">
        <f t="shared" si="7"/>
        <v>0</v>
      </c>
    </row>
    <row r="32" spans="1:10" x14ac:dyDescent="0.25">
      <c r="A32">
        <v>0.125</v>
      </c>
      <c r="B32">
        <f t="shared" si="0"/>
        <v>0.56138283474890061</v>
      </c>
      <c r="C32">
        <f t="shared" si="1"/>
        <v>0.93861716525109939</v>
      </c>
      <c r="D32">
        <f t="shared" si="4"/>
        <v>0.64672394663040933</v>
      </c>
      <c r="E32">
        <f t="shared" si="5"/>
        <v>0.91650612004854315</v>
      </c>
      <c r="F32">
        <f t="shared" si="6"/>
        <v>0.83325306002427157</v>
      </c>
      <c r="G32">
        <f t="shared" si="8"/>
        <v>0.91650612004854315</v>
      </c>
      <c r="H32">
        <f t="shared" si="3"/>
        <v>0.56138283474890061</v>
      </c>
      <c r="I32" t="b">
        <f t="shared" si="7"/>
        <v>0</v>
      </c>
    </row>
    <row r="33" spans="1:9" x14ac:dyDescent="0.25">
      <c r="A33">
        <v>0.13</v>
      </c>
      <c r="B33">
        <f t="shared" si="0"/>
        <v>0.56975758164531565</v>
      </c>
      <c r="C33">
        <f t="shared" si="1"/>
        <v>0.93024241835468435</v>
      </c>
      <c r="D33">
        <f t="shared" si="4"/>
        <v>0.65130948266197652</v>
      </c>
      <c r="E33">
        <f t="shared" si="5"/>
        <v>0.92088073406513171</v>
      </c>
      <c r="F33">
        <f t="shared" si="6"/>
        <v>0.83544036703256586</v>
      </c>
      <c r="G33">
        <f t="shared" si="8"/>
        <v>0.92088073406513171</v>
      </c>
      <c r="H33">
        <f t="shared" si="3"/>
        <v>0.56975758164531565</v>
      </c>
      <c r="I33" t="b">
        <f t="shared" si="7"/>
        <v>0</v>
      </c>
    </row>
    <row r="34" spans="1:9" x14ac:dyDescent="0.25">
      <c r="A34">
        <v>0.13500000000000001</v>
      </c>
      <c r="B34">
        <f t="shared" si="0"/>
        <v>0.57776048335210728</v>
      </c>
      <c r="C34">
        <f t="shared" si="1"/>
        <v>0.92223951664789272</v>
      </c>
      <c r="D34">
        <f t="shared" si="4"/>
        <v>0.65569141737445036</v>
      </c>
      <c r="E34">
        <f t="shared" si="5"/>
        <v>0.92259834209106972</v>
      </c>
      <c r="F34">
        <f t="shared" si="6"/>
        <v>0.83629917104553486</v>
      </c>
      <c r="G34">
        <f t="shared" si="8"/>
        <v>0.92259834209106972</v>
      </c>
      <c r="H34">
        <f t="shared" si="3"/>
        <v>0.57776048335210728</v>
      </c>
      <c r="I34" t="b">
        <f t="shared" si="7"/>
        <v>0</v>
      </c>
    </row>
    <row r="35" spans="1:9" x14ac:dyDescent="0.25">
      <c r="A35">
        <v>0.14000000000000001</v>
      </c>
      <c r="B35">
        <f t="shared" si="0"/>
        <v>0.58540805008107744</v>
      </c>
      <c r="C35">
        <f t="shared" si="1"/>
        <v>0.91459194991892256</v>
      </c>
      <c r="D35">
        <f t="shared" si="4"/>
        <v>0.65987879082265788</v>
      </c>
      <c r="E35">
        <f t="shared" si="5"/>
        <v>0.92186676338442197</v>
      </c>
      <c r="F35">
        <f t="shared" si="6"/>
        <v>0.83593338169221099</v>
      </c>
      <c r="G35">
        <f t="shared" si="8"/>
        <v>0.91459194991892256</v>
      </c>
      <c r="H35">
        <f t="shared" si="3"/>
        <v>0.58540805008107744</v>
      </c>
      <c r="I35" t="b">
        <f t="shared" si="7"/>
        <v>1</v>
      </c>
    </row>
    <row r="36" spans="1:9" x14ac:dyDescent="0.25">
      <c r="A36">
        <v>0.14499999999999999</v>
      </c>
      <c r="B36">
        <f t="shared" si="0"/>
        <v>0.59271605897795254</v>
      </c>
      <c r="C36">
        <f t="shared" si="1"/>
        <v>0.90728394102204746</v>
      </c>
      <c r="D36">
        <f t="shared" si="4"/>
        <v>0.66388024167605364</v>
      </c>
      <c r="E36">
        <f t="shared" si="5"/>
        <v>0.91890841011342006</v>
      </c>
      <c r="F36">
        <f t="shared" si="6"/>
        <v>0.83445420505671009</v>
      </c>
      <c r="G36">
        <f t="shared" si="8"/>
        <v>0.90728394102204746</v>
      </c>
      <c r="H36">
        <f t="shared" si="3"/>
        <v>0.59271605897795254</v>
      </c>
      <c r="I36" t="b">
        <f t="shared" si="7"/>
        <v>1</v>
      </c>
    </row>
    <row r="37" spans="1:9" x14ac:dyDescent="0.25">
      <c r="A37">
        <v>0.15</v>
      </c>
      <c r="B37">
        <f t="shared" si="0"/>
        <v>0.59969958667108036</v>
      </c>
      <c r="C37">
        <f t="shared" si="1"/>
        <v>0.90030041332891964</v>
      </c>
      <c r="D37">
        <f t="shared" si="4"/>
        <v>0.66770402504053872</v>
      </c>
      <c r="E37">
        <f t="shared" si="5"/>
        <v>0.91395605638649513</v>
      </c>
      <c r="F37">
        <f t="shared" si="6"/>
        <v>0.83197802819324751</v>
      </c>
      <c r="G37">
        <f t="shared" si="8"/>
        <v>0.90030041332891964</v>
      </c>
      <c r="H37">
        <f t="shared" si="3"/>
        <v>0.59969958667108036</v>
      </c>
      <c r="I37" t="b">
        <f t="shared" si="7"/>
        <v>1</v>
      </c>
    </row>
    <row r="38" spans="1:9" x14ac:dyDescent="0.25">
      <c r="A38">
        <v>0.155</v>
      </c>
      <c r="B38">
        <f t="shared" si="0"/>
        <v>0.606373040374939</v>
      </c>
      <c r="C38">
        <f t="shared" si="1"/>
        <v>0.893626959625061</v>
      </c>
      <c r="D38">
        <f t="shared" si="4"/>
        <v>0.67135802948897627</v>
      </c>
      <c r="E38">
        <f t="shared" si="5"/>
        <v>0.90724883657460031</v>
      </c>
      <c r="F38">
        <f t="shared" si="6"/>
        <v>0.82862441828730016</v>
      </c>
      <c r="G38">
        <f t="shared" si="8"/>
        <v>0.893626959625061</v>
      </c>
      <c r="H38">
        <f t="shared" si="3"/>
        <v>0.606373040374939</v>
      </c>
      <c r="I38" t="b">
        <f t="shared" si="7"/>
        <v>1</v>
      </c>
    </row>
    <row r="39" spans="1:9" x14ac:dyDescent="0.25">
      <c r="A39">
        <v>0.16</v>
      </c>
      <c r="B39">
        <f t="shared" si="0"/>
        <v>0.61275018761262656</v>
      </c>
      <c r="C39">
        <f t="shared" si="1"/>
        <v>0.88724981238737344</v>
      </c>
      <c r="D39">
        <f t="shared" si="4"/>
        <v>0.67484979333554018</v>
      </c>
      <c r="E39">
        <f t="shared" si="5"/>
        <v>0.89902850634273312</v>
      </c>
      <c r="F39">
        <f t="shared" si="6"/>
        <v>0.82451425317136651</v>
      </c>
      <c r="G39">
        <f t="shared" si="8"/>
        <v>0.88724981238737344</v>
      </c>
      <c r="H39">
        <f t="shared" si="3"/>
        <v>0.61275018761262656</v>
      </c>
      <c r="I39" t="b">
        <f t="shared" si="7"/>
        <v>1</v>
      </c>
    </row>
    <row r="40" spans="1:9" x14ac:dyDescent="0.25">
      <c r="A40">
        <v>0.16500000000000001</v>
      </c>
      <c r="B40">
        <f t="shared" si="0"/>
        <v>0.61884418461864932</v>
      </c>
      <c r="C40">
        <f t="shared" si="1"/>
        <v>0.88115581538135068</v>
      </c>
      <c r="D40">
        <f t="shared" si="4"/>
        <v>0.6781865201874695</v>
      </c>
      <c r="E40">
        <f t="shared" si="5"/>
        <v>0.8895359934051088</v>
      </c>
      <c r="F40">
        <f t="shared" si="6"/>
        <v>0.8197679967025544</v>
      </c>
      <c r="G40">
        <f t="shared" si="8"/>
        <v>0.88115581538135068</v>
      </c>
      <c r="H40">
        <f t="shared" si="3"/>
        <v>0.61884418461864932</v>
      </c>
      <c r="I40" t="b">
        <f t="shared" si="7"/>
        <v>1</v>
      </c>
    </row>
    <row r="41" spans="1:9" x14ac:dyDescent="0.25">
      <c r="A41">
        <v>0.17</v>
      </c>
      <c r="B41">
        <f t="shared" si="0"/>
        <v>0.62466760348060446</v>
      </c>
      <c r="C41">
        <f t="shared" si="1"/>
        <v>0.87533239651939554</v>
      </c>
      <c r="D41">
        <f t="shared" si="4"/>
        <v>0.68137509380631323</v>
      </c>
      <c r="E41">
        <f t="shared" si="5"/>
        <v>0.87900825881190758</v>
      </c>
      <c r="F41">
        <f t="shared" si="6"/>
        <v>0.81450412940595385</v>
      </c>
      <c r="G41">
        <f t="shared" si="8"/>
        <v>0.87533239651939554</v>
      </c>
      <c r="H41">
        <f t="shared" si="3"/>
        <v>0.62466760348060446</v>
      </c>
      <c r="I41" t="b">
        <f t="shared" si="7"/>
        <v>1</v>
      </c>
    </row>
    <row r="42" spans="1:9" x14ac:dyDescent="0.25">
      <c r="A42">
        <v>0.17499999999999999</v>
      </c>
      <c r="B42">
        <f t="shared" si="0"/>
        <v>0.63023245807575079</v>
      </c>
      <c r="C42">
        <f t="shared" si="1"/>
        <v>0.86976754192424921</v>
      </c>
      <c r="D42">
        <f t="shared" si="4"/>
        <v>0.68442209230932471</v>
      </c>
      <c r="E42">
        <f t="shared" si="5"/>
        <v>0.86767548363061997</v>
      </c>
      <c r="F42">
        <f t="shared" si="6"/>
        <v>0.80883774181530999</v>
      </c>
      <c r="G42">
        <f t="shared" si="8"/>
        <v>0.86976754192424921</v>
      </c>
      <c r="H42">
        <f t="shared" si="3"/>
        <v>0.63023245807575079</v>
      </c>
      <c r="I42" t="b">
        <f t="shared" si="7"/>
        <v>1</v>
      </c>
    </row>
    <row r="43" spans="1:9" x14ac:dyDescent="0.25">
      <c r="A43">
        <v>0.18</v>
      </c>
      <c r="B43">
        <f t="shared" si="0"/>
        <v>0.63555022885597678</v>
      </c>
      <c r="C43">
        <f t="shared" si="1"/>
        <v>0.86444977114402322</v>
      </c>
      <c r="D43">
        <f t="shared" si="4"/>
        <v>0.68733380174030223</v>
      </c>
      <c r="E43">
        <f t="shared" si="5"/>
        <v>0.8557585902582453</v>
      </c>
      <c r="F43">
        <f t="shared" si="6"/>
        <v>0.80287929512912259</v>
      </c>
      <c r="G43">
        <f t="shared" si="8"/>
        <v>0.86444977114402322</v>
      </c>
      <c r="H43">
        <f t="shared" si="3"/>
        <v>0.63555022885597678</v>
      </c>
      <c r="I43" t="b">
        <f t="shared" si="7"/>
        <v>1</v>
      </c>
    </row>
    <row r="44" spans="1:9" x14ac:dyDescent="0.25">
      <c r="A44">
        <v>0.185</v>
      </c>
      <c r="B44">
        <f t="shared" si="0"/>
        <v>0.64063188653229608</v>
      </c>
      <c r="C44">
        <f t="shared" si="1"/>
        <v>0.85936811346770392</v>
      </c>
      <c r="D44">
        <f t="shared" si="4"/>
        <v>0.69011622903787539</v>
      </c>
      <c r="E44">
        <f t="shared" si="5"/>
        <v>0.84346710233932098</v>
      </c>
      <c r="F44">
        <f t="shared" si="6"/>
        <v>0.79673355116966049</v>
      </c>
      <c r="G44">
        <f t="shared" si="8"/>
        <v>0.85936811346770392</v>
      </c>
      <c r="H44">
        <f t="shared" si="3"/>
        <v>0.64063188653229608</v>
      </c>
      <c r="I44" t="b">
        <f t="shared" si="7"/>
        <v>1</v>
      </c>
    </row>
    <row r="45" spans="1:9" x14ac:dyDescent="0.25">
      <c r="A45">
        <v>0.19</v>
      </c>
      <c r="B45">
        <f t="shared" si="0"/>
        <v>0.64548791470773326</v>
      </c>
      <c r="C45">
        <f t="shared" si="1"/>
        <v>0.85451208529226674</v>
      </c>
      <c r="D45">
        <f t="shared" si="4"/>
        <v>0.69277511442798845</v>
      </c>
      <c r="E45">
        <f t="shared" si="5"/>
        <v>0.83099734240734824</v>
      </c>
      <c r="F45">
        <f t="shared" si="6"/>
        <v>0.79049867120367412</v>
      </c>
      <c r="G45">
        <f t="shared" si="8"/>
        <v>0.85451208529226674</v>
      </c>
      <c r="H45">
        <f t="shared" si="3"/>
        <v>0.64548791470773326</v>
      </c>
      <c r="I45" t="b">
        <f t="shared" si="7"/>
        <v>1</v>
      </c>
    </row>
    <row r="46" spans="1:9" x14ac:dyDescent="0.25">
      <c r="A46">
        <v>0.19500000000000001</v>
      </c>
      <c r="B46">
        <f t="shared" si="0"/>
        <v>0.65012833150529281</v>
      </c>
      <c r="C46">
        <f t="shared" si="1"/>
        <v>0.84987166849470719</v>
      </c>
      <c r="D46">
        <f t="shared" si="4"/>
        <v>0.69531594326614798</v>
      </c>
      <c r="E46">
        <f t="shared" si="5"/>
        <v>0.81853096194329777</v>
      </c>
      <c r="F46">
        <f t="shared" si="6"/>
        <v>0.78426548097164883</v>
      </c>
      <c r="G46">
        <f t="shared" si="8"/>
        <v>0.84987166849470719</v>
      </c>
      <c r="H46">
        <f t="shared" si="3"/>
        <v>0.65012833150529281</v>
      </c>
      <c r="I46" t="b">
        <f t="shared" si="7"/>
        <v>1</v>
      </c>
    </row>
    <row r="47" spans="1:9" x14ac:dyDescent="0.25">
      <c r="A47">
        <v>0.2</v>
      </c>
      <c r="B47">
        <f t="shared" si="0"/>
        <v>0.65456271023562929</v>
      </c>
      <c r="C47">
        <f t="shared" si="1"/>
        <v>0.84543728976437071</v>
      </c>
      <c r="D47">
        <f t="shared" si="4"/>
        <v>0.69774395735386663</v>
      </c>
      <c r="E47">
        <f t="shared" si="5"/>
        <v>0.80623379457583499</v>
      </c>
      <c r="F47">
        <f t="shared" si="6"/>
        <v>0.77811689728791755</v>
      </c>
      <c r="G47">
        <f t="shared" si="8"/>
        <v>0.84543728976437071</v>
      </c>
      <c r="H47">
        <f t="shared" si="3"/>
        <v>0.65456271023562929</v>
      </c>
      <c r="I47" t="b">
        <f t="shared" si="7"/>
        <v>1</v>
      </c>
    </row>
    <row r="48" spans="1:9" x14ac:dyDescent="0.25">
      <c r="A48">
        <v>0.20499999999999999</v>
      </c>
      <c r="B48">
        <f t="shared" si="0"/>
        <v>0.65880019914705679</v>
      </c>
      <c r="C48">
        <f t="shared" si="1"/>
        <v>0.84119980085294321</v>
      </c>
      <c r="D48">
        <f t="shared" si="4"/>
        <v>0.70006416575264641</v>
      </c>
      <c r="E48">
        <f t="shared" si="5"/>
        <v>0.79425501964709733</v>
      </c>
      <c r="F48">
        <f t="shared" si="6"/>
        <v>0.77212750982354861</v>
      </c>
      <c r="G48">
        <f t="shared" si="8"/>
        <v>0.84119980085294321</v>
      </c>
      <c r="H48">
        <f t="shared" si="3"/>
        <v>0.65880019914705679</v>
      </c>
      <c r="I48" t="b">
        <f t="shared" si="7"/>
        <v>1</v>
      </c>
    </row>
    <row r="49" spans="1:9" x14ac:dyDescent="0.25">
      <c r="A49">
        <v>0.21</v>
      </c>
      <c r="B49">
        <f t="shared" si="0"/>
        <v>0.66284954029864318</v>
      </c>
      <c r="C49">
        <f t="shared" si="1"/>
        <v>0.83715045970135682</v>
      </c>
      <c r="D49">
        <f t="shared" si="4"/>
        <v>0.70228135511781464</v>
      </c>
      <c r="E49">
        <f t="shared" si="5"/>
        <v>0.78272662034127471</v>
      </c>
      <c r="F49">
        <f t="shared" si="6"/>
        <v>0.7663633101706373</v>
      </c>
      <c r="G49">
        <f t="shared" si="8"/>
        <v>0.83715045970135682</v>
      </c>
      <c r="H49">
        <f t="shared" si="3"/>
        <v>0.66284954029864318</v>
      </c>
      <c r="I49" t="b">
        <f t="shared" si="7"/>
        <v>1</v>
      </c>
    </row>
    <row r="50" spans="1:9" x14ac:dyDescent="0.25">
      <c r="A50">
        <v>0.215</v>
      </c>
      <c r="B50">
        <f t="shared" si="0"/>
        <v>0.6667190875953245</v>
      </c>
      <c r="C50">
        <f t="shared" si="1"/>
        <v>0.8332809124046755</v>
      </c>
      <c r="D50">
        <f t="shared" si="4"/>
        <v>0.70440009957352834</v>
      </c>
      <c r="E50">
        <f t="shared" si="5"/>
        <v>0.77176311802005859</v>
      </c>
      <c r="F50">
        <f t="shared" si="6"/>
        <v>0.7608815590100293</v>
      </c>
      <c r="G50">
        <f t="shared" si="8"/>
        <v>0.8332809124046755</v>
      </c>
      <c r="H50">
        <f t="shared" si="3"/>
        <v>0.6667190875953245</v>
      </c>
      <c r="I50" t="b">
        <f t="shared" si="7"/>
        <v>1</v>
      </c>
    </row>
    <row r="51" spans="1:9" x14ac:dyDescent="0.25">
      <c r="A51">
        <v>0.22</v>
      </c>
      <c r="B51">
        <f t="shared" si="0"/>
        <v>0.67041682402224612</v>
      </c>
      <c r="C51">
        <f t="shared" si="1"/>
        <v>0.82958317597775388</v>
      </c>
      <c r="D51">
        <f t="shared" si="4"/>
        <v>0.70642477014932159</v>
      </c>
      <c r="E51">
        <f t="shared" si="5"/>
        <v>0.76146156232213413</v>
      </c>
      <c r="F51">
        <f t="shared" si="6"/>
        <v>0.75573078116106707</v>
      </c>
      <c r="G51">
        <f t="shared" si="8"/>
        <v>0.82958317597775388</v>
      </c>
      <c r="H51">
        <f t="shared" si="3"/>
        <v>0.67041682402224612</v>
      </c>
      <c r="I51" t="b">
        <f t="shared" si="7"/>
        <v>1</v>
      </c>
    </row>
    <row r="52" spans="1:9" x14ac:dyDescent="0.25">
      <c r="A52">
        <v>0.22500000000000001</v>
      </c>
      <c r="B52">
        <f t="shared" si="0"/>
        <v>0.67395037811388603</v>
      </c>
      <c r="C52">
        <f t="shared" si="1"/>
        <v>0.82604962188611397</v>
      </c>
      <c r="D52">
        <f t="shared" si="4"/>
        <v>0.70835954379766231</v>
      </c>
      <c r="E52">
        <f t="shared" si="5"/>
        <v>0.75190175495062961</v>
      </c>
      <c r="F52">
        <f t="shared" si="6"/>
        <v>0.75095087747531475</v>
      </c>
      <c r="G52">
        <f t="shared" si="8"/>
        <v>0.82604962188611397</v>
      </c>
      <c r="H52">
        <f t="shared" si="3"/>
        <v>0.67395037811388603</v>
      </c>
      <c r="I52" t="b">
        <f t="shared" si="7"/>
        <v>1</v>
      </c>
    </row>
    <row r="53" spans="1:9" x14ac:dyDescent="0.25">
      <c r="A53">
        <v>0.23</v>
      </c>
      <c r="B53">
        <f t="shared" si="0"/>
        <v>0.67732703969193686</v>
      </c>
      <c r="C53">
        <f t="shared" si="1"/>
        <v>0.82267296030806314</v>
      </c>
      <c r="D53">
        <f t="shared" si="4"/>
        <v>0.71020841201112306</v>
      </c>
      <c r="E53">
        <f t="shared" si="5"/>
        <v>0.74314668387518146</v>
      </c>
      <c r="F53">
        <f t="shared" si="6"/>
        <v>0.74657334193759073</v>
      </c>
      <c r="G53">
        <f t="shared" si="8"/>
        <v>0.82267296030806314</v>
      </c>
      <c r="H53">
        <f t="shared" si="3"/>
        <v>0.67732703969193686</v>
      </c>
      <c r="I53" t="b">
        <f t="shared" si="7"/>
        <v>1</v>
      </c>
    </row>
    <row r="54" spans="1:9" x14ac:dyDescent="0.25">
      <c r="A54">
        <v>0.23499999999999999</v>
      </c>
      <c r="B54">
        <f t="shared" si="0"/>
        <v>0.68055377490441349</v>
      </c>
      <c r="C54">
        <f t="shared" si="1"/>
        <v>0.81944622509558651</v>
      </c>
      <c r="D54">
        <f t="shared" si="4"/>
        <v>0.71197518905694301</v>
      </c>
      <c r="E54">
        <f t="shared" si="5"/>
        <v>0.73524314389210998</v>
      </c>
      <c r="F54">
        <f t="shared" si="6"/>
        <v>0.74262157194605505</v>
      </c>
      <c r="G54">
        <f t="shared" si="8"/>
        <v>0.81944622509558651</v>
      </c>
      <c r="H54">
        <f t="shared" si="3"/>
        <v>0.68055377490441349</v>
      </c>
      <c r="I54" t="b">
        <f t="shared" si="7"/>
        <v>1</v>
      </c>
    </row>
    <row r="55" spans="1:9" x14ac:dyDescent="0.25">
      <c r="A55">
        <v>0.24</v>
      </c>
      <c r="B55">
        <f t="shared" si="0"/>
        <v>0.68363724059701236</v>
      </c>
      <c r="C55">
        <f t="shared" si="1"/>
        <v>0.81636275940298764</v>
      </c>
      <c r="D55">
        <f t="shared" si="4"/>
        <v>0.71366351984596843</v>
      </c>
      <c r="E55">
        <f t="shared" si="5"/>
        <v>0.72822251909162461</v>
      </c>
      <c r="F55">
        <f t="shared" si="6"/>
        <v>0.73911125954581236</v>
      </c>
      <c r="G55">
        <f t="shared" si="8"/>
        <v>0.81636275940298764</v>
      </c>
      <c r="H55">
        <f t="shared" si="3"/>
        <v>0.68363724059701236</v>
      </c>
      <c r="I55" t="b">
        <f t="shared" si="7"/>
        <v>1</v>
      </c>
    </row>
    <row r="56" spans="1:9" x14ac:dyDescent="0.25">
      <c r="A56">
        <v>0.245</v>
      </c>
      <c r="B56">
        <f t="shared" si="0"/>
        <v>0.68658379804637182</v>
      </c>
      <c r="C56">
        <f t="shared" si="1"/>
        <v>0.81341620195362818</v>
      </c>
      <c r="D56">
        <f t="shared" si="4"/>
        <v>0.71527688745220674</v>
      </c>
      <c r="E56">
        <f t="shared" si="5"/>
        <v>0.72210170274648755</v>
      </c>
      <c r="F56">
        <f t="shared" si="6"/>
        <v>0.73605085137324378</v>
      </c>
      <c r="G56">
        <f t="shared" si="8"/>
        <v>0.81341620195362818</v>
      </c>
      <c r="H56">
        <f t="shared" si="3"/>
        <v>0.68658379804637182</v>
      </c>
      <c r="I56" t="b">
        <f t="shared" si="7"/>
        <v>1</v>
      </c>
    </row>
    <row r="57" spans="1:9" x14ac:dyDescent="0.25">
      <c r="A57">
        <v>0.25</v>
      </c>
      <c r="B57">
        <f t="shared" si="0"/>
        <v>0.68939952608356592</v>
      </c>
      <c r="C57">
        <f t="shared" si="1"/>
        <v>0.81060047391643408</v>
      </c>
      <c r="D57">
        <f t="shared" si="4"/>
        <v>0.71681862029850618</v>
      </c>
      <c r="E57">
        <f t="shared" si="5"/>
        <v>0.71688413043137644</v>
      </c>
      <c r="F57">
        <f t="shared" si="6"/>
        <v>0.73344206521568822</v>
      </c>
      <c r="G57">
        <f t="shared" si="8"/>
        <v>0.81060047391643408</v>
      </c>
      <c r="H57">
        <f t="shared" si="3"/>
        <v>0.68939952608356592</v>
      </c>
      <c r="I57" t="b">
        <f t="shared" si="7"/>
        <v>1</v>
      </c>
    </row>
    <row r="58" spans="1:9" x14ac:dyDescent="0.25">
      <c r="A58">
        <v>0.255</v>
      </c>
      <c r="B58">
        <f t="shared" si="0"/>
        <v>0.69209023363490307</v>
      </c>
      <c r="C58">
        <f t="shared" si="1"/>
        <v>0.80790976636509693</v>
      </c>
      <c r="D58">
        <f t="shared" si="4"/>
        <v>0.71829189902318591</v>
      </c>
      <c r="E58">
        <f t="shared" si="5"/>
        <v>0.71256090277375572</v>
      </c>
      <c r="F58">
        <f t="shared" si="6"/>
        <v>0.73128045138687792</v>
      </c>
      <c r="G58">
        <f t="shared" si="8"/>
        <v>0.80790976636509693</v>
      </c>
      <c r="H58">
        <f t="shared" si="3"/>
        <v>0.69209023363490307</v>
      </c>
      <c r="I58" t="b">
        <f t="shared" si="7"/>
        <v>1</v>
      </c>
    </row>
    <row r="59" spans="1:9" x14ac:dyDescent="0.25">
      <c r="A59">
        <v>0.26</v>
      </c>
      <c r="B59">
        <f t="shared" si="0"/>
        <v>0.69466147170590564</v>
      </c>
      <c r="C59">
        <f t="shared" si="1"/>
        <v>0.80533852829409436</v>
      </c>
      <c r="D59">
        <f t="shared" si="4"/>
        <v>0.71969976304178296</v>
      </c>
      <c r="E59">
        <f t="shared" si="5"/>
        <v>0.7091119750917575</v>
      </c>
      <c r="F59">
        <f t="shared" si="6"/>
        <v>0.7295559875458788</v>
      </c>
      <c r="G59">
        <f t="shared" si="8"/>
        <v>0.80533852829409436</v>
      </c>
      <c r="H59">
        <f t="shared" si="3"/>
        <v>0.69466147170590564</v>
      </c>
      <c r="I59" t="b">
        <f t="shared" si="7"/>
        <v>1</v>
      </c>
    </row>
    <row r="60" spans="1:9" x14ac:dyDescent="0.25">
      <c r="A60">
        <v>0.26500000000000001</v>
      </c>
      <c r="B60">
        <f t="shared" si="0"/>
        <v>0.69711854483319058</v>
      </c>
      <c r="C60">
        <f t="shared" si="1"/>
        <v>0.80288145516680942</v>
      </c>
      <c r="D60">
        <f t="shared" si="4"/>
        <v>0.72104511681745154</v>
      </c>
      <c r="E60">
        <f t="shared" si="5"/>
        <v>0.70650739225814374</v>
      </c>
      <c r="F60">
        <f t="shared" si="6"/>
        <v>0.72825369612907187</v>
      </c>
      <c r="G60">
        <f t="shared" si="8"/>
        <v>0.80288145516680942</v>
      </c>
      <c r="H60">
        <f t="shared" si="3"/>
        <v>0.69711854483319058</v>
      </c>
      <c r="I60" t="b">
        <f t="shared" si="7"/>
        <v>1</v>
      </c>
    </row>
    <row r="61" spans="1:9" x14ac:dyDescent="0.25">
      <c r="A61">
        <v>0.27</v>
      </c>
      <c r="B61">
        <f t="shared" si="0"/>
        <v>0.69946652202787785</v>
      </c>
      <c r="C61">
        <f t="shared" si="1"/>
        <v>0.80053347797212215</v>
      </c>
      <c r="D61">
        <f t="shared" si="4"/>
        <v>0.72233073585295282</v>
      </c>
      <c r="E61">
        <f t="shared" si="5"/>
        <v>0.70470854840755937</v>
      </c>
      <c r="F61">
        <f t="shared" si="6"/>
        <v>0.72735427420377963</v>
      </c>
      <c r="G61">
        <f t="shared" si="8"/>
        <v>0.80053347797212215</v>
      </c>
      <c r="H61">
        <f t="shared" si="3"/>
        <v>0.69946652202787785</v>
      </c>
      <c r="I61" t="b">
        <f t="shared" si="7"/>
        <v>1</v>
      </c>
    </row>
    <row r="62" spans="1:9" x14ac:dyDescent="0.25">
      <c r="A62">
        <v>0.27500000000000002</v>
      </c>
      <c r="B62">
        <f t="shared" si="0"/>
        <v>0.70171024723310349</v>
      </c>
      <c r="C62">
        <f t="shared" si="1"/>
        <v>0.79828975276689651</v>
      </c>
      <c r="D62">
        <f t="shared" si="4"/>
        <v>0.72355927241659523</v>
      </c>
      <c r="E62">
        <f t="shared" si="5"/>
        <v>0.7036694525430629</v>
      </c>
      <c r="F62">
        <f t="shared" si="6"/>
        <v>0.72683472627153145</v>
      </c>
      <c r="G62">
        <f t="shared" si="8"/>
        <v>0.79828975276689651</v>
      </c>
      <c r="H62">
        <f t="shared" si="3"/>
        <v>0.70171024723310349</v>
      </c>
      <c r="I62" t="b">
        <f t="shared" si="7"/>
        <v>1</v>
      </c>
    </row>
    <row r="63" spans="1:9" x14ac:dyDescent="0.25">
      <c r="A63">
        <v>0.28000000000000003</v>
      </c>
      <c r="B63">
        <f t="shared" si="0"/>
        <v>0.70385434931721036</v>
      </c>
      <c r="C63">
        <f t="shared" si="1"/>
        <v>0.79614565068278964</v>
      </c>
      <c r="D63">
        <f t="shared" si="4"/>
        <v>0.72473326101393898</v>
      </c>
      <c r="E63">
        <f t="shared" si="5"/>
        <v>0.70333798266421943</v>
      </c>
      <c r="F63">
        <f t="shared" si="6"/>
        <v>0.72666899133210971</v>
      </c>
      <c r="G63">
        <f t="shared" si="8"/>
        <v>0.79614565068278964</v>
      </c>
      <c r="H63">
        <f t="shared" si="3"/>
        <v>0.70385434931721036</v>
      </c>
      <c r="I63" t="b">
        <f t="shared" si="7"/>
        <v>1</v>
      </c>
    </row>
    <row r="64" spans="1:9" x14ac:dyDescent="0.25">
      <c r="A64">
        <v>0.28499999999999998</v>
      </c>
      <c r="B64">
        <f t="shared" si="0"/>
        <v>0.70590325162323464</v>
      </c>
      <c r="C64">
        <f t="shared" si="1"/>
        <v>0.79409674837676536</v>
      </c>
      <c r="D64">
        <f t="shared" si="4"/>
        <v>0.72585512361655169</v>
      </c>
      <c r="E64">
        <f t="shared" si="5"/>
        <v>0.7036571127009098</v>
      </c>
      <c r="F64">
        <f t="shared" si="6"/>
        <v>0.72682855635045485</v>
      </c>
      <c r="G64">
        <f t="shared" si="8"/>
        <v>0.79409674837676536</v>
      </c>
      <c r="H64">
        <f t="shared" si="3"/>
        <v>0.70590325162323464</v>
      </c>
      <c r="I64" t="b">
        <f t="shared" si="7"/>
        <v>1</v>
      </c>
    </row>
    <row r="65" spans="1:9" x14ac:dyDescent="0.25">
      <c r="A65">
        <v>0.28999999999999998</v>
      </c>
      <c r="B65">
        <f t="shared" si="0"/>
        <v>0.70786118109438678</v>
      </c>
      <c r="C65">
        <f t="shared" si="1"/>
        <v>0.79213881890561322</v>
      </c>
      <c r="D65">
        <f t="shared" si="4"/>
        <v>0.72692717465860512</v>
      </c>
      <c r="E65">
        <f t="shared" si="5"/>
        <v>0.7045660982640114</v>
      </c>
      <c r="F65">
        <f t="shared" si="6"/>
        <v>0.7272830491320057</v>
      </c>
      <c r="G65">
        <f t="shared" si="8"/>
        <v>0.79213881890561322</v>
      </c>
      <c r="H65">
        <f t="shared" si="3"/>
        <v>0.70786118109438678</v>
      </c>
      <c r="I65" t="b">
        <f t="shared" si="7"/>
        <v>1</v>
      </c>
    </row>
    <row r="66" spans="1:9" x14ac:dyDescent="0.25">
      <c r="A66">
        <v>0.29499999999999998</v>
      </c>
      <c r="B66">
        <f t="shared" si="0"/>
        <v>0.70973217699435476</v>
      </c>
      <c r="C66">
        <f t="shared" si="1"/>
        <v>0.79026782300564524</v>
      </c>
      <c r="D66">
        <f t="shared" si="4"/>
        <v>0.72795162581161732</v>
      </c>
      <c r="E66">
        <f t="shared" si="5"/>
        <v>0.70600160898756414</v>
      </c>
      <c r="F66">
        <f t="shared" si="6"/>
        <v>0.72800080449378213</v>
      </c>
      <c r="G66">
        <f t="shared" si="8"/>
        <v>0.79026782300564524</v>
      </c>
      <c r="H66">
        <f t="shared" si="3"/>
        <v>0.70973217699435476</v>
      </c>
      <c r="I66" t="b">
        <f t="shared" si="7"/>
        <v>1</v>
      </c>
    </row>
    <row r="67" spans="1:9" x14ac:dyDescent="0.25">
      <c r="A67">
        <v>0.3</v>
      </c>
      <c r="B67">
        <f t="shared" si="0"/>
        <v>0.71152009924041848</v>
      </c>
      <c r="C67">
        <f t="shared" si="1"/>
        <v>0.78847990075958152</v>
      </c>
      <c r="D67">
        <f t="shared" si="4"/>
        <v>0.72893059054719345</v>
      </c>
      <c r="E67">
        <f t="shared" si="5"/>
        <v>0.70789879701028979</v>
      </c>
      <c r="F67">
        <f t="shared" si="6"/>
        <v>0.72894939850514495</v>
      </c>
      <c r="G67">
        <f t="shared" si="8"/>
        <v>0.78847990075958152</v>
      </c>
      <c r="H67">
        <f t="shared" si="3"/>
        <v>0.71152009924041848</v>
      </c>
      <c r="I67" t="b">
        <f t="shared" si="7"/>
        <v>1</v>
      </c>
    </row>
    <row r="68" spans="1:9" x14ac:dyDescent="0.25">
      <c r="A68">
        <v>0.30499999999999999</v>
      </c>
      <c r="B68">
        <f t="shared" si="0"/>
        <v>0.71322863636656841</v>
      </c>
      <c r="C68">
        <f t="shared" si="1"/>
        <v>0.78677136363343159</v>
      </c>
      <c r="D68">
        <f t="shared" si="4"/>
        <v>0.72986608849717738</v>
      </c>
      <c r="E68">
        <f t="shared" si="5"/>
        <v>0.71019229290289887</v>
      </c>
      <c r="F68">
        <f t="shared" si="6"/>
        <v>0.73009614645144949</v>
      </c>
      <c r="G68">
        <f t="shared" si="8"/>
        <v>0.78677136363343159</v>
      </c>
      <c r="H68">
        <f t="shared" si="3"/>
        <v>0.71322863636656841</v>
      </c>
      <c r="I68" t="b">
        <f t="shared" si="7"/>
        <v>1</v>
      </c>
    </row>
    <row r="69" spans="1:9" x14ac:dyDescent="0.25">
      <c r="A69">
        <v>0.31</v>
      </c>
      <c r="B69">
        <f t="shared" si="0"/>
        <v>0.71486131313305501</v>
      </c>
      <c r="C69">
        <f t="shared" si="1"/>
        <v>0.78513868686694499</v>
      </c>
      <c r="D69">
        <f t="shared" si="4"/>
        <v>0.73076004962020924</v>
      </c>
      <c r="E69">
        <f t="shared" si="5"/>
        <v>0.71281712206934289</v>
      </c>
      <c r="F69">
        <f t="shared" si="6"/>
        <v>0.73140856103467145</v>
      </c>
      <c r="G69">
        <f t="shared" si="8"/>
        <v>0.78513868686694499</v>
      </c>
      <c r="H69">
        <f t="shared" si="3"/>
        <v>0.71486131313305501</v>
      </c>
      <c r="I69" t="b">
        <f t="shared" si="7"/>
        <v>1</v>
      </c>
    </row>
    <row r="70" spans="1:9" x14ac:dyDescent="0.25">
      <c r="A70">
        <v>0.315</v>
      </c>
      <c r="B70">
        <f t="shared" si="0"/>
        <v>0.7164214977980683</v>
      </c>
      <c r="C70">
        <f t="shared" si="1"/>
        <v>0.7835785022019317</v>
      </c>
      <c r="D70">
        <f t="shared" si="4"/>
        <v>0.73161431818328426</v>
      </c>
      <c r="E70">
        <f t="shared" si="5"/>
        <v>0.71570953631529644</v>
      </c>
      <c r="F70">
        <f t="shared" si="6"/>
        <v>0.73285476815764827</v>
      </c>
      <c r="G70">
        <f t="shared" si="8"/>
        <v>0.7835785022019317</v>
      </c>
      <c r="H70">
        <f t="shared" si="3"/>
        <v>0.7164214977980683</v>
      </c>
      <c r="I70" t="b">
        <f t="shared" si="7"/>
        <v>1</v>
      </c>
    </row>
    <row r="71" spans="1:9" x14ac:dyDescent="0.25">
      <c r="A71">
        <v>0.32</v>
      </c>
      <c r="B71">
        <f t="shared" ref="B71:B134" si="9">$J$6-$M$8*EXP(-$M$10*A71)</f>
        <v>0.71791240906654974</v>
      </c>
      <c r="C71">
        <f t="shared" ref="C71:C134" si="10">$J$6+$M$8*EXP(-$M$10*A71)</f>
        <v>0.78208759093345026</v>
      </c>
      <c r="D71">
        <f t="shared" si="4"/>
        <v>0.7324306565665275</v>
      </c>
      <c r="E71">
        <f t="shared" si="5"/>
        <v>0.71880775686842291</v>
      </c>
      <c r="F71">
        <f t="shared" si="6"/>
        <v>0.7344038784342114</v>
      </c>
      <c r="G71">
        <f t="shared" si="8"/>
        <v>0.78208759093345026</v>
      </c>
      <c r="H71">
        <f t="shared" si="3"/>
        <v>0.71791240906654974</v>
      </c>
      <c r="I71" t="b">
        <f t="shared" si="7"/>
        <v>1</v>
      </c>
    </row>
    <row r="72" spans="1:9" x14ac:dyDescent="0.25">
      <c r="A72">
        <v>0.32500000000000001</v>
      </c>
      <c r="B72">
        <f t="shared" si="9"/>
        <v>0.71933712273047112</v>
      </c>
      <c r="C72">
        <f t="shared" si="10"/>
        <v>0.78066287726952888</v>
      </c>
      <c r="D72">
        <f t="shared" si="4"/>
        <v>0.73321074889903415</v>
      </c>
      <c r="E72">
        <f t="shared" si="5"/>
        <v>0.72205262663757963</v>
      </c>
      <c r="F72">
        <f t="shared" si="6"/>
        <v>0.73602631331878976</v>
      </c>
      <c r="G72">
        <f t="shared" si="8"/>
        <v>0.78066287726952888</v>
      </c>
      <c r="H72">
        <f t="shared" ref="H72:H135" si="11">MIN(B72,$J$6-$M$13)</f>
        <v>0.71933712273047112</v>
      </c>
      <c r="I72" t="b">
        <f t="shared" si="7"/>
        <v>1</v>
      </c>
    </row>
    <row r="73" spans="1:9" x14ac:dyDescent="0.25">
      <c r="A73">
        <v>0.33</v>
      </c>
      <c r="B73">
        <f t="shared" si="9"/>
        <v>0.72069857801427983</v>
      </c>
      <c r="C73">
        <f t="shared" si="10"/>
        <v>0.77930142198572017</v>
      </c>
      <c r="D73">
        <f t="shared" si="4"/>
        <v>0.73395620453327493</v>
      </c>
      <c r="E73">
        <f t="shared" si="5"/>
        <v>0.72538817089974672</v>
      </c>
      <c r="F73">
        <f t="shared" si="6"/>
        <v>0.73769408544987336</v>
      </c>
      <c r="G73">
        <f t="shared" si="8"/>
        <v>0.77935326469263189</v>
      </c>
      <c r="H73">
        <f t="shared" si="11"/>
        <v>0.72064673530736811</v>
      </c>
      <c r="I73" t="b">
        <f t="shared" si="7"/>
        <v>1</v>
      </c>
    </row>
    <row r="74" spans="1:9" x14ac:dyDescent="0.25">
      <c r="A74">
        <v>0.33500000000000002</v>
      </c>
      <c r="B74">
        <f t="shared" si="9"/>
        <v>0.72199958363860239</v>
      </c>
      <c r="C74">
        <f t="shared" si="10"/>
        <v>0.77800041636139761</v>
      </c>
      <c r="D74">
        <f t="shared" ref="D74:D137" si="12">$J$6-0.5*$M$8*EXP(-$M$10*A72)</f>
        <v>0.73466856136523551</v>
      </c>
      <c r="E74">
        <f t="shared" ref="E74:E137" si="13">$J$6-$M$8*EXP(-$M$10*A72)*SIN($M$12*A72+PI()/2)</f>
        <v>0.72876206689419076</v>
      </c>
      <c r="F74">
        <f t="shared" ref="F74:F137" si="14">$J$6-$M$8*EXP(-$M$10*A72)*SIN($M$12*A72+PI()/2)*$J$17</f>
        <v>0.73938103344709538</v>
      </c>
      <c r="G74">
        <f t="shared" si="8"/>
        <v>0.77935326469263189</v>
      </c>
      <c r="H74">
        <f t="shared" si="11"/>
        <v>0.72064673530736811</v>
      </c>
      <c r="I74" t="b">
        <f t="shared" si="7"/>
        <v>1</v>
      </c>
    </row>
    <row r="75" spans="1:9" x14ac:dyDescent="0.25">
      <c r="A75">
        <v>0.34</v>
      </c>
      <c r="B75">
        <f t="shared" si="9"/>
        <v>0.72324282361471359</v>
      </c>
      <c r="C75">
        <f t="shared" si="10"/>
        <v>0.77675717638528641</v>
      </c>
      <c r="D75">
        <f t="shared" si="12"/>
        <v>0.73534928900713992</v>
      </c>
      <c r="E75">
        <f t="shared" si="13"/>
        <v>0.73212602397564375</v>
      </c>
      <c r="F75">
        <f t="shared" si="14"/>
        <v>0.74106301198782187</v>
      </c>
      <c r="G75">
        <f t="shared" si="8"/>
        <v>0.77935326469263189</v>
      </c>
      <c r="H75">
        <f t="shared" si="11"/>
        <v>0.72064673530736811</v>
      </c>
      <c r="I75" t="b">
        <f t="shared" si="7"/>
        <v>1</v>
      </c>
    </row>
    <row r="76" spans="1:9" x14ac:dyDescent="0.25">
      <c r="A76">
        <v>0.34499999999999997</v>
      </c>
      <c r="B76">
        <f t="shared" si="9"/>
        <v>0.72443086278172786</v>
      </c>
      <c r="C76">
        <f t="shared" si="10"/>
        <v>0.77556913721827214</v>
      </c>
      <c r="D76">
        <f t="shared" si="12"/>
        <v>0.7359997918193012</v>
      </c>
      <c r="E76">
        <f t="shared" si="13"/>
        <v>0.73543607702674396</v>
      </c>
      <c r="F76">
        <f t="shared" si="14"/>
        <v>0.74271803851337193</v>
      </c>
      <c r="G76">
        <f t="shared" si="8"/>
        <v>0.77935326469263189</v>
      </c>
      <c r="H76">
        <f t="shared" si="11"/>
        <v>0.72064673530736811</v>
      </c>
      <c r="I76" t="b">
        <f t="shared" si="7"/>
        <v>1</v>
      </c>
    </row>
    <row r="77" spans="1:9" x14ac:dyDescent="0.25">
      <c r="A77">
        <v>0.35</v>
      </c>
      <c r="B77">
        <f t="shared" si="9"/>
        <v>0.7255661520979344</v>
      </c>
      <c r="C77">
        <f t="shared" si="10"/>
        <v>0.7744338479020656</v>
      </c>
      <c r="D77">
        <f t="shared" si="12"/>
        <v>0.73662141180735685</v>
      </c>
      <c r="E77">
        <f t="shared" si="13"/>
        <v>0.73865279675142925</v>
      </c>
      <c r="F77">
        <f t="shared" si="14"/>
        <v>0.74432639837571457</v>
      </c>
      <c r="G77">
        <f t="shared" si="8"/>
        <v>0.77935326469263189</v>
      </c>
      <c r="H77">
        <f t="shared" si="11"/>
        <v>0.72064673530736811</v>
      </c>
      <c r="I77" t="b">
        <f t="shared" si="7"/>
        <v>1</v>
      </c>
    </row>
    <row r="78" spans="1:9" x14ac:dyDescent="0.25">
      <c r="A78">
        <v>0.35499999999999998</v>
      </c>
      <c r="B78">
        <f t="shared" si="9"/>
        <v>0.72665103369719342</v>
      </c>
      <c r="C78">
        <f t="shared" si="10"/>
        <v>0.77334896630280658</v>
      </c>
      <c r="D78">
        <f t="shared" si="12"/>
        <v>0.73721543139086398</v>
      </c>
      <c r="E78">
        <f t="shared" si="13"/>
        <v>0.74174142126414855</v>
      </c>
      <c r="F78">
        <f t="shared" si="14"/>
        <v>0.74587071063207433</v>
      </c>
      <c r="G78">
        <f t="shared" si="8"/>
        <v>0.77935326469263189</v>
      </c>
      <c r="H78">
        <f t="shared" si="11"/>
        <v>0.72064673530736811</v>
      </c>
      <c r="I78" t="b">
        <f t="shared" si="7"/>
        <v>1</v>
      </c>
    </row>
    <row r="79" spans="1:9" x14ac:dyDescent="0.25">
      <c r="A79">
        <v>0.36</v>
      </c>
      <c r="B79">
        <f t="shared" si="9"/>
        <v>0.72768774572082395</v>
      </c>
      <c r="C79">
        <f t="shared" si="10"/>
        <v>0.77231225427917605</v>
      </c>
      <c r="D79">
        <f t="shared" si="12"/>
        <v>0.7377830760489672</v>
      </c>
      <c r="E79">
        <f t="shared" si="13"/>
        <v>0.74467191405522504</v>
      </c>
      <c r="F79">
        <f t="shared" si="14"/>
        <v>0.74733595702761246</v>
      </c>
      <c r="G79">
        <f t="shared" si="8"/>
        <v>0.77935326469263189</v>
      </c>
      <c r="H79">
        <f t="shared" si="11"/>
        <v>0.72064673530736811</v>
      </c>
      <c r="I79" t="b">
        <f t="shared" si="7"/>
        <v>1</v>
      </c>
    </row>
    <row r="80" spans="1:9" x14ac:dyDescent="0.25">
      <c r="A80">
        <v>0.36499999999999999</v>
      </c>
      <c r="B80">
        <f t="shared" si="9"/>
        <v>0.72867842693495311</v>
      </c>
      <c r="C80">
        <f t="shared" si="10"/>
        <v>0.77132157306504689</v>
      </c>
      <c r="D80">
        <f t="shared" si="12"/>
        <v>0.73832551684859671</v>
      </c>
      <c r="E80">
        <f t="shared" si="13"/>
        <v>0.74741895395268942</v>
      </c>
      <c r="F80">
        <f t="shared" si="14"/>
        <v>0.74870947697634471</v>
      </c>
      <c r="G80">
        <f t="shared" si="8"/>
        <v>0.77935326469263189</v>
      </c>
      <c r="H80">
        <f t="shared" si="11"/>
        <v>0.72064673530736811</v>
      </c>
      <c r="I80" t="b">
        <f t="shared" si="7"/>
        <v>1</v>
      </c>
    </row>
    <row r="81" spans="1:9" x14ac:dyDescent="0.25">
      <c r="A81">
        <v>0.37</v>
      </c>
      <c r="B81">
        <f t="shared" si="9"/>
        <v>0.72962512114285016</v>
      </c>
      <c r="C81">
        <f t="shared" si="10"/>
        <v>0.77037487885714984</v>
      </c>
      <c r="D81">
        <f t="shared" si="12"/>
        <v>0.73884387286041198</v>
      </c>
      <c r="E81">
        <f t="shared" si="13"/>
        <v>0.74996186311910851</v>
      </c>
      <c r="F81">
        <f t="shared" si="14"/>
        <v>0.74998093155955425</v>
      </c>
      <c r="G81">
        <f t="shared" si="8"/>
        <v>0.77935326469263189</v>
      </c>
      <c r="H81">
        <f t="shared" si="11"/>
        <v>0.72064673530736811</v>
      </c>
      <c r="I81" t="b">
        <f t="shared" si="7"/>
        <v>1</v>
      </c>
    </row>
    <row r="82" spans="1:9" x14ac:dyDescent="0.25">
      <c r="A82">
        <v>0.375</v>
      </c>
      <c r="B82">
        <f t="shared" si="9"/>
        <v>0.73052978140135094</v>
      </c>
      <c r="C82">
        <f t="shared" si="10"/>
        <v>0.76947021859864906</v>
      </c>
      <c r="D82">
        <f t="shared" si="12"/>
        <v>0.73933921346747655</v>
      </c>
      <c r="E82">
        <f t="shared" si="13"/>
        <v>0.75228447942334897</v>
      </c>
      <c r="F82">
        <f t="shared" si="14"/>
        <v>0.75114223971167449</v>
      </c>
      <c r="G82">
        <f t="shared" si="8"/>
        <v>0.77935326469263189</v>
      </c>
      <c r="H82">
        <f t="shared" si="11"/>
        <v>0.72064673530736811</v>
      </c>
      <c r="I82" t="b">
        <f t="shared" si="7"/>
        <v>1</v>
      </c>
    </row>
    <row r="83" spans="1:9" x14ac:dyDescent="0.25">
      <c r="A83">
        <v>0.38</v>
      </c>
      <c r="B83">
        <f t="shared" si="9"/>
        <v>0.73139427405006874</v>
      </c>
      <c r="C83">
        <f t="shared" si="10"/>
        <v>0.76860572594993126</v>
      </c>
      <c r="D83">
        <f t="shared" si="12"/>
        <v>0.73981256057142508</v>
      </c>
      <c r="E83">
        <f t="shared" si="13"/>
        <v>0.75437497971798317</v>
      </c>
      <c r="F83">
        <f t="shared" si="14"/>
        <v>0.75218748985899164</v>
      </c>
      <c r="G83">
        <f t="shared" si="8"/>
        <v>0.77935326469263189</v>
      </c>
      <c r="H83">
        <f t="shared" si="11"/>
        <v>0.72064673530736811</v>
      </c>
      <c r="I83" t="b">
        <f t="shared" si="7"/>
        <v>1</v>
      </c>
    </row>
    <row r="84" spans="1:9" x14ac:dyDescent="0.25">
      <c r="A84">
        <v>0.38500000000000001</v>
      </c>
      <c r="B84">
        <f t="shared" si="9"/>
        <v>0.73222038256170552</v>
      </c>
      <c r="C84">
        <f t="shared" si="10"/>
        <v>0.76777961743829448</v>
      </c>
      <c r="D84">
        <f t="shared" si="12"/>
        <v>0.74026489070067547</v>
      </c>
      <c r="E84">
        <f t="shared" si="13"/>
        <v>0.75622566064021124</v>
      </c>
      <c r="F84">
        <f t="shared" si="14"/>
        <v>0.75311283032010556</v>
      </c>
      <c r="G84">
        <f t="shared" si="8"/>
        <v>0.77935326469263189</v>
      </c>
      <c r="H84">
        <f t="shared" si="11"/>
        <v>0.72064673530736811</v>
      </c>
      <c r="I84" t="b">
        <f t="shared" si="7"/>
        <v>1</v>
      </c>
    </row>
    <row r="85" spans="1:9" x14ac:dyDescent="0.25">
      <c r="A85">
        <v>0.39</v>
      </c>
      <c r="B85">
        <f t="shared" si="9"/>
        <v>0.73300981122140663</v>
      </c>
      <c r="C85">
        <f t="shared" si="10"/>
        <v>0.76699018877859337</v>
      </c>
      <c r="D85">
        <f t="shared" si="12"/>
        <v>0.74069713702503437</v>
      </c>
      <c r="E85">
        <f t="shared" si="13"/>
        <v>0.75783268354558508</v>
      </c>
      <c r="F85">
        <f t="shared" si="14"/>
        <v>0.75391634177279254</v>
      </c>
      <c r="G85">
        <f t="shared" si="8"/>
        <v>0.77935326469263189</v>
      </c>
      <c r="H85">
        <f t="shared" si="11"/>
        <v>0.72064673530736811</v>
      </c>
      <c r="I85" t="b">
        <f t="shared" si="7"/>
        <v>1</v>
      </c>
    </row>
    <row r="86" spans="1:9" x14ac:dyDescent="0.25">
      <c r="A86">
        <v>0.39500000000000002</v>
      </c>
      <c r="B86">
        <f t="shared" si="9"/>
        <v>0.73376418864274906</v>
      </c>
      <c r="C86">
        <f t="shared" si="10"/>
        <v>0.76623581135725094</v>
      </c>
      <c r="D86">
        <f t="shared" si="12"/>
        <v>0.74111019128085276</v>
      </c>
      <c r="E86">
        <f t="shared" si="13"/>
        <v>0.75919579008790261</v>
      </c>
      <c r="F86">
        <f t="shared" si="14"/>
        <v>0.75459789504395136</v>
      </c>
      <c r="G86">
        <f t="shared" si="8"/>
        <v>0.77935326469263189</v>
      </c>
      <c r="H86">
        <f t="shared" si="11"/>
        <v>0.72064673530736811</v>
      </c>
      <c r="I86" t="b">
        <f t="shared" si="7"/>
        <v>1</v>
      </c>
    </row>
    <row r="87" spans="1:9" x14ac:dyDescent="0.25">
      <c r="A87">
        <v>0.4</v>
      </c>
      <c r="B87">
        <f t="shared" si="9"/>
        <v>0.73448507112761674</v>
      </c>
      <c r="C87">
        <f t="shared" si="10"/>
        <v>0.76551492887238326</v>
      </c>
      <c r="D87">
        <f t="shared" si="12"/>
        <v>0.74150490561070337</v>
      </c>
      <c r="E87">
        <f t="shared" si="13"/>
        <v>0.76031799478425177</v>
      </c>
      <c r="F87">
        <f t="shared" si="14"/>
        <v>0.75515899739212589</v>
      </c>
      <c r="G87">
        <f t="shared" si="8"/>
        <v>0.77935326469263189</v>
      </c>
      <c r="H87">
        <f t="shared" si="11"/>
        <v>0.72064673530736811</v>
      </c>
      <c r="I87" t="b">
        <f t="shared" ref="I87:I150" si="15">IF(I86,TRUE,IF(E87&lt;E86,TRUE))</f>
        <v>1</v>
      </c>
    </row>
    <row r="88" spans="1:9" x14ac:dyDescent="0.25">
      <c r="A88">
        <v>0.40500000000000003</v>
      </c>
      <c r="B88">
        <f t="shared" si="9"/>
        <v>0.73517394587689588</v>
      </c>
      <c r="C88">
        <f t="shared" si="10"/>
        <v>0.76482605412310412</v>
      </c>
      <c r="D88">
        <f t="shared" si="12"/>
        <v>0.74188209432137453</v>
      </c>
      <c r="E88">
        <f t="shared" si="13"/>
        <v>0.76120526066046668</v>
      </c>
      <c r="F88">
        <f t="shared" si="14"/>
        <v>0.75560263033023334</v>
      </c>
      <c r="G88">
        <f t="shared" si="8"/>
        <v>0.77935326469263189</v>
      </c>
      <c r="H88">
        <f t="shared" si="11"/>
        <v>0.72064673530736811</v>
      </c>
      <c r="I88" t="b">
        <f t="shared" si="15"/>
        <v>1</v>
      </c>
    </row>
    <row r="89" spans="1:9" x14ac:dyDescent="0.25">
      <c r="A89">
        <v>0.41</v>
      </c>
      <c r="B89">
        <f t="shared" si="9"/>
        <v>0.73583223405861176</v>
      </c>
      <c r="C89">
        <f t="shared" si="10"/>
        <v>0.76416776594138824</v>
      </c>
      <c r="D89">
        <f t="shared" si="12"/>
        <v>0.74224253556380837</v>
      </c>
      <c r="E89">
        <f t="shared" si="13"/>
        <v>0.76186616376847716</v>
      </c>
      <c r="F89">
        <f t="shared" si="14"/>
        <v>0.75593308188423858</v>
      </c>
      <c r="G89">
        <f t="shared" ref="G89:G152" si="16">IF(I89,MAX(C89,$J$6+$M$13),MAX(E89,$J$6+$M$13))</f>
        <v>0.77935326469263189</v>
      </c>
      <c r="H89">
        <f t="shared" si="11"/>
        <v>0.72064673530736811</v>
      </c>
      <c r="I89" t="b">
        <f t="shared" si="15"/>
        <v>1</v>
      </c>
    </row>
    <row r="90" spans="1:9" x14ac:dyDescent="0.25">
      <c r="A90">
        <v>0.41499999999999998</v>
      </c>
      <c r="B90">
        <f t="shared" si="9"/>
        <v>0.7364612937398386</v>
      </c>
      <c r="C90">
        <f t="shared" si="10"/>
        <v>0.7635387062601614</v>
      </c>
      <c r="D90">
        <f t="shared" si="12"/>
        <v>0.74258697293844789</v>
      </c>
      <c r="E90">
        <f t="shared" si="13"/>
        <v>0.76231155201244893</v>
      </c>
      <c r="F90">
        <f t="shared" si="14"/>
        <v>0.75615577600622452</v>
      </c>
      <c r="G90">
        <f t="shared" si="16"/>
        <v>0.77935326469263189</v>
      </c>
      <c r="H90">
        <f t="shared" si="11"/>
        <v>0.72064673530736811</v>
      </c>
      <c r="I90" t="b">
        <f t="shared" si="15"/>
        <v>1</v>
      </c>
    </row>
    <row r="91" spans="1:9" x14ac:dyDescent="0.25">
      <c r="A91">
        <v>0.42</v>
      </c>
      <c r="B91">
        <f t="shared" si="9"/>
        <v>0.73706242268843047</v>
      </c>
      <c r="C91">
        <f t="shared" si="10"/>
        <v>0.76293757731156953</v>
      </c>
      <c r="D91">
        <f t="shared" si="12"/>
        <v>0.74291611702930582</v>
      </c>
      <c r="E91">
        <f t="shared" si="13"/>
        <v>0.76255420332436907</v>
      </c>
      <c r="F91">
        <f t="shared" si="14"/>
        <v>0.75627710166218454</v>
      </c>
      <c r="G91">
        <f t="shared" si="16"/>
        <v>0.77935326469263189</v>
      </c>
      <c r="H91">
        <f t="shared" si="11"/>
        <v>0.72064673530736811</v>
      </c>
      <c r="I91" t="b">
        <f t="shared" si="15"/>
        <v>1</v>
      </c>
    </row>
    <row r="92" spans="1:9" x14ac:dyDescent="0.25">
      <c r="A92">
        <v>0.42499999999999999</v>
      </c>
      <c r="B92">
        <f t="shared" si="9"/>
        <v>0.73763686105035231</v>
      </c>
      <c r="C92">
        <f t="shared" si="10"/>
        <v>0.76236313894964769</v>
      </c>
      <c r="D92">
        <f t="shared" si="12"/>
        <v>0.74323064686991935</v>
      </c>
      <c r="E92">
        <f t="shared" si="13"/>
        <v>0.7626084878007181</v>
      </c>
      <c r="F92">
        <f t="shared" si="14"/>
        <v>0.75630424390035911</v>
      </c>
      <c r="G92">
        <f t="shared" si="16"/>
        <v>0.77935326469263189</v>
      </c>
      <c r="H92">
        <f t="shared" si="11"/>
        <v>0.72064673530736811</v>
      </c>
      <c r="I92" t="b">
        <f t="shared" si="15"/>
        <v>1</v>
      </c>
    </row>
    <row r="93" spans="1:9" x14ac:dyDescent="0.25">
      <c r="A93">
        <v>0.43</v>
      </c>
      <c r="B93">
        <f t="shared" si="9"/>
        <v>0.73818579390813688</v>
      </c>
      <c r="C93">
        <f t="shared" si="10"/>
        <v>0.76181420609186312</v>
      </c>
      <c r="D93">
        <f t="shared" si="12"/>
        <v>0.74353121134421518</v>
      </c>
      <c r="E93">
        <f t="shared" si="13"/>
        <v>0.76249003795865689</v>
      </c>
      <c r="F93">
        <f t="shared" si="14"/>
        <v>0.75624501897932839</v>
      </c>
      <c r="G93">
        <f t="shared" si="16"/>
        <v>0.77935326469263189</v>
      </c>
      <c r="H93">
        <f t="shared" si="11"/>
        <v>0.72064673530736811</v>
      </c>
      <c r="I93" t="b">
        <f t="shared" si="15"/>
        <v>1</v>
      </c>
    </row>
    <row r="94" spans="1:9" x14ac:dyDescent="0.25">
      <c r="A94">
        <v>0.435</v>
      </c>
      <c r="B94">
        <f t="shared" si="9"/>
        <v>0.73871035372574267</v>
      </c>
      <c r="C94">
        <f t="shared" si="10"/>
        <v>0.76128964627425733</v>
      </c>
      <c r="D94">
        <f t="shared" si="12"/>
        <v>0.74381843052517616</v>
      </c>
      <c r="E94">
        <f t="shared" si="13"/>
        <v>0.76221543080087695</v>
      </c>
      <c r="F94">
        <f t="shared" si="14"/>
        <v>0.75610771540043853</v>
      </c>
      <c r="G94">
        <f t="shared" si="16"/>
        <v>0.77935326469263189</v>
      </c>
      <c r="H94">
        <f t="shared" si="11"/>
        <v>0.72064673530736811</v>
      </c>
      <c r="I94" t="b">
        <f t="shared" si="15"/>
        <v>1</v>
      </c>
    </row>
    <row r="95" spans="1:9" x14ac:dyDescent="0.25">
      <c r="A95">
        <v>0.44</v>
      </c>
      <c r="B95">
        <f t="shared" si="9"/>
        <v>0.7392116226848594</v>
      </c>
      <c r="C95">
        <f t="shared" si="10"/>
        <v>0.7607883773151406</v>
      </c>
      <c r="D95">
        <f t="shared" si="12"/>
        <v>0.74409289695406844</v>
      </c>
      <c r="E95">
        <f t="shared" si="13"/>
        <v>0.76180188490057443</v>
      </c>
      <c r="F95">
        <f t="shared" si="14"/>
        <v>0.75590094245028716</v>
      </c>
      <c r="G95">
        <f t="shared" si="16"/>
        <v>0.77935326469263189</v>
      </c>
      <c r="H95">
        <f t="shared" si="11"/>
        <v>0.72064673530736811</v>
      </c>
      <c r="I95" t="b">
        <f t="shared" si="15"/>
        <v>1</v>
      </c>
    </row>
    <row r="96" spans="1:9" x14ac:dyDescent="0.25">
      <c r="A96">
        <v>0.44500000000000001</v>
      </c>
      <c r="B96">
        <f t="shared" si="9"/>
        <v>0.73969063491747911</v>
      </c>
      <c r="C96">
        <f t="shared" si="10"/>
        <v>0.76030936508252089</v>
      </c>
      <c r="D96">
        <f t="shared" si="12"/>
        <v>0.74435517686287134</v>
      </c>
      <c r="E96">
        <f t="shared" si="13"/>
        <v>0.76126697523899434</v>
      </c>
      <c r="F96">
        <f t="shared" si="14"/>
        <v>0.75563348761949711</v>
      </c>
      <c r="G96">
        <f t="shared" si="16"/>
        <v>0.77935326469263189</v>
      </c>
      <c r="H96">
        <f t="shared" si="11"/>
        <v>0.72064673530736811</v>
      </c>
      <c r="I96" t="b">
        <f t="shared" si="15"/>
        <v>1</v>
      </c>
    </row>
    <row r="97" spans="1:9" x14ac:dyDescent="0.25">
      <c r="A97">
        <v>0.45</v>
      </c>
      <c r="B97">
        <f t="shared" si="9"/>
        <v>0.7401483786393398</v>
      </c>
      <c r="C97">
        <f t="shared" si="10"/>
        <v>0.7598516213606602</v>
      </c>
      <c r="D97">
        <f t="shared" si="12"/>
        <v>0.74460581134242965</v>
      </c>
      <c r="E97">
        <f t="shared" si="13"/>
        <v>0.76062836805416567</v>
      </c>
      <c r="F97">
        <f t="shared" si="14"/>
        <v>0.75531418402708284</v>
      </c>
      <c r="G97">
        <f t="shared" si="16"/>
        <v>0.77935326469263189</v>
      </c>
      <c r="H97">
        <f t="shared" si="11"/>
        <v>0.72064673530736811</v>
      </c>
      <c r="I97" t="b">
        <f t="shared" si="15"/>
        <v>1</v>
      </c>
    </row>
    <row r="98" spans="1:9" x14ac:dyDescent="0.25">
      <c r="A98">
        <v>0.45500000000000002</v>
      </c>
      <c r="B98">
        <f t="shared" si="9"/>
        <v>0.74058579818864223</v>
      </c>
      <c r="C98">
        <f t="shared" si="10"/>
        <v>0.75941420181135777</v>
      </c>
      <c r="D98">
        <f t="shared" si="12"/>
        <v>0.7448453174587395</v>
      </c>
      <c r="E98">
        <f t="shared" si="13"/>
        <v>0.75990357749666104</v>
      </c>
      <c r="F98">
        <f t="shared" si="14"/>
        <v>0.75495178874833058</v>
      </c>
      <c r="G98">
        <f t="shared" si="16"/>
        <v>0.77935326469263189</v>
      </c>
      <c r="H98">
        <f t="shared" si="11"/>
        <v>0.72064673530736811</v>
      </c>
      <c r="I98" t="b">
        <f t="shared" si="15"/>
        <v>1</v>
      </c>
    </row>
    <row r="99" spans="1:9" x14ac:dyDescent="0.25">
      <c r="A99">
        <v>0.46</v>
      </c>
      <c r="B99">
        <f t="shared" si="9"/>
        <v>0.74100379597424637</v>
      </c>
      <c r="C99">
        <f t="shared" si="10"/>
        <v>0.75899620402575363</v>
      </c>
      <c r="D99">
        <f t="shared" si="12"/>
        <v>0.74507418931966984</v>
      </c>
      <c r="E99">
        <f t="shared" si="13"/>
        <v>0.75910974544168064</v>
      </c>
      <c r="F99">
        <f t="shared" si="14"/>
        <v>0.75455487272084032</v>
      </c>
      <c r="G99">
        <f t="shared" si="16"/>
        <v>0.77935326469263189</v>
      </c>
      <c r="H99">
        <f t="shared" si="11"/>
        <v>0.72064673530736811</v>
      </c>
      <c r="I99" t="b">
        <f t="shared" si="15"/>
        <v>1</v>
      </c>
    </row>
    <row r="100" spans="1:9" x14ac:dyDescent="0.25">
      <c r="A100">
        <v>0.46500000000000002</v>
      </c>
      <c r="B100">
        <f t="shared" si="9"/>
        <v>0.74140323433736621</v>
      </c>
      <c r="C100">
        <f t="shared" si="10"/>
        <v>0.75859676566263379</v>
      </c>
      <c r="D100">
        <f t="shared" si="12"/>
        <v>0.74529289909432117</v>
      </c>
      <c r="E100">
        <f t="shared" si="13"/>
        <v>0.75826344538102042</v>
      </c>
      <c r="F100">
        <f t="shared" si="14"/>
        <v>0.75413172269051021</v>
      </c>
      <c r="G100">
        <f t="shared" si="16"/>
        <v>0.77935326469263189</v>
      </c>
      <c r="H100">
        <f t="shared" si="11"/>
        <v>0.72064673530736811</v>
      </c>
      <c r="I100" t="b">
        <f t="shared" si="15"/>
        <v>1</v>
      </c>
    </row>
    <row r="101" spans="1:9" x14ac:dyDescent="0.25">
      <c r="A101">
        <v>0.47</v>
      </c>
      <c r="B101">
        <f t="shared" si="9"/>
        <v>0.74178493733060391</v>
      </c>
      <c r="C101">
        <f t="shared" si="10"/>
        <v>0.75821506266939609</v>
      </c>
      <c r="D101">
        <f t="shared" si="12"/>
        <v>0.74550189798712319</v>
      </c>
      <c r="E101">
        <f t="shared" si="13"/>
        <v>0.75738051091740333</v>
      </c>
      <c r="F101">
        <f t="shared" si="14"/>
        <v>0.75369025545870172</v>
      </c>
      <c r="G101">
        <f t="shared" si="16"/>
        <v>0.77935326469263189</v>
      </c>
      <c r="H101">
        <f t="shared" si="11"/>
        <v>0.72064673530736811</v>
      </c>
      <c r="I101" t="b">
        <f t="shared" si="15"/>
        <v>1</v>
      </c>
    </row>
    <row r="102" spans="1:9" x14ac:dyDescent="0.25">
      <c r="A102">
        <v>0.47499999999999998</v>
      </c>
      <c r="B102">
        <f t="shared" si="9"/>
        <v>0.74214969241799367</v>
      </c>
      <c r="C102">
        <f t="shared" si="10"/>
        <v>0.75785030758200633</v>
      </c>
      <c r="D102">
        <f t="shared" si="12"/>
        <v>0.74570161716868311</v>
      </c>
      <c r="E102">
        <f t="shared" si="13"/>
        <v>0.75647588901043206</v>
      </c>
      <c r="F102">
        <f t="shared" si="14"/>
        <v>0.75323794450521597</v>
      </c>
      <c r="G102">
        <f t="shared" si="16"/>
        <v>0.77935326469263189</v>
      </c>
      <c r="H102">
        <f t="shared" si="11"/>
        <v>0.72064673530736811</v>
      </c>
      <c r="I102" t="b">
        <f t="shared" si="15"/>
        <v>1</v>
      </c>
    </row>
    <row r="103" spans="1:9" x14ac:dyDescent="0.25">
      <c r="A103">
        <v>0.48</v>
      </c>
      <c r="B103">
        <f t="shared" si="9"/>
        <v>0.74249825209956233</v>
      </c>
      <c r="C103">
        <f t="shared" si="10"/>
        <v>0.75750174790043767</v>
      </c>
      <c r="D103">
        <f t="shared" si="12"/>
        <v>0.7458924686653019</v>
      </c>
      <c r="E103">
        <f t="shared" si="13"/>
        <v>0.75556351778062358</v>
      </c>
      <c r="F103">
        <f t="shared" si="14"/>
        <v>0.75278175889031185</v>
      </c>
      <c r="G103">
        <f t="shared" si="16"/>
        <v>0.77935326469263189</v>
      </c>
      <c r="H103">
        <f t="shared" si="11"/>
        <v>0.72064673530736811</v>
      </c>
      <c r="I103" t="b">
        <f t="shared" si="15"/>
        <v>1</v>
      </c>
    </row>
    <row r="104" spans="1:9" x14ac:dyDescent="0.25">
      <c r="A104">
        <v>0.48499999999999999</v>
      </c>
      <c r="B104">
        <f t="shared" si="9"/>
        <v>0.74283133546375801</v>
      </c>
      <c r="C104">
        <f t="shared" si="10"/>
        <v>0.75716866453624199</v>
      </c>
      <c r="D104">
        <f t="shared" si="12"/>
        <v>0.74607484620899689</v>
      </c>
      <c r="E104">
        <f t="shared" si="13"/>
        <v>0.75465622836752921</v>
      </c>
      <c r="F104">
        <f t="shared" si="14"/>
        <v>0.75232811418376466</v>
      </c>
      <c r="G104">
        <f t="shared" si="16"/>
        <v>0.77935326469263189</v>
      </c>
      <c r="H104">
        <f t="shared" si="11"/>
        <v>0.72064673530736811</v>
      </c>
      <c r="I104" t="b">
        <f t="shared" si="15"/>
        <v>1</v>
      </c>
    </row>
    <row r="105" spans="1:9" x14ac:dyDescent="0.25">
      <c r="A105">
        <v>0.49</v>
      </c>
      <c r="B105">
        <f t="shared" si="9"/>
        <v>0.74314962967094966</v>
      </c>
      <c r="C105">
        <f t="shared" si="10"/>
        <v>0.75685037032905034</v>
      </c>
      <c r="D105">
        <f t="shared" si="12"/>
        <v>0.74624912604978122</v>
      </c>
      <c r="E105">
        <f t="shared" si="13"/>
        <v>0.75376567006115947</v>
      </c>
      <c r="F105">
        <f t="shared" si="14"/>
        <v>0.75188283503057973</v>
      </c>
      <c r="G105">
        <f t="shared" si="16"/>
        <v>0.77935326469263189</v>
      </c>
      <c r="H105">
        <f t="shared" si="11"/>
        <v>0.72064673530736811</v>
      </c>
      <c r="I105" t="b">
        <f t="shared" si="15"/>
        <v>1</v>
      </c>
    </row>
    <row r="106" spans="1:9" x14ac:dyDescent="0.25">
      <c r="A106">
        <v>0.495</v>
      </c>
      <c r="B106">
        <f t="shared" si="9"/>
        <v>0.7434537913710586</v>
      </c>
      <c r="C106">
        <f t="shared" si="10"/>
        <v>0.7565462086289414</v>
      </c>
      <c r="D106">
        <f t="shared" si="12"/>
        <v>0.74641566773187895</v>
      </c>
      <c r="E106">
        <f t="shared" si="13"/>
        <v>0.75290225768359054</v>
      </c>
      <c r="F106">
        <f t="shared" si="14"/>
        <v>0.75145112884179532</v>
      </c>
      <c r="G106">
        <f t="shared" si="16"/>
        <v>0.77935326469263189</v>
      </c>
      <c r="H106">
        <f t="shared" si="11"/>
        <v>0.72064673530736811</v>
      </c>
      <c r="I106" t="b">
        <f t="shared" si="15"/>
        <v>1</v>
      </c>
    </row>
    <row r="107" spans="1:9" x14ac:dyDescent="0.25">
      <c r="A107">
        <v>0.5</v>
      </c>
      <c r="B107">
        <f t="shared" si="9"/>
        <v>0.74374444805824569</v>
      </c>
      <c r="C107">
        <f t="shared" si="10"/>
        <v>0.75625555194175431</v>
      </c>
      <c r="D107">
        <f t="shared" si="12"/>
        <v>0.74657481483547483</v>
      </c>
      <c r="E107">
        <f t="shared" si="13"/>
        <v>0.75207513998995967</v>
      </c>
      <c r="F107">
        <f t="shared" si="14"/>
        <v>0.75103756999497984</v>
      </c>
      <c r="G107">
        <f t="shared" si="16"/>
        <v>0.77935326469263189</v>
      </c>
      <c r="H107">
        <f t="shared" si="11"/>
        <v>0.72064673530736811</v>
      </c>
      <c r="I107" t="b">
        <f t="shared" si="15"/>
        <v>1</v>
      </c>
    </row>
    <row r="108" spans="1:9" x14ac:dyDescent="0.25">
      <c r="A108">
        <v>0.505</v>
      </c>
      <c r="B108">
        <f t="shared" si="9"/>
        <v>0.74402219936544955</v>
      </c>
      <c r="C108">
        <f t="shared" si="10"/>
        <v>0.75597780063455045</v>
      </c>
      <c r="D108">
        <f t="shared" si="12"/>
        <v>0.7467268956855293</v>
      </c>
      <c r="E108">
        <f t="shared" si="13"/>
        <v>0.75129218768482053</v>
      </c>
      <c r="F108">
        <f t="shared" si="14"/>
        <v>0.75064609384241032</v>
      </c>
      <c r="G108">
        <f t="shared" si="16"/>
        <v>0.77935326469263189</v>
      </c>
      <c r="H108">
        <f t="shared" si="11"/>
        <v>0.72064673530736811</v>
      </c>
      <c r="I108" t="b">
        <f t="shared" si="15"/>
        <v>1</v>
      </c>
    </row>
    <row r="109" spans="1:9" x14ac:dyDescent="0.25">
      <c r="A109">
        <v>0.51</v>
      </c>
      <c r="B109">
        <f t="shared" si="9"/>
        <v>0.74428761830144585</v>
      </c>
      <c r="C109">
        <f t="shared" si="10"/>
        <v>0.75571238169855415</v>
      </c>
      <c r="D109">
        <f t="shared" si="12"/>
        <v>0.7468722240291229</v>
      </c>
      <c r="E109">
        <f t="shared" si="13"/>
        <v>0.75055999951035224</v>
      </c>
      <c r="F109">
        <f t="shared" si="14"/>
        <v>0.75027999975517612</v>
      </c>
      <c r="G109">
        <f t="shared" si="16"/>
        <v>0.77935326469263189</v>
      </c>
      <c r="H109">
        <f t="shared" si="11"/>
        <v>0.72064673530736811</v>
      </c>
      <c r="I109" t="b">
        <f t="shared" si="15"/>
        <v>1</v>
      </c>
    </row>
    <row r="110" spans="1:9" x14ac:dyDescent="0.25">
      <c r="A110">
        <v>0.51500000000000001</v>
      </c>
      <c r="B110">
        <f t="shared" si="9"/>
        <v>0.74454125243298108</v>
      </c>
      <c r="C110">
        <f t="shared" si="10"/>
        <v>0.75545874756701892</v>
      </c>
      <c r="D110">
        <f t="shared" si="12"/>
        <v>0.74701109968272472</v>
      </c>
      <c r="E110">
        <f t="shared" si="13"/>
        <v>0.74988392475610555</v>
      </c>
      <c r="F110">
        <f t="shared" si="14"/>
        <v>0.74994196237805277</v>
      </c>
      <c r="G110">
        <f t="shared" si="16"/>
        <v>0.77935326469263189</v>
      </c>
      <c r="H110">
        <f t="shared" si="11"/>
        <v>0.72064673530736811</v>
      </c>
      <c r="I110" t="b">
        <f t="shared" si="15"/>
        <v>1</v>
      </c>
    </row>
    <row r="111" spans="1:9" x14ac:dyDescent="0.25">
      <c r="A111">
        <v>0.52</v>
      </c>
      <c r="B111">
        <f t="shared" si="9"/>
        <v>0.74478362501441797</v>
      </c>
      <c r="C111">
        <f t="shared" si="10"/>
        <v>0.75521637498558203</v>
      </c>
      <c r="D111">
        <f t="shared" si="12"/>
        <v>0.74714380915072298</v>
      </c>
      <c r="E111">
        <f t="shared" si="13"/>
        <v>0.74926810046444048</v>
      </c>
      <c r="F111">
        <f t="shared" si="14"/>
        <v>0.74963405023222029</v>
      </c>
      <c r="G111">
        <f t="shared" si="16"/>
        <v>0.77935326469263189</v>
      </c>
      <c r="H111">
        <f t="shared" si="11"/>
        <v>0.72064673530736811</v>
      </c>
      <c r="I111" t="b">
        <f t="shared" si="15"/>
        <v>1</v>
      </c>
    </row>
    <row r="112" spans="1:9" x14ac:dyDescent="0.25">
      <c r="A112">
        <v>0.52500000000000002</v>
      </c>
      <c r="B112">
        <f t="shared" si="9"/>
        <v>0.74501523606722364</v>
      </c>
      <c r="C112">
        <f t="shared" si="10"/>
        <v>0.75498476393277636</v>
      </c>
      <c r="D112">
        <f t="shared" si="12"/>
        <v>0.74727062621649054</v>
      </c>
      <c r="E112">
        <f t="shared" si="13"/>
        <v>0.7487155015598258</v>
      </c>
      <c r="F112">
        <f t="shared" si="14"/>
        <v>0.74935775077991296</v>
      </c>
      <c r="G112">
        <f t="shared" si="16"/>
        <v>0.77935326469263189</v>
      </c>
      <c r="H112">
        <f t="shared" si="11"/>
        <v>0.72064673530736811</v>
      </c>
      <c r="I112" t="b">
        <f t="shared" si="15"/>
        <v>1</v>
      </c>
    </row>
    <row r="113" spans="1:9" x14ac:dyDescent="0.25">
      <c r="A113">
        <v>0.53</v>
      </c>
      <c r="B113">
        <f t="shared" si="9"/>
        <v>0.74523656341152877</v>
      </c>
      <c r="C113">
        <f t="shared" si="10"/>
        <v>0.75476343658847123</v>
      </c>
      <c r="D113">
        <f t="shared" si="12"/>
        <v>0.74739181250720899</v>
      </c>
      <c r="E113">
        <f t="shared" si="13"/>
        <v>0.74822800211179641</v>
      </c>
      <c r="F113">
        <f t="shared" si="14"/>
        <v>0.7491140010558982</v>
      </c>
      <c r="G113">
        <f t="shared" si="16"/>
        <v>0.77935326469263189</v>
      </c>
      <c r="H113">
        <f t="shared" si="11"/>
        <v>0.72064673530736811</v>
      </c>
      <c r="I113" t="b">
        <f t="shared" si="15"/>
        <v>1</v>
      </c>
    </row>
    <row r="114" spans="1:9" x14ac:dyDescent="0.25">
      <c r="A114">
        <v>0.53500000000000003</v>
      </c>
      <c r="B114">
        <f t="shared" si="9"/>
        <v>0.7454480636518831</v>
      </c>
      <c r="C114">
        <f t="shared" si="10"/>
        <v>0.7545519363481169</v>
      </c>
      <c r="D114">
        <f t="shared" si="12"/>
        <v>0.74750761803361188</v>
      </c>
      <c r="E114">
        <f t="shared" si="13"/>
        <v>0.74780644594844159</v>
      </c>
      <c r="F114">
        <f t="shared" si="14"/>
        <v>0.74890322297422074</v>
      </c>
      <c r="G114">
        <f t="shared" si="16"/>
        <v>0.77935326469263189</v>
      </c>
      <c r="H114">
        <f t="shared" si="11"/>
        <v>0.72064673530736811</v>
      </c>
      <c r="I114" t="b">
        <f t="shared" si="15"/>
        <v>1</v>
      </c>
    </row>
    <row r="115" spans="1:9" x14ac:dyDescent="0.25">
      <c r="A115">
        <v>0.54</v>
      </c>
      <c r="B115">
        <f t="shared" si="9"/>
        <v>0.74565017311924431</v>
      </c>
      <c r="C115">
        <f t="shared" si="10"/>
        <v>0.75434982688075569</v>
      </c>
      <c r="D115">
        <f t="shared" si="12"/>
        <v>0.74761828170576439</v>
      </c>
      <c r="E115">
        <f t="shared" si="13"/>
        <v>0.74745072486752151</v>
      </c>
      <c r="F115">
        <f t="shared" si="14"/>
        <v>0.74872536243376075</v>
      </c>
      <c r="G115">
        <f t="shared" si="16"/>
        <v>0.77935326469263189</v>
      </c>
      <c r="H115">
        <f t="shared" si="11"/>
        <v>0.72064673530736811</v>
      </c>
      <c r="I115" t="b">
        <f t="shared" si="15"/>
        <v>1</v>
      </c>
    </row>
    <row r="116" spans="1:9" x14ac:dyDescent="0.25">
      <c r="A116">
        <v>0.54500000000000004</v>
      </c>
      <c r="B116">
        <f t="shared" si="9"/>
        <v>0.74584330877114036</v>
      </c>
      <c r="C116">
        <f t="shared" si="10"/>
        <v>0.75415669122885964</v>
      </c>
      <c r="D116">
        <f t="shared" si="12"/>
        <v>0.7477240318259416</v>
      </c>
      <c r="E116">
        <f t="shared" si="13"/>
        <v>0.74715986274326596</v>
      </c>
      <c r="F116">
        <f t="shared" si="14"/>
        <v>0.74857993137163292</v>
      </c>
      <c r="G116">
        <f t="shared" si="16"/>
        <v>0.77935326469263189</v>
      </c>
      <c r="H116">
        <f t="shared" si="11"/>
        <v>0.72064673530736811</v>
      </c>
      <c r="I116" t="b">
        <f t="shared" si="15"/>
        <v>1</v>
      </c>
    </row>
    <row r="117" spans="1:9" x14ac:dyDescent="0.25">
      <c r="A117">
        <v>0.55000000000000004</v>
      </c>
      <c r="B117">
        <f t="shared" si="9"/>
        <v>0.74602786905186502</v>
      </c>
      <c r="C117">
        <f t="shared" si="10"/>
        <v>0.75397213094813498</v>
      </c>
      <c r="D117">
        <f t="shared" si="12"/>
        <v>0.7478250865596221</v>
      </c>
      <c r="E117">
        <f t="shared" si="13"/>
        <v>0.74693210389612552</v>
      </c>
      <c r="F117">
        <f t="shared" si="14"/>
        <v>0.74846605194806282</v>
      </c>
      <c r="G117">
        <f t="shared" si="16"/>
        <v>0.77935326469263189</v>
      </c>
      <c r="H117">
        <f t="shared" si="11"/>
        <v>0.72064673530736811</v>
      </c>
      <c r="I117" t="b">
        <f t="shared" si="15"/>
        <v>1</v>
      </c>
    </row>
    <row r="118" spans="1:9" x14ac:dyDescent="0.25">
      <c r="A118">
        <v>0.55500000000000005</v>
      </c>
      <c r="B118">
        <f t="shared" si="9"/>
        <v>0.74620423471447994</v>
      </c>
      <c r="C118">
        <f t="shared" si="10"/>
        <v>0.75379576528552006</v>
      </c>
      <c r="D118">
        <f t="shared" si="12"/>
        <v>0.74792165438557012</v>
      </c>
      <c r="E118">
        <f t="shared" si="13"/>
        <v>0.74676500417770708</v>
      </c>
      <c r="F118">
        <f t="shared" si="14"/>
        <v>0.74838250208885349</v>
      </c>
      <c r="G118">
        <f t="shared" si="16"/>
        <v>0.77935326469263189</v>
      </c>
      <c r="H118">
        <f t="shared" si="11"/>
        <v>0.72064673530736811</v>
      </c>
      <c r="I118" t="b">
        <f t="shared" si="15"/>
        <v>1</v>
      </c>
    </row>
    <row r="119" spans="1:9" x14ac:dyDescent="0.25">
      <c r="A119">
        <v>0.56000000000000005</v>
      </c>
      <c r="B119">
        <f t="shared" si="9"/>
        <v>0.74637276960631815</v>
      </c>
      <c r="C119">
        <f t="shared" si="10"/>
        <v>0.75362723039368185</v>
      </c>
      <c r="D119">
        <f t="shared" si="12"/>
        <v>0.74801393452593257</v>
      </c>
      <c r="E119">
        <f t="shared" si="13"/>
        <v>0.746655523321334</v>
      </c>
      <c r="F119">
        <f t="shared" si="14"/>
        <v>0.74832776166066695</v>
      </c>
      <c r="G119">
        <f t="shared" si="16"/>
        <v>0.77935326469263189</v>
      </c>
      <c r="H119">
        <f t="shared" si="11"/>
        <v>0.72064673530736811</v>
      </c>
      <c r="I119" t="b">
        <f t="shared" si="15"/>
        <v>1</v>
      </c>
    </row>
    <row r="120" spans="1:9" x14ac:dyDescent="0.25">
      <c r="A120">
        <v>0.56499999999999995</v>
      </c>
      <c r="B120">
        <f t="shared" si="9"/>
        <v>0.74653382141961222</v>
      </c>
      <c r="C120">
        <f t="shared" si="10"/>
        <v>0.75346617858038778</v>
      </c>
      <c r="D120">
        <f t="shared" si="12"/>
        <v>0.74810211735723997</v>
      </c>
      <c r="E120">
        <f t="shared" si="13"/>
        <v>0.74660011721767483</v>
      </c>
      <c r="F120">
        <f t="shared" si="14"/>
        <v>0.74830005860883742</v>
      </c>
      <c r="G120">
        <f t="shared" si="16"/>
        <v>0.77935326469263189</v>
      </c>
      <c r="H120">
        <f t="shared" si="11"/>
        <v>0.72064673530736811</v>
      </c>
      <c r="I120" t="b">
        <f t="shared" si="15"/>
        <v>1</v>
      </c>
    </row>
    <row r="121" spans="1:9" x14ac:dyDescent="0.25">
      <c r="A121">
        <v>0.56999999999999995</v>
      </c>
      <c r="B121">
        <f t="shared" si="9"/>
        <v>0.74668772240879244</v>
      </c>
      <c r="C121">
        <f t="shared" si="10"/>
        <v>0.75331227759120756</v>
      </c>
      <c r="D121">
        <f t="shared" si="12"/>
        <v>0.74818638480315913</v>
      </c>
      <c r="E121">
        <f t="shared" si="13"/>
        <v>0.74659482889227879</v>
      </c>
      <c r="F121">
        <f t="shared" si="14"/>
        <v>0.7482974144461394</v>
      </c>
      <c r="G121">
        <f t="shared" si="16"/>
        <v>0.77935326469263189</v>
      </c>
      <c r="H121">
        <f t="shared" si="11"/>
        <v>0.72064673530736811</v>
      </c>
      <c r="I121" t="b">
        <f t="shared" si="15"/>
        <v>1</v>
      </c>
    </row>
    <row r="122" spans="1:9" x14ac:dyDescent="0.25">
      <c r="A122">
        <v>0.57499999999999996</v>
      </c>
      <c r="B122">
        <f t="shared" si="9"/>
        <v>0.74683479007593767</v>
      </c>
      <c r="C122">
        <f t="shared" si="10"/>
        <v>0.75316520992406233</v>
      </c>
      <c r="D122">
        <f t="shared" si="12"/>
        <v>0.74826691070980611</v>
      </c>
      <c r="E122">
        <f t="shared" si="13"/>
        <v>0.74663537708536565</v>
      </c>
      <c r="F122">
        <f t="shared" si="14"/>
        <v>0.74831768854268277</v>
      </c>
      <c r="G122">
        <f t="shared" si="16"/>
        <v>0.77935326469263189</v>
      </c>
      <c r="H122">
        <f t="shared" si="11"/>
        <v>0.72064673530736811</v>
      </c>
      <c r="I122" t="b">
        <f t="shared" si="15"/>
        <v>1</v>
      </c>
    </row>
    <row r="123" spans="1:9" x14ac:dyDescent="0.25">
      <c r="A123">
        <v>0.57999999999999996</v>
      </c>
      <c r="B123">
        <f t="shared" si="9"/>
        <v>0.74697532782579068</v>
      </c>
      <c r="C123">
        <f t="shared" si="10"/>
        <v>0.75302467217420932</v>
      </c>
      <c r="D123">
        <f t="shared" si="12"/>
        <v>0.74834386120439622</v>
      </c>
      <c r="E123">
        <f t="shared" si="13"/>
        <v>0.74671724146165186</v>
      </c>
      <c r="F123">
        <f t="shared" si="14"/>
        <v>0.74835862073082593</v>
      </c>
      <c r="G123">
        <f t="shared" si="16"/>
        <v>0.77935326469263189</v>
      </c>
      <c r="H123">
        <f t="shared" si="11"/>
        <v>0.72064673530736811</v>
      </c>
      <c r="I123" t="b">
        <f t="shared" si="15"/>
        <v>1</v>
      </c>
    </row>
    <row r="124" spans="1:9" x14ac:dyDescent="0.25">
      <c r="A124">
        <v>0.58499999999999996</v>
      </c>
      <c r="B124">
        <f t="shared" si="9"/>
        <v>0.74710962559169081</v>
      </c>
      <c r="C124">
        <f t="shared" si="10"/>
        <v>0.75289037440830919</v>
      </c>
      <c r="D124">
        <f t="shared" si="12"/>
        <v>0.74841739503796889</v>
      </c>
      <c r="E124">
        <f t="shared" si="13"/>
        <v>0.74683574360731975</v>
      </c>
      <c r="F124">
        <f t="shared" si="14"/>
        <v>0.74841787180365982</v>
      </c>
      <c r="G124">
        <f t="shared" si="16"/>
        <v>0.77935326469263189</v>
      </c>
      <c r="H124">
        <f t="shared" si="11"/>
        <v>0.72064673530736811</v>
      </c>
      <c r="I124" t="b">
        <f t="shared" si="15"/>
        <v>1</v>
      </c>
    </row>
    <row r="125" spans="1:9" x14ac:dyDescent="0.25">
      <c r="A125">
        <v>0.59</v>
      </c>
      <c r="B125">
        <f t="shared" si="9"/>
        <v>0.7472379604337146</v>
      </c>
      <c r="C125">
        <f t="shared" si="10"/>
        <v>0.7527620395662854</v>
      </c>
      <c r="D125">
        <f t="shared" si="12"/>
        <v>0.74848766391289534</v>
      </c>
      <c r="E125">
        <f t="shared" si="13"/>
        <v>0.74698612310056667</v>
      </c>
      <c r="F125">
        <f t="shared" si="14"/>
        <v>0.74849306155028339</v>
      </c>
      <c r="G125">
        <f t="shared" si="16"/>
        <v>0.77935326469263189</v>
      </c>
      <c r="H125">
        <f t="shared" si="11"/>
        <v>0.72064673530736811</v>
      </c>
      <c r="I125" t="b">
        <f t="shared" si="15"/>
        <v>1</v>
      </c>
    </row>
    <row r="126" spans="1:9" x14ac:dyDescent="0.25">
      <c r="A126">
        <v>0.59499999999999997</v>
      </c>
      <c r="B126">
        <f t="shared" si="9"/>
        <v>0.74736059711025848</v>
      </c>
      <c r="C126">
        <f t="shared" si="10"/>
        <v>0.75263940288974152</v>
      </c>
      <c r="D126">
        <f t="shared" si="12"/>
        <v>0.74855481279584546</v>
      </c>
      <c r="E126">
        <f t="shared" si="13"/>
        <v>0.74716360806977977</v>
      </c>
      <c r="F126">
        <f t="shared" si="14"/>
        <v>0.74858180403488994</v>
      </c>
      <c r="G126">
        <f t="shared" si="16"/>
        <v>0.77935326469263189</v>
      </c>
      <c r="H126">
        <f t="shared" si="11"/>
        <v>0.72064673530736811</v>
      </c>
      <c r="I126" t="b">
        <f t="shared" si="15"/>
        <v>1</v>
      </c>
    </row>
    <row r="127" spans="1:9" x14ac:dyDescent="0.25">
      <c r="A127">
        <v>0.6</v>
      </c>
      <c r="B127">
        <f t="shared" si="9"/>
        <v>0.74747778862424297</v>
      </c>
      <c r="C127">
        <f t="shared" si="10"/>
        <v>0.75252221137575703</v>
      </c>
      <c r="D127">
        <f t="shared" si="12"/>
        <v>0.74861898021685724</v>
      </c>
      <c r="E127">
        <f t="shared" si="13"/>
        <v>0.74736347977771667</v>
      </c>
      <c r="F127">
        <f t="shared" si="14"/>
        <v>0.74868173988885833</v>
      </c>
      <c r="G127">
        <f t="shared" si="16"/>
        <v>0.77935326469263189</v>
      </c>
      <c r="H127">
        <f t="shared" si="11"/>
        <v>0.72064673530736811</v>
      </c>
      <c r="I127" t="b">
        <f t="shared" si="15"/>
        <v>1</v>
      </c>
    </row>
    <row r="128" spans="1:9" x14ac:dyDescent="0.25">
      <c r="A128">
        <v>0.60499999999999998</v>
      </c>
      <c r="B128">
        <f t="shared" si="9"/>
        <v>0.74758977674506488</v>
      </c>
      <c r="C128">
        <f t="shared" si="10"/>
        <v>0.75241022325493512</v>
      </c>
      <c r="D128">
        <f t="shared" si="12"/>
        <v>0.74868029855512919</v>
      </c>
      <c r="E128">
        <f t="shared" si="13"/>
        <v>0.74758113088976552</v>
      </c>
      <c r="F128">
        <f t="shared" si="14"/>
        <v>0.74879056544488276</v>
      </c>
      <c r="G128">
        <f t="shared" si="16"/>
        <v>0.77935326469263189</v>
      </c>
      <c r="H128">
        <f t="shared" si="11"/>
        <v>0.72064673530736811</v>
      </c>
      <c r="I128" t="b">
        <f t="shared" si="15"/>
        <v>1</v>
      </c>
    </row>
    <row r="129" spans="1:9" x14ac:dyDescent="0.25">
      <c r="A129">
        <v>0.61</v>
      </c>
      <c r="B129">
        <f t="shared" si="9"/>
        <v>0.74769679250737409</v>
      </c>
      <c r="C129">
        <f t="shared" si="10"/>
        <v>0.75230320749262591</v>
      </c>
      <c r="D129">
        <f t="shared" si="12"/>
        <v>0.74873889431212148</v>
      </c>
      <c r="E129">
        <f t="shared" si="13"/>
        <v>0.74781211719821494</v>
      </c>
      <c r="F129">
        <f t="shared" si="14"/>
        <v>0.74890605859910753</v>
      </c>
      <c r="G129">
        <f t="shared" si="16"/>
        <v>0.77935326469263189</v>
      </c>
      <c r="H129">
        <f t="shared" si="11"/>
        <v>0.72064673530736811</v>
      </c>
      <c r="I129" t="b">
        <f t="shared" si="15"/>
        <v>1</v>
      </c>
    </row>
    <row r="130" spans="1:9" x14ac:dyDescent="0.25">
      <c r="A130">
        <v>0.61499999999999999</v>
      </c>
      <c r="B130">
        <f t="shared" si="9"/>
        <v>0.74779905668770452</v>
      </c>
      <c r="C130">
        <f t="shared" si="10"/>
        <v>0.75220094331229548</v>
      </c>
      <c r="D130">
        <f t="shared" si="12"/>
        <v>0.7487948883725325</v>
      </c>
      <c r="E130">
        <f t="shared" si="13"/>
        <v>0.74805220268146855</v>
      </c>
      <c r="F130">
        <f t="shared" si="14"/>
        <v>0.74902610134073433</v>
      </c>
      <c r="G130">
        <f t="shared" si="16"/>
        <v>0.77935326469263189</v>
      </c>
      <c r="H130">
        <f t="shared" si="11"/>
        <v>0.72064673530736811</v>
      </c>
      <c r="I130" t="b">
        <f t="shared" si="15"/>
        <v>1</v>
      </c>
    </row>
    <row r="131" spans="1:9" x14ac:dyDescent="0.25">
      <c r="A131">
        <v>0.62</v>
      </c>
      <c r="B131">
        <f t="shared" si="9"/>
        <v>0.74789678025994299</v>
      </c>
      <c r="C131">
        <f t="shared" si="10"/>
        <v>0.75210321974005701</v>
      </c>
      <c r="D131">
        <f t="shared" si="12"/>
        <v>0.74884839625368704</v>
      </c>
      <c r="E131">
        <f t="shared" si="13"/>
        <v>0.74829739787647409</v>
      </c>
      <c r="F131">
        <f t="shared" si="14"/>
        <v>0.74914869893823699</v>
      </c>
      <c r="G131">
        <f t="shared" si="16"/>
        <v>0.77935326469263189</v>
      </c>
      <c r="H131">
        <f t="shared" si="11"/>
        <v>0.72064673530736811</v>
      </c>
      <c r="I131" t="b">
        <f t="shared" si="15"/>
        <v>1</v>
      </c>
    </row>
    <row r="132" spans="1:9" x14ac:dyDescent="0.25">
      <c r="A132">
        <v>0.625</v>
      </c>
      <c r="B132">
        <f t="shared" si="9"/>
        <v>0.74799016483057357</v>
      </c>
      <c r="C132">
        <f t="shared" si="10"/>
        <v>0.75200983516942643</v>
      </c>
      <c r="D132">
        <f t="shared" si="12"/>
        <v>0.74889952834385232</v>
      </c>
      <c r="E132">
        <f t="shared" si="13"/>
        <v>0.74854399163362961</v>
      </c>
      <c r="F132">
        <f t="shared" si="14"/>
        <v>0.74927199581681481</v>
      </c>
      <c r="G132">
        <f t="shared" si="16"/>
        <v>0.77935326469263189</v>
      </c>
      <c r="H132">
        <f t="shared" si="11"/>
        <v>0.72064673530736811</v>
      </c>
      <c r="I132" t="b">
        <f t="shared" si="15"/>
        <v>1</v>
      </c>
    </row>
    <row r="133" spans="1:9" x14ac:dyDescent="0.25">
      <c r="A133">
        <v>0.63</v>
      </c>
      <c r="B133">
        <f t="shared" si="9"/>
        <v>0.74807940305459764</v>
      </c>
      <c r="C133">
        <f t="shared" si="10"/>
        <v>0.75192059694540236</v>
      </c>
      <c r="D133">
        <f t="shared" si="12"/>
        <v>0.7489483901299715</v>
      </c>
      <c r="E133">
        <f t="shared" si="13"/>
        <v>0.74878857640560137</v>
      </c>
      <c r="F133">
        <f t="shared" si="14"/>
        <v>0.74939428820280074</v>
      </c>
      <c r="G133">
        <f t="shared" si="16"/>
        <v>0.77935326469263189</v>
      </c>
      <c r="H133">
        <f t="shared" si="11"/>
        <v>0.72064673530736811</v>
      </c>
      <c r="I133" t="b">
        <f t="shared" si="15"/>
        <v>1</v>
      </c>
    </row>
    <row r="134" spans="1:9" x14ac:dyDescent="0.25">
      <c r="A134">
        <v>0.63500000000000001</v>
      </c>
      <c r="B134">
        <f t="shared" si="9"/>
        <v>0.74816467903298678</v>
      </c>
      <c r="C134">
        <f t="shared" si="10"/>
        <v>0.75183532096701322</v>
      </c>
      <c r="D134">
        <f t="shared" si="12"/>
        <v>0.74899508241528678</v>
      </c>
      <c r="E134">
        <f t="shared" si="13"/>
        <v>0.74902806729450411</v>
      </c>
      <c r="F134">
        <f t="shared" si="14"/>
        <v>0.74951403364725211</v>
      </c>
      <c r="G134">
        <f t="shared" si="16"/>
        <v>0.77935326469263189</v>
      </c>
      <c r="H134">
        <f t="shared" si="11"/>
        <v>0.72064673530736811</v>
      </c>
      <c r="I134" t="b">
        <f t="shared" si="15"/>
        <v>1</v>
      </c>
    </row>
    <row r="135" spans="1:9" x14ac:dyDescent="0.25">
      <c r="A135">
        <v>0.64</v>
      </c>
      <c r="B135">
        <f t="shared" ref="B135:B198" si="17">$J$6-$M$8*EXP(-$M$10*A135)</f>
        <v>0.74824616869248806</v>
      </c>
      <c r="C135">
        <f t="shared" ref="C135:C198" si="18">$J$6+$M$8*EXP(-$M$10*A135)</f>
        <v>0.75175383130751194</v>
      </c>
      <c r="D135">
        <f t="shared" si="12"/>
        <v>0.74903970152729882</v>
      </c>
      <c r="E135">
        <f t="shared" si="13"/>
        <v>0.74925971514558476</v>
      </c>
      <c r="F135">
        <f t="shared" si="14"/>
        <v>0.74962985757279244</v>
      </c>
      <c r="G135">
        <f t="shared" si="16"/>
        <v>0.77935326469263189</v>
      </c>
      <c r="H135">
        <f t="shared" si="11"/>
        <v>0.72064673530736811</v>
      </c>
      <c r="I135" t="b">
        <f t="shared" si="15"/>
        <v>1</v>
      </c>
    </row>
    <row r="136" spans="1:9" x14ac:dyDescent="0.25">
      <c r="A136">
        <v>0.64500000000000002</v>
      </c>
      <c r="B136">
        <f t="shared" si="17"/>
        <v>0.74832404014856613</v>
      </c>
      <c r="C136">
        <f t="shared" si="18"/>
        <v>0.75167595985143387</v>
      </c>
      <c r="D136">
        <f t="shared" si="12"/>
        <v>0.74908233951649339</v>
      </c>
      <c r="E136">
        <f t="shared" si="13"/>
        <v>0.74948111402986495</v>
      </c>
      <c r="F136">
        <f t="shared" si="14"/>
        <v>0.74974055701493247</v>
      </c>
      <c r="G136">
        <f t="shared" si="16"/>
        <v>0.77935326469263189</v>
      </c>
      <c r="H136">
        <f t="shared" ref="H136:H199" si="19">MIN(B136,$J$6-$M$13)</f>
        <v>0.72064673530736811</v>
      </c>
      <c r="I136" t="b">
        <f t="shared" si="15"/>
        <v>1</v>
      </c>
    </row>
    <row r="137" spans="1:9" x14ac:dyDescent="0.25">
      <c r="A137">
        <v>0.65</v>
      </c>
      <c r="B137">
        <f t="shared" si="17"/>
        <v>0.74839845405222982</v>
      </c>
      <c r="C137">
        <f t="shared" si="18"/>
        <v>0.75160154594777018</v>
      </c>
      <c r="D137">
        <f t="shared" si="12"/>
        <v>0.74912308434624408</v>
      </c>
      <c r="E137">
        <f t="shared" si="13"/>
        <v>0.74969020350323523</v>
      </c>
      <c r="F137">
        <f t="shared" si="14"/>
        <v>0.74984510175161767</v>
      </c>
      <c r="G137">
        <f t="shared" si="16"/>
        <v>0.77935326469263189</v>
      </c>
      <c r="H137">
        <f t="shared" si="19"/>
        <v>0.72064673530736811</v>
      </c>
      <c r="I137" t="b">
        <f t="shared" si="15"/>
        <v>1</v>
      </c>
    </row>
    <row r="138" spans="1:9" x14ac:dyDescent="0.25">
      <c r="A138">
        <v>0.65500000000000003</v>
      </c>
      <c r="B138">
        <f t="shared" si="17"/>
        <v>0.74846956392145991</v>
      </c>
      <c r="C138">
        <f t="shared" si="18"/>
        <v>0.75153043607854009</v>
      </c>
      <c r="D138">
        <f t="shared" ref="D138:D201" si="20">$J$6-0.5*$M$8*EXP(-$M$10*A136)</f>
        <v>0.74916202007428312</v>
      </c>
      <c r="E138">
        <f t="shared" ref="E138:E201" si="21">$J$6-$M$8*EXP(-$M$10*A136)*SIN($M$12*A136+PI()/2)</f>
        <v>0.74988526606545958</v>
      </c>
      <c r="F138">
        <f t="shared" ref="F138:F201" si="22">$J$6-$M$8*EXP(-$M$10*A136)*SIN($M$12*A136+PI()/2)*$J$17</f>
        <v>0.74994263303272979</v>
      </c>
      <c r="G138">
        <f t="shared" si="16"/>
        <v>0.77935326469263189</v>
      </c>
      <c r="H138">
        <f t="shared" si="19"/>
        <v>0.72064673530736811</v>
      </c>
      <c r="I138" t="b">
        <f t="shared" si="15"/>
        <v>1</v>
      </c>
    </row>
    <row r="139" spans="1:9" x14ac:dyDescent="0.25">
      <c r="A139">
        <v>0.66</v>
      </c>
      <c r="B139">
        <f t="shared" si="17"/>
        <v>0.74853751645792099</v>
      </c>
      <c r="C139">
        <f t="shared" si="18"/>
        <v>0.75146248354207901</v>
      </c>
      <c r="D139">
        <f t="shared" si="20"/>
        <v>0.74919922702611497</v>
      </c>
      <c r="E139">
        <f t="shared" si="21"/>
        <v>0.75006492026974103</v>
      </c>
      <c r="F139">
        <f t="shared" si="22"/>
        <v>0.75003246013487057</v>
      </c>
      <c r="G139">
        <f t="shared" si="16"/>
        <v>0.77935326469263189</v>
      </c>
      <c r="H139">
        <f t="shared" si="19"/>
        <v>0.72064673530736811</v>
      </c>
      <c r="I139" t="b">
        <f t="shared" si="15"/>
        <v>1</v>
      </c>
    </row>
    <row r="140" spans="1:9" x14ac:dyDescent="0.25">
      <c r="A140">
        <v>0.66500000000000004</v>
      </c>
      <c r="B140">
        <f t="shared" si="17"/>
        <v>0.74860245184961127</v>
      </c>
      <c r="C140">
        <f t="shared" si="18"/>
        <v>0.75139754815038873</v>
      </c>
      <c r="D140">
        <f t="shared" si="20"/>
        <v>0.74923478196073001</v>
      </c>
      <c r="E140">
        <f t="shared" si="21"/>
        <v>0.75022810995233513</v>
      </c>
      <c r="F140">
        <f t="shared" si="22"/>
        <v>0.75011405497616757</v>
      </c>
      <c r="G140">
        <f t="shared" si="16"/>
        <v>0.77935326469263189</v>
      </c>
      <c r="H140">
        <f t="shared" si="19"/>
        <v>0.72064673530736811</v>
      </c>
      <c r="I140" t="b">
        <f t="shared" si="15"/>
        <v>1</v>
      </c>
    </row>
    <row r="141" spans="1:9" x14ac:dyDescent="0.25">
      <c r="A141">
        <v>0.67</v>
      </c>
      <c r="B141">
        <f t="shared" si="17"/>
        <v>0.74866450406007412</v>
      </c>
      <c r="C141">
        <f t="shared" si="18"/>
        <v>0.75133549593992588</v>
      </c>
      <c r="D141">
        <f t="shared" si="20"/>
        <v>0.74926875822896055</v>
      </c>
      <c r="E141">
        <f t="shared" si="21"/>
        <v>0.75037409006263256</v>
      </c>
      <c r="F141">
        <f t="shared" si="22"/>
        <v>0.75018704503131628</v>
      </c>
      <c r="G141">
        <f t="shared" si="16"/>
        <v>0.77935326469263189</v>
      </c>
      <c r="H141">
        <f t="shared" si="19"/>
        <v>0.72064673530736811</v>
      </c>
      <c r="I141" t="b">
        <f t="shared" si="15"/>
        <v>1</v>
      </c>
    </row>
    <row r="142" spans="1:9" x14ac:dyDescent="0.25">
      <c r="A142">
        <v>0.67500000000000004</v>
      </c>
      <c r="B142">
        <f t="shared" si="17"/>
        <v>0.74872380110476866</v>
      </c>
      <c r="C142">
        <f t="shared" si="18"/>
        <v>0.75127619889523134</v>
      </c>
      <c r="D142">
        <f t="shared" si="20"/>
        <v>0.74930122592480564</v>
      </c>
      <c r="E142">
        <f t="shared" si="21"/>
        <v>0.75050240957772185</v>
      </c>
      <c r="F142">
        <f t="shared" si="22"/>
        <v>0.75025120478886098</v>
      </c>
      <c r="G142">
        <f t="shared" si="16"/>
        <v>0.77935326469263189</v>
      </c>
      <c r="H142">
        <f t="shared" si="19"/>
        <v>0.72064673530736811</v>
      </c>
      <c r="I142" t="b">
        <f t="shared" si="15"/>
        <v>1</v>
      </c>
    </row>
    <row r="143" spans="1:9" x14ac:dyDescent="0.25">
      <c r="A143">
        <v>0.68</v>
      </c>
      <c r="B143">
        <f t="shared" si="17"/>
        <v>0.74878046531516984</v>
      </c>
      <c r="C143">
        <f t="shared" si="18"/>
        <v>0.75121953468483016</v>
      </c>
      <c r="D143">
        <f t="shared" si="20"/>
        <v>0.74933225203003706</v>
      </c>
      <c r="E143">
        <f t="shared" si="21"/>
        <v>0.75061289198226744</v>
      </c>
      <c r="F143">
        <f t="shared" si="22"/>
        <v>0.75030644599113372</v>
      </c>
      <c r="G143">
        <f t="shared" si="16"/>
        <v>0.77935326469263189</v>
      </c>
      <c r="H143">
        <f t="shared" si="19"/>
        <v>0.72064673530736811</v>
      </c>
      <c r="I143" t="b">
        <f t="shared" si="15"/>
        <v>1</v>
      </c>
    </row>
    <row r="144" spans="1:9" x14ac:dyDescent="0.25">
      <c r="A144">
        <v>0.68500000000000005</v>
      </c>
      <c r="B144">
        <f t="shared" si="17"/>
        <v>0.74883461359114067</v>
      </c>
      <c r="C144">
        <f t="shared" si="18"/>
        <v>0.75116538640885933</v>
      </c>
      <c r="D144">
        <f t="shared" si="20"/>
        <v>0.74936190055238439</v>
      </c>
      <c r="E144">
        <f t="shared" si="21"/>
        <v>0.7507056137852316</v>
      </c>
      <c r="F144">
        <f t="shared" si="22"/>
        <v>0.75035280689261574</v>
      </c>
      <c r="G144">
        <f t="shared" si="16"/>
        <v>0.77935326469263189</v>
      </c>
      <c r="H144">
        <f t="shared" si="19"/>
        <v>0.72064673530736811</v>
      </c>
      <c r="I144" t="b">
        <f t="shared" si="15"/>
        <v>1</v>
      </c>
    </row>
    <row r="145" spans="1:9" x14ac:dyDescent="0.25">
      <c r="A145">
        <v>0.69</v>
      </c>
      <c r="B145">
        <f t="shared" si="17"/>
        <v>0.74888635764210076</v>
      </c>
      <c r="C145">
        <f t="shared" si="18"/>
        <v>0.75111364235789924</v>
      </c>
      <c r="D145">
        <f t="shared" si="20"/>
        <v>0.74939023265758486</v>
      </c>
      <c r="E145">
        <f t="shared" si="21"/>
        <v>0.75078088153018907</v>
      </c>
      <c r="F145">
        <f t="shared" si="22"/>
        <v>0.75039044076509454</v>
      </c>
      <c r="G145">
        <f t="shared" si="16"/>
        <v>0.77935326469263189</v>
      </c>
      <c r="H145">
        <f t="shared" si="19"/>
        <v>0.72064673530736811</v>
      </c>
      <c r="I145" t="b">
        <f t="shared" si="15"/>
        <v>1</v>
      </c>
    </row>
    <row r="146" spans="1:9" x14ac:dyDescent="0.25">
      <c r="A146">
        <v>0.69499999999999995</v>
      </c>
      <c r="B146">
        <f t="shared" si="17"/>
        <v>0.74893580421748607</v>
      </c>
      <c r="C146">
        <f t="shared" si="18"/>
        <v>0.75106419578251393</v>
      </c>
      <c r="D146">
        <f t="shared" si="20"/>
        <v>0.74941730679557028</v>
      </c>
      <c r="E146">
        <f t="shared" si="21"/>
        <v>0.75083920773639545</v>
      </c>
      <c r="F146">
        <f t="shared" si="22"/>
        <v>0.75041960386819773</v>
      </c>
      <c r="G146">
        <f t="shared" si="16"/>
        <v>0.77935326469263189</v>
      </c>
      <c r="H146">
        <f t="shared" si="19"/>
        <v>0.72064673530736811</v>
      </c>
      <c r="I146" t="b">
        <f t="shared" si="15"/>
        <v>1</v>
      </c>
    </row>
    <row r="147" spans="1:9" x14ac:dyDescent="0.25">
      <c r="A147">
        <v>0.7</v>
      </c>
      <c r="B147">
        <f t="shared" si="17"/>
        <v>0.74898305532697507</v>
      </c>
      <c r="C147">
        <f t="shared" si="18"/>
        <v>0.75101694467302493</v>
      </c>
      <c r="D147">
        <f t="shared" si="20"/>
        <v>0.74944317882105038</v>
      </c>
      <c r="E147">
        <f t="shared" si="21"/>
        <v>0.75088128618406147</v>
      </c>
      <c r="F147">
        <f t="shared" si="22"/>
        <v>0.75044064309203073</v>
      </c>
      <c r="G147">
        <f t="shared" si="16"/>
        <v>0.77935326469263189</v>
      </c>
      <c r="H147">
        <f t="shared" si="19"/>
        <v>0.72064673530736811</v>
      </c>
      <c r="I147" t="b">
        <f t="shared" si="15"/>
        <v>1</v>
      </c>
    </row>
    <row r="148" spans="1:9" x14ac:dyDescent="0.25">
      <c r="A148">
        <v>0.70499999999999996</v>
      </c>
      <c r="B148">
        <f t="shared" si="17"/>
        <v>0.74902820845093865</v>
      </c>
      <c r="C148">
        <f t="shared" si="18"/>
        <v>0.75097179154906135</v>
      </c>
      <c r="D148">
        <f t="shared" si="20"/>
        <v>0.74946790210874303</v>
      </c>
      <c r="E148">
        <f t="shared" si="21"/>
        <v>0.75090796693012551</v>
      </c>
      <c r="F148">
        <f t="shared" si="22"/>
        <v>0.75045398346506276</v>
      </c>
      <c r="G148">
        <f t="shared" si="16"/>
        <v>0.77935326469263189</v>
      </c>
      <c r="H148">
        <f t="shared" si="19"/>
        <v>0.72064673530736811</v>
      </c>
      <c r="I148" t="b">
        <f t="shared" si="15"/>
        <v>1</v>
      </c>
    </row>
    <row r="149" spans="1:9" x14ac:dyDescent="0.25">
      <c r="A149">
        <v>0.71</v>
      </c>
      <c r="B149">
        <f t="shared" si="17"/>
        <v>0.74907135674154424</v>
      </c>
      <c r="C149">
        <f t="shared" si="18"/>
        <v>0.75092864325845576</v>
      </c>
      <c r="D149">
        <f t="shared" si="20"/>
        <v>0.74949152766348748</v>
      </c>
      <c r="E149">
        <f t="shared" si="21"/>
        <v>0.75092023141086428</v>
      </c>
      <c r="F149">
        <f t="shared" si="22"/>
        <v>0.75046011570543214</v>
      </c>
      <c r="G149">
        <f t="shared" si="16"/>
        <v>0.77935326469263189</v>
      </c>
      <c r="H149">
        <f t="shared" si="19"/>
        <v>0.72064673530736811</v>
      </c>
      <c r="I149" t="b">
        <f t="shared" si="15"/>
        <v>1</v>
      </c>
    </row>
    <row r="150" spans="1:9" x14ac:dyDescent="0.25">
      <c r="A150">
        <v>0.71499999999999997</v>
      </c>
      <c r="B150">
        <f t="shared" si="17"/>
        <v>0.74911258921493162</v>
      </c>
      <c r="C150">
        <f t="shared" si="18"/>
        <v>0.75088741078506838</v>
      </c>
      <c r="D150">
        <f t="shared" si="20"/>
        <v>0.74951410422546927</v>
      </c>
      <c r="E150">
        <f t="shared" si="21"/>
        <v>0.75091916795558444</v>
      </c>
      <c r="F150">
        <f t="shared" si="22"/>
        <v>0.75045958397779222</v>
      </c>
      <c r="G150">
        <f t="shared" si="16"/>
        <v>0.77935326469263189</v>
      </c>
      <c r="H150">
        <f t="shared" si="19"/>
        <v>0.72064673530736811</v>
      </c>
      <c r="I150" t="b">
        <f t="shared" si="15"/>
        <v>1</v>
      </c>
    </row>
    <row r="151" spans="1:9" x14ac:dyDescent="0.25">
      <c r="A151">
        <v>0.72</v>
      </c>
      <c r="B151">
        <f t="shared" si="17"/>
        <v>0.74915199093485574</v>
      </c>
      <c r="C151">
        <f t="shared" si="18"/>
        <v>0.75084800906514426</v>
      </c>
      <c r="D151">
        <f t="shared" si="20"/>
        <v>0.74953567837077217</v>
      </c>
      <c r="E151">
        <f t="shared" si="21"/>
        <v>0.75090594800200605</v>
      </c>
      <c r="F151">
        <f t="shared" si="22"/>
        <v>0.75045297400100308</v>
      </c>
      <c r="G151">
        <f t="shared" si="16"/>
        <v>0.77935326469263189</v>
      </c>
      <c r="H151">
        <f t="shared" si="19"/>
        <v>0.72064673530736811</v>
      </c>
      <c r="I151" t="b">
        <f t="shared" ref="I151:I214" si="23">IF(I150,TRUE,IF(E151&lt;E150,TRUE))</f>
        <v>1</v>
      </c>
    </row>
    <row r="152" spans="1:9" x14ac:dyDescent="0.25">
      <c r="A152">
        <v>0.72499999999999998</v>
      </c>
      <c r="B152">
        <f t="shared" si="17"/>
        <v>0.74918964318817527</v>
      </c>
      <c r="C152">
        <f t="shared" si="18"/>
        <v>0.75081035681182473</v>
      </c>
      <c r="D152">
        <f t="shared" si="20"/>
        <v>0.74955629460746587</v>
      </c>
      <c r="E152">
        <f t="shared" si="21"/>
        <v>0.75088180326936327</v>
      </c>
      <c r="F152">
        <f t="shared" si="22"/>
        <v>0.75044090163468169</v>
      </c>
      <c r="G152">
        <f t="shared" si="16"/>
        <v>0.77935326469263189</v>
      </c>
      <c r="H152">
        <f t="shared" si="19"/>
        <v>0.72064673530736811</v>
      </c>
      <c r="I152" t="b">
        <f t="shared" si="23"/>
        <v>1</v>
      </c>
    </row>
    <row r="153" spans="1:9" x14ac:dyDescent="0.25">
      <c r="A153">
        <v>0.73</v>
      </c>
      <c r="B153">
        <f t="shared" si="17"/>
        <v>0.74922562365255019</v>
      </c>
      <c r="C153">
        <f t="shared" si="18"/>
        <v>0.75077437634744981</v>
      </c>
      <c r="D153">
        <f t="shared" si="20"/>
        <v>0.74957599546742792</v>
      </c>
      <c r="E153">
        <f t="shared" si="21"/>
        <v>0.75084800411025521</v>
      </c>
      <c r="F153">
        <f t="shared" si="22"/>
        <v>0.7504240020551276</v>
      </c>
      <c r="G153">
        <f t="shared" ref="G153:G216" si="24">IF(I153,MAX(C153,$J$6+$M$13),MAX(E153,$J$6+$M$13))</f>
        <v>0.77935326469263189</v>
      </c>
      <c r="H153">
        <f t="shared" si="19"/>
        <v>0.72064673530736811</v>
      </c>
      <c r="I153" t="b">
        <f t="shared" si="23"/>
        <v>1</v>
      </c>
    </row>
    <row r="154" spans="1:9" x14ac:dyDescent="0.25">
      <c r="A154">
        <v>0.73499999999999999</v>
      </c>
      <c r="B154">
        <f t="shared" si="17"/>
        <v>0.74926000655669278</v>
      </c>
      <c r="C154">
        <f t="shared" si="18"/>
        <v>0.75073999344330722</v>
      </c>
      <c r="D154">
        <f t="shared" si="20"/>
        <v>0.74959482159408763</v>
      </c>
      <c r="E154">
        <f t="shared" si="21"/>
        <v>0.75080583922738009</v>
      </c>
      <c r="F154">
        <f t="shared" si="22"/>
        <v>0.7504029196136901</v>
      </c>
      <c r="G154">
        <f t="shared" si="24"/>
        <v>0.77935326469263189</v>
      </c>
      <c r="H154">
        <f t="shared" si="19"/>
        <v>0.72064673530736811</v>
      </c>
      <c r="I154" t="b">
        <f t="shared" si="23"/>
        <v>1</v>
      </c>
    </row>
    <row r="155" spans="1:9" x14ac:dyDescent="0.25">
      <c r="A155">
        <v>0.74</v>
      </c>
      <c r="B155">
        <f t="shared" si="17"/>
        <v>0.74929286283350327</v>
      </c>
      <c r="C155">
        <f t="shared" si="18"/>
        <v>0.75070713716649673</v>
      </c>
      <c r="D155">
        <f t="shared" si="20"/>
        <v>0.74961281182627515</v>
      </c>
      <c r="E155">
        <f t="shared" si="21"/>
        <v>0.75075659690693319</v>
      </c>
      <c r="F155">
        <f t="shared" si="22"/>
        <v>0.7503782984534666</v>
      </c>
      <c r="G155">
        <f t="shared" si="24"/>
        <v>0.77935326469263189</v>
      </c>
      <c r="H155">
        <f t="shared" si="19"/>
        <v>0.72064673530736811</v>
      </c>
      <c r="I155" t="b">
        <f t="shared" si="23"/>
        <v>1</v>
      </c>
    </row>
    <row r="156" spans="1:9" x14ac:dyDescent="0.25">
      <c r="A156">
        <v>0.745</v>
      </c>
      <c r="B156">
        <f t="shared" si="17"/>
        <v>0.74932426026640697</v>
      </c>
      <c r="C156">
        <f t="shared" si="18"/>
        <v>0.75067573973359303</v>
      </c>
      <c r="D156">
        <f t="shared" si="20"/>
        <v>0.74963000327834639</v>
      </c>
      <c r="E156">
        <f t="shared" si="21"/>
        <v>0.75070154788706145</v>
      </c>
      <c r="F156">
        <f t="shared" si="22"/>
        <v>0.75035077394353078</v>
      </c>
      <c r="G156">
        <f t="shared" si="24"/>
        <v>0.77935326469263189</v>
      </c>
      <c r="H156">
        <f t="shared" si="19"/>
        <v>0.72064673530736811</v>
      </c>
      <c r="I156" t="b">
        <f t="shared" si="23"/>
        <v>1</v>
      </c>
    </row>
    <row r="157" spans="1:9" x14ac:dyDescent="0.25">
      <c r="A157">
        <v>0.75</v>
      </c>
      <c r="B157">
        <f t="shared" si="17"/>
        <v>0.749354263629193</v>
      </c>
      <c r="C157">
        <f t="shared" si="18"/>
        <v>0.750645736370807</v>
      </c>
      <c r="D157">
        <f t="shared" si="20"/>
        <v>0.74964643141675158</v>
      </c>
      <c r="E157">
        <f t="shared" si="21"/>
        <v>0.75064192994769774</v>
      </c>
      <c r="F157">
        <f t="shared" si="22"/>
        <v>0.75032096497384893</v>
      </c>
      <c r="G157">
        <f t="shared" si="24"/>
        <v>0.77935326469263189</v>
      </c>
      <c r="H157">
        <f t="shared" si="19"/>
        <v>0.72064673530736811</v>
      </c>
      <c r="I157" t="b">
        <f t="shared" si="23"/>
        <v>1</v>
      </c>
    </row>
    <row r="158" spans="1:9" x14ac:dyDescent="0.25">
      <c r="A158">
        <v>0.755</v>
      </c>
      <c r="B158">
        <f t="shared" si="17"/>
        <v>0.74938293481964435</v>
      </c>
      <c r="C158">
        <f t="shared" si="18"/>
        <v>0.75061706518035565</v>
      </c>
      <c r="D158">
        <f t="shared" si="20"/>
        <v>0.74966213013320349</v>
      </c>
      <c r="E158">
        <f t="shared" si="21"/>
        <v>0.75057893427766254</v>
      </c>
      <c r="F158">
        <f t="shared" si="22"/>
        <v>0.75028946713883127</v>
      </c>
      <c r="G158">
        <f t="shared" si="24"/>
        <v>0.77935326469263189</v>
      </c>
      <c r="H158">
        <f t="shared" si="19"/>
        <v>0.72064673530736811</v>
      </c>
      <c r="I158" t="b">
        <f t="shared" si="23"/>
        <v>1</v>
      </c>
    </row>
    <row r="159" spans="1:9" x14ac:dyDescent="0.25">
      <c r="A159">
        <v>0.76</v>
      </c>
      <c r="B159">
        <f t="shared" si="17"/>
        <v>0.74941033298723525</v>
      </c>
      <c r="C159">
        <f t="shared" si="18"/>
        <v>0.75058966701276475</v>
      </c>
      <c r="D159">
        <f t="shared" si="20"/>
        <v>0.7496771318145965</v>
      </c>
      <c r="E159">
        <f t="shared" si="21"/>
        <v>0.75051369364638465</v>
      </c>
      <c r="F159">
        <f t="shared" si="22"/>
        <v>0.75025684682319227</v>
      </c>
      <c r="G159">
        <f t="shared" si="24"/>
        <v>0.77935326469263189</v>
      </c>
      <c r="H159">
        <f t="shared" si="19"/>
        <v>0.72064673530736811</v>
      </c>
      <c r="I159" t="b">
        <f t="shared" si="23"/>
        <v>1</v>
      </c>
    </row>
    <row r="160" spans="1:9" x14ac:dyDescent="0.25">
      <c r="A160">
        <v>0.76500000000000001</v>
      </c>
      <c r="B160">
        <f t="shared" si="17"/>
        <v>0.7494365146551577</v>
      </c>
      <c r="C160">
        <f t="shared" si="18"/>
        <v>0.7505634853448423</v>
      </c>
      <c r="D160">
        <f t="shared" si="20"/>
        <v>0.74969146740982218</v>
      </c>
      <c r="E160">
        <f t="shared" si="21"/>
        <v>0.75044727238117104</v>
      </c>
      <c r="F160">
        <f t="shared" si="22"/>
        <v>0.75022363619058552</v>
      </c>
      <c r="G160">
        <f t="shared" si="24"/>
        <v>0.77935326469263189</v>
      </c>
      <c r="H160">
        <f t="shared" si="19"/>
        <v>0.72064673530736811</v>
      </c>
      <c r="I160" t="b">
        <f t="shared" si="23"/>
        <v>1</v>
      </c>
    </row>
    <row r="161" spans="1:9" x14ac:dyDescent="0.25">
      <c r="A161">
        <v>0.77</v>
      </c>
      <c r="B161">
        <f t="shared" si="17"/>
        <v>0.74946153383693048</v>
      </c>
      <c r="C161">
        <f t="shared" si="18"/>
        <v>0.75053846616306952</v>
      </c>
      <c r="D161">
        <f t="shared" si="20"/>
        <v>0.74970516649361763</v>
      </c>
      <c r="E161">
        <f t="shared" si="21"/>
        <v>0.75038065812681043</v>
      </c>
      <c r="F161">
        <f t="shared" si="22"/>
        <v>0.75019032906340521</v>
      </c>
      <c r="G161">
        <f t="shared" si="24"/>
        <v>0.77935326469263189</v>
      </c>
      <c r="H161">
        <f t="shared" si="19"/>
        <v>0.72064673530736811</v>
      </c>
      <c r="I161" t="b">
        <f t="shared" si="23"/>
        <v>1</v>
      </c>
    </row>
    <row r="162" spans="1:9" x14ac:dyDescent="0.25">
      <c r="A162">
        <v>0.77500000000000002</v>
      </c>
      <c r="B162">
        <f t="shared" si="17"/>
        <v>0.74948544214783097</v>
      </c>
      <c r="C162">
        <f t="shared" si="18"/>
        <v>0.75051455785216903</v>
      </c>
      <c r="D162">
        <f t="shared" si="20"/>
        <v>0.7497182573275788</v>
      </c>
      <c r="E162">
        <f t="shared" si="21"/>
        <v>0.75031475534256376</v>
      </c>
      <c r="F162">
        <f t="shared" si="22"/>
        <v>0.75015737767128188</v>
      </c>
      <c r="G162">
        <f t="shared" si="24"/>
        <v>0.77935326469263189</v>
      </c>
      <c r="H162">
        <f t="shared" si="19"/>
        <v>0.72064673530736811</v>
      </c>
      <c r="I162" t="b">
        <f t="shared" si="23"/>
        <v>1</v>
      </c>
    </row>
    <row r="163" spans="1:9" x14ac:dyDescent="0.25">
      <c r="A163">
        <v>0.78</v>
      </c>
      <c r="B163">
        <f t="shared" si="17"/>
        <v>0.74950828891137844</v>
      </c>
      <c r="C163">
        <f t="shared" si="18"/>
        <v>0.75049171108862156</v>
      </c>
      <c r="D163">
        <f t="shared" si="20"/>
        <v>0.7497307669184653</v>
      </c>
      <c r="E163">
        <f t="shared" si="21"/>
        <v>0.75025038047234227</v>
      </c>
      <c r="F163">
        <f t="shared" si="22"/>
        <v>0.75012519023617108</v>
      </c>
      <c r="G163">
        <f t="shared" si="24"/>
        <v>0.77935326469263189</v>
      </c>
      <c r="H163">
        <f t="shared" si="19"/>
        <v>0.72064673530736811</v>
      </c>
      <c r="I163" t="b">
        <f t="shared" si="23"/>
        <v>1</v>
      </c>
    </row>
    <row r="164" spans="1:9" x14ac:dyDescent="0.25">
      <c r="A164">
        <v>0.78500000000000003</v>
      </c>
      <c r="B164">
        <f t="shared" si="17"/>
        <v>0.74953012126108998</v>
      </c>
      <c r="C164">
        <f t="shared" si="18"/>
        <v>0.75046987873891002</v>
      </c>
      <c r="D164">
        <f t="shared" si="20"/>
        <v>0.74974272107391549</v>
      </c>
      <c r="E164">
        <f t="shared" si="21"/>
        <v>0.75018825870715267</v>
      </c>
      <c r="F164">
        <f t="shared" si="22"/>
        <v>0.75009412935357633</v>
      </c>
      <c r="G164">
        <f t="shared" si="24"/>
        <v>0.77935326469263189</v>
      </c>
      <c r="H164">
        <f t="shared" si="19"/>
        <v>0.72064673530736811</v>
      </c>
      <c r="I164" t="b">
        <f t="shared" si="23"/>
        <v>1</v>
      </c>
    </row>
    <row r="165" spans="1:9" x14ac:dyDescent="0.25">
      <c r="A165">
        <v>0.79</v>
      </c>
      <c r="B165">
        <f t="shared" si="17"/>
        <v>0.74955098423771849</v>
      </c>
      <c r="C165">
        <f t="shared" si="18"/>
        <v>0.75044901576228151</v>
      </c>
      <c r="D165">
        <f t="shared" si="20"/>
        <v>0.74975414445568922</v>
      </c>
      <c r="E165">
        <f t="shared" si="21"/>
        <v>0.75012902224469691</v>
      </c>
      <c r="F165">
        <f t="shared" si="22"/>
        <v>0.75006451112234851</v>
      </c>
      <c r="G165">
        <f t="shared" si="24"/>
        <v>0.77935326469263189</v>
      </c>
      <c r="H165">
        <f t="shared" si="19"/>
        <v>0.72064673530736811</v>
      </c>
      <c r="I165" t="b">
        <f t="shared" si="23"/>
        <v>1</v>
      </c>
    </row>
    <row r="166" spans="1:9" x14ac:dyDescent="0.25">
      <c r="A166">
        <v>0.79500000000000004</v>
      </c>
      <c r="B166">
        <f t="shared" si="17"/>
        <v>0.74957092088217292</v>
      </c>
      <c r="C166">
        <f t="shared" si="18"/>
        <v>0.75042907911782708</v>
      </c>
      <c r="D166">
        <f t="shared" si="20"/>
        <v>0.74976506063054493</v>
      </c>
      <c r="E166">
        <f t="shared" si="21"/>
        <v>0.75007320993931959</v>
      </c>
      <c r="F166">
        <f t="shared" si="22"/>
        <v>0.75003660496965974</v>
      </c>
      <c r="G166">
        <f t="shared" si="24"/>
        <v>0.77935326469263189</v>
      </c>
      <c r="H166">
        <f t="shared" si="19"/>
        <v>0.72064673530736811</v>
      </c>
      <c r="I166" t="b">
        <f t="shared" si="23"/>
        <v>1</v>
      </c>
    </row>
    <row r="167" spans="1:9" x14ac:dyDescent="0.25">
      <c r="A167">
        <v>0.8</v>
      </c>
      <c r="B167">
        <f t="shared" si="17"/>
        <v>0.74958997232431268</v>
      </c>
      <c r="C167">
        <f t="shared" si="18"/>
        <v>0.75041002767568732</v>
      </c>
      <c r="D167">
        <f t="shared" si="20"/>
        <v>0.7497754921188593</v>
      </c>
      <c r="E167">
        <f t="shared" si="21"/>
        <v>0.75002126822624493</v>
      </c>
      <c r="F167">
        <f t="shared" si="22"/>
        <v>0.75001063411312252</v>
      </c>
      <c r="G167">
        <f t="shared" si="24"/>
        <v>0.77935326469263189</v>
      </c>
      <c r="H167">
        <f t="shared" si="19"/>
        <v>0.72064673530736811</v>
      </c>
      <c r="I167" t="b">
        <f t="shared" si="23"/>
        <v>1</v>
      </c>
    </row>
    <row r="168" spans="1:9" x14ac:dyDescent="0.25">
      <c r="A168">
        <v>0.80500000000000005</v>
      </c>
      <c r="B168">
        <f t="shared" si="17"/>
        <v>0.74960817786779987</v>
      </c>
      <c r="C168">
        <f t="shared" si="18"/>
        <v>0.75039182213220013</v>
      </c>
      <c r="D168">
        <f t="shared" si="20"/>
        <v>0.74978546044108652</v>
      </c>
      <c r="E168">
        <f t="shared" si="21"/>
        <v>0.74997355319714099</v>
      </c>
      <c r="F168">
        <f t="shared" si="22"/>
        <v>0.74998677659857049</v>
      </c>
      <c r="G168">
        <f t="shared" si="24"/>
        <v>0.77935326469263189</v>
      </c>
      <c r="H168">
        <f t="shared" si="19"/>
        <v>0.72064673530736811</v>
      </c>
      <c r="I168" t="b">
        <f t="shared" si="23"/>
        <v>1</v>
      </c>
    </row>
    <row r="169" spans="1:9" x14ac:dyDescent="0.25">
      <c r="A169">
        <v>0.81</v>
      </c>
      <c r="B169">
        <f t="shared" si="17"/>
        <v>0.74962557507118388</v>
      </c>
      <c r="C169">
        <f t="shared" si="18"/>
        <v>0.75037442492881612</v>
      </c>
      <c r="D169">
        <f t="shared" si="20"/>
        <v>0.74979498616215634</v>
      </c>
      <c r="E169">
        <f t="shared" si="21"/>
        <v>0.74993033369937923</v>
      </c>
      <c r="F169">
        <f t="shared" si="22"/>
        <v>0.74996516684968961</v>
      </c>
      <c r="G169">
        <f t="shared" si="24"/>
        <v>0.77935326469263189</v>
      </c>
      <c r="H169">
        <f t="shared" si="19"/>
        <v>0.72064673530736811</v>
      </c>
      <c r="I169" t="b">
        <f t="shared" si="23"/>
        <v>1</v>
      </c>
    </row>
    <row r="170" spans="1:9" x14ac:dyDescent="0.25">
      <c r="A170">
        <v>0.81499999999999995</v>
      </c>
      <c r="B170">
        <f t="shared" si="17"/>
        <v>0.74964219982538571</v>
      </c>
      <c r="C170">
        <f t="shared" si="18"/>
        <v>0.75035780017461429</v>
      </c>
      <c r="D170">
        <f t="shared" si="20"/>
        <v>0.74980408893389994</v>
      </c>
      <c r="E170">
        <f t="shared" si="21"/>
        <v>0.74989179532880534</v>
      </c>
      <c r="F170">
        <f t="shared" si="22"/>
        <v>0.74994589766440267</v>
      </c>
      <c r="G170">
        <f t="shared" si="24"/>
        <v>0.77935326469263189</v>
      </c>
      <c r="H170">
        <f t="shared" si="19"/>
        <v>0.72064673530736811</v>
      </c>
      <c r="I170" t="b">
        <f t="shared" si="23"/>
        <v>1</v>
      </c>
    </row>
    <row r="171" spans="1:9" x14ac:dyDescent="0.25">
      <c r="A171">
        <v>0.82</v>
      </c>
      <c r="B171">
        <f t="shared" si="17"/>
        <v>0.74965808642774179</v>
      </c>
      <c r="C171">
        <f t="shared" si="18"/>
        <v>0.75034191357225821</v>
      </c>
      <c r="D171">
        <f t="shared" si="20"/>
        <v>0.74981278753559188</v>
      </c>
      <c r="E171">
        <f t="shared" si="21"/>
        <v>0.7498580451852257</v>
      </c>
      <c r="F171">
        <f t="shared" si="22"/>
        <v>0.74992902259261285</v>
      </c>
      <c r="G171">
        <f t="shared" si="24"/>
        <v>0.77935326469263189</v>
      </c>
      <c r="H171">
        <f t="shared" si="19"/>
        <v>0.72064673530736811</v>
      </c>
      <c r="I171" t="b">
        <f t="shared" si="23"/>
        <v>1</v>
      </c>
    </row>
    <row r="172" spans="1:9" x14ac:dyDescent="0.25">
      <c r="A172">
        <v>0.82499999999999996</v>
      </c>
      <c r="B172">
        <f t="shared" si="17"/>
        <v>0.74967326765276077</v>
      </c>
      <c r="C172">
        <f t="shared" si="18"/>
        <v>0.75032673234723923</v>
      </c>
      <c r="D172">
        <f t="shared" si="20"/>
        <v>0.74982109991269286</v>
      </c>
      <c r="E172">
        <f t="shared" si="21"/>
        <v>0.74982911726101498</v>
      </c>
      <c r="F172">
        <f t="shared" si="22"/>
        <v>0.74991455863050749</v>
      </c>
      <c r="G172">
        <f t="shared" si="24"/>
        <v>0.77935326469263189</v>
      </c>
      <c r="H172">
        <f t="shared" si="19"/>
        <v>0.72064673530736811</v>
      </c>
      <c r="I172" t="b">
        <f t="shared" si="23"/>
        <v>1</v>
      </c>
    </row>
    <row r="173" spans="1:9" x14ac:dyDescent="0.25">
      <c r="A173">
        <v>0.83</v>
      </c>
      <c r="B173">
        <f t="shared" si="17"/>
        <v>0.74968777481973758</v>
      </c>
      <c r="C173">
        <f t="shared" si="18"/>
        <v>0.75031222518026242</v>
      </c>
      <c r="D173">
        <f t="shared" si="20"/>
        <v>0.74982904321387089</v>
      </c>
      <c r="E173">
        <f t="shared" si="21"/>
        <v>0.74980497833605886</v>
      </c>
      <c r="F173">
        <f t="shared" si="22"/>
        <v>0.74990248916802937</v>
      </c>
      <c r="G173">
        <f t="shared" si="24"/>
        <v>0.77935326469263189</v>
      </c>
      <c r="H173">
        <f t="shared" si="19"/>
        <v>0.72064673530736811</v>
      </c>
      <c r="I173" t="b">
        <f t="shared" si="23"/>
        <v>1</v>
      </c>
    </row>
    <row r="174" spans="1:9" x14ac:dyDescent="0.25">
      <c r="A174">
        <v>0.83499999999999996</v>
      </c>
      <c r="B174">
        <f t="shared" si="17"/>
        <v>0.74970163785736676</v>
      </c>
      <c r="C174">
        <f t="shared" si="18"/>
        <v>0.75029836214263324</v>
      </c>
      <c r="D174">
        <f t="shared" si="20"/>
        <v>0.74983663382638033</v>
      </c>
      <c r="E174">
        <f t="shared" si="21"/>
        <v>0.74978553425651373</v>
      </c>
      <c r="F174">
        <f t="shared" si="22"/>
        <v>0.74989276712825692</v>
      </c>
      <c r="G174">
        <f t="shared" si="24"/>
        <v>0.77935326469263189</v>
      </c>
      <c r="H174">
        <f t="shared" si="19"/>
        <v>0.72064673530736811</v>
      </c>
      <c r="I174" t="b">
        <f t="shared" si="23"/>
        <v>1</v>
      </c>
    </row>
    <row r="175" spans="1:9" x14ac:dyDescent="0.25">
      <c r="A175">
        <v>0.84000000000000097</v>
      </c>
      <c r="B175">
        <f t="shared" si="17"/>
        <v>0.74971488536548569</v>
      </c>
      <c r="C175">
        <f t="shared" si="18"/>
        <v>0.75028511463451431</v>
      </c>
      <c r="D175">
        <f t="shared" si="20"/>
        <v>0.74984388740986885</v>
      </c>
      <c r="E175">
        <f t="shared" si="21"/>
        <v>0.74977063648038345</v>
      </c>
      <c r="F175">
        <f t="shared" si="22"/>
        <v>0.74988531824019167</v>
      </c>
      <c r="G175">
        <f t="shared" si="24"/>
        <v>0.77935326469263189</v>
      </c>
      <c r="H175">
        <f t="shared" si="19"/>
        <v>0.72064673530736811</v>
      </c>
      <c r="I175" t="b">
        <f t="shared" si="23"/>
        <v>1</v>
      </c>
    </row>
    <row r="176" spans="1:9" x14ac:dyDescent="0.25">
      <c r="A176">
        <v>0.84500000000000097</v>
      </c>
      <c r="B176">
        <f t="shared" si="17"/>
        <v>0.74972754467407698</v>
      </c>
      <c r="C176">
        <f t="shared" si="18"/>
        <v>0.75027245532592302</v>
      </c>
      <c r="D176">
        <f t="shared" si="20"/>
        <v>0.74985081892868344</v>
      </c>
      <c r="E176">
        <f t="shared" si="21"/>
        <v>0.74976008877951961</v>
      </c>
      <c r="F176">
        <f t="shared" si="22"/>
        <v>0.74988004438975986</v>
      </c>
      <c r="G176">
        <f t="shared" si="24"/>
        <v>0.77935326469263189</v>
      </c>
      <c r="H176">
        <f t="shared" si="19"/>
        <v>0.72064673530736811</v>
      </c>
      <c r="I176" t="b">
        <f t="shared" si="23"/>
        <v>1</v>
      </c>
    </row>
    <row r="177" spans="1:9" x14ac:dyDescent="0.25">
      <c r="A177">
        <v>0.85000000000000098</v>
      </c>
      <c r="B177">
        <f t="shared" si="17"/>
        <v>0.74973964189965103</v>
      </c>
      <c r="C177">
        <f t="shared" si="18"/>
        <v>0.75026035810034897</v>
      </c>
      <c r="D177">
        <f t="shared" si="20"/>
        <v>0.74985744268274279</v>
      </c>
      <c r="E177">
        <f t="shared" si="21"/>
        <v>0.7497536539951537</v>
      </c>
      <c r="F177">
        <f t="shared" si="22"/>
        <v>0.74987682699757685</v>
      </c>
      <c r="G177">
        <f t="shared" si="24"/>
        <v>0.77935326469263189</v>
      </c>
      <c r="H177">
        <f t="shared" si="19"/>
        <v>0.72064673530736811</v>
      </c>
      <c r="I177" t="b">
        <f t="shared" si="23"/>
        <v>1</v>
      </c>
    </row>
    <row r="178" spans="1:9" x14ac:dyDescent="0.25">
      <c r="A178">
        <v>0.85500000000000098</v>
      </c>
      <c r="B178">
        <f t="shared" si="17"/>
        <v>0.74975120199912526</v>
      </c>
      <c r="C178">
        <f t="shared" si="18"/>
        <v>0.75024879800087474</v>
      </c>
      <c r="D178">
        <f t="shared" si="20"/>
        <v>0.74986377233703849</v>
      </c>
      <c r="E178">
        <f t="shared" si="21"/>
        <v>0.74975106075228559</v>
      </c>
      <c r="F178">
        <f t="shared" si="22"/>
        <v>0.74987553037614285</v>
      </c>
      <c r="G178">
        <f t="shared" si="24"/>
        <v>0.77935326469263189</v>
      </c>
      <c r="H178">
        <f t="shared" si="19"/>
        <v>0.72064673530736811</v>
      </c>
      <c r="I178" t="b">
        <f t="shared" si="23"/>
        <v>1</v>
      </c>
    </row>
    <row r="179" spans="1:9" x14ac:dyDescent="0.25">
      <c r="A179">
        <v>0.86000000000000099</v>
      </c>
      <c r="B179">
        <f t="shared" si="17"/>
        <v>0.74976224882131071</v>
      </c>
      <c r="C179">
        <f t="shared" si="18"/>
        <v>0.75023775117868929</v>
      </c>
      <c r="D179">
        <f t="shared" si="20"/>
        <v>0.74986982094982546</v>
      </c>
      <c r="E179">
        <f t="shared" si="21"/>
        <v>0.74975201004702852</v>
      </c>
      <c r="F179">
        <f t="shared" si="22"/>
        <v>0.74987600502351426</v>
      </c>
      <c r="G179">
        <f t="shared" si="24"/>
        <v>0.77935326469263189</v>
      </c>
      <c r="H179">
        <f t="shared" si="19"/>
        <v>0.72064673530736811</v>
      </c>
      <c r="I179" t="b">
        <f t="shared" si="23"/>
        <v>1</v>
      </c>
    </row>
    <row r="180" spans="1:9" x14ac:dyDescent="0.25">
      <c r="A180">
        <v>0.86500000000000099</v>
      </c>
      <c r="B180">
        <f t="shared" si="17"/>
        <v>0.749772805156113</v>
      </c>
      <c r="C180">
        <f t="shared" si="18"/>
        <v>0.750227194843887</v>
      </c>
      <c r="D180">
        <f t="shared" si="20"/>
        <v>0.74987560099956263</v>
      </c>
      <c r="E180">
        <f t="shared" si="21"/>
        <v>0.74975618163015512</v>
      </c>
      <c r="F180">
        <f t="shared" si="22"/>
        <v>0.74987809081507761</v>
      </c>
      <c r="G180">
        <f t="shared" si="24"/>
        <v>0.77935326469263189</v>
      </c>
      <c r="H180">
        <f t="shared" si="19"/>
        <v>0.72064673530736811</v>
      </c>
      <c r="I180" t="b">
        <f t="shared" si="23"/>
        <v>1</v>
      </c>
    </row>
    <row r="181" spans="1:9" x14ac:dyDescent="0.25">
      <c r="A181">
        <v>0.87000000000000099</v>
      </c>
      <c r="B181">
        <f t="shared" si="17"/>
        <v>0.7497828927815483</v>
      </c>
      <c r="C181">
        <f t="shared" si="18"/>
        <v>0.7502171072184517</v>
      </c>
      <c r="D181">
        <f t="shared" si="20"/>
        <v>0.74988112441065535</v>
      </c>
      <c r="E181">
        <f t="shared" si="21"/>
        <v>0.74976324011947693</v>
      </c>
      <c r="F181">
        <f t="shared" si="22"/>
        <v>0.74988162005973846</v>
      </c>
      <c r="G181">
        <f t="shared" si="24"/>
        <v>0.77935326469263189</v>
      </c>
      <c r="H181">
        <f t="shared" si="19"/>
        <v>0.72064673530736811</v>
      </c>
      <c r="I181" t="b">
        <f t="shared" si="23"/>
        <v>1</v>
      </c>
    </row>
    <row r="182" spans="1:9" x14ac:dyDescent="0.25">
      <c r="A182">
        <v>0.875000000000001</v>
      </c>
      <c r="B182">
        <f t="shared" si="17"/>
        <v>0.74979253250867228</v>
      </c>
      <c r="C182">
        <f t="shared" si="18"/>
        <v>0.75020746749132772</v>
      </c>
      <c r="D182">
        <f t="shared" si="20"/>
        <v>0.7498864025780565</v>
      </c>
      <c r="E182">
        <f t="shared" si="21"/>
        <v>0.74977284078314532</v>
      </c>
      <c r="F182">
        <f t="shared" si="22"/>
        <v>0.74988642039157261</v>
      </c>
      <c r="G182">
        <f t="shared" si="24"/>
        <v>0.77935326469263189</v>
      </c>
      <c r="H182">
        <f t="shared" si="19"/>
        <v>0.72064673530736811</v>
      </c>
      <c r="I182" t="b">
        <f t="shared" si="23"/>
        <v>1</v>
      </c>
    </row>
    <row r="183" spans="1:9" x14ac:dyDescent="0.25">
      <c r="A183">
        <v>0.880000000000001</v>
      </c>
      <c r="B183">
        <f t="shared" si="17"/>
        <v>0.74980174422451373</v>
      </c>
      <c r="C183">
        <f t="shared" si="18"/>
        <v>0.75019825577548627</v>
      </c>
      <c r="D183">
        <f t="shared" si="20"/>
        <v>0.74989144639077421</v>
      </c>
      <c r="E183">
        <f t="shared" si="21"/>
        <v>0.74978463494538294</v>
      </c>
      <c r="F183">
        <f t="shared" si="22"/>
        <v>0.74989231747269147</v>
      </c>
      <c r="G183">
        <f t="shared" si="24"/>
        <v>0.77935326469263189</v>
      </c>
      <c r="H183">
        <f t="shared" si="19"/>
        <v>0.72064673530736811</v>
      </c>
      <c r="I183" t="b">
        <f t="shared" si="23"/>
        <v>1</v>
      </c>
    </row>
    <row r="184" spans="1:9" x14ac:dyDescent="0.25">
      <c r="A184">
        <v>0.88500000000000101</v>
      </c>
      <c r="B184">
        <f t="shared" si="17"/>
        <v>0.74981054693310201</v>
      </c>
      <c r="C184">
        <f t="shared" si="18"/>
        <v>0.75018945306689799</v>
      </c>
      <c r="D184">
        <f t="shared" si="20"/>
        <v>0.74989626625433614</v>
      </c>
      <c r="E184">
        <f t="shared" si="21"/>
        <v>0.74979827497539109</v>
      </c>
      <c r="F184">
        <f t="shared" si="22"/>
        <v>0.74989913748769554</v>
      </c>
      <c r="G184">
        <f t="shared" si="24"/>
        <v>0.77935326469263189</v>
      </c>
      <c r="H184">
        <f t="shared" si="19"/>
        <v>0.72064673530736811</v>
      </c>
      <c r="I184" t="b">
        <f t="shared" si="23"/>
        <v>1</v>
      </c>
    </row>
    <row r="185" spans="1:9" x14ac:dyDescent="0.25">
      <c r="A185">
        <v>0.89000000000000101</v>
      </c>
      <c r="B185">
        <f t="shared" si="17"/>
        <v>0.74981895879467308</v>
      </c>
      <c r="C185">
        <f t="shared" si="18"/>
        <v>0.75018104120532692</v>
      </c>
      <c r="D185">
        <f t="shared" si="20"/>
        <v>0.74990087211225687</v>
      </c>
      <c r="E185">
        <f t="shared" si="21"/>
        <v>0.74981341882914432</v>
      </c>
      <c r="F185">
        <f t="shared" si="22"/>
        <v>0.74990670941457216</v>
      </c>
      <c r="G185">
        <f t="shared" si="24"/>
        <v>0.77935326469263189</v>
      </c>
      <c r="H185">
        <f t="shared" si="19"/>
        <v>0.72064673530736811</v>
      </c>
      <c r="I185" t="b">
        <f t="shared" si="23"/>
        <v>1</v>
      </c>
    </row>
    <row r="186" spans="1:9" x14ac:dyDescent="0.25">
      <c r="A186">
        <v>0.89500000000000102</v>
      </c>
      <c r="B186">
        <f t="shared" si="17"/>
        <v>0.7498269971631345</v>
      </c>
      <c r="C186">
        <f t="shared" si="18"/>
        <v>0.7501730028368655</v>
      </c>
      <c r="D186">
        <f t="shared" si="20"/>
        <v>0.749905273466551</v>
      </c>
      <c r="E186">
        <f t="shared" si="21"/>
        <v>0.74982973412237131</v>
      </c>
      <c r="F186">
        <f t="shared" si="22"/>
        <v>0.7499148670611856</v>
      </c>
      <c r="G186">
        <f t="shared" si="24"/>
        <v>0.77935326469263189</v>
      </c>
      <c r="H186">
        <f t="shared" si="19"/>
        <v>0.72064673530736811</v>
      </c>
      <c r="I186" t="b">
        <f t="shared" si="23"/>
        <v>1</v>
      </c>
    </row>
    <row r="187" spans="1:9" x14ac:dyDescent="0.25">
      <c r="A187">
        <v>0.90000000000000102</v>
      </c>
      <c r="B187">
        <f t="shared" si="17"/>
        <v>0.74983467862186692</v>
      </c>
      <c r="C187">
        <f t="shared" si="18"/>
        <v>0.75016532137813308</v>
      </c>
      <c r="D187">
        <f t="shared" si="20"/>
        <v>0.74990947939733654</v>
      </c>
      <c r="E187">
        <f t="shared" si="21"/>
        <v>0.74984690172115231</v>
      </c>
      <c r="F187">
        <f t="shared" si="22"/>
        <v>0.74992345086057621</v>
      </c>
      <c r="G187">
        <f t="shared" si="24"/>
        <v>0.77935326469263189</v>
      </c>
      <c r="H187">
        <f t="shared" si="19"/>
        <v>0.72064673530736811</v>
      </c>
      <c r="I187" t="b">
        <f t="shared" si="23"/>
        <v>1</v>
      </c>
    </row>
    <row r="188" spans="1:9" x14ac:dyDescent="0.25">
      <c r="A188">
        <v>0.90500000000000103</v>
      </c>
      <c r="B188">
        <f t="shared" si="17"/>
        <v>0.74984201901793635</v>
      </c>
      <c r="C188">
        <f t="shared" si="18"/>
        <v>0.75015798098206365</v>
      </c>
      <c r="D188">
        <f t="shared" si="20"/>
        <v>0.74991349858156719</v>
      </c>
      <c r="E188">
        <f t="shared" si="21"/>
        <v>0.74986461884417066</v>
      </c>
      <c r="F188">
        <f t="shared" si="22"/>
        <v>0.74993230942208533</v>
      </c>
      <c r="G188">
        <f t="shared" si="24"/>
        <v>0.77935326469263189</v>
      </c>
      <c r="H188">
        <f t="shared" si="19"/>
        <v>0.72064673530736811</v>
      </c>
      <c r="I188" t="b">
        <f t="shared" si="23"/>
        <v>1</v>
      </c>
    </row>
    <row r="189" spans="1:9" x14ac:dyDescent="0.25">
      <c r="A189">
        <v>0.91000000000000103</v>
      </c>
      <c r="B189">
        <f t="shared" si="17"/>
        <v>0.74984903349478671</v>
      </c>
      <c r="C189">
        <f t="shared" si="18"/>
        <v>0.75015096650521329</v>
      </c>
      <c r="D189">
        <f t="shared" si="20"/>
        <v>0.74991733931093352</v>
      </c>
      <c r="E189">
        <f t="shared" si="21"/>
        <v>0.74988260167767995</v>
      </c>
      <c r="F189">
        <f t="shared" si="22"/>
        <v>0.74994130083884003</v>
      </c>
      <c r="G189">
        <f t="shared" si="24"/>
        <v>0.77935326469263189</v>
      </c>
      <c r="H189">
        <f t="shared" si="19"/>
        <v>0.72064673530736811</v>
      </c>
      <c r="I189" t="b">
        <f t="shared" si="23"/>
        <v>1</v>
      </c>
    </row>
    <row r="190" spans="1:9" x14ac:dyDescent="0.25">
      <c r="A190">
        <v>0.91500000000000103</v>
      </c>
      <c r="B190">
        <f t="shared" si="17"/>
        <v>0.74985573652348136</v>
      </c>
      <c r="C190">
        <f t="shared" si="18"/>
        <v>0.75014426347651864</v>
      </c>
      <c r="D190">
        <f t="shared" si="20"/>
        <v>0.74992100950896812</v>
      </c>
      <c r="E190">
        <f t="shared" si="21"/>
        <v>0.74990058751065203</v>
      </c>
      <c r="F190">
        <f t="shared" si="22"/>
        <v>0.74995029375532607</v>
      </c>
      <c r="G190">
        <f t="shared" si="24"/>
        <v>0.77935326469263189</v>
      </c>
      <c r="H190">
        <f t="shared" si="19"/>
        <v>0.72064673530736811</v>
      </c>
      <c r="I190" t="b">
        <f t="shared" si="23"/>
        <v>1</v>
      </c>
    </row>
    <row r="191" spans="1:9" x14ac:dyDescent="0.25">
      <c r="A191">
        <v>0.92000000000000104</v>
      </c>
      <c r="B191">
        <f t="shared" si="17"/>
        <v>0.74986214193255762</v>
      </c>
      <c r="C191">
        <f t="shared" si="18"/>
        <v>0.75013785806744238</v>
      </c>
      <c r="D191">
        <f t="shared" si="20"/>
        <v>0.74992451674739335</v>
      </c>
      <c r="E191">
        <f t="shared" si="21"/>
        <v>0.74991833640331451</v>
      </c>
      <c r="F191">
        <f t="shared" si="22"/>
        <v>0.7499591682016572</v>
      </c>
      <c r="G191">
        <f t="shared" si="24"/>
        <v>0.77935326469263189</v>
      </c>
      <c r="H191">
        <f t="shared" si="19"/>
        <v>0.72064673530736811</v>
      </c>
      <c r="I191" t="b">
        <f t="shared" si="23"/>
        <v>1</v>
      </c>
    </row>
    <row r="192" spans="1:9" x14ac:dyDescent="0.25">
      <c r="A192">
        <v>0.92500000000000104</v>
      </c>
      <c r="B192">
        <f t="shared" si="17"/>
        <v>0.74986826293655495</v>
      </c>
      <c r="C192">
        <f t="shared" si="18"/>
        <v>0.75013173706344505</v>
      </c>
      <c r="D192">
        <f t="shared" si="20"/>
        <v>0.74992786826174074</v>
      </c>
      <c r="E192">
        <f t="shared" si="21"/>
        <v>0.74993563240735917</v>
      </c>
      <c r="F192">
        <f t="shared" si="22"/>
        <v>0.74996781620367958</v>
      </c>
      <c r="G192">
        <f t="shared" si="24"/>
        <v>0.77935326469263189</v>
      </c>
      <c r="H192">
        <f t="shared" si="19"/>
        <v>0.72064673530736811</v>
      </c>
      <c r="I192" t="b">
        <f t="shared" si="23"/>
        <v>1</v>
      </c>
    </row>
    <row r="193" spans="1:9" x14ac:dyDescent="0.25">
      <c r="A193">
        <v>0.93000000000000105</v>
      </c>
      <c r="B193">
        <f t="shared" si="17"/>
        <v>0.74987411216327704</v>
      </c>
      <c r="C193">
        <f t="shared" si="18"/>
        <v>0.75012588783672296</v>
      </c>
      <c r="D193">
        <f t="shared" si="20"/>
        <v>0.74993107096627887</v>
      </c>
      <c r="E193">
        <f t="shared" si="21"/>
        <v>0.74995228436048911</v>
      </c>
      <c r="F193">
        <f t="shared" si="22"/>
        <v>0.74997614218024455</v>
      </c>
      <c r="G193">
        <f t="shared" si="24"/>
        <v>0.77935326469263189</v>
      </c>
      <c r="H193">
        <f t="shared" si="19"/>
        <v>0.72064673530736811</v>
      </c>
      <c r="I193" t="b">
        <f t="shared" si="23"/>
        <v>1</v>
      </c>
    </row>
    <row r="194" spans="1:9" x14ac:dyDescent="0.25">
      <c r="A194">
        <v>0.93500000000000105</v>
      </c>
      <c r="B194">
        <f t="shared" si="17"/>
        <v>0.74987970167984352</v>
      </c>
      <c r="C194">
        <f t="shared" si="18"/>
        <v>0.75012029832015648</v>
      </c>
      <c r="D194">
        <f t="shared" si="20"/>
        <v>0.74993413146827748</v>
      </c>
      <c r="E194">
        <f t="shared" si="21"/>
        <v>0.74996812628167697</v>
      </c>
      <c r="F194">
        <f t="shared" si="22"/>
        <v>0.74998406314083843</v>
      </c>
      <c r="G194">
        <f t="shared" si="24"/>
        <v>0.77935326469263189</v>
      </c>
      <c r="H194">
        <f t="shared" si="19"/>
        <v>0.72064673530736811</v>
      </c>
      <c r="I194" t="b">
        <f t="shared" si="23"/>
        <v>1</v>
      </c>
    </row>
    <row r="195" spans="1:9" x14ac:dyDescent="0.25">
      <c r="A195">
        <v>0.94000000000000095</v>
      </c>
      <c r="B195">
        <f t="shared" si="17"/>
        <v>0.74988504301758463</v>
      </c>
      <c r="C195">
        <f t="shared" si="18"/>
        <v>0.75011495698241537</v>
      </c>
      <c r="D195">
        <f t="shared" si="20"/>
        <v>0.74993705608163852</v>
      </c>
      <c r="E195">
        <f t="shared" si="21"/>
        <v>0.74998301739653661</v>
      </c>
      <c r="F195">
        <f t="shared" si="22"/>
        <v>0.74999150869826825</v>
      </c>
      <c r="G195">
        <f t="shared" si="24"/>
        <v>0.77935326469263189</v>
      </c>
      <c r="H195">
        <f t="shared" si="19"/>
        <v>0.72064673530736811</v>
      </c>
      <c r="I195" t="b">
        <f t="shared" si="23"/>
        <v>1</v>
      </c>
    </row>
    <row r="196" spans="1:9" x14ac:dyDescent="0.25">
      <c r="A196">
        <v>0.94500000000000095</v>
      </c>
      <c r="B196">
        <f t="shared" si="17"/>
        <v>0.74989014719583069</v>
      </c>
      <c r="C196">
        <f t="shared" si="18"/>
        <v>0.75010985280416931</v>
      </c>
      <c r="D196">
        <f t="shared" si="20"/>
        <v>0.74993985083992176</v>
      </c>
      <c r="E196">
        <f t="shared" si="21"/>
        <v>0.74999684182458826</v>
      </c>
      <c r="F196">
        <f t="shared" si="22"/>
        <v>0.74999842091229418</v>
      </c>
      <c r="G196">
        <f t="shared" si="24"/>
        <v>0.77935326469263189</v>
      </c>
      <c r="H196">
        <f t="shared" si="19"/>
        <v>0.72064673530736811</v>
      </c>
      <c r="I196" t="b">
        <f t="shared" si="23"/>
        <v>1</v>
      </c>
    </row>
    <row r="197" spans="1:9" x14ac:dyDescent="0.25">
      <c r="A197">
        <v>0.95000000000000095</v>
      </c>
      <c r="B197">
        <f t="shared" si="17"/>
        <v>0.7498950247446452</v>
      </c>
      <c r="C197">
        <f t="shared" si="18"/>
        <v>0.7501049752553548</v>
      </c>
      <c r="D197">
        <f t="shared" si="20"/>
        <v>0.74994252150879226</v>
      </c>
      <c r="E197">
        <f t="shared" si="21"/>
        <v>0.7500095079619421</v>
      </c>
      <c r="F197">
        <f t="shared" si="22"/>
        <v>0.750004753980971</v>
      </c>
      <c r="G197">
        <f t="shared" si="24"/>
        <v>0.77935326469263189</v>
      </c>
      <c r="H197">
        <f t="shared" si="19"/>
        <v>0.72064673530736811</v>
      </c>
      <c r="I197" t="b">
        <f t="shared" si="23"/>
        <v>1</v>
      </c>
    </row>
    <row r="198" spans="1:9" x14ac:dyDescent="0.25">
      <c r="A198">
        <v>0.95500000000000096</v>
      </c>
      <c r="B198">
        <f t="shared" si="17"/>
        <v>0.74989968572654908</v>
      </c>
      <c r="C198">
        <f t="shared" si="18"/>
        <v>0.75010031427345092</v>
      </c>
      <c r="D198">
        <f t="shared" si="20"/>
        <v>0.74994507359791529</v>
      </c>
      <c r="E198">
        <f t="shared" si="21"/>
        <v>0.75002094759407323</v>
      </c>
      <c r="F198">
        <f t="shared" si="22"/>
        <v>0.75001047379703667</v>
      </c>
      <c r="G198">
        <f t="shared" si="24"/>
        <v>0.77935326469263189</v>
      </c>
      <c r="H198">
        <f t="shared" si="19"/>
        <v>0.72064673530736811</v>
      </c>
      <c r="I198" t="b">
        <f t="shared" si="23"/>
        <v>1</v>
      </c>
    </row>
    <row r="199" spans="1:9" x14ac:dyDescent="0.25">
      <c r="A199">
        <v>0.96000000000000096</v>
      </c>
      <c r="B199">
        <f t="shared" ref="B199:B262" si="25">$J$6-$M$8*EXP(-$M$10*A199)</f>
        <v>0.7499041397572791</v>
      </c>
      <c r="C199">
        <f t="shared" ref="C199:C262" si="26">$J$6+$M$8*EXP(-$M$10*A199)</f>
        <v>0.7500958602427209</v>
      </c>
      <c r="D199">
        <f t="shared" si="20"/>
        <v>0.7499475123723226</v>
      </c>
      <c r="E199">
        <f t="shared" si="21"/>
        <v>0.75003111477394802</v>
      </c>
      <c r="F199">
        <f t="shared" si="22"/>
        <v>0.75001555738697401</v>
      </c>
      <c r="G199">
        <f t="shared" si="24"/>
        <v>0.77935326469263189</v>
      </c>
      <c r="H199">
        <f t="shared" si="19"/>
        <v>0.72064673530736811</v>
      </c>
      <c r="I199" t="b">
        <f t="shared" si="23"/>
        <v>1</v>
      </c>
    </row>
    <row r="200" spans="1:9" x14ac:dyDescent="0.25">
      <c r="A200">
        <v>0.96500000000000097</v>
      </c>
      <c r="B200">
        <f t="shared" si="25"/>
        <v>0.74990839602562642</v>
      </c>
      <c r="C200">
        <f t="shared" si="26"/>
        <v>0.75009160397437358</v>
      </c>
      <c r="D200">
        <f t="shared" si="20"/>
        <v>0.74994984286327449</v>
      </c>
      <c r="E200">
        <f t="shared" si="21"/>
        <v>0.75003998450082565</v>
      </c>
      <c r="F200">
        <f t="shared" si="22"/>
        <v>0.75001999225041283</v>
      </c>
      <c r="G200">
        <f t="shared" si="24"/>
        <v>0.77935326469263189</v>
      </c>
      <c r="H200">
        <f t="shared" ref="H200:H263" si="27">MIN(B200,$J$6-$M$13)</f>
        <v>0.72064673530736811</v>
      </c>
      <c r="I200" t="b">
        <f t="shared" si="23"/>
        <v>1</v>
      </c>
    </row>
    <row r="201" spans="1:9" x14ac:dyDescent="0.25">
      <c r="A201">
        <v>0.97000000000000097</v>
      </c>
      <c r="B201">
        <f t="shared" si="25"/>
        <v>0.74991246331239247</v>
      </c>
      <c r="C201">
        <f t="shared" si="26"/>
        <v>0.75008753668760753</v>
      </c>
      <c r="D201">
        <f t="shared" si="20"/>
        <v>0.7499520698786396</v>
      </c>
      <c r="E201">
        <f t="shared" si="21"/>
        <v>0.75004755123464972</v>
      </c>
      <c r="F201">
        <f t="shared" si="22"/>
        <v>0.75002377561732492</v>
      </c>
      <c r="G201">
        <f t="shared" si="24"/>
        <v>0.77935326469263189</v>
      </c>
      <c r="H201">
        <f t="shared" si="27"/>
        <v>0.72064673530736811</v>
      </c>
      <c r="I201" t="b">
        <f t="shared" si="23"/>
        <v>1</v>
      </c>
    </row>
    <row r="202" spans="1:9" x14ac:dyDescent="0.25">
      <c r="A202">
        <v>0.97500000000000098</v>
      </c>
      <c r="B202">
        <f t="shared" si="25"/>
        <v>0.74991635000850465</v>
      </c>
      <c r="C202">
        <f t="shared" si="26"/>
        <v>0.75008364999149535</v>
      </c>
      <c r="D202">
        <f t="shared" ref="D202:D265" si="28">$J$6-0.5*$M$8*EXP(-$M$10*A200)</f>
        <v>0.74995419801281316</v>
      </c>
      <c r="E202">
        <f t="shared" ref="E202:E265" si="29">$J$6-$M$8*EXP(-$M$10*A200)*SIN($M$12*A200+PI()/2)</f>
        <v>0.75005382728010139</v>
      </c>
      <c r="F202">
        <f t="shared" ref="F202:F265" si="30">$J$6-$M$8*EXP(-$M$10*A200)*SIN($M$12*A200+PI()/2)*$J$17</f>
        <v>0.7500269136400507</v>
      </c>
      <c r="G202">
        <f t="shared" si="24"/>
        <v>0.77935326469263189</v>
      </c>
      <c r="H202">
        <f t="shared" si="27"/>
        <v>0.72064673530736811</v>
      </c>
      <c r="I202" t="b">
        <f t="shared" si="23"/>
        <v>1</v>
      </c>
    </row>
    <row r="203" spans="1:9" x14ac:dyDescent="0.25">
      <c r="A203">
        <v>0.98000000000000098</v>
      </c>
      <c r="B203">
        <f t="shared" si="25"/>
        <v>0.74992006413232648</v>
      </c>
      <c r="C203">
        <f t="shared" si="26"/>
        <v>0.75007993586767352</v>
      </c>
      <c r="D203">
        <f t="shared" si="28"/>
        <v>0.74995623165619629</v>
      </c>
      <c r="E203">
        <f t="shared" si="29"/>
        <v>0.75005884107316678</v>
      </c>
      <c r="F203">
        <f t="shared" si="30"/>
        <v>0.75002942053658339</v>
      </c>
      <c r="G203">
        <f t="shared" si="24"/>
        <v>0.77935326469263189</v>
      </c>
      <c r="H203">
        <f t="shared" si="27"/>
        <v>0.72064673530736811</v>
      </c>
      <c r="I203" t="b">
        <f t="shared" si="23"/>
        <v>1</v>
      </c>
    </row>
    <row r="204" spans="1:9" x14ac:dyDescent="0.25">
      <c r="A204">
        <v>0.98500000000000099</v>
      </c>
      <c r="B204">
        <f t="shared" si="25"/>
        <v>0.74992361334620006</v>
      </c>
      <c r="C204">
        <f t="shared" si="26"/>
        <v>0.75007638665379994</v>
      </c>
      <c r="D204">
        <f t="shared" si="28"/>
        <v>0.74995817500425233</v>
      </c>
      <c r="E204">
        <f t="shared" si="29"/>
        <v>0.75006263540151596</v>
      </c>
      <c r="F204">
        <f t="shared" si="30"/>
        <v>0.75003131770075804</v>
      </c>
      <c r="G204">
        <f t="shared" si="24"/>
        <v>0.77935326469263189</v>
      </c>
      <c r="H204">
        <f t="shared" si="27"/>
        <v>0.72064673530736811</v>
      </c>
      <c r="I204" t="b">
        <f t="shared" si="23"/>
        <v>1</v>
      </c>
    </row>
    <row r="205" spans="1:9" x14ac:dyDescent="0.25">
      <c r="A205">
        <v>0.99000000000000099</v>
      </c>
      <c r="B205">
        <f t="shared" si="25"/>
        <v>0.74992700497225373</v>
      </c>
      <c r="C205">
        <f t="shared" si="26"/>
        <v>0.75007299502774627</v>
      </c>
      <c r="D205">
        <f t="shared" si="28"/>
        <v>0.74996003206616324</v>
      </c>
      <c r="E205">
        <f t="shared" si="29"/>
        <v>0.750065265588156</v>
      </c>
      <c r="F205">
        <f t="shared" si="30"/>
        <v>0.75003263279407806</v>
      </c>
      <c r="G205">
        <f t="shared" si="24"/>
        <v>0.77935326469263189</v>
      </c>
      <c r="H205">
        <f t="shared" si="27"/>
        <v>0.72064673530736811</v>
      </c>
      <c r="I205" t="b">
        <f t="shared" si="23"/>
        <v>1</v>
      </c>
    </row>
    <row r="206" spans="1:9" x14ac:dyDescent="0.25">
      <c r="A206">
        <v>0.99500000000000099</v>
      </c>
      <c r="B206">
        <f t="shared" si="25"/>
        <v>0.74993024600750768</v>
      </c>
      <c r="C206">
        <f t="shared" si="26"/>
        <v>0.75006975399249232</v>
      </c>
      <c r="D206">
        <f t="shared" si="28"/>
        <v>0.74996180667310008</v>
      </c>
      <c r="E206">
        <f t="shared" si="29"/>
        <v>0.75006679766575124</v>
      </c>
      <c r="F206">
        <f t="shared" si="30"/>
        <v>0.75003339883287568</v>
      </c>
      <c r="G206">
        <f t="shared" si="24"/>
        <v>0.77935326469263189</v>
      </c>
      <c r="H206">
        <f t="shared" si="27"/>
        <v>0.72064673530736811</v>
      </c>
      <c r="I206" t="b">
        <f t="shared" si="23"/>
        <v>1</v>
      </c>
    </row>
    <row r="207" spans="1:9" x14ac:dyDescent="0.25">
      <c r="A207">
        <v>1</v>
      </c>
      <c r="B207">
        <f t="shared" si="25"/>
        <v>0.74993334313830884</v>
      </c>
      <c r="C207">
        <f t="shared" si="26"/>
        <v>0.75006665686169116</v>
      </c>
      <c r="D207">
        <f t="shared" si="28"/>
        <v>0.74996350248612687</v>
      </c>
      <c r="E207">
        <f t="shared" si="29"/>
        <v>0.75006730656675125</v>
      </c>
      <c r="F207">
        <f t="shared" si="30"/>
        <v>0.75003365328337557</v>
      </c>
      <c r="G207">
        <f t="shared" si="24"/>
        <v>0.77935326469263189</v>
      </c>
      <c r="H207">
        <f t="shared" si="27"/>
        <v>0.72064673530736811</v>
      </c>
      <c r="I207" t="b">
        <f t="shared" si="23"/>
        <v>1</v>
      </c>
    </row>
    <row r="208" spans="1:9" x14ac:dyDescent="0.25">
      <c r="A208">
        <v>1.0049999999999999</v>
      </c>
      <c r="B208">
        <f t="shared" si="25"/>
        <v>0.74993630275412559</v>
      </c>
      <c r="C208">
        <f t="shared" si="26"/>
        <v>0.75006369724587441</v>
      </c>
      <c r="D208">
        <f t="shared" si="28"/>
        <v>0.74996512300375384</v>
      </c>
      <c r="E208">
        <f t="shared" si="29"/>
        <v>0.75006687435207087</v>
      </c>
      <c r="F208">
        <f t="shared" si="30"/>
        <v>0.75003343717603543</v>
      </c>
      <c r="G208">
        <f t="shared" si="24"/>
        <v>0.77935326469263189</v>
      </c>
      <c r="H208">
        <f t="shared" si="27"/>
        <v>0.72064673530736811</v>
      </c>
      <c r="I208" t="b">
        <f t="shared" si="23"/>
        <v>1</v>
      </c>
    </row>
    <row r="209" spans="1:9" x14ac:dyDescent="0.25">
      <c r="A209">
        <v>1.01</v>
      </c>
      <c r="B209">
        <f t="shared" si="25"/>
        <v>0.74993913096072851</v>
      </c>
      <c r="C209">
        <f t="shared" si="26"/>
        <v>0.75006086903927149</v>
      </c>
      <c r="D209">
        <f t="shared" si="28"/>
        <v>0.74996667156915442</v>
      </c>
      <c r="E209">
        <f t="shared" si="29"/>
        <v>0.75006558849858096</v>
      </c>
      <c r="F209">
        <f t="shared" si="30"/>
        <v>0.75003279424929048</v>
      </c>
      <c r="G209">
        <f t="shared" si="24"/>
        <v>0.77935326469263189</v>
      </c>
      <c r="H209">
        <f t="shared" si="27"/>
        <v>0.72064673530736811</v>
      </c>
      <c r="I209" t="b">
        <f t="shared" si="23"/>
        <v>1</v>
      </c>
    </row>
    <row r="210" spans="1:9" x14ac:dyDescent="0.25">
      <c r="A210">
        <v>1.0149999999999999</v>
      </c>
      <c r="B210">
        <f t="shared" si="25"/>
        <v>0.74994183359278777</v>
      </c>
      <c r="C210">
        <f t="shared" si="26"/>
        <v>0.75005816640721223</v>
      </c>
      <c r="D210">
        <f t="shared" si="28"/>
        <v>0.74996815137706274</v>
      </c>
      <c r="E210">
        <f t="shared" si="29"/>
        <v>0.75006354026312261</v>
      </c>
      <c r="F210">
        <f t="shared" si="30"/>
        <v>0.7500317701315613</v>
      </c>
      <c r="G210">
        <f t="shared" si="24"/>
        <v>0.77935326469263189</v>
      </c>
      <c r="H210">
        <f t="shared" si="27"/>
        <v>0.72064673530736811</v>
      </c>
      <c r="I210" t="b">
        <f t="shared" si="23"/>
        <v>1</v>
      </c>
    </row>
    <row r="211" spans="1:9" x14ac:dyDescent="0.25">
      <c r="A211">
        <v>1.02</v>
      </c>
      <c r="B211">
        <f t="shared" si="25"/>
        <v>0.74994441622590935</v>
      </c>
      <c r="C211">
        <f t="shared" si="26"/>
        <v>0.75005558377409065</v>
      </c>
      <c r="D211">
        <f t="shared" si="28"/>
        <v>0.74996956548036431</v>
      </c>
      <c r="E211">
        <f t="shared" si="29"/>
        <v>0.75006082313820255</v>
      </c>
      <c r="F211">
        <f t="shared" si="30"/>
        <v>0.75003041156910133</v>
      </c>
      <c r="G211">
        <f t="shared" si="24"/>
        <v>0.77935326469263189</v>
      </c>
      <c r="H211">
        <f t="shared" si="27"/>
        <v>0.72064673530736811</v>
      </c>
      <c r="I211" t="b">
        <f t="shared" si="23"/>
        <v>1</v>
      </c>
    </row>
    <row r="212" spans="1:9" x14ac:dyDescent="0.25">
      <c r="A212">
        <v>1.0249999999999999</v>
      </c>
      <c r="B212">
        <f t="shared" si="25"/>
        <v>0.74994688418813815</v>
      </c>
      <c r="C212">
        <f t="shared" si="26"/>
        <v>0.75005311581186185</v>
      </c>
      <c r="D212">
        <f t="shared" si="28"/>
        <v>0.74997091679639383</v>
      </c>
      <c r="E212">
        <f t="shared" si="29"/>
        <v>0.75005753141198905</v>
      </c>
      <c r="F212">
        <f t="shared" si="30"/>
        <v>0.75002876570599453</v>
      </c>
      <c r="G212">
        <f t="shared" si="24"/>
        <v>0.77935326469263189</v>
      </c>
      <c r="H212">
        <f t="shared" si="27"/>
        <v>0.72064673530736811</v>
      </c>
      <c r="I212" t="b">
        <f t="shared" si="23"/>
        <v>1</v>
      </c>
    </row>
    <row r="213" spans="1:9" x14ac:dyDescent="0.25">
      <c r="A213">
        <v>1.03</v>
      </c>
      <c r="B213">
        <f t="shared" si="25"/>
        <v>0.74994924257094997</v>
      </c>
      <c r="C213">
        <f t="shared" si="26"/>
        <v>0.75005075742905003</v>
      </c>
      <c r="D213">
        <f t="shared" si="28"/>
        <v>0.74997220811295462</v>
      </c>
      <c r="E213">
        <f t="shared" si="29"/>
        <v>0.75005375884273884</v>
      </c>
      <c r="F213">
        <f t="shared" si="30"/>
        <v>0.75002687942136947</v>
      </c>
      <c r="G213">
        <f t="shared" si="24"/>
        <v>0.77935326469263189</v>
      </c>
      <c r="H213">
        <f t="shared" si="27"/>
        <v>0.72064673530736811</v>
      </c>
      <c r="I213" t="b">
        <f t="shared" si="23"/>
        <v>1</v>
      </c>
    </row>
    <row r="214" spans="1:9" x14ac:dyDescent="0.25">
      <c r="A214">
        <v>1.0349999999999999</v>
      </c>
      <c r="B214">
        <f t="shared" si="25"/>
        <v>0.74995149623975499</v>
      </c>
      <c r="C214">
        <f t="shared" si="26"/>
        <v>0.75004850376024501</v>
      </c>
      <c r="D214">
        <f t="shared" si="28"/>
        <v>0.74997344209406913</v>
      </c>
      <c r="E214">
        <f t="shared" si="29"/>
        <v>0.75004959745538691</v>
      </c>
      <c r="F214">
        <f t="shared" si="30"/>
        <v>0.75002479872769345</v>
      </c>
      <c r="G214">
        <f t="shared" si="24"/>
        <v>0.77935326469263189</v>
      </c>
      <c r="H214">
        <f t="shared" si="27"/>
        <v>0.72064673530736811</v>
      </c>
      <c r="I214" t="b">
        <f t="shared" si="23"/>
        <v>1</v>
      </c>
    </row>
    <row r="215" spans="1:9" x14ac:dyDescent="0.25">
      <c r="A215">
        <v>1.04</v>
      </c>
      <c r="B215">
        <f t="shared" si="25"/>
        <v>0.74995364984393531</v>
      </c>
      <c r="C215">
        <f t="shared" si="26"/>
        <v>0.75004635015606469</v>
      </c>
      <c r="D215">
        <f t="shared" si="28"/>
        <v>0.74997462128547498</v>
      </c>
      <c r="E215">
        <f t="shared" si="29"/>
        <v>0.7500451364657259</v>
      </c>
      <c r="F215">
        <f t="shared" si="30"/>
        <v>0.75002256823286295</v>
      </c>
      <c r="G215">
        <f t="shared" si="24"/>
        <v>0.77935326469263189</v>
      </c>
      <c r="H215">
        <f t="shared" si="27"/>
        <v>0.72064673530736811</v>
      </c>
      <c r="I215" t="b">
        <f t="shared" ref="I215:I270" si="31">IF(I214,TRUE,IF(E215&lt;E214,TRUE))</f>
        <v>1</v>
      </c>
    </row>
    <row r="216" spans="1:9" x14ac:dyDescent="0.25">
      <c r="A216">
        <v>1.0449999999999999</v>
      </c>
      <c r="B216">
        <f t="shared" si="25"/>
        <v>0.74995570782643728</v>
      </c>
      <c r="C216">
        <f t="shared" si="26"/>
        <v>0.75004429217356272</v>
      </c>
      <c r="D216">
        <f t="shared" si="28"/>
        <v>0.74997574811987744</v>
      </c>
      <c r="E216">
        <f t="shared" si="29"/>
        <v>0.75004046133543367</v>
      </c>
      <c r="F216">
        <f t="shared" si="30"/>
        <v>0.75002023066771684</v>
      </c>
      <c r="G216">
        <f t="shared" si="24"/>
        <v>0.77935326469263189</v>
      </c>
      <c r="H216">
        <f t="shared" si="27"/>
        <v>0.72064673530736811</v>
      </c>
      <c r="I216" t="b">
        <f t="shared" si="31"/>
        <v>1</v>
      </c>
    </row>
    <row r="217" spans="1:9" x14ac:dyDescent="0.25">
      <c r="A217">
        <v>1.05</v>
      </c>
      <c r="B217">
        <f t="shared" si="25"/>
        <v>0.74995767443293671</v>
      </c>
      <c r="C217">
        <f t="shared" si="26"/>
        <v>0.75004232556706329</v>
      </c>
      <c r="D217">
        <f t="shared" si="28"/>
        <v>0.74997682492196771</v>
      </c>
      <c r="E217">
        <f t="shared" si="29"/>
        <v>0.75003565295918151</v>
      </c>
      <c r="F217">
        <f t="shared" si="30"/>
        <v>0.75001782647959081</v>
      </c>
      <c r="G217">
        <f t="shared" ref="G217:G270" si="32">IF(I217,MAX(C217,$J$6+$M$13),MAX(E217,$J$6+$M$13))</f>
        <v>0.77935326469263189</v>
      </c>
      <c r="H217">
        <f t="shared" si="27"/>
        <v>0.72064673530736811</v>
      </c>
      <c r="I217" t="b">
        <f t="shared" si="31"/>
        <v>1</v>
      </c>
    </row>
    <row r="218" spans="1:9" x14ac:dyDescent="0.25">
      <c r="A218">
        <v>1.0549999999999999</v>
      </c>
      <c r="B218">
        <f t="shared" si="25"/>
        <v>0.74995955372059819</v>
      </c>
      <c r="C218">
        <f t="shared" si="26"/>
        <v>0.75004044627940181</v>
      </c>
      <c r="D218">
        <f t="shared" si="28"/>
        <v>0.74997785391321869</v>
      </c>
      <c r="E218">
        <f t="shared" si="29"/>
        <v>0.75003078698318382</v>
      </c>
      <c r="F218">
        <f t="shared" si="30"/>
        <v>0.75001539349159185</v>
      </c>
      <c r="G218">
        <f t="shared" si="32"/>
        <v>0.77935326469263189</v>
      </c>
      <c r="H218">
        <f t="shared" si="27"/>
        <v>0.72064673530736811</v>
      </c>
      <c r="I218" t="b">
        <f t="shared" si="31"/>
        <v>1</v>
      </c>
    </row>
    <row r="219" spans="1:9" x14ac:dyDescent="0.25">
      <c r="A219">
        <v>1.06</v>
      </c>
      <c r="B219">
        <f t="shared" si="25"/>
        <v>0.74996134956644522</v>
      </c>
      <c r="C219">
        <f t="shared" si="26"/>
        <v>0.75003865043355478</v>
      </c>
      <c r="D219">
        <f t="shared" si="28"/>
        <v>0.7499788372164683</v>
      </c>
      <c r="E219">
        <f t="shared" si="29"/>
        <v>0.75002593325286082</v>
      </c>
      <c r="F219">
        <f t="shared" si="30"/>
        <v>0.75001296662643036</v>
      </c>
      <c r="G219">
        <f t="shared" si="32"/>
        <v>0.77935326469263189</v>
      </c>
      <c r="H219">
        <f t="shared" si="27"/>
        <v>0.72064673530736811</v>
      </c>
      <c r="I219" t="b">
        <f t="shared" si="31"/>
        <v>1</v>
      </c>
    </row>
    <row r="220" spans="1:9" x14ac:dyDescent="0.25">
      <c r="A220">
        <v>1.0649999999999999</v>
      </c>
      <c r="B220">
        <f t="shared" si="25"/>
        <v>0.74996306567535831</v>
      </c>
      <c r="C220">
        <f t="shared" si="26"/>
        <v>0.75003693432464169</v>
      </c>
      <c r="D220">
        <f t="shared" si="28"/>
        <v>0.74997977686029904</v>
      </c>
      <c r="E220">
        <f t="shared" si="29"/>
        <v>0.75002115538576164</v>
      </c>
      <c r="F220">
        <f t="shared" si="30"/>
        <v>0.75001057769288082</v>
      </c>
      <c r="G220">
        <f t="shared" si="32"/>
        <v>0.77935326469263189</v>
      </c>
      <c r="H220">
        <f t="shared" si="27"/>
        <v>0.72064673530736811</v>
      </c>
      <c r="I220" t="b">
        <f t="shared" si="31"/>
        <v>1</v>
      </c>
    </row>
    <row r="221" spans="1:9" x14ac:dyDescent="0.25">
      <c r="A221">
        <v>1.07</v>
      </c>
      <c r="B221">
        <f t="shared" si="25"/>
        <v>0.74996470558771866</v>
      </c>
      <c r="C221">
        <f t="shared" si="26"/>
        <v>0.75003529441228134</v>
      </c>
      <c r="D221">
        <f t="shared" si="28"/>
        <v>0.74998067478322261</v>
      </c>
      <c r="E221">
        <f t="shared" si="29"/>
        <v>0.75001651046456286</v>
      </c>
      <c r="F221">
        <f t="shared" si="30"/>
        <v>0.75000825523228143</v>
      </c>
      <c r="G221">
        <f t="shared" si="32"/>
        <v>0.77935326469263189</v>
      </c>
      <c r="H221">
        <f t="shared" si="27"/>
        <v>0.72064673530736811</v>
      </c>
      <c r="I221" t="b">
        <f t="shared" si="31"/>
        <v>1</v>
      </c>
    </row>
    <row r="222" spans="1:9" x14ac:dyDescent="0.25">
      <c r="A222">
        <v>1.075</v>
      </c>
      <c r="B222">
        <f t="shared" si="25"/>
        <v>0.74996627268671157</v>
      </c>
      <c r="C222">
        <f t="shared" si="26"/>
        <v>0.75003372731328843</v>
      </c>
      <c r="D222">
        <f t="shared" si="28"/>
        <v>0.74998153283767921</v>
      </c>
      <c r="E222">
        <f t="shared" si="29"/>
        <v>0.75001204884380823</v>
      </c>
      <c r="F222">
        <f t="shared" si="30"/>
        <v>0.75000602442190412</v>
      </c>
      <c r="G222">
        <f t="shared" si="32"/>
        <v>0.77935326469263189</v>
      </c>
      <c r="H222">
        <f t="shared" si="27"/>
        <v>0.72064673530736811</v>
      </c>
      <c r="I222" t="b">
        <f t="shared" si="31"/>
        <v>1</v>
      </c>
    </row>
    <row r="223" spans="1:9" x14ac:dyDescent="0.25">
      <c r="A223">
        <v>1.08</v>
      </c>
      <c r="B223">
        <f t="shared" si="25"/>
        <v>0.74996777020530647</v>
      </c>
      <c r="C223">
        <f t="shared" si="26"/>
        <v>0.75003222979469353</v>
      </c>
      <c r="D223">
        <f t="shared" si="28"/>
        <v>0.74998235279385927</v>
      </c>
      <c r="E223">
        <f t="shared" si="29"/>
        <v>0.75000781406308836</v>
      </c>
      <c r="F223">
        <f t="shared" si="30"/>
        <v>0.75000390703154418</v>
      </c>
      <c r="G223">
        <f t="shared" si="32"/>
        <v>0.77935326469263189</v>
      </c>
      <c r="H223">
        <f t="shared" si="27"/>
        <v>0.72064673530736811</v>
      </c>
      <c r="I223" t="b">
        <f t="shared" si="31"/>
        <v>1</v>
      </c>
    </row>
    <row r="224" spans="1:9" x14ac:dyDescent="0.25">
      <c r="A224">
        <v>1.085</v>
      </c>
      <c r="B224">
        <f t="shared" si="25"/>
        <v>0.74996920123292654</v>
      </c>
      <c r="C224">
        <f t="shared" si="26"/>
        <v>0.75003079876707346</v>
      </c>
      <c r="D224">
        <f t="shared" si="28"/>
        <v>0.74998313634335578</v>
      </c>
      <c r="E224">
        <f t="shared" si="29"/>
        <v>0.75000384285857435</v>
      </c>
      <c r="F224">
        <f t="shared" si="30"/>
        <v>0.75000192142928712</v>
      </c>
      <c r="G224">
        <f t="shared" si="32"/>
        <v>0.77935326469263189</v>
      </c>
      <c r="H224">
        <f t="shared" si="27"/>
        <v>0.72064673530736811</v>
      </c>
      <c r="I224" t="b">
        <f t="shared" si="31"/>
        <v>1</v>
      </c>
    </row>
    <row r="225" spans="1:9" x14ac:dyDescent="0.25">
      <c r="A225">
        <v>1.0900000000000001</v>
      </c>
      <c r="B225">
        <f t="shared" si="25"/>
        <v>0.74997056872182188</v>
      </c>
      <c r="C225">
        <f t="shared" si="26"/>
        <v>0.75002943127817812</v>
      </c>
      <c r="D225">
        <f t="shared" si="28"/>
        <v>0.74998388510265324</v>
      </c>
      <c r="E225">
        <f t="shared" si="29"/>
        <v>0.75000016526421376</v>
      </c>
      <c r="F225">
        <f t="shared" si="30"/>
        <v>0.75000008263210682</v>
      </c>
      <c r="G225">
        <f t="shared" si="32"/>
        <v>0.77935326469263189</v>
      </c>
      <c r="H225">
        <f t="shared" si="27"/>
        <v>0.72064673530736811</v>
      </c>
      <c r="I225" t="b">
        <f t="shared" si="31"/>
        <v>1</v>
      </c>
    </row>
    <row r="226" spans="1:9" x14ac:dyDescent="0.25">
      <c r="A226">
        <v>1.095</v>
      </c>
      <c r="B226">
        <f t="shared" si="25"/>
        <v>0.7499718754931608</v>
      </c>
      <c r="C226">
        <f t="shared" si="26"/>
        <v>0.7500281245068392</v>
      </c>
      <c r="D226">
        <f t="shared" si="28"/>
        <v>0.74998460061646322</v>
      </c>
      <c r="E226">
        <f t="shared" si="29"/>
        <v>0.74999680479345221</v>
      </c>
      <c r="F226">
        <f t="shared" si="30"/>
        <v>0.7499984023967261</v>
      </c>
      <c r="G226">
        <f t="shared" si="32"/>
        <v>0.77935326469263189</v>
      </c>
      <c r="H226">
        <f t="shared" si="27"/>
        <v>0.72064673530736811</v>
      </c>
      <c r="I226" t="b">
        <f t="shared" si="31"/>
        <v>1</v>
      </c>
    </row>
    <row r="227" spans="1:9" x14ac:dyDescent="0.25">
      <c r="A227">
        <v>1.1000000000000001</v>
      </c>
      <c r="B227">
        <f t="shared" si="25"/>
        <v>0.74997312424284934</v>
      </c>
      <c r="C227">
        <f t="shared" si="26"/>
        <v>0.75002687575715066</v>
      </c>
      <c r="D227">
        <f t="shared" si="28"/>
        <v>0.74998528436091094</v>
      </c>
      <c r="E227">
        <f t="shared" si="29"/>
        <v>0.7499937786920694</v>
      </c>
      <c r="F227">
        <f t="shared" si="30"/>
        <v>0.7499968893460347</v>
      </c>
      <c r="G227">
        <f t="shared" si="32"/>
        <v>0.77935326469263189</v>
      </c>
      <c r="H227">
        <f t="shared" si="27"/>
        <v>0.72064673530736811</v>
      </c>
      <c r="I227" t="b">
        <f t="shared" si="31"/>
        <v>1</v>
      </c>
    </row>
    <row r="228" spans="1:9" x14ac:dyDescent="0.25">
      <c r="A228">
        <v>1.105</v>
      </c>
      <c r="B228">
        <f t="shared" si="25"/>
        <v>0.74997431754709343</v>
      </c>
      <c r="C228">
        <f t="shared" si="26"/>
        <v>0.75002568245290657</v>
      </c>
      <c r="D228">
        <f t="shared" si="28"/>
        <v>0.7499859377465804</v>
      </c>
      <c r="E228">
        <f t="shared" si="29"/>
        <v>0.74999109825258325</v>
      </c>
      <c r="F228">
        <f t="shared" si="30"/>
        <v>0.74999554912629163</v>
      </c>
      <c r="G228">
        <f t="shared" si="32"/>
        <v>0.77935326469263189</v>
      </c>
      <c r="H228">
        <f t="shared" si="27"/>
        <v>0.72064673530736811</v>
      </c>
      <c r="I228" t="b">
        <f t="shared" si="31"/>
        <v>1</v>
      </c>
    </row>
    <row r="229" spans="1:9" x14ac:dyDescent="0.25">
      <c r="A229">
        <v>1.1100000000000001</v>
      </c>
      <c r="B229">
        <f t="shared" si="25"/>
        <v>0.74997545786771314</v>
      </c>
      <c r="C229">
        <f t="shared" si="26"/>
        <v>0.75002454213228686</v>
      </c>
      <c r="D229">
        <f t="shared" si="28"/>
        <v>0.74998656212142467</v>
      </c>
      <c r="E229">
        <f t="shared" si="29"/>
        <v>0.7499887691806888</v>
      </c>
      <c r="F229">
        <f t="shared" si="30"/>
        <v>0.7499943845903444</v>
      </c>
      <c r="G229">
        <f t="shared" si="32"/>
        <v>0.77935326469263189</v>
      </c>
      <c r="H229">
        <f t="shared" si="27"/>
        <v>0.72064673530736811</v>
      </c>
      <c r="I229" t="b">
        <f t="shared" si="31"/>
        <v>1</v>
      </c>
    </row>
    <row r="230" spans="1:9" x14ac:dyDescent="0.25">
      <c r="A230">
        <v>1.115</v>
      </c>
      <c r="B230">
        <f t="shared" si="25"/>
        <v>0.74997654755722221</v>
      </c>
      <c r="C230">
        <f t="shared" si="26"/>
        <v>0.75002345244277779</v>
      </c>
      <c r="D230">
        <f t="shared" si="28"/>
        <v>0.74998715877354671</v>
      </c>
      <c r="E230">
        <f t="shared" si="29"/>
        <v>0.74998679200432772</v>
      </c>
      <c r="F230">
        <f t="shared" si="30"/>
        <v>0.74999339600216386</v>
      </c>
      <c r="G230">
        <f t="shared" si="32"/>
        <v>0.77935326469263189</v>
      </c>
      <c r="H230">
        <f t="shared" si="27"/>
        <v>0.72064673530736811</v>
      </c>
      <c r="I230" t="b">
        <f t="shared" si="31"/>
        <v>1</v>
      </c>
    </row>
    <row r="231" spans="1:9" x14ac:dyDescent="0.25">
      <c r="A231">
        <v>1.1200000000000001</v>
      </c>
      <c r="B231">
        <f t="shared" si="25"/>
        <v>0.74997758886368071</v>
      </c>
      <c r="C231">
        <f t="shared" si="26"/>
        <v>0.75002241113631929</v>
      </c>
      <c r="D231">
        <f t="shared" si="28"/>
        <v>0.74998772893385657</v>
      </c>
      <c r="E231">
        <f t="shared" si="29"/>
        <v>0.7499851625162387</v>
      </c>
      <c r="F231">
        <f t="shared" si="30"/>
        <v>0.74999258125811941</v>
      </c>
      <c r="G231">
        <f t="shared" si="32"/>
        <v>0.77935326469263189</v>
      </c>
      <c r="H231">
        <f t="shared" si="27"/>
        <v>0.72064673530736811</v>
      </c>
      <c r="I231" t="b">
        <f t="shared" si="31"/>
        <v>1</v>
      </c>
    </row>
    <row r="232" spans="1:9" x14ac:dyDescent="0.25">
      <c r="A232">
        <v>1.125</v>
      </c>
      <c r="B232">
        <f t="shared" si="25"/>
        <v>0.74997858393533334</v>
      </c>
      <c r="C232">
        <f t="shared" si="26"/>
        <v>0.75002141606466666</v>
      </c>
      <c r="D232">
        <f t="shared" si="28"/>
        <v>0.7499882737786111</v>
      </c>
      <c r="E232">
        <f t="shared" si="29"/>
        <v>0.7499838722411809</v>
      </c>
      <c r="F232">
        <f t="shared" si="30"/>
        <v>0.74999193612059045</v>
      </c>
      <c r="G232">
        <f t="shared" si="32"/>
        <v>0.77935326469263189</v>
      </c>
      <c r="H232">
        <f t="shared" si="27"/>
        <v>0.72064673530736811</v>
      </c>
      <c r="I232" t="b">
        <f t="shared" si="31"/>
        <v>1</v>
      </c>
    </row>
    <row r="233" spans="1:9" x14ac:dyDescent="0.25">
      <c r="A233">
        <v>1.1299999999999999</v>
      </c>
      <c r="B233">
        <f t="shared" si="25"/>
        <v>0.74997953482504087</v>
      </c>
      <c r="C233">
        <f t="shared" si="26"/>
        <v>0.75002046517495913</v>
      </c>
      <c r="D233">
        <f t="shared" si="28"/>
        <v>0.74998879443184041</v>
      </c>
      <c r="E233">
        <f t="shared" si="29"/>
        <v>0.7499829089194644</v>
      </c>
      <c r="F233">
        <f t="shared" si="30"/>
        <v>0.74999145445973225</v>
      </c>
      <c r="G233">
        <f t="shared" si="32"/>
        <v>0.77935326469263189</v>
      </c>
      <c r="H233">
        <f t="shared" si="27"/>
        <v>0.72064673530736811</v>
      </c>
      <c r="I233" t="b">
        <f t="shared" si="31"/>
        <v>1</v>
      </c>
    </row>
    <row r="234" spans="1:9" x14ac:dyDescent="0.25">
      <c r="A234">
        <v>1.135</v>
      </c>
      <c r="B234">
        <f t="shared" si="25"/>
        <v>0.74998044349451554</v>
      </c>
      <c r="C234">
        <f t="shared" si="26"/>
        <v>0.75001955650548446</v>
      </c>
      <c r="D234">
        <f t="shared" si="28"/>
        <v>0.74998929196766662</v>
      </c>
      <c r="E234">
        <f t="shared" si="29"/>
        <v>0.7499822569989274</v>
      </c>
      <c r="F234">
        <f t="shared" si="30"/>
        <v>0.7499911284994637</v>
      </c>
      <c r="G234">
        <f t="shared" si="32"/>
        <v>0.77935326469263189</v>
      </c>
      <c r="H234">
        <f t="shared" si="27"/>
        <v>0.72064673530736811</v>
      </c>
      <c r="I234" t="b">
        <f t="shared" si="31"/>
        <v>1</v>
      </c>
    </row>
    <row r="235" spans="1:9" x14ac:dyDescent="0.25">
      <c r="A235">
        <v>1.1399999999999999</v>
      </c>
      <c r="B235">
        <f t="shared" si="25"/>
        <v>0.74998131181836825</v>
      </c>
      <c r="C235">
        <f t="shared" si="26"/>
        <v>0.75001868818163175</v>
      </c>
      <c r="D235">
        <f t="shared" si="28"/>
        <v>0.74998976741252044</v>
      </c>
      <c r="E235">
        <f t="shared" si="29"/>
        <v>0.74998189812806937</v>
      </c>
      <c r="F235">
        <f t="shared" si="30"/>
        <v>0.74999094906403474</v>
      </c>
      <c r="G235">
        <f t="shared" si="32"/>
        <v>0.77935326469263189</v>
      </c>
      <c r="H235">
        <f t="shared" si="27"/>
        <v>0.72064673530736811</v>
      </c>
      <c r="I235" t="b">
        <f t="shared" si="31"/>
        <v>1</v>
      </c>
    </row>
    <row r="236" spans="1:9" x14ac:dyDescent="0.25">
      <c r="A236">
        <v>1.145</v>
      </c>
      <c r="B236">
        <f t="shared" si="25"/>
        <v>0.74998214158797549</v>
      </c>
      <c r="C236">
        <f t="shared" si="26"/>
        <v>0.75001785841202451</v>
      </c>
      <c r="D236">
        <f t="shared" si="28"/>
        <v>0.74999022174725782</v>
      </c>
      <c r="E236">
        <f t="shared" si="29"/>
        <v>0.74998181164367095</v>
      </c>
      <c r="F236">
        <f t="shared" si="30"/>
        <v>0.74999090582183547</v>
      </c>
      <c r="G236">
        <f t="shared" si="32"/>
        <v>0.77935326469263189</v>
      </c>
      <c r="H236">
        <f t="shared" si="27"/>
        <v>0.72064673530736811</v>
      </c>
      <c r="I236" t="b">
        <f t="shared" si="31"/>
        <v>1</v>
      </c>
    </row>
    <row r="237" spans="1:9" x14ac:dyDescent="0.25">
      <c r="A237">
        <v>1.1499999999999999</v>
      </c>
      <c r="B237">
        <f t="shared" si="25"/>
        <v>0.74998293451517528</v>
      </c>
      <c r="C237">
        <f t="shared" si="26"/>
        <v>0.75001706548482472</v>
      </c>
      <c r="D237">
        <f t="shared" si="28"/>
        <v>0.74999065590918412</v>
      </c>
      <c r="E237">
        <f t="shared" si="29"/>
        <v>0.74998197504687847</v>
      </c>
      <c r="F237">
        <f t="shared" si="30"/>
        <v>0.74999098752343918</v>
      </c>
      <c r="G237">
        <f t="shared" si="32"/>
        <v>0.77935326469263189</v>
      </c>
      <c r="H237">
        <f t="shared" si="27"/>
        <v>0.72064673530736811</v>
      </c>
      <c r="I237" t="b">
        <f t="shared" si="31"/>
        <v>1</v>
      </c>
    </row>
    <row r="238" spans="1:9" x14ac:dyDescent="0.25">
      <c r="A238">
        <v>1.155</v>
      </c>
      <c r="B238">
        <f t="shared" si="25"/>
        <v>0.74998369223579886</v>
      </c>
      <c r="C238">
        <f t="shared" si="26"/>
        <v>0.75001630776420114</v>
      </c>
      <c r="D238">
        <f t="shared" si="28"/>
        <v>0.74999107079398775</v>
      </c>
      <c r="E238">
        <f t="shared" si="29"/>
        <v>0.74998236446241207</v>
      </c>
      <c r="F238">
        <f t="shared" si="30"/>
        <v>0.74999118223120598</v>
      </c>
      <c r="G238">
        <f t="shared" si="32"/>
        <v>0.77935326469263189</v>
      </c>
      <c r="H238">
        <f t="shared" si="27"/>
        <v>0.72064673530736811</v>
      </c>
      <c r="I238" t="b">
        <f t="shared" si="31"/>
        <v>1</v>
      </c>
    </row>
    <row r="239" spans="1:9" x14ac:dyDescent="0.25">
      <c r="A239">
        <v>1.1599999999999999</v>
      </c>
      <c r="B239">
        <f t="shared" si="25"/>
        <v>0.74998441631304513</v>
      </c>
      <c r="C239">
        <f t="shared" si="26"/>
        <v>0.75001558368695487</v>
      </c>
      <c r="D239">
        <f t="shared" si="28"/>
        <v>0.74999146725758759</v>
      </c>
      <c r="E239">
        <f t="shared" si="29"/>
        <v>0.74998295507624346</v>
      </c>
      <c r="F239">
        <f t="shared" si="30"/>
        <v>0.74999147753812168</v>
      </c>
      <c r="G239">
        <f t="shared" si="32"/>
        <v>0.77935326469263189</v>
      </c>
      <c r="H239">
        <f t="shared" si="27"/>
        <v>0.72064673530736811</v>
      </c>
      <c r="I239" t="b">
        <f t="shared" si="31"/>
        <v>1</v>
      </c>
    </row>
    <row r="240" spans="1:9" x14ac:dyDescent="0.25">
      <c r="A240">
        <v>1.165</v>
      </c>
      <c r="B240">
        <f t="shared" si="25"/>
        <v>0.74998510824070608</v>
      </c>
      <c r="C240">
        <f t="shared" si="26"/>
        <v>0.75001489175929392</v>
      </c>
      <c r="D240">
        <f t="shared" si="28"/>
        <v>0.74999184611789937</v>
      </c>
      <c r="E240">
        <f t="shared" si="29"/>
        <v>0.74998372154777904</v>
      </c>
      <c r="F240">
        <f t="shared" si="30"/>
        <v>0.74999186077388957</v>
      </c>
      <c r="G240">
        <f t="shared" si="32"/>
        <v>0.77935326469263189</v>
      </c>
      <c r="H240">
        <f t="shared" si="27"/>
        <v>0.72064673530736811</v>
      </c>
      <c r="I240" t="b">
        <f t="shared" si="31"/>
        <v>1</v>
      </c>
    </row>
    <row r="241" spans="1:9" x14ac:dyDescent="0.25">
      <c r="A241">
        <v>1.17</v>
      </c>
      <c r="B241">
        <f t="shared" si="25"/>
        <v>0.74998576944624784</v>
      </c>
      <c r="C241">
        <f t="shared" si="26"/>
        <v>0.75001423055375216</v>
      </c>
      <c r="D241">
        <f t="shared" si="28"/>
        <v>0.74999220815652257</v>
      </c>
      <c r="E241">
        <f t="shared" si="29"/>
        <v>0.7499846383932709</v>
      </c>
      <c r="F241">
        <f t="shared" si="30"/>
        <v>0.74999231919663545</v>
      </c>
      <c r="G241">
        <f t="shared" si="32"/>
        <v>0.77935326469263189</v>
      </c>
      <c r="H241">
        <f t="shared" si="27"/>
        <v>0.72064673530736811</v>
      </c>
      <c r="I241" t="b">
        <f t="shared" si="31"/>
        <v>1</v>
      </c>
    </row>
    <row r="242" spans="1:9" x14ac:dyDescent="0.25">
      <c r="A242">
        <v>1.175</v>
      </c>
      <c r="B242">
        <f t="shared" si="25"/>
        <v>0.74998640129375604</v>
      </c>
      <c r="C242">
        <f t="shared" si="26"/>
        <v>0.75001359870624396</v>
      </c>
      <c r="D242">
        <f t="shared" si="28"/>
        <v>0.74999255412035304</v>
      </c>
      <c r="E242">
        <f t="shared" si="29"/>
        <v>0.74998568033784341</v>
      </c>
      <c r="F242">
        <f t="shared" si="30"/>
        <v>0.74999284016892165</v>
      </c>
      <c r="G242">
        <f t="shared" si="32"/>
        <v>0.77935326469263189</v>
      </c>
      <c r="H242">
        <f t="shared" si="27"/>
        <v>0.72064673530736811</v>
      </c>
      <c r="I242" t="b">
        <f t="shared" si="31"/>
        <v>1</v>
      </c>
    </row>
    <row r="243" spans="1:9" x14ac:dyDescent="0.25">
      <c r="A243">
        <v>1.18</v>
      </c>
      <c r="B243">
        <f t="shared" si="25"/>
        <v>0.74998700508674998</v>
      </c>
      <c r="C243">
        <f t="shared" si="26"/>
        <v>0.75001299491325002</v>
      </c>
      <c r="D243">
        <f t="shared" si="28"/>
        <v>0.74999288472312386</v>
      </c>
      <c r="E243">
        <f t="shared" si="29"/>
        <v>0.7499868226341696</v>
      </c>
      <c r="F243">
        <f t="shared" si="30"/>
        <v>0.74999341131708475</v>
      </c>
      <c r="G243">
        <f t="shared" si="32"/>
        <v>0.77935326469263189</v>
      </c>
      <c r="H243">
        <f t="shared" si="27"/>
        <v>0.72064673530736811</v>
      </c>
      <c r="I243" t="b">
        <f t="shared" si="31"/>
        <v>1</v>
      </c>
    </row>
    <row r="244" spans="1:9" x14ac:dyDescent="0.25">
      <c r="A244">
        <v>1.1850000000000001</v>
      </c>
      <c r="B244">
        <f t="shared" si="25"/>
        <v>0.74998758207087157</v>
      </c>
      <c r="C244">
        <f t="shared" si="26"/>
        <v>0.75001241792912843</v>
      </c>
      <c r="D244">
        <f t="shared" si="28"/>
        <v>0.74999320064687802</v>
      </c>
      <c r="E244">
        <f t="shared" si="29"/>
        <v>0.7499880413464477</v>
      </c>
      <c r="F244">
        <f t="shared" si="30"/>
        <v>0.74999402067322385</v>
      </c>
      <c r="G244">
        <f t="shared" si="32"/>
        <v>0.77935326469263189</v>
      </c>
      <c r="H244">
        <f t="shared" si="27"/>
        <v>0.72064673530736811</v>
      </c>
      <c r="I244" t="b">
        <f t="shared" si="31"/>
        <v>1</v>
      </c>
    </row>
    <row r="245" spans="1:9" x14ac:dyDescent="0.25">
      <c r="A245">
        <v>1.19</v>
      </c>
      <c r="B245">
        <f t="shared" si="25"/>
        <v>0.74998813343645532</v>
      </c>
      <c r="C245">
        <f t="shared" si="26"/>
        <v>0.75001186656354468</v>
      </c>
      <c r="D245">
        <f t="shared" si="28"/>
        <v>0.74999350254337493</v>
      </c>
      <c r="E245">
        <f t="shared" si="29"/>
        <v>0.74998931359890464</v>
      </c>
      <c r="F245">
        <f t="shared" si="30"/>
        <v>0.74999465679945232</v>
      </c>
      <c r="G245">
        <f t="shared" si="32"/>
        <v>0.77935326469263189</v>
      </c>
      <c r="H245">
        <f t="shared" si="27"/>
        <v>0.72064673530736811</v>
      </c>
      <c r="I245" t="b">
        <f t="shared" si="31"/>
        <v>1</v>
      </c>
    </row>
    <row r="246" spans="1:9" x14ac:dyDescent="0.25">
      <c r="A246">
        <v>1.1950000000000001</v>
      </c>
      <c r="B246">
        <f t="shared" si="25"/>
        <v>0.74998866032098399</v>
      </c>
      <c r="C246">
        <f t="shared" si="26"/>
        <v>0.75001133967901601</v>
      </c>
      <c r="D246">
        <f t="shared" si="28"/>
        <v>0.74999379103543573</v>
      </c>
      <c r="E246">
        <f t="shared" si="29"/>
        <v>0.74999061778859621</v>
      </c>
      <c r="F246">
        <f t="shared" si="30"/>
        <v>0.74999530889429811</v>
      </c>
      <c r="G246">
        <f t="shared" si="32"/>
        <v>0.77935326469263189</v>
      </c>
      <c r="H246">
        <f t="shared" si="27"/>
        <v>0.72064673530736811</v>
      </c>
      <c r="I246" t="b">
        <f t="shared" si="31"/>
        <v>1</v>
      </c>
    </row>
    <row r="247" spans="1:9" x14ac:dyDescent="0.25">
      <c r="A247">
        <v>1.2</v>
      </c>
      <c r="B247">
        <f t="shared" si="25"/>
        <v>0.74998916381143521</v>
      </c>
      <c r="C247">
        <f t="shared" si="26"/>
        <v>0.75001083618856479</v>
      </c>
      <c r="D247">
        <f t="shared" si="28"/>
        <v>0.74999406671822766</v>
      </c>
      <c r="E247">
        <f t="shared" si="29"/>
        <v>0.74999193376276863</v>
      </c>
      <c r="F247">
        <f t="shared" si="30"/>
        <v>0.74999596688138437</v>
      </c>
      <c r="G247">
        <f t="shared" si="32"/>
        <v>0.77935326469263189</v>
      </c>
      <c r="H247">
        <f t="shared" si="27"/>
        <v>0.72064673530736811</v>
      </c>
      <c r="I247" t="b">
        <f t="shared" si="31"/>
        <v>1</v>
      </c>
    </row>
    <row r="248" spans="1:9" x14ac:dyDescent="0.25">
      <c r="A248">
        <v>1.2050000000000001</v>
      </c>
      <c r="B248">
        <f t="shared" si="25"/>
        <v>0.74998964494652409</v>
      </c>
      <c r="C248">
        <f t="shared" si="26"/>
        <v>0.75001035505347591</v>
      </c>
      <c r="D248">
        <f t="shared" si="28"/>
        <v>0.749994330160492</v>
      </c>
      <c r="E248">
        <f t="shared" si="29"/>
        <v>0.74999324296149361</v>
      </c>
      <c r="F248">
        <f t="shared" si="30"/>
        <v>0.74999662148074686</v>
      </c>
      <c r="G248">
        <f t="shared" si="32"/>
        <v>0.77935326469263189</v>
      </c>
      <c r="H248">
        <f t="shared" si="27"/>
        <v>0.72064673530736811</v>
      </c>
      <c r="I248" t="b">
        <f t="shared" si="31"/>
        <v>1</v>
      </c>
    </row>
    <row r="249" spans="1:9" x14ac:dyDescent="0.25">
      <c r="A249">
        <v>1.21</v>
      </c>
      <c r="B249">
        <f t="shared" si="25"/>
        <v>0.74999010471884564</v>
      </c>
      <c r="C249">
        <f t="shared" si="26"/>
        <v>0.75000989528115436</v>
      </c>
      <c r="D249">
        <f t="shared" si="28"/>
        <v>0.74999458190571766</v>
      </c>
      <c r="E249">
        <f t="shared" si="29"/>
        <v>0.74999452852669313</v>
      </c>
      <c r="F249">
        <f t="shared" si="30"/>
        <v>0.74999726426334656</v>
      </c>
      <c r="G249">
        <f t="shared" si="32"/>
        <v>0.77935326469263189</v>
      </c>
      <c r="H249">
        <f t="shared" si="27"/>
        <v>0.72064673530736811</v>
      </c>
      <c r="I249" t="b">
        <f t="shared" si="31"/>
        <v>1</v>
      </c>
    </row>
    <row r="250" spans="1:9" x14ac:dyDescent="0.25">
      <c r="A250">
        <v>1.2150000000000001</v>
      </c>
      <c r="B250">
        <f t="shared" si="25"/>
        <v>0.74999054407692334</v>
      </c>
      <c r="C250">
        <f t="shared" si="26"/>
        <v>0.75000945592307666</v>
      </c>
      <c r="D250">
        <f t="shared" si="28"/>
        <v>0.74999482247326199</v>
      </c>
      <c r="E250">
        <f t="shared" si="29"/>
        <v>0.7499957753790184</v>
      </c>
      <c r="F250">
        <f t="shared" si="30"/>
        <v>0.74999788768950926</v>
      </c>
      <c r="G250">
        <f t="shared" si="32"/>
        <v>0.77935326469263189</v>
      </c>
      <c r="H250">
        <f t="shared" si="27"/>
        <v>0.72064673530736811</v>
      </c>
      <c r="I250" t="b">
        <f t="shared" si="31"/>
        <v>1</v>
      </c>
    </row>
    <row r="251" spans="1:9" x14ac:dyDescent="0.25">
      <c r="A251">
        <v>1.22</v>
      </c>
      <c r="B251">
        <f t="shared" si="25"/>
        <v>0.74999096392716513</v>
      </c>
      <c r="C251">
        <f t="shared" si="26"/>
        <v>0.75000903607283487</v>
      </c>
      <c r="D251">
        <f t="shared" si="28"/>
        <v>0.74999505235942288</v>
      </c>
      <c r="E251">
        <f t="shared" si="29"/>
        <v>0.74999697026435019</v>
      </c>
      <c r="F251">
        <f t="shared" si="30"/>
        <v>0.74999848513217515</v>
      </c>
      <c r="G251">
        <f t="shared" si="32"/>
        <v>0.77935326469263189</v>
      </c>
      <c r="H251">
        <f t="shared" si="27"/>
        <v>0.72064673530736811</v>
      </c>
      <c r="I251" t="b">
        <f t="shared" si="31"/>
        <v>1</v>
      </c>
    </row>
    <row r="252" spans="1:9" x14ac:dyDescent="0.25">
      <c r="A252">
        <v>1.2250000000000001</v>
      </c>
      <c r="B252">
        <f t="shared" si="25"/>
        <v>0.74999136513573395</v>
      </c>
      <c r="C252">
        <f t="shared" si="26"/>
        <v>0.75000863486426605</v>
      </c>
      <c r="D252">
        <f t="shared" si="28"/>
        <v>0.74999527203846161</v>
      </c>
      <c r="E252">
        <f t="shared" si="29"/>
        <v>0.74999810177193826</v>
      </c>
      <c r="F252">
        <f t="shared" si="30"/>
        <v>0.74999905088596919</v>
      </c>
      <c r="G252">
        <f t="shared" si="32"/>
        <v>0.77935326469263189</v>
      </c>
      <c r="H252">
        <f t="shared" si="27"/>
        <v>0.72064673530736811</v>
      </c>
      <c r="I252" t="b">
        <f t="shared" si="31"/>
        <v>1</v>
      </c>
    </row>
    <row r="253" spans="1:9" x14ac:dyDescent="0.25">
      <c r="A253">
        <v>1.23</v>
      </c>
      <c r="B253">
        <f t="shared" si="25"/>
        <v>0.74999174853033446</v>
      </c>
      <c r="C253">
        <f t="shared" si="26"/>
        <v>0.75000825146966554</v>
      </c>
      <c r="D253">
        <f t="shared" si="28"/>
        <v>0.74999548196358257</v>
      </c>
      <c r="E253">
        <f t="shared" si="29"/>
        <v>0.74999916032640124</v>
      </c>
      <c r="F253">
        <f t="shared" si="30"/>
        <v>0.74999958016320067</v>
      </c>
      <c r="G253">
        <f t="shared" si="32"/>
        <v>0.77935326469263189</v>
      </c>
      <c r="H253">
        <f t="shared" si="27"/>
        <v>0.72064673530736811</v>
      </c>
      <c r="I253" t="b">
        <f t="shared" si="31"/>
        <v>1</v>
      </c>
    </row>
    <row r="254" spans="1:9" x14ac:dyDescent="0.25">
      <c r="A254">
        <v>1.2350000000000001</v>
      </c>
      <c r="B254">
        <f t="shared" si="25"/>
        <v>0.74999211490192041</v>
      </c>
      <c r="C254">
        <f t="shared" si="26"/>
        <v>0.75000788509807959</v>
      </c>
      <c r="D254">
        <f t="shared" si="28"/>
        <v>0.74999568256786697</v>
      </c>
      <c r="E254">
        <f t="shared" si="29"/>
        <v>0.75000013815596311</v>
      </c>
      <c r="F254">
        <f t="shared" si="30"/>
        <v>0.75000006907798156</v>
      </c>
      <c r="G254">
        <f t="shared" si="32"/>
        <v>0.77935326469263189</v>
      </c>
      <c r="H254">
        <f t="shared" si="27"/>
        <v>0.72064673530736811</v>
      </c>
      <c r="I254" t="b">
        <f t="shared" si="31"/>
        <v>1</v>
      </c>
    </row>
    <row r="255" spans="1:9" x14ac:dyDescent="0.25">
      <c r="A255">
        <v>1.24</v>
      </c>
      <c r="B255">
        <f t="shared" si="25"/>
        <v>0.74999246500632677</v>
      </c>
      <c r="C255">
        <f t="shared" si="26"/>
        <v>0.75000753499367323</v>
      </c>
      <c r="D255">
        <f t="shared" si="28"/>
        <v>0.74999587426516723</v>
      </c>
      <c r="E255">
        <f t="shared" si="29"/>
        <v>0.75000102923941236</v>
      </c>
      <c r="F255">
        <f t="shared" si="30"/>
        <v>0.75000051461970618</v>
      </c>
      <c r="G255">
        <f t="shared" si="32"/>
        <v>0.77935326469263189</v>
      </c>
      <c r="H255">
        <f t="shared" si="27"/>
        <v>0.72064673530736811</v>
      </c>
      <c r="I255" t="b">
        <f t="shared" si="31"/>
        <v>1</v>
      </c>
    </row>
    <row r="256" spans="1:9" x14ac:dyDescent="0.25">
      <c r="A256">
        <v>1.2450000000000001</v>
      </c>
      <c r="B256">
        <f t="shared" si="25"/>
        <v>0.74999279956582876</v>
      </c>
      <c r="C256">
        <f t="shared" si="26"/>
        <v>0.75000720043417124</v>
      </c>
      <c r="D256">
        <f t="shared" si="28"/>
        <v>0.74999605745096021</v>
      </c>
      <c r="E256">
        <f t="shared" si="29"/>
        <v>0.75000182923433933</v>
      </c>
      <c r="F256">
        <f t="shared" si="30"/>
        <v>0.75000091461716967</v>
      </c>
      <c r="G256">
        <f t="shared" si="32"/>
        <v>0.77935326469263189</v>
      </c>
      <c r="H256">
        <f t="shared" si="27"/>
        <v>0.72064673530736811</v>
      </c>
      <c r="I256" t="b">
        <f t="shared" si="31"/>
        <v>1</v>
      </c>
    </row>
    <row r="257" spans="1:9" x14ac:dyDescent="0.25">
      <c r="A257">
        <v>1.25</v>
      </c>
      <c r="B257">
        <f t="shared" si="25"/>
        <v>0.74999311927063217</v>
      </c>
      <c r="C257">
        <f t="shared" si="26"/>
        <v>0.75000688072936783</v>
      </c>
      <c r="D257">
        <f t="shared" si="28"/>
        <v>0.74999623250316338</v>
      </c>
      <c r="E257">
        <f t="shared" si="29"/>
        <v>0.75000253538923256</v>
      </c>
      <c r="F257">
        <f t="shared" si="30"/>
        <v>0.75000126769461628</v>
      </c>
      <c r="G257">
        <f t="shared" si="32"/>
        <v>0.77935326469263189</v>
      </c>
      <c r="H257">
        <f t="shared" si="27"/>
        <v>0.72064673530736811</v>
      </c>
      <c r="I257" t="b">
        <f t="shared" si="31"/>
        <v>1</v>
      </c>
    </row>
    <row r="258" spans="1:9" x14ac:dyDescent="0.25">
      <c r="A258">
        <v>1.2549999999999999</v>
      </c>
      <c r="B258">
        <f t="shared" si="25"/>
        <v>0.74999342478029685</v>
      </c>
      <c r="C258">
        <f t="shared" si="26"/>
        <v>0.75000657521970315</v>
      </c>
      <c r="D258">
        <f t="shared" si="28"/>
        <v>0.74999639978291444</v>
      </c>
      <c r="E258">
        <f t="shared" si="29"/>
        <v>0.75000314644200727</v>
      </c>
      <c r="F258">
        <f t="shared" si="30"/>
        <v>0.75000157322100369</v>
      </c>
      <c r="G258">
        <f t="shared" si="32"/>
        <v>0.77935326469263189</v>
      </c>
      <c r="H258">
        <f t="shared" si="27"/>
        <v>0.72064673530736811</v>
      </c>
      <c r="I258" t="b">
        <f t="shared" si="31"/>
        <v>1</v>
      </c>
    </row>
    <row r="259" spans="1:9" x14ac:dyDescent="0.25">
      <c r="A259">
        <v>1.26</v>
      </c>
      <c r="B259">
        <f t="shared" si="25"/>
        <v>0.74999371672509807</v>
      </c>
      <c r="C259">
        <f t="shared" si="26"/>
        <v>0.75000628327490193</v>
      </c>
      <c r="D259">
        <f t="shared" si="28"/>
        <v>0.74999655963531608</v>
      </c>
      <c r="E259">
        <f t="shared" si="29"/>
        <v>0.7500036625074975</v>
      </c>
      <c r="F259">
        <f t="shared" si="30"/>
        <v>0.75000183125374875</v>
      </c>
      <c r="G259">
        <f t="shared" si="32"/>
        <v>0.77935326469263189</v>
      </c>
      <c r="H259">
        <f t="shared" si="27"/>
        <v>0.72064673530736811</v>
      </c>
      <c r="I259" t="b">
        <f t="shared" si="31"/>
        <v>1</v>
      </c>
    </row>
    <row r="260" spans="1:9" x14ac:dyDescent="0.25">
      <c r="A260">
        <v>1.2649999999999999</v>
      </c>
      <c r="B260">
        <f t="shared" si="25"/>
        <v>0.74999399570732594</v>
      </c>
      <c r="C260">
        <f t="shared" si="26"/>
        <v>0.75000600429267406</v>
      </c>
      <c r="D260">
        <f t="shared" si="28"/>
        <v>0.74999671239014842</v>
      </c>
      <c r="E260">
        <f t="shared" si="29"/>
        <v>0.75000408495636695</v>
      </c>
      <c r="F260">
        <f t="shared" si="30"/>
        <v>0.75000204247818347</v>
      </c>
      <c r="G260">
        <f t="shared" si="32"/>
        <v>0.77935326469263189</v>
      </c>
      <c r="H260">
        <f t="shared" si="27"/>
        <v>0.72064673530736811</v>
      </c>
      <c r="I260" t="b">
        <f t="shared" si="31"/>
        <v>1</v>
      </c>
    </row>
    <row r="261" spans="1:9" x14ac:dyDescent="0.25">
      <c r="A261">
        <v>1.27</v>
      </c>
      <c r="B261">
        <f t="shared" si="25"/>
        <v>0.74999426230252886</v>
      </c>
      <c r="C261">
        <f t="shared" si="26"/>
        <v>0.75000573769747114</v>
      </c>
      <c r="D261">
        <f t="shared" si="28"/>
        <v>0.74999685836254903</v>
      </c>
      <c r="E261">
        <f t="shared" si="29"/>
        <v>0.75000441628780046</v>
      </c>
      <c r="F261">
        <f t="shared" si="30"/>
        <v>0.75000220814390028</v>
      </c>
      <c r="G261">
        <f t="shared" si="32"/>
        <v>0.77935326469263189</v>
      </c>
      <c r="H261">
        <f t="shared" si="27"/>
        <v>0.72064673530736811</v>
      </c>
      <c r="I261" t="b">
        <f t="shared" si="31"/>
        <v>1</v>
      </c>
    </row>
    <row r="262" spans="1:9" x14ac:dyDescent="0.25">
      <c r="A262">
        <v>1.2749999999999999</v>
      </c>
      <c r="B262">
        <f t="shared" si="25"/>
        <v>0.74999451706070008</v>
      </c>
      <c r="C262">
        <f t="shared" si="26"/>
        <v>0.75000548293929992</v>
      </c>
      <c r="D262">
        <f t="shared" si="28"/>
        <v>0.74999699785366292</v>
      </c>
      <c r="E262">
        <f t="shared" si="29"/>
        <v>0.75000465999820998</v>
      </c>
      <c r="F262">
        <f t="shared" si="30"/>
        <v>0.75000232999910499</v>
      </c>
      <c r="G262">
        <f t="shared" si="32"/>
        <v>0.77935326469263189</v>
      </c>
      <c r="H262">
        <f t="shared" si="27"/>
        <v>0.72064673530736811</v>
      </c>
      <c r="I262" t="b">
        <f t="shared" si="31"/>
        <v>1</v>
      </c>
    </row>
    <row r="263" spans="1:9" x14ac:dyDescent="0.25">
      <c r="A263">
        <v>1.28</v>
      </c>
      <c r="B263">
        <f t="shared" ref="B263:B270" si="33">$J$6-$M$8*EXP(-$M$10*A263)</f>
        <v>0.74999476050741298</v>
      </c>
      <c r="C263">
        <f t="shared" ref="C263:C270" si="34">$J$6+$M$8*EXP(-$M$10*A263)</f>
        <v>0.75000523949258702</v>
      </c>
      <c r="D263">
        <f t="shared" si="28"/>
        <v>0.74999713115126443</v>
      </c>
      <c r="E263">
        <f t="shared" si="29"/>
        <v>0.75000482044805161</v>
      </c>
      <c r="F263">
        <f t="shared" si="30"/>
        <v>0.75000241022402581</v>
      </c>
      <c r="G263">
        <f t="shared" si="32"/>
        <v>0.77935326469263189</v>
      </c>
      <c r="H263">
        <f t="shared" si="27"/>
        <v>0.72064673530736811</v>
      </c>
      <c r="I263" t="b">
        <f t="shared" si="31"/>
        <v>1</v>
      </c>
    </row>
    <row r="264" spans="1:9" x14ac:dyDescent="0.25">
      <c r="A264">
        <v>1.2849999999999999</v>
      </c>
      <c r="B264">
        <f t="shared" si="33"/>
        <v>0.74999499314490503</v>
      </c>
      <c r="C264">
        <f t="shared" si="34"/>
        <v>0.75000500685509497</v>
      </c>
      <c r="D264">
        <f t="shared" si="28"/>
        <v>0.74999725853035004</v>
      </c>
      <c r="E264">
        <f t="shared" si="29"/>
        <v>0.75000490272869402</v>
      </c>
      <c r="F264">
        <f t="shared" si="30"/>
        <v>0.75000245136434696</v>
      </c>
      <c r="G264">
        <f t="shared" si="32"/>
        <v>0.77935326469263189</v>
      </c>
      <c r="H264">
        <f t="shared" ref="H264:H270" si="35">MIN(B264,$J$6-$M$13)</f>
        <v>0.72064673530736811</v>
      </c>
      <c r="I264" t="b">
        <f t="shared" si="31"/>
        <v>1</v>
      </c>
    </row>
    <row r="265" spans="1:9" x14ac:dyDescent="0.25">
      <c r="A265">
        <v>1.29</v>
      </c>
      <c r="B265">
        <f t="shared" si="33"/>
        <v>0.74999521545311398</v>
      </c>
      <c r="C265">
        <f t="shared" si="34"/>
        <v>0.75000478454688602</v>
      </c>
      <c r="D265">
        <f t="shared" si="28"/>
        <v>0.74999738025370655</v>
      </c>
      <c r="E265">
        <f t="shared" si="29"/>
        <v>0.75000491253110446</v>
      </c>
      <c r="F265">
        <f t="shared" si="30"/>
        <v>0.75000245626555218</v>
      </c>
      <c r="G265">
        <f t="shared" si="32"/>
        <v>0.77935326469263189</v>
      </c>
      <c r="H265">
        <f t="shared" si="35"/>
        <v>0.72064673530736811</v>
      </c>
      <c r="I265" t="b">
        <f t="shared" si="31"/>
        <v>1</v>
      </c>
    </row>
    <row r="266" spans="1:9" x14ac:dyDescent="0.25">
      <c r="A266">
        <v>1.2949999999999999</v>
      </c>
      <c r="B266">
        <f t="shared" si="33"/>
        <v>0.74999542789066775</v>
      </c>
      <c r="C266">
        <f t="shared" si="34"/>
        <v>0.75000457210933225</v>
      </c>
      <c r="D266">
        <f t="shared" ref="D266:D270" si="36">$J$6-0.5*$M$8*EXP(-$M$10*A264)</f>
        <v>0.74999749657245252</v>
      </c>
      <c r="E266">
        <f t="shared" ref="E266:E270" si="37">$J$6-$M$8*EXP(-$M$10*A264)*SIN($M$12*A264+PI()/2)</f>
        <v>0.75000485601794864</v>
      </c>
      <c r="F266">
        <f t="shared" ref="F266:F270" si="38">$J$6-$M$8*EXP(-$M$10*A264)*SIN($M$12*A264+PI()/2)*$J$17</f>
        <v>0.75000242800897432</v>
      </c>
      <c r="G266">
        <f t="shared" si="32"/>
        <v>0.77935326469263189</v>
      </c>
      <c r="H266">
        <f t="shared" si="35"/>
        <v>0.72064673530736811</v>
      </c>
      <c r="I266" t="b">
        <f t="shared" si="31"/>
        <v>1</v>
      </c>
    </row>
    <row r="267" spans="1:9" x14ac:dyDescent="0.25">
      <c r="A267">
        <v>1.3</v>
      </c>
      <c r="B267">
        <f t="shared" si="33"/>
        <v>0.7499956308958311</v>
      </c>
      <c r="C267">
        <f t="shared" si="34"/>
        <v>0.7500043691041689</v>
      </c>
      <c r="D267">
        <f t="shared" si="36"/>
        <v>0.74999760772655699</v>
      </c>
      <c r="E267">
        <f t="shared" si="37"/>
        <v>0.75000473970050907</v>
      </c>
      <c r="F267">
        <f t="shared" si="38"/>
        <v>0.75000236985025459</v>
      </c>
      <c r="G267">
        <f t="shared" si="32"/>
        <v>0.77935326469263189</v>
      </c>
      <c r="H267">
        <f t="shared" si="35"/>
        <v>0.72064673530736811</v>
      </c>
      <c r="I267" t="b">
        <f t="shared" si="31"/>
        <v>1</v>
      </c>
    </row>
    <row r="268" spans="1:9" x14ac:dyDescent="0.25">
      <c r="A268">
        <v>1.3049999999999999</v>
      </c>
      <c r="B268">
        <f t="shared" si="33"/>
        <v>0.74999582488740935</v>
      </c>
      <c r="C268">
        <f t="shared" si="34"/>
        <v>0.75000417511259065</v>
      </c>
      <c r="D268">
        <f t="shared" si="36"/>
        <v>0.74999771394533388</v>
      </c>
      <c r="E268">
        <f t="shared" si="37"/>
        <v>0.75000457032164503</v>
      </c>
      <c r="F268">
        <f t="shared" si="38"/>
        <v>0.75000228516082246</v>
      </c>
      <c r="G268">
        <f t="shared" si="32"/>
        <v>0.77935326469263189</v>
      </c>
      <c r="H268">
        <f t="shared" si="35"/>
        <v>0.72064673530736811</v>
      </c>
      <c r="I268" t="b">
        <f t="shared" si="31"/>
        <v>1</v>
      </c>
    </row>
    <row r="269" spans="1:9" x14ac:dyDescent="0.25">
      <c r="A269">
        <v>1.31</v>
      </c>
      <c r="B269">
        <f t="shared" si="33"/>
        <v>0.74999601026561269</v>
      </c>
      <c r="C269">
        <f t="shared" si="34"/>
        <v>0.75000398973438731</v>
      </c>
      <c r="D269">
        <f t="shared" si="36"/>
        <v>0.74999781544791555</v>
      </c>
      <c r="E269">
        <f t="shared" si="37"/>
        <v>0.75000435474582938</v>
      </c>
      <c r="F269">
        <f t="shared" si="38"/>
        <v>0.75000217737291464</v>
      </c>
      <c r="G269">
        <f t="shared" si="32"/>
        <v>0.77935326469263189</v>
      </c>
      <c r="H269">
        <f t="shared" si="35"/>
        <v>0.72064673530736811</v>
      </c>
      <c r="I269" t="b">
        <f t="shared" si="31"/>
        <v>1</v>
      </c>
    </row>
    <row r="270" spans="1:9" x14ac:dyDescent="0.25">
      <c r="A270">
        <v>1.3149999999999999</v>
      </c>
      <c r="B270">
        <f t="shared" si="33"/>
        <v>0.74999618741288143</v>
      </c>
      <c r="C270">
        <f t="shared" si="34"/>
        <v>0.75000381258711857</v>
      </c>
      <c r="D270">
        <f t="shared" si="36"/>
        <v>0.74999791244370462</v>
      </c>
      <c r="E270">
        <f t="shared" si="37"/>
        <v>0.75000409985711325</v>
      </c>
      <c r="F270">
        <f t="shared" si="38"/>
        <v>0.75000204992855657</v>
      </c>
      <c r="G270">
        <f t="shared" si="32"/>
        <v>0.77935326469263189</v>
      </c>
      <c r="H270">
        <f t="shared" si="35"/>
        <v>0.72064673530736811</v>
      </c>
      <c r="I270" t="b">
        <f t="shared" si="31"/>
        <v>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B57C-EF09-41ED-BDCD-CCA0B8F24BDA}">
  <sheetPr codeName="Feuil3"/>
  <dimension ref="A1:V270"/>
  <sheetViews>
    <sheetView zoomScale="102" zoomScaleNormal="122" workbookViewId="0">
      <pane ySplit="6" topLeftCell="A14" activePane="bottomLeft" state="frozen"/>
      <selection activeCell="F1" sqref="F1"/>
      <selection pane="bottomLeft" activeCell="M3" sqref="A1:XFD1048576"/>
    </sheetView>
  </sheetViews>
  <sheetFormatPr baseColWidth="10" defaultRowHeight="15" x14ac:dyDescent="0.25"/>
  <cols>
    <col min="2" max="2" width="0" hidden="1" customWidth="1"/>
    <col min="4" max="4" width="0" hidden="1" customWidth="1"/>
    <col min="8" max="8" width="11.42578125" customWidth="1"/>
  </cols>
  <sheetData>
    <row r="1" spans="1:22" ht="24" x14ac:dyDescent="0.4">
      <c r="B1" s="6" t="s">
        <v>29</v>
      </c>
      <c r="C1" s="6" t="s">
        <v>29</v>
      </c>
    </row>
    <row r="5" spans="1:22" x14ac:dyDescent="0.25">
      <c r="P5" t="s">
        <v>36</v>
      </c>
      <c r="Q5" s="3">
        <v>3.7</v>
      </c>
      <c r="S5" t="s">
        <v>37</v>
      </c>
      <c r="T5" s="4">
        <f>T12*SQRT(1-T6^2)</f>
        <v>19.83054793275091</v>
      </c>
    </row>
    <row r="6" spans="1:22" ht="105" x14ac:dyDescent="0.25">
      <c r="A6" s="8" t="s">
        <v>0</v>
      </c>
      <c r="B6" s="8" t="s">
        <v>30</v>
      </c>
      <c r="C6" s="8" t="s">
        <v>65</v>
      </c>
      <c r="D6" s="8" t="s">
        <v>31</v>
      </c>
      <c r="E6" s="8" t="s">
        <v>64</v>
      </c>
      <c r="F6" s="8" t="s">
        <v>63</v>
      </c>
      <c r="G6" s="8" t="s">
        <v>57</v>
      </c>
      <c r="H6" s="8" t="s">
        <v>66</v>
      </c>
      <c r="I6" s="8" t="s">
        <v>62</v>
      </c>
      <c r="J6" s="8" t="s">
        <v>59</v>
      </c>
      <c r="K6" s="8" t="s">
        <v>61</v>
      </c>
      <c r="L6" s="8" t="s">
        <v>60</v>
      </c>
      <c r="M6" s="8" t="s">
        <v>58</v>
      </c>
      <c r="N6" s="8" t="s">
        <v>34</v>
      </c>
      <c r="O6" s="8" t="s">
        <v>35</v>
      </c>
      <c r="P6" t="s">
        <v>1</v>
      </c>
      <c r="Q6" s="3">
        <v>0.75</v>
      </c>
      <c r="S6" t="s">
        <v>38</v>
      </c>
      <c r="T6" s="4">
        <f>Q8/2*SQRT(T11/(2*Q10*Q11*Q13*Q14))</f>
        <v>0.4164399595560857</v>
      </c>
    </row>
    <row r="7" spans="1:22" x14ac:dyDescent="0.25">
      <c r="A7">
        <v>0</v>
      </c>
      <c r="B7">
        <f t="shared" ref="B7:B70" si="0">$Q$6-$T$8*EXP(-$T$10*A7)</f>
        <v>0.16293470614736194</v>
      </c>
      <c r="C7">
        <f>C9-T$13</f>
        <v>-0.18930447016422086</v>
      </c>
      <c r="D7">
        <f t="shared" ref="D7:D70" si="1">$Q$6+$T$8*EXP(-$T$10*A7)</f>
        <v>1.3370652938526382</v>
      </c>
      <c r="E7">
        <f>E9</f>
        <v>1.630597940778957</v>
      </c>
      <c r="F7">
        <f>Q6</f>
        <v>0.75</v>
      </c>
      <c r="G7">
        <f t="shared" ref="G7:G70" si="2">$Q$6-EXP(-T$6*T$12*A7)*(COS(T$5*A7)-(T$6*T$12-1)/(T$5)*SIN(T$5*A7))*T$15</f>
        <v>0.16293470614736194</v>
      </c>
      <c r="H7">
        <f>Q6</f>
        <v>0.75</v>
      </c>
      <c r="I7">
        <f>Q6</f>
        <v>0.75</v>
      </c>
      <c r="J7">
        <f t="shared" ref="J7:J70" si="3">$Q$6-(1+Q$16)*EXP(-T$6*T$12*A7)*(COS(T$5*A7)-(T$6*T$12-1)/(T$5)*SIN(T$5*A7))*T$15</f>
        <v>-0.13059794077895703</v>
      </c>
      <c r="K7">
        <f t="shared" ref="K7:K70" si="4">J7-T$13</f>
        <v>-0.15995120547158895</v>
      </c>
      <c r="L7">
        <f t="shared" ref="L7:L70" si="5">J7+T$13</f>
        <v>-0.10124467608632513</v>
      </c>
      <c r="M7">
        <f>Q6</f>
        <v>0.75</v>
      </c>
      <c r="N7">
        <f t="shared" ref="N7:N15" si="6">M7</f>
        <v>0.75</v>
      </c>
      <c r="O7">
        <f t="shared" ref="O7:O70" si="7">MIN(C7,$Q$6-$T$13)</f>
        <v>-0.18930447016422086</v>
      </c>
      <c r="P7" t="s">
        <v>2</v>
      </c>
      <c r="Q7" s="3">
        <v>20</v>
      </c>
      <c r="S7" t="s">
        <v>9</v>
      </c>
      <c r="T7" s="4">
        <f>Q5*PI()/180</f>
        <v>6.4577182323790186E-2</v>
      </c>
    </row>
    <row r="8" spans="1:22" x14ac:dyDescent="0.25">
      <c r="A8">
        <v>5.0000000000000001E-3</v>
      </c>
      <c r="B8">
        <f t="shared" si="0"/>
        <v>0.18900085575331205</v>
      </c>
      <c r="C8">
        <f>C9-T$13</f>
        <v>-0.18930447016422086</v>
      </c>
      <c r="D8">
        <f t="shared" si="1"/>
        <v>1.310999144246688</v>
      </c>
      <c r="E8">
        <f>E9</f>
        <v>1.630597940778957</v>
      </c>
      <c r="F8">
        <f>Q6</f>
        <v>0.75</v>
      </c>
      <c r="G8">
        <f t="shared" si="2"/>
        <v>0.21439284484470744</v>
      </c>
      <c r="H8">
        <f>Q6</f>
        <v>0.75</v>
      </c>
      <c r="I8">
        <f>Q6</f>
        <v>0.75</v>
      </c>
      <c r="J8">
        <f t="shared" si="3"/>
        <v>-5.3410732732938837E-2</v>
      </c>
      <c r="K8">
        <f t="shared" si="4"/>
        <v>-8.2763997425570737E-2</v>
      </c>
      <c r="L8">
        <f t="shared" si="5"/>
        <v>-2.4057468040306933E-2</v>
      </c>
      <c r="M8">
        <f>Q6</f>
        <v>0.75</v>
      </c>
      <c r="N8">
        <f t="shared" si="6"/>
        <v>0.75</v>
      </c>
      <c r="O8">
        <f t="shared" si="7"/>
        <v>-0.18930447016422086</v>
      </c>
      <c r="P8" t="s">
        <v>3</v>
      </c>
      <c r="Q8" s="3">
        <v>109</v>
      </c>
      <c r="S8" t="s">
        <v>11</v>
      </c>
      <c r="T8" s="4">
        <f>T7*Q13*Q14/T11</f>
        <v>0.58706529385263806</v>
      </c>
    </row>
    <row r="9" spans="1:22" x14ac:dyDescent="0.25">
      <c r="A9">
        <v>0.01</v>
      </c>
      <c r="B9">
        <f t="shared" si="0"/>
        <v>0.2139096483115972</v>
      </c>
      <c r="C9">
        <f t="shared" ref="C9:C72" si="8">$Q$6-$T$8*(1+Q$16)*EXP(-$T$10*A7)-T$13</f>
        <v>-0.15995120547158895</v>
      </c>
      <c r="D9">
        <f t="shared" si="1"/>
        <v>1.2860903516884028</v>
      </c>
      <c r="E9">
        <f>$Q$6+$T$8*(1+Q$16)*EXP(-$T$10*A7)</f>
        <v>1.630597940778957</v>
      </c>
      <c r="F9">
        <f>$Q$6-Q$17*$T$8*EXP(-$T$10*A7)</f>
        <v>0.45646735307368097</v>
      </c>
      <c r="G9">
        <f t="shared" si="2"/>
        <v>0.26746655308719619</v>
      </c>
      <c r="H9">
        <f>$Q$6-EXP(-T$6*T$12*A7)*(COS(T$5*A7)-(T$6*T$12-1)/(T$5)*SIN(T$5*A7))*T$15</f>
        <v>0.16293470614736194</v>
      </c>
      <c r="I9">
        <f t="shared" ref="I9:I72" si="9">$Q$6-(1+Q$16)*EXP(-T$6*T$12*A7)*(COS(T$5*A7)-(T$6*T$12-1)/(T$5)*SIN(T$5*A7))*T$15</f>
        <v>-0.13059794077895703</v>
      </c>
      <c r="J9">
        <f t="shared" si="3"/>
        <v>2.6199829630794258E-2</v>
      </c>
      <c r="K9">
        <f t="shared" si="4"/>
        <v>-3.1534350618376457E-3</v>
      </c>
      <c r="L9">
        <f t="shared" si="5"/>
        <v>5.5553094323426158E-2</v>
      </c>
      <c r="M9">
        <f>$Q$6-Q$17*EXP(-T$6*T$12*A7)*(COS(T$5*A7)-(T$6*T$12-1)/(T$5)*SIN(T$5*A7))*T$15</f>
        <v>0.45646735307368097</v>
      </c>
      <c r="N9">
        <f t="shared" si="6"/>
        <v>0.45646735307368097</v>
      </c>
      <c r="O9">
        <f t="shared" si="7"/>
        <v>-0.15995120547158895</v>
      </c>
      <c r="P9" t="s">
        <v>4</v>
      </c>
      <c r="Q9" s="3">
        <v>0.06</v>
      </c>
      <c r="S9" t="s">
        <v>23</v>
      </c>
      <c r="T9" s="4">
        <f>T10/T12</f>
        <v>0.41643995955608576</v>
      </c>
    </row>
    <row r="10" spans="1:22" x14ac:dyDescent="0.25">
      <c r="A10">
        <v>1.4999999999999999E-2</v>
      </c>
      <c r="B10">
        <f t="shared" si="0"/>
        <v>0.23771247136337836</v>
      </c>
      <c r="C10">
        <f t="shared" si="8"/>
        <v>-0.12085198106266383</v>
      </c>
      <c r="D10">
        <f t="shared" si="1"/>
        <v>1.2622875286366217</v>
      </c>
      <c r="E10">
        <f t="shared" ref="E10:E73" si="10">$Q$6+$T$8*(1+Q$16)*EXP(-$T$10*A8)+T$13</f>
        <v>1.6208519810626638</v>
      </c>
      <c r="F10">
        <f t="shared" ref="F10:F73" si="11">$Q$6-Q$17*$T$8*EXP(-$T$10*A8)</f>
        <v>0.46950042787665602</v>
      </c>
      <c r="G10">
        <f t="shared" si="2"/>
        <v>0.32141271394052717</v>
      </c>
      <c r="H10">
        <f>$Q$6-EXP(-T$6*T$12*A8)*(COS(T$5*A8)-(T$6*T$12-1)/(T$5)*SIN(T$5*A8))*T$15</f>
        <v>0.21439284484470744</v>
      </c>
      <c r="I10">
        <f t="shared" si="9"/>
        <v>-5.3410732732938837E-2</v>
      </c>
      <c r="J10">
        <f t="shared" si="3"/>
        <v>0.10711907091079087</v>
      </c>
      <c r="K10">
        <f t="shared" si="4"/>
        <v>7.776580621815897E-2</v>
      </c>
      <c r="L10">
        <f t="shared" si="5"/>
        <v>0.13647233560342278</v>
      </c>
      <c r="M10">
        <f t="shared" ref="M10:M73" si="12">$Q$6-Q$17*EXP(-T$6*T$12*A8)*(COS(T$5*A8)-(T$6*T$12-1)/(T$5)*SIN(T$5*A8))*T$15</f>
        <v>0.48219642242235372</v>
      </c>
      <c r="N10">
        <f t="shared" si="6"/>
        <v>0.48219642242235372</v>
      </c>
      <c r="O10">
        <f t="shared" si="7"/>
        <v>-0.12085198106266383</v>
      </c>
      <c r="P10" t="s">
        <v>5</v>
      </c>
      <c r="Q10" s="3">
        <v>3</v>
      </c>
      <c r="S10" t="s">
        <v>13</v>
      </c>
      <c r="T10" s="4">
        <f>Q8/(4*Q10)</f>
        <v>9.0833333333333339</v>
      </c>
    </row>
    <row r="11" spans="1:22" x14ac:dyDescent="0.25">
      <c r="A11">
        <v>0.02</v>
      </c>
      <c r="B11">
        <f t="shared" si="0"/>
        <v>0.26045843080355008</v>
      </c>
      <c r="C11">
        <f t="shared" si="8"/>
        <v>-8.34887922252361E-2</v>
      </c>
      <c r="D11">
        <f t="shared" si="1"/>
        <v>1.23954156919645</v>
      </c>
      <c r="E11">
        <f t="shared" si="10"/>
        <v>1.5834887922252363</v>
      </c>
      <c r="F11">
        <f t="shared" si="11"/>
        <v>0.4819548241557986</v>
      </c>
      <c r="G11">
        <f t="shared" si="2"/>
        <v>0.37554282565427594</v>
      </c>
      <c r="H11">
        <f>$Q$6-EXP(-T$6*T$12*A9)*(COS(T$5*A9)-(T$6*T$12-1)/(T$5)*SIN(T$5*A9))*T$15</f>
        <v>0.26746655308719619</v>
      </c>
      <c r="I11">
        <f t="shared" si="9"/>
        <v>2.6199829630794258E-2</v>
      </c>
      <c r="J11">
        <f t="shared" si="3"/>
        <v>0.18831423848141382</v>
      </c>
      <c r="K11">
        <f t="shared" si="4"/>
        <v>0.15896097378878191</v>
      </c>
      <c r="L11">
        <f t="shared" si="5"/>
        <v>0.21766750317404573</v>
      </c>
      <c r="M11">
        <f t="shared" si="12"/>
        <v>0.50873327654359812</v>
      </c>
      <c r="N11">
        <f t="shared" si="6"/>
        <v>0.50873327654359812</v>
      </c>
      <c r="O11">
        <f t="shared" si="7"/>
        <v>-8.34887922252361E-2</v>
      </c>
      <c r="P11" t="s">
        <v>6</v>
      </c>
      <c r="Q11" s="3">
        <v>314</v>
      </c>
      <c r="S11" t="s">
        <v>14</v>
      </c>
      <c r="T11" s="4">
        <f>Q9+T14+Q12</f>
        <v>0.11</v>
      </c>
    </row>
    <row r="12" spans="1:22" x14ac:dyDescent="0.25">
      <c r="A12">
        <v>2.5000000000000001E-2</v>
      </c>
      <c r="B12">
        <f t="shared" si="0"/>
        <v>0.28219445218758593</v>
      </c>
      <c r="C12">
        <f t="shared" si="8"/>
        <v>-4.7784557647564188E-2</v>
      </c>
      <c r="D12">
        <f t="shared" si="1"/>
        <v>1.2178055478124141</v>
      </c>
      <c r="E12">
        <f t="shared" si="10"/>
        <v>1.5477845576475644</v>
      </c>
      <c r="F12">
        <f t="shared" si="11"/>
        <v>0.49385623568168918</v>
      </c>
      <c r="G12">
        <f t="shared" si="2"/>
        <v>0.42922607975566213</v>
      </c>
      <c r="H12">
        <f>$Q$6-EXP(-T$6*T$12*A10)*(COS(T$5*A10)-(T$6*T$12-1)/(T$5)*SIN(T$5*A10))*T$15</f>
        <v>0.32141271394052717</v>
      </c>
      <c r="I12">
        <f t="shared" si="9"/>
        <v>0.10711907091079087</v>
      </c>
      <c r="J12">
        <f t="shared" si="3"/>
        <v>0.26883911963349322</v>
      </c>
      <c r="K12">
        <f t="shared" si="4"/>
        <v>0.2394858549408613</v>
      </c>
      <c r="L12">
        <f t="shared" si="5"/>
        <v>0.2981923843261251</v>
      </c>
      <c r="M12">
        <f t="shared" si="12"/>
        <v>0.53570635697026359</v>
      </c>
      <c r="N12">
        <f t="shared" si="6"/>
        <v>0.53570635697026359</v>
      </c>
      <c r="O12">
        <f t="shared" si="7"/>
        <v>-4.7784557647564188E-2</v>
      </c>
      <c r="P12" t="s">
        <v>19</v>
      </c>
      <c r="Q12" s="3">
        <v>0</v>
      </c>
      <c r="S12" t="s">
        <v>15</v>
      </c>
      <c r="T12" s="4">
        <f>SQRT(Q11*Q14*Q13/(2*Q10*T11))</f>
        <v>21.811867773246192</v>
      </c>
      <c r="U12" t="s">
        <v>21</v>
      </c>
      <c r="V12">
        <f>T12/(2*PI())</f>
        <v>3.4714665741789434</v>
      </c>
    </row>
    <row r="13" spans="1:22" x14ac:dyDescent="0.25">
      <c r="A13">
        <v>0.03</v>
      </c>
      <c r="B13">
        <f t="shared" si="0"/>
        <v>0.30296537754028219</v>
      </c>
      <c r="C13">
        <f t="shared" si="8"/>
        <v>-1.3665618487306647E-2</v>
      </c>
      <c r="D13">
        <f t="shared" si="1"/>
        <v>1.1970346224597179</v>
      </c>
      <c r="E13">
        <f t="shared" si="10"/>
        <v>1.5136656184873067</v>
      </c>
      <c r="F13">
        <f t="shared" si="11"/>
        <v>0.50522921540177501</v>
      </c>
      <c r="G13">
        <f t="shared" si="2"/>
        <v>0.4818915165639428</v>
      </c>
      <c r="H13">
        <f>$Q$6-EXP(-T$6*T$12*A11)*(COS(T$5*A11)-(T$6*T$12-1)/(T$5)*SIN(T$5*A11))*T$15</f>
        <v>0.37554282565427594</v>
      </c>
      <c r="I13">
        <f t="shared" si="9"/>
        <v>0.18831423848141382</v>
      </c>
      <c r="J13">
        <f t="shared" si="3"/>
        <v>0.3478372748459142</v>
      </c>
      <c r="K13">
        <f t="shared" si="4"/>
        <v>0.31848401015328232</v>
      </c>
      <c r="L13">
        <f t="shared" si="5"/>
        <v>0.37719053953854609</v>
      </c>
      <c r="M13">
        <f t="shared" si="12"/>
        <v>0.56277141282713794</v>
      </c>
      <c r="N13">
        <f t="shared" si="6"/>
        <v>0.56277141282713794</v>
      </c>
      <c r="O13">
        <f t="shared" si="7"/>
        <v>-1.3665618487306647E-2</v>
      </c>
      <c r="P13" t="s">
        <v>10</v>
      </c>
      <c r="Q13" s="3">
        <v>1</v>
      </c>
      <c r="S13" t="s">
        <v>18</v>
      </c>
      <c r="T13" s="4">
        <f>Q15*(Q6-B7)</f>
        <v>2.9353264692631904E-2</v>
      </c>
      <c r="U13" t="s">
        <v>22</v>
      </c>
      <c r="V13">
        <f>1/V12</f>
        <v>0.28806269011434044</v>
      </c>
    </row>
    <row r="14" spans="1:22" x14ac:dyDescent="0.25">
      <c r="A14">
        <v>3.5000000000000003E-2</v>
      </c>
      <c r="B14">
        <f t="shared" si="0"/>
        <v>0.32281405786611889</v>
      </c>
      <c r="C14">
        <f t="shared" si="8"/>
        <v>1.8938413588747021E-2</v>
      </c>
      <c r="D14">
        <f t="shared" si="1"/>
        <v>1.1771859421338811</v>
      </c>
      <c r="E14">
        <f t="shared" si="10"/>
        <v>1.4810615864112531</v>
      </c>
      <c r="F14">
        <f t="shared" si="11"/>
        <v>0.51609722609379294</v>
      </c>
      <c r="G14">
        <f t="shared" si="2"/>
        <v>0.53302931374972318</v>
      </c>
      <c r="H14">
        <f t="shared" ref="H14:H17" si="13">$Q$6-EXP(-T$6*T$12*A14)*(COS(T$5*A14)-(T$6*T$12-1)/(T$5)*SIN(T$5*A14))*T$15</f>
        <v>0.53302931374972318</v>
      </c>
      <c r="I14">
        <f t="shared" si="9"/>
        <v>0.26883911963349322</v>
      </c>
      <c r="J14">
        <f t="shared" si="3"/>
        <v>0.42454397062458477</v>
      </c>
      <c r="K14">
        <f t="shared" si="4"/>
        <v>0.39519070593195288</v>
      </c>
      <c r="L14">
        <f t="shared" si="5"/>
        <v>0.45389723531721665</v>
      </c>
      <c r="M14">
        <f t="shared" si="12"/>
        <v>0.58961303987783109</v>
      </c>
      <c r="N14">
        <f t="shared" si="6"/>
        <v>0.58961303987783109</v>
      </c>
      <c r="O14">
        <f t="shared" si="7"/>
        <v>1.8938413588747021E-2</v>
      </c>
      <c r="P14" t="s">
        <v>8</v>
      </c>
      <c r="Q14" s="3">
        <v>1</v>
      </c>
      <c r="S14" t="s">
        <v>7</v>
      </c>
      <c r="T14" s="4">
        <f>1/Q7</f>
        <v>0.05</v>
      </c>
    </row>
    <row r="15" spans="1:22" x14ac:dyDescent="0.25">
      <c r="A15">
        <v>0.04</v>
      </c>
      <c r="B15">
        <f t="shared" si="0"/>
        <v>0.34178144155209017</v>
      </c>
      <c r="C15">
        <f t="shared" si="8"/>
        <v>5.0094801617791437E-2</v>
      </c>
      <c r="D15">
        <f t="shared" si="1"/>
        <v>1.1582185584479099</v>
      </c>
      <c r="E15">
        <f t="shared" si="10"/>
        <v>1.4499051983822087</v>
      </c>
      <c r="F15">
        <f t="shared" si="11"/>
        <v>0.52648268877014104</v>
      </c>
      <c r="G15">
        <f t="shared" si="2"/>
        <v>0.58219126858090609</v>
      </c>
      <c r="H15">
        <f t="shared" si="13"/>
        <v>0.58219126858090609</v>
      </c>
      <c r="I15">
        <f t="shared" si="9"/>
        <v>0.3478372748459142</v>
      </c>
      <c r="J15">
        <f t="shared" si="3"/>
        <v>0.49828690287135913</v>
      </c>
      <c r="K15">
        <f t="shared" si="4"/>
        <v>0.46893363817872724</v>
      </c>
      <c r="L15">
        <f t="shared" si="5"/>
        <v>0.52764016756399101</v>
      </c>
      <c r="M15">
        <f t="shared" si="12"/>
        <v>0.6159457582819714</v>
      </c>
      <c r="N15">
        <f t="shared" si="6"/>
        <v>0.6159457582819714</v>
      </c>
      <c r="O15">
        <f t="shared" si="7"/>
        <v>5.0094801617791437E-2</v>
      </c>
      <c r="P15" t="s">
        <v>27</v>
      </c>
      <c r="Q15" s="7">
        <v>0.05</v>
      </c>
      <c r="S15" t="s">
        <v>39</v>
      </c>
      <c r="T15" s="4">
        <f>T7*Q13*Q14/T11</f>
        <v>0.58706529385263806</v>
      </c>
    </row>
    <row r="16" spans="1:22" x14ac:dyDescent="0.25">
      <c r="A16">
        <v>4.4999999999999998E-2</v>
      </c>
      <c r="B16">
        <f t="shared" si="0"/>
        <v>0.35990665884538059</v>
      </c>
      <c r="C16">
        <f t="shared" si="8"/>
        <v>7.9867822106546513E-2</v>
      </c>
      <c r="D16">
        <f t="shared" si="1"/>
        <v>1.1400933411546195</v>
      </c>
      <c r="E16">
        <f t="shared" si="10"/>
        <v>1.4201321778934537</v>
      </c>
      <c r="F16">
        <f t="shared" si="11"/>
        <v>0.53640702893305947</v>
      </c>
      <c r="G16">
        <f t="shared" si="2"/>
        <v>0.62899053838997399</v>
      </c>
      <c r="H16">
        <f t="shared" si="13"/>
        <v>0.62899053838997399</v>
      </c>
      <c r="I16">
        <f t="shared" si="9"/>
        <v>0.42454397062458477</v>
      </c>
      <c r="J16">
        <f t="shared" si="3"/>
        <v>0.56848580758496103</v>
      </c>
      <c r="K16">
        <f t="shared" si="4"/>
        <v>0.53913254289232915</v>
      </c>
      <c r="L16">
        <f t="shared" si="5"/>
        <v>0.59783907227759292</v>
      </c>
      <c r="M16">
        <f t="shared" si="12"/>
        <v>0.64151465687486153</v>
      </c>
      <c r="N16">
        <f t="shared" ref="N16:N17" si="14">M16</f>
        <v>0.64151465687486153</v>
      </c>
      <c r="O16">
        <f t="shared" si="7"/>
        <v>7.9867822106546513E-2</v>
      </c>
      <c r="P16" t="s">
        <v>25</v>
      </c>
      <c r="Q16" s="3">
        <v>0.5</v>
      </c>
    </row>
    <row r="17" spans="1:17" x14ac:dyDescent="0.25">
      <c r="A17">
        <v>0.05</v>
      </c>
      <c r="B17">
        <f t="shared" si="0"/>
        <v>0.37722710258016834</v>
      </c>
      <c r="C17">
        <f t="shared" si="8"/>
        <v>0.10831889763550338</v>
      </c>
      <c r="D17">
        <f t="shared" si="1"/>
        <v>1.1227728974198317</v>
      </c>
      <c r="E17">
        <f t="shared" si="10"/>
        <v>1.3916811023644968</v>
      </c>
      <c r="F17">
        <f t="shared" si="11"/>
        <v>0.54589072077604506</v>
      </c>
      <c r="G17">
        <f t="shared" si="2"/>
        <v>0.67310070661922128</v>
      </c>
      <c r="H17">
        <f t="shared" si="13"/>
        <v>0.67310070661922128</v>
      </c>
      <c r="I17">
        <f t="shared" si="9"/>
        <v>0.49828690287135913</v>
      </c>
      <c r="J17">
        <f t="shared" si="3"/>
        <v>0.63465105992883186</v>
      </c>
      <c r="K17">
        <f t="shared" si="4"/>
        <v>0.60529779523619998</v>
      </c>
      <c r="L17">
        <f t="shared" si="5"/>
        <v>0.66400432462146375</v>
      </c>
      <c r="M17">
        <f t="shared" si="12"/>
        <v>0.66609563429045304</v>
      </c>
      <c r="N17">
        <f t="shared" si="14"/>
        <v>0.66609563429045304</v>
      </c>
      <c r="O17">
        <f t="shared" si="7"/>
        <v>0.10831889763550338</v>
      </c>
      <c r="P17" t="s">
        <v>26</v>
      </c>
      <c r="Q17" s="3">
        <v>0.5</v>
      </c>
    </row>
    <row r="18" spans="1:17" x14ac:dyDescent="0.25">
      <c r="A18">
        <v>5.5E-2</v>
      </c>
      <c r="B18">
        <f t="shared" si="0"/>
        <v>0.39377850532009562</v>
      </c>
      <c r="C18">
        <f t="shared" si="8"/>
        <v>0.135506723575439</v>
      </c>
      <c r="D18">
        <f t="shared" si="1"/>
        <v>1.1062214946799043</v>
      </c>
      <c r="E18">
        <f t="shared" si="10"/>
        <v>1.3644932764245612</v>
      </c>
      <c r="F18">
        <f t="shared" si="11"/>
        <v>0.55495332942269027</v>
      </c>
      <c r="G18">
        <f t="shared" si="2"/>
        <v>0.71425424361238565</v>
      </c>
      <c r="H18">
        <f t="shared" ref="H18:H81" si="15">$Q$6-EXP(-T$6*T$12*A18)*(COS(T$5*A18)-(T$6*T$12-1)/(T$5)*SIN(T$5*A18))*T$15</f>
        <v>0.71425424361238565</v>
      </c>
      <c r="I18">
        <f t="shared" si="9"/>
        <v>0.56848580758496103</v>
      </c>
      <c r="J18">
        <f t="shared" si="3"/>
        <v>0.69638136541857842</v>
      </c>
      <c r="K18">
        <f t="shared" si="4"/>
        <v>0.66702810072594654</v>
      </c>
      <c r="L18">
        <f t="shared" si="5"/>
        <v>0.72573463011121031</v>
      </c>
      <c r="M18">
        <f t="shared" si="12"/>
        <v>0.68949526919498705</v>
      </c>
      <c r="N18">
        <f t="shared" ref="N18:N21" si="16">IF(P18,MAX(E18,$Q$6+$T$13),MAX(L18,$Q$6+$T$13))</f>
        <v>0.77935326469263189</v>
      </c>
      <c r="O18">
        <f t="shared" si="7"/>
        <v>0.135506723575439</v>
      </c>
      <c r="P18" t="b">
        <f t="shared" ref="P18:P20" si="17">IF(H18&lt;H17,TRUE)</f>
        <v>0</v>
      </c>
    </row>
    <row r="19" spans="1:17" x14ac:dyDescent="0.25">
      <c r="A19">
        <v>0.06</v>
      </c>
      <c r="B19">
        <f t="shared" si="0"/>
        <v>0.4095950130755554</v>
      </c>
      <c r="C19">
        <f t="shared" si="8"/>
        <v>0.16148738917762059</v>
      </c>
      <c r="D19">
        <f t="shared" si="1"/>
        <v>1.0904049869244445</v>
      </c>
      <c r="E19">
        <f t="shared" si="10"/>
        <v>1.3385126108223795</v>
      </c>
      <c r="F19">
        <f t="shared" si="11"/>
        <v>0.56361355129008417</v>
      </c>
      <c r="G19">
        <f t="shared" si="2"/>
        <v>0.75224043218998837</v>
      </c>
      <c r="H19">
        <f t="shared" si="15"/>
        <v>0.75224043218998837</v>
      </c>
      <c r="I19">
        <f t="shared" si="9"/>
        <v>0.63465105992883186</v>
      </c>
      <c r="J19">
        <f t="shared" si="3"/>
        <v>0.7533606482849825</v>
      </c>
      <c r="K19">
        <f t="shared" si="4"/>
        <v>0.72400738359235062</v>
      </c>
      <c r="L19">
        <f t="shared" si="5"/>
        <v>0.78271391297761439</v>
      </c>
      <c r="M19">
        <f t="shared" si="12"/>
        <v>0.71155035330961058</v>
      </c>
      <c r="N19">
        <f t="shared" si="16"/>
        <v>0.78271391297761439</v>
      </c>
      <c r="O19">
        <f t="shared" si="7"/>
        <v>0.16148738917762059</v>
      </c>
      <c r="P19" t="b">
        <f t="shared" si="17"/>
        <v>0</v>
      </c>
    </row>
    <row r="20" spans="1:17" x14ac:dyDescent="0.25">
      <c r="A20">
        <v>6.5000000000000002E-2</v>
      </c>
      <c r="B20">
        <f t="shared" si="0"/>
        <v>0.42470925574787272</v>
      </c>
      <c r="C20">
        <f t="shared" si="8"/>
        <v>0.18631449328751157</v>
      </c>
      <c r="D20">
        <f t="shared" si="1"/>
        <v>1.0752907442521273</v>
      </c>
      <c r="E20">
        <f t="shared" si="10"/>
        <v>1.3136855067124886</v>
      </c>
      <c r="F20">
        <f t="shared" si="11"/>
        <v>0.57188925266004786</v>
      </c>
      <c r="G20">
        <f t="shared" si="2"/>
        <v>0.78690282804358846</v>
      </c>
      <c r="H20">
        <f t="shared" si="15"/>
        <v>0.78690282804358846</v>
      </c>
      <c r="I20">
        <f t="shared" si="9"/>
        <v>0.69638136541857842</v>
      </c>
      <c r="J20">
        <f t="shared" si="3"/>
        <v>0.80535424206538275</v>
      </c>
      <c r="K20">
        <f t="shared" si="4"/>
        <v>0.77600097737275087</v>
      </c>
      <c r="L20">
        <f t="shared" si="5"/>
        <v>0.83470750675801464</v>
      </c>
      <c r="M20">
        <f t="shared" si="12"/>
        <v>0.73212712180619288</v>
      </c>
      <c r="N20">
        <f t="shared" si="16"/>
        <v>0.83470750675801464</v>
      </c>
      <c r="O20">
        <f t="shared" si="7"/>
        <v>0.18631449328751157</v>
      </c>
      <c r="P20" t="b">
        <f t="shared" si="17"/>
        <v>0</v>
      </c>
    </row>
    <row r="21" spans="1:17" x14ac:dyDescent="0.25">
      <c r="A21">
        <v>7.0000000000000007E-2</v>
      </c>
      <c r="B21">
        <f t="shared" si="0"/>
        <v>0.43915241444571118</v>
      </c>
      <c r="C21">
        <f t="shared" si="8"/>
        <v>0.21003925492070116</v>
      </c>
      <c r="D21">
        <f t="shared" si="1"/>
        <v>1.0608475855542889</v>
      </c>
      <c r="E21">
        <f t="shared" si="10"/>
        <v>1.2899607450792989</v>
      </c>
      <c r="F21">
        <f t="shared" si="11"/>
        <v>0.57979750653777773</v>
      </c>
      <c r="G21">
        <f t="shared" si="2"/>
        <v>0.81813632418674487</v>
      </c>
      <c r="H21">
        <f t="shared" si="15"/>
        <v>0.81813632418674487</v>
      </c>
      <c r="I21">
        <f t="shared" si="9"/>
        <v>0.7533606482849825</v>
      </c>
      <c r="J21">
        <f t="shared" si="3"/>
        <v>0.85220448628011736</v>
      </c>
      <c r="K21">
        <f t="shared" si="4"/>
        <v>0.82285122158748547</v>
      </c>
      <c r="L21">
        <f t="shared" si="5"/>
        <v>0.88155775097274924</v>
      </c>
      <c r="M21">
        <f t="shared" si="12"/>
        <v>0.75112021609499413</v>
      </c>
      <c r="N21">
        <f t="shared" si="16"/>
        <v>0.88155775097274924</v>
      </c>
      <c r="O21">
        <f t="shared" si="7"/>
        <v>0.21003925492070116</v>
      </c>
      <c r="P21" t="b">
        <f>IF(H21&lt;H20,TRUE)</f>
        <v>0</v>
      </c>
    </row>
    <row r="22" spans="1:17" x14ac:dyDescent="0.25">
      <c r="A22">
        <v>7.4999999999999997E-2</v>
      </c>
      <c r="B22">
        <f t="shared" si="0"/>
        <v>0.45295428581257874</v>
      </c>
      <c r="C22">
        <f t="shared" si="8"/>
        <v>0.23271061892917713</v>
      </c>
      <c r="D22">
        <f t="shared" si="1"/>
        <v>1.0470457141874212</v>
      </c>
      <c r="E22">
        <f t="shared" si="10"/>
        <v>1.267289381070823</v>
      </c>
      <c r="F22">
        <f t="shared" si="11"/>
        <v>0.58735462787393633</v>
      </c>
      <c r="G22">
        <f t="shared" si="2"/>
        <v>0.84588388718587371</v>
      </c>
      <c r="H22">
        <f t="shared" si="15"/>
        <v>0.84588388718587371</v>
      </c>
      <c r="I22">
        <f t="shared" si="9"/>
        <v>0.80535424206538275</v>
      </c>
      <c r="J22">
        <f t="shared" si="3"/>
        <v>0.89382583077881061</v>
      </c>
      <c r="K22">
        <f t="shared" si="4"/>
        <v>0.86447256608617873</v>
      </c>
      <c r="L22">
        <f t="shared" si="5"/>
        <v>0.9231790954714425</v>
      </c>
      <c r="M22">
        <f t="shared" si="12"/>
        <v>0.76845141402179418</v>
      </c>
      <c r="N22">
        <f t="shared" ref="N22:N23" si="18">IF(P22,MAX(E22,$Q$6+$T$13),MAX(L22,$Q$6+$T$13))</f>
        <v>0.9231790954714425</v>
      </c>
      <c r="O22">
        <f t="shared" si="7"/>
        <v>0.23271061892917713</v>
      </c>
      <c r="P22" t="b">
        <f t="shared" ref="P22:P85" si="19">IF(P21,TRUE,IF(H22&lt;H21,TRUE))</f>
        <v>0</v>
      </c>
    </row>
    <row r="23" spans="1:17" x14ac:dyDescent="0.25">
      <c r="A23">
        <v>0.08</v>
      </c>
      <c r="B23">
        <f t="shared" si="0"/>
        <v>0.46614334349814374</v>
      </c>
      <c r="C23">
        <f t="shared" si="8"/>
        <v>0.25437535697593489</v>
      </c>
      <c r="D23">
        <f t="shared" si="1"/>
        <v>1.0338566565018563</v>
      </c>
      <c r="E23">
        <f t="shared" si="10"/>
        <v>1.2456246430240652</v>
      </c>
      <c r="F23">
        <f t="shared" si="11"/>
        <v>0.59457620722285554</v>
      </c>
      <c r="G23">
        <f t="shared" si="2"/>
        <v>0.87013303074185344</v>
      </c>
      <c r="H23">
        <f t="shared" si="15"/>
        <v>0.87013303074185344</v>
      </c>
      <c r="I23">
        <f t="shared" si="9"/>
        <v>0.85220448628011736</v>
      </c>
      <c r="J23">
        <f t="shared" si="3"/>
        <v>0.93019954611278022</v>
      </c>
      <c r="K23">
        <f t="shared" si="4"/>
        <v>0.90084628142014833</v>
      </c>
      <c r="L23">
        <f t="shared" si="5"/>
        <v>0.9595528108054121</v>
      </c>
      <c r="M23">
        <f t="shared" si="12"/>
        <v>0.78406816209337249</v>
      </c>
      <c r="N23">
        <f t="shared" si="18"/>
        <v>0.9595528108054121</v>
      </c>
      <c r="O23">
        <f t="shared" si="7"/>
        <v>0.25437535697593489</v>
      </c>
      <c r="P23" t="b">
        <f t="shared" si="19"/>
        <v>0</v>
      </c>
    </row>
    <row r="24" spans="1:17" x14ac:dyDescent="0.25">
      <c r="A24">
        <v>8.5000000000000006E-2</v>
      </c>
      <c r="B24">
        <f t="shared" si="0"/>
        <v>0.47874679690017607</v>
      </c>
      <c r="C24">
        <f t="shared" si="8"/>
        <v>0.27507816402623625</v>
      </c>
      <c r="D24">
        <f t="shared" si="1"/>
        <v>1.0212532030998238</v>
      </c>
      <c r="E24">
        <f t="shared" si="10"/>
        <v>1.2249218359737639</v>
      </c>
      <c r="F24">
        <f t="shared" si="11"/>
        <v>0.6014771429062894</v>
      </c>
      <c r="G24">
        <f t="shared" si="2"/>
        <v>0.89091208948300882</v>
      </c>
      <c r="H24">
        <f t="shared" si="15"/>
        <v>0.89091208948300882</v>
      </c>
      <c r="I24">
        <f t="shared" si="9"/>
        <v>0.89382583077881061</v>
      </c>
      <c r="J24">
        <f t="shared" si="3"/>
        <v>0.96136813422451328</v>
      </c>
      <c r="K24">
        <f t="shared" si="4"/>
        <v>0.9320148695318814</v>
      </c>
      <c r="L24">
        <f t="shared" si="5"/>
        <v>0.99072139891714517</v>
      </c>
      <c r="M24">
        <f t="shared" si="12"/>
        <v>0.79794194359293691</v>
      </c>
      <c r="N24">
        <f>IF(P24,MAX(E24,$Q$6+$T$13),MAX(L24,$Q$6+$T$13))</f>
        <v>0.99072139891714517</v>
      </c>
      <c r="O24">
        <f t="shared" si="7"/>
        <v>0.27507816402623625</v>
      </c>
      <c r="P24" t="b">
        <f t="shared" si="19"/>
        <v>0</v>
      </c>
    </row>
    <row r="25" spans="1:17" x14ac:dyDescent="0.25">
      <c r="A25">
        <v>0.09</v>
      </c>
      <c r="B25">
        <f t="shared" si="0"/>
        <v>0.49079064729830224</v>
      </c>
      <c r="C25">
        <f t="shared" si="8"/>
        <v>0.29486175055458375</v>
      </c>
      <c r="D25">
        <f t="shared" si="1"/>
        <v>1.0092093527016979</v>
      </c>
      <c r="E25">
        <f t="shared" si="10"/>
        <v>1.2051382494454164</v>
      </c>
      <c r="F25">
        <f t="shared" si="11"/>
        <v>0.60807167174907184</v>
      </c>
      <c r="G25">
        <f t="shared" si="2"/>
        <v>0.90828635264120261</v>
      </c>
      <c r="H25">
        <f t="shared" si="15"/>
        <v>0.90828635264120261</v>
      </c>
      <c r="I25">
        <f t="shared" si="9"/>
        <v>0.93019954611278022</v>
      </c>
      <c r="J25">
        <f t="shared" si="3"/>
        <v>0.98742952896180392</v>
      </c>
      <c r="K25">
        <f t="shared" si="4"/>
        <v>0.95807626426917203</v>
      </c>
      <c r="L25">
        <f t="shared" si="5"/>
        <v>1.0167827936544358</v>
      </c>
      <c r="M25">
        <f t="shared" si="12"/>
        <v>0.81006651537092678</v>
      </c>
      <c r="N25">
        <f t="shared" ref="N25:N88" si="20">IF(P25,MAX(E25,$Q$6+$T$13),MAX(L25,$Q$6+$T$13))</f>
        <v>1.0167827936544358</v>
      </c>
      <c r="O25">
        <f t="shared" si="7"/>
        <v>0.29486175055458375</v>
      </c>
      <c r="P25" t="b">
        <f t="shared" si="19"/>
        <v>0</v>
      </c>
    </row>
    <row r="26" spans="1:17" x14ac:dyDescent="0.25">
      <c r="A26">
        <v>9.5000000000000001E-2</v>
      </c>
      <c r="B26">
        <f t="shared" si="0"/>
        <v>0.50229974149537793</v>
      </c>
      <c r="C26">
        <f t="shared" si="8"/>
        <v>0.31376693065763228</v>
      </c>
      <c r="D26">
        <f t="shared" si="1"/>
        <v>0.99770025850462207</v>
      </c>
      <c r="E26">
        <f t="shared" si="10"/>
        <v>1.1862330693423677</v>
      </c>
      <c r="F26">
        <f t="shared" si="11"/>
        <v>0.61437339845008809</v>
      </c>
      <c r="G26">
        <f t="shared" si="2"/>
        <v>0.92235411369297804</v>
      </c>
      <c r="H26">
        <f t="shared" si="15"/>
        <v>0.92235411369297804</v>
      </c>
      <c r="I26">
        <f t="shared" si="9"/>
        <v>0.96136813422451328</v>
      </c>
      <c r="J26">
        <f t="shared" si="3"/>
        <v>1.0085311705394671</v>
      </c>
      <c r="K26">
        <f t="shared" si="4"/>
        <v>0.97917790584683517</v>
      </c>
      <c r="L26">
        <f t="shared" si="5"/>
        <v>1.0378844352320991</v>
      </c>
      <c r="M26">
        <f t="shared" si="12"/>
        <v>0.82045604474150435</v>
      </c>
      <c r="N26">
        <f t="shared" si="20"/>
        <v>1.0378844352320991</v>
      </c>
      <c r="O26">
        <f t="shared" si="7"/>
        <v>0.31376693065763228</v>
      </c>
      <c r="P26" t="b">
        <f t="shared" si="19"/>
        <v>0</v>
      </c>
    </row>
    <row r="27" spans="1:17" x14ac:dyDescent="0.25">
      <c r="A27">
        <v>0.1</v>
      </c>
      <c r="B27">
        <f t="shared" si="0"/>
        <v>0.51329782307714267</v>
      </c>
      <c r="C27">
        <f t="shared" si="8"/>
        <v>0.33183270625482153</v>
      </c>
      <c r="D27">
        <f t="shared" si="1"/>
        <v>0.98670217692285733</v>
      </c>
      <c r="E27">
        <f t="shared" si="10"/>
        <v>1.1681672937451786</v>
      </c>
      <c r="F27">
        <f t="shared" si="11"/>
        <v>0.62039532364915106</v>
      </c>
      <c r="G27">
        <f t="shared" si="2"/>
        <v>0.93324268813260147</v>
      </c>
      <c r="H27">
        <f t="shared" si="15"/>
        <v>0.93324268813260147</v>
      </c>
      <c r="I27">
        <f t="shared" si="9"/>
        <v>0.98742952896180392</v>
      </c>
      <c r="J27">
        <f t="shared" si="3"/>
        <v>1.0248640321989022</v>
      </c>
      <c r="K27">
        <f t="shared" si="4"/>
        <v>0.99551076750627032</v>
      </c>
      <c r="L27">
        <f t="shared" si="5"/>
        <v>1.0542172968915342</v>
      </c>
      <c r="M27">
        <f t="shared" si="12"/>
        <v>0.82914317632060131</v>
      </c>
      <c r="N27">
        <f t="shared" si="20"/>
        <v>1.0542172968915342</v>
      </c>
      <c r="O27">
        <f t="shared" si="7"/>
        <v>0.33183270625482153</v>
      </c>
      <c r="P27" t="b">
        <f t="shared" si="19"/>
        <v>0</v>
      </c>
    </row>
    <row r="28" spans="1:17" x14ac:dyDescent="0.25">
      <c r="A28">
        <v>0.105</v>
      </c>
      <c r="B28">
        <f t="shared" si="0"/>
        <v>0.52380758139590644</v>
      </c>
      <c r="C28">
        <f t="shared" si="8"/>
        <v>0.34909634755043506</v>
      </c>
      <c r="D28">
        <f t="shared" si="1"/>
        <v>0.97619241860409356</v>
      </c>
      <c r="E28">
        <f t="shared" si="10"/>
        <v>1.1509036524495651</v>
      </c>
      <c r="F28">
        <f t="shared" si="11"/>
        <v>0.62614987074768902</v>
      </c>
      <c r="G28">
        <f t="shared" si="2"/>
        <v>0.94110444737617838</v>
      </c>
      <c r="H28">
        <f t="shared" si="15"/>
        <v>0.94110444737617838</v>
      </c>
      <c r="I28">
        <f t="shared" si="9"/>
        <v>1.0085311705394671</v>
      </c>
      <c r="J28">
        <f t="shared" si="3"/>
        <v>1.0366566710642675</v>
      </c>
      <c r="K28">
        <f t="shared" si="4"/>
        <v>1.0073034063716355</v>
      </c>
      <c r="L28">
        <f t="shared" si="5"/>
        <v>1.0660099357568995</v>
      </c>
      <c r="M28">
        <f t="shared" si="12"/>
        <v>0.83617705684648902</v>
      </c>
      <c r="N28">
        <f t="shared" si="20"/>
        <v>1.0660099357568995</v>
      </c>
      <c r="O28">
        <f t="shared" si="7"/>
        <v>0.34909634755043506</v>
      </c>
      <c r="P28" t="b">
        <f t="shared" si="19"/>
        <v>0</v>
      </c>
    </row>
    <row r="29" spans="1:17" x14ac:dyDescent="0.25">
      <c r="A29">
        <v>0.11</v>
      </c>
      <c r="B29">
        <f t="shared" si="0"/>
        <v>0.5338506983793232</v>
      </c>
      <c r="C29">
        <f t="shared" si="8"/>
        <v>0.36559346992308211</v>
      </c>
      <c r="D29">
        <f t="shared" si="1"/>
        <v>0.9661493016206768</v>
      </c>
      <c r="E29">
        <f t="shared" si="10"/>
        <v>1.1344065300769179</v>
      </c>
      <c r="F29">
        <f t="shared" si="11"/>
        <v>0.63164891153857128</v>
      </c>
      <c r="G29">
        <f t="shared" si="2"/>
        <v>0.94611291244501428</v>
      </c>
      <c r="H29">
        <f t="shared" si="15"/>
        <v>0.94611291244501428</v>
      </c>
      <c r="I29">
        <f t="shared" si="9"/>
        <v>1.0248640321989022</v>
      </c>
      <c r="J29">
        <f t="shared" si="3"/>
        <v>1.0441693686675213</v>
      </c>
      <c r="K29">
        <f t="shared" si="4"/>
        <v>1.0148161039748893</v>
      </c>
      <c r="L29">
        <f t="shared" si="5"/>
        <v>1.0735226333601533</v>
      </c>
      <c r="M29">
        <f t="shared" si="12"/>
        <v>0.84162134406630074</v>
      </c>
      <c r="N29">
        <f t="shared" si="20"/>
        <v>1.0735226333601533</v>
      </c>
      <c r="O29">
        <f t="shared" si="7"/>
        <v>0.36559346992308211</v>
      </c>
      <c r="P29" t="b">
        <f t="shared" si="19"/>
        <v>0</v>
      </c>
    </row>
    <row r="30" spans="1:17" x14ac:dyDescent="0.25">
      <c r="A30">
        <v>0.115</v>
      </c>
      <c r="B30">
        <f t="shared" si="0"/>
        <v>0.54344789326081866</v>
      </c>
      <c r="C30">
        <f t="shared" si="8"/>
        <v>0.38135810740122772</v>
      </c>
      <c r="D30">
        <f t="shared" si="1"/>
        <v>0.95655210673918134</v>
      </c>
      <c r="E30">
        <f t="shared" si="10"/>
        <v>1.1186418925987724</v>
      </c>
      <c r="F30">
        <f t="shared" si="11"/>
        <v>0.63690379069795322</v>
      </c>
      <c r="G30">
        <f t="shared" si="2"/>
        <v>0.94845894660741714</v>
      </c>
      <c r="H30">
        <f t="shared" si="15"/>
        <v>0.94845894660741714</v>
      </c>
      <c r="I30">
        <f t="shared" si="9"/>
        <v>1.0366566710642675</v>
      </c>
      <c r="J30">
        <f t="shared" si="3"/>
        <v>1.0476884199111256</v>
      </c>
      <c r="K30">
        <f t="shared" si="4"/>
        <v>1.0183351552184936</v>
      </c>
      <c r="L30">
        <f t="shared" si="5"/>
        <v>1.0770416846037576</v>
      </c>
      <c r="M30">
        <f t="shared" si="12"/>
        <v>0.84555222368808924</v>
      </c>
      <c r="N30">
        <f t="shared" si="20"/>
        <v>1.0770416846037576</v>
      </c>
      <c r="O30">
        <f t="shared" si="7"/>
        <v>0.38135810740122772</v>
      </c>
      <c r="P30" t="b">
        <f t="shared" si="19"/>
        <v>0</v>
      </c>
    </row>
    <row r="31" spans="1:17" x14ac:dyDescent="0.25">
      <c r="A31">
        <v>0.12</v>
      </c>
      <c r="B31">
        <f t="shared" si="0"/>
        <v>0.55261896532395294</v>
      </c>
      <c r="C31">
        <f t="shared" si="8"/>
        <v>0.39642278287635291</v>
      </c>
      <c r="D31">
        <f t="shared" si="1"/>
        <v>0.94738103467604706</v>
      </c>
      <c r="E31">
        <f t="shared" si="10"/>
        <v>1.1035772171236473</v>
      </c>
      <c r="F31">
        <f t="shared" si="11"/>
        <v>0.6419253491896616</v>
      </c>
      <c r="G31">
        <f t="shared" si="2"/>
        <v>0.94834708163218751</v>
      </c>
      <c r="H31">
        <f t="shared" si="15"/>
        <v>0.94834708163218751</v>
      </c>
      <c r="I31">
        <f t="shared" si="9"/>
        <v>1.0441693686675213</v>
      </c>
      <c r="J31">
        <f t="shared" si="3"/>
        <v>1.0475206224482811</v>
      </c>
      <c r="K31">
        <f t="shared" si="4"/>
        <v>1.0181673577556491</v>
      </c>
      <c r="L31">
        <f t="shared" si="5"/>
        <v>1.0768738871409131</v>
      </c>
      <c r="M31">
        <f t="shared" si="12"/>
        <v>0.84805645622250714</v>
      </c>
      <c r="N31">
        <f t="shared" si="20"/>
        <v>1.1035772171236473</v>
      </c>
      <c r="O31">
        <f t="shared" si="7"/>
        <v>0.39642278287635291</v>
      </c>
      <c r="P31" t="b">
        <f t="shared" si="19"/>
        <v>1</v>
      </c>
    </row>
    <row r="32" spans="1:17" x14ac:dyDescent="0.25">
      <c r="A32">
        <v>0.125</v>
      </c>
      <c r="B32">
        <f t="shared" si="0"/>
        <v>0.56138283474890061</v>
      </c>
      <c r="C32">
        <f t="shared" si="8"/>
        <v>0.41081857519859616</v>
      </c>
      <c r="D32">
        <f t="shared" si="1"/>
        <v>0.93861716525109939</v>
      </c>
      <c r="E32">
        <f t="shared" si="10"/>
        <v>1.089181424801404</v>
      </c>
      <c r="F32">
        <f t="shared" si="11"/>
        <v>0.64672394663040933</v>
      </c>
      <c r="G32">
        <f t="shared" si="2"/>
        <v>0.94599200778046622</v>
      </c>
      <c r="H32">
        <f t="shared" si="15"/>
        <v>0.94599200778046622</v>
      </c>
      <c r="I32">
        <f t="shared" si="9"/>
        <v>1.0476884199111256</v>
      </c>
      <c r="J32">
        <f t="shared" si="3"/>
        <v>1.0439880116706992</v>
      </c>
      <c r="K32">
        <f t="shared" si="4"/>
        <v>1.0146347469780672</v>
      </c>
      <c r="L32">
        <f t="shared" si="5"/>
        <v>1.0733412763633312</v>
      </c>
      <c r="M32">
        <f t="shared" si="12"/>
        <v>0.84922947330370857</v>
      </c>
      <c r="N32">
        <f t="shared" si="20"/>
        <v>1.089181424801404</v>
      </c>
      <c r="O32">
        <f t="shared" si="7"/>
        <v>0.41081857519859616</v>
      </c>
      <c r="P32" t="b">
        <f t="shared" si="19"/>
        <v>1</v>
      </c>
    </row>
    <row r="33" spans="1:16" x14ac:dyDescent="0.25">
      <c r="A33">
        <v>0.13</v>
      </c>
      <c r="B33">
        <f t="shared" si="0"/>
        <v>0.56975758164531565</v>
      </c>
      <c r="C33">
        <f t="shared" si="8"/>
        <v>0.42457518329329758</v>
      </c>
      <c r="D33">
        <f t="shared" si="1"/>
        <v>0.93024241835468435</v>
      </c>
      <c r="E33">
        <f t="shared" si="10"/>
        <v>1.0754248167067024</v>
      </c>
      <c r="F33">
        <f t="shared" si="11"/>
        <v>0.65130948266197652</v>
      </c>
      <c r="G33">
        <f t="shared" si="2"/>
        <v>0.94161525318689565</v>
      </c>
      <c r="H33">
        <f t="shared" si="15"/>
        <v>0.94161525318689565</v>
      </c>
      <c r="I33">
        <f t="shared" si="9"/>
        <v>1.0475206224482811</v>
      </c>
      <c r="J33">
        <f t="shared" si="3"/>
        <v>1.0374228797803435</v>
      </c>
      <c r="K33">
        <f t="shared" si="4"/>
        <v>1.0080696150877115</v>
      </c>
      <c r="L33">
        <f t="shared" si="5"/>
        <v>1.0667761444729755</v>
      </c>
      <c r="M33">
        <f t="shared" si="12"/>
        <v>0.84917354081609375</v>
      </c>
      <c r="N33">
        <f t="shared" si="20"/>
        <v>1.0754248167067024</v>
      </c>
      <c r="O33">
        <f t="shared" si="7"/>
        <v>0.42457518329329758</v>
      </c>
      <c r="P33" t="b">
        <f t="shared" si="19"/>
        <v>1</v>
      </c>
    </row>
    <row r="34" spans="1:16" x14ac:dyDescent="0.25">
      <c r="A34">
        <v>0.13500000000000001</v>
      </c>
      <c r="B34">
        <f t="shared" si="0"/>
        <v>0.57776048335210728</v>
      </c>
      <c r="C34">
        <f t="shared" si="8"/>
        <v>0.43772098743071908</v>
      </c>
      <c r="D34">
        <f t="shared" si="1"/>
        <v>0.92223951664789272</v>
      </c>
      <c r="E34">
        <f t="shared" si="10"/>
        <v>1.0622790125692811</v>
      </c>
      <c r="F34">
        <f t="shared" si="11"/>
        <v>0.65569141737445036</v>
      </c>
      <c r="G34">
        <f t="shared" si="2"/>
        <v>0.93544207390259226</v>
      </c>
      <c r="H34">
        <f t="shared" si="15"/>
        <v>0.93544207390259226</v>
      </c>
      <c r="I34">
        <f t="shared" si="9"/>
        <v>1.0439880116706992</v>
      </c>
      <c r="J34">
        <f t="shared" si="3"/>
        <v>1.0281631108538885</v>
      </c>
      <c r="K34">
        <f t="shared" si="4"/>
        <v>0.99880984616125656</v>
      </c>
      <c r="L34">
        <f t="shared" si="5"/>
        <v>1.0575163755465204</v>
      </c>
      <c r="M34">
        <f t="shared" si="12"/>
        <v>0.84799600389023311</v>
      </c>
      <c r="N34">
        <f t="shared" si="20"/>
        <v>1.0622790125692811</v>
      </c>
      <c r="O34">
        <f t="shared" si="7"/>
        <v>0.43772098743071908</v>
      </c>
      <c r="P34" t="b">
        <f t="shared" si="19"/>
        <v>1</v>
      </c>
    </row>
    <row r="35" spans="1:16" x14ac:dyDescent="0.25">
      <c r="A35">
        <v>0.14000000000000001</v>
      </c>
      <c r="B35">
        <f t="shared" si="0"/>
        <v>0.58540805008107744</v>
      </c>
      <c r="C35">
        <f t="shared" si="8"/>
        <v>0.45028310777534164</v>
      </c>
      <c r="D35">
        <f t="shared" si="1"/>
        <v>0.91459194991892256</v>
      </c>
      <c r="E35">
        <f t="shared" si="10"/>
        <v>1.0497168922246585</v>
      </c>
      <c r="F35">
        <f t="shared" si="11"/>
        <v>0.65987879082265788</v>
      </c>
      <c r="G35">
        <f t="shared" si="2"/>
        <v>0.92769857163254132</v>
      </c>
      <c r="H35">
        <f t="shared" si="15"/>
        <v>0.92769857163254132</v>
      </c>
      <c r="I35">
        <f t="shared" si="9"/>
        <v>1.0374228797803435</v>
      </c>
      <c r="J35">
        <f t="shared" si="3"/>
        <v>1.016547857448812</v>
      </c>
      <c r="K35">
        <f t="shared" si="4"/>
        <v>0.98719459275618016</v>
      </c>
      <c r="L35">
        <f t="shared" si="5"/>
        <v>1.045901122141444</v>
      </c>
      <c r="M35">
        <f t="shared" si="12"/>
        <v>0.84580762659344777</v>
      </c>
      <c r="N35">
        <f t="shared" si="20"/>
        <v>1.0497168922246585</v>
      </c>
      <c r="O35">
        <f t="shared" si="7"/>
        <v>0.45028310777534164</v>
      </c>
      <c r="P35" t="b">
        <f t="shared" si="19"/>
        <v>1</v>
      </c>
    </row>
    <row r="36" spans="1:16" x14ac:dyDescent="0.25">
      <c r="A36">
        <v>0.14499999999999999</v>
      </c>
      <c r="B36">
        <f t="shared" si="0"/>
        <v>0.59271605897795254</v>
      </c>
      <c r="C36">
        <f t="shared" si="8"/>
        <v>0.46228746033552914</v>
      </c>
      <c r="D36">
        <f t="shared" si="1"/>
        <v>0.90728394102204746</v>
      </c>
      <c r="E36">
        <f t="shared" si="10"/>
        <v>1.0377125396644711</v>
      </c>
      <c r="F36">
        <f t="shared" si="11"/>
        <v>0.66388024167605364</v>
      </c>
      <c r="G36">
        <f t="shared" si="2"/>
        <v>0.91860905213481625</v>
      </c>
      <c r="H36">
        <f t="shared" si="15"/>
        <v>0.91860905213481625</v>
      </c>
      <c r="I36">
        <f t="shared" si="9"/>
        <v>1.0281631108538885</v>
      </c>
      <c r="J36">
        <f t="shared" si="3"/>
        <v>1.0029135782022243</v>
      </c>
      <c r="K36">
        <f t="shared" si="4"/>
        <v>0.97356031350959238</v>
      </c>
      <c r="L36">
        <f t="shared" si="5"/>
        <v>1.0322668428948563</v>
      </c>
      <c r="M36">
        <f t="shared" si="12"/>
        <v>0.84272103695129608</v>
      </c>
      <c r="N36">
        <f t="shared" si="20"/>
        <v>1.0377125396644711</v>
      </c>
      <c r="O36">
        <f t="shared" si="7"/>
        <v>0.46228746033552914</v>
      </c>
      <c r="P36" t="b">
        <f t="shared" si="19"/>
        <v>1</v>
      </c>
    </row>
    <row r="37" spans="1:16" x14ac:dyDescent="0.25">
      <c r="A37">
        <v>0.15</v>
      </c>
      <c r="B37">
        <f t="shared" si="0"/>
        <v>0.59969958667108036</v>
      </c>
      <c r="C37">
        <f t="shared" si="8"/>
        <v>0.47375881042898438</v>
      </c>
      <c r="D37">
        <f t="shared" si="1"/>
        <v>0.90030041332891964</v>
      </c>
      <c r="E37">
        <f t="shared" si="10"/>
        <v>1.0262411895710157</v>
      </c>
      <c r="F37">
        <f t="shared" si="11"/>
        <v>0.66770402504053872</v>
      </c>
      <c r="G37">
        <f t="shared" si="2"/>
        <v>0.90839363338950818</v>
      </c>
      <c r="H37">
        <f t="shared" si="15"/>
        <v>0.90839363338950818</v>
      </c>
      <c r="I37">
        <f t="shared" si="9"/>
        <v>1.016547857448812</v>
      </c>
      <c r="J37">
        <f t="shared" si="3"/>
        <v>0.98759045008426227</v>
      </c>
      <c r="K37">
        <f t="shared" si="4"/>
        <v>0.95823718539163039</v>
      </c>
      <c r="L37">
        <f t="shared" si="5"/>
        <v>1.0169437147768943</v>
      </c>
      <c r="M37">
        <f t="shared" si="12"/>
        <v>0.83884928581627072</v>
      </c>
      <c r="N37">
        <f t="shared" si="20"/>
        <v>1.0262411895710157</v>
      </c>
      <c r="O37">
        <f t="shared" si="7"/>
        <v>0.47375881042898438</v>
      </c>
      <c r="P37" t="b">
        <f t="shared" si="19"/>
        <v>1</v>
      </c>
    </row>
    <row r="38" spans="1:16" x14ac:dyDescent="0.25">
      <c r="A38">
        <v>0.155</v>
      </c>
      <c r="B38">
        <f t="shared" si="0"/>
        <v>0.606373040374939</v>
      </c>
      <c r="C38">
        <f t="shared" si="8"/>
        <v>0.48472082377429693</v>
      </c>
      <c r="D38">
        <f t="shared" si="1"/>
        <v>0.893626959625061</v>
      </c>
      <c r="E38">
        <f t="shared" si="10"/>
        <v>1.0152791762257032</v>
      </c>
      <c r="F38">
        <f t="shared" si="11"/>
        <v>0.67135802948897627</v>
      </c>
      <c r="G38">
        <f t="shared" si="2"/>
        <v>0.89726610901741399</v>
      </c>
      <c r="H38">
        <f t="shared" si="15"/>
        <v>0.89726610901741399</v>
      </c>
      <c r="I38">
        <f t="shared" si="9"/>
        <v>1.0029135782022243</v>
      </c>
      <c r="J38">
        <f t="shared" si="3"/>
        <v>0.97089916352612093</v>
      </c>
      <c r="K38">
        <f t="shared" si="4"/>
        <v>0.94154589883348905</v>
      </c>
      <c r="L38">
        <f t="shared" si="5"/>
        <v>1.0002524282187528</v>
      </c>
      <c r="M38">
        <f t="shared" si="12"/>
        <v>0.83430452606740813</v>
      </c>
      <c r="N38">
        <f t="shared" si="20"/>
        <v>1.0152791762257032</v>
      </c>
      <c r="O38">
        <f t="shared" si="7"/>
        <v>0.48472082377429693</v>
      </c>
      <c r="P38" t="b">
        <f t="shared" si="19"/>
        <v>1</v>
      </c>
    </row>
    <row r="39" spans="1:16" x14ac:dyDescent="0.25">
      <c r="A39">
        <v>0.16</v>
      </c>
      <c r="B39">
        <f t="shared" si="0"/>
        <v>0.61275018761262656</v>
      </c>
      <c r="C39">
        <f t="shared" si="8"/>
        <v>0.49519611531398866</v>
      </c>
      <c r="D39">
        <f t="shared" si="1"/>
        <v>0.88724981238737344</v>
      </c>
      <c r="E39">
        <f t="shared" si="10"/>
        <v>1.0048038846860115</v>
      </c>
      <c r="F39">
        <f t="shared" si="11"/>
        <v>0.67484979333554018</v>
      </c>
      <c r="G39">
        <f t="shared" si="2"/>
        <v>0.88543206905343796</v>
      </c>
      <c r="H39">
        <f t="shared" si="15"/>
        <v>0.88543206905343796</v>
      </c>
      <c r="I39">
        <f t="shared" si="9"/>
        <v>0.98759045008426227</v>
      </c>
      <c r="J39">
        <f t="shared" si="3"/>
        <v>0.95314810358015689</v>
      </c>
      <c r="K39">
        <f t="shared" si="4"/>
        <v>0.923794838887525</v>
      </c>
      <c r="L39">
        <f t="shared" si="5"/>
        <v>0.98250136827278878</v>
      </c>
      <c r="M39">
        <f t="shared" si="12"/>
        <v>0.82919681669475409</v>
      </c>
      <c r="N39">
        <f t="shared" si="20"/>
        <v>1.0048038846860115</v>
      </c>
      <c r="O39">
        <f t="shared" si="7"/>
        <v>0.49519611531398866</v>
      </c>
      <c r="P39" t="b">
        <f t="shared" si="19"/>
        <v>1</v>
      </c>
    </row>
    <row r="40" spans="1:16" x14ac:dyDescent="0.25">
      <c r="A40">
        <v>0.16500000000000001</v>
      </c>
      <c r="B40">
        <f t="shared" si="0"/>
        <v>0.61884418461864932</v>
      </c>
      <c r="C40">
        <f t="shared" si="8"/>
        <v>0.50520629586977661</v>
      </c>
      <c r="D40">
        <f t="shared" si="1"/>
        <v>0.88115581538135068</v>
      </c>
      <c r="E40">
        <f t="shared" si="10"/>
        <v>0.99479370413022339</v>
      </c>
      <c r="F40">
        <f t="shared" si="11"/>
        <v>0.6781865201874695</v>
      </c>
      <c r="G40">
        <f t="shared" si="2"/>
        <v>0.8730872770737399</v>
      </c>
      <c r="H40">
        <f t="shared" si="15"/>
        <v>0.8730872770737399</v>
      </c>
      <c r="I40">
        <f t="shared" si="9"/>
        <v>0.97089916352612093</v>
      </c>
      <c r="J40">
        <f t="shared" si="3"/>
        <v>0.93463091561060985</v>
      </c>
      <c r="K40">
        <f t="shared" si="4"/>
        <v>0.90527765091797796</v>
      </c>
      <c r="L40">
        <f t="shared" si="5"/>
        <v>0.96398418030324173</v>
      </c>
      <c r="M40">
        <f t="shared" si="12"/>
        <v>0.82363305450870694</v>
      </c>
      <c r="N40">
        <f t="shared" si="20"/>
        <v>0.99479370413022339</v>
      </c>
      <c r="O40">
        <f t="shared" si="7"/>
        <v>0.50520629586977661</v>
      </c>
      <c r="P40" t="b">
        <f t="shared" si="19"/>
        <v>1</v>
      </c>
    </row>
    <row r="41" spans="1:16" x14ac:dyDescent="0.25">
      <c r="A41">
        <v>0.17</v>
      </c>
      <c r="B41">
        <f t="shared" si="0"/>
        <v>0.62466760348060446</v>
      </c>
      <c r="C41">
        <f t="shared" si="8"/>
        <v>0.51477201672630801</v>
      </c>
      <c r="D41">
        <f t="shared" si="1"/>
        <v>0.87533239651939554</v>
      </c>
      <c r="E41">
        <f t="shared" si="10"/>
        <v>0.98522798327369199</v>
      </c>
      <c r="F41">
        <f t="shared" si="11"/>
        <v>0.68137509380631323</v>
      </c>
      <c r="G41">
        <f t="shared" si="2"/>
        <v>0.86041629985077805</v>
      </c>
      <c r="H41">
        <f t="shared" si="15"/>
        <v>0.86041629985077805</v>
      </c>
      <c r="I41">
        <f t="shared" si="9"/>
        <v>0.95314810358015689</v>
      </c>
      <c r="J41">
        <f t="shared" si="3"/>
        <v>0.91562444977616708</v>
      </c>
      <c r="K41">
        <f t="shared" si="4"/>
        <v>0.8862711850835352</v>
      </c>
      <c r="L41">
        <f t="shared" si="5"/>
        <v>0.94497771446879897</v>
      </c>
      <c r="M41">
        <f t="shared" si="12"/>
        <v>0.81771603452671893</v>
      </c>
      <c r="N41">
        <f t="shared" si="20"/>
        <v>0.98522798327369199</v>
      </c>
      <c r="O41">
        <f t="shared" si="7"/>
        <v>0.51477201672630801</v>
      </c>
      <c r="P41" t="b">
        <f t="shared" si="19"/>
        <v>1</v>
      </c>
    </row>
    <row r="42" spans="1:16" x14ac:dyDescent="0.25">
      <c r="A42">
        <v>0.17499999999999999</v>
      </c>
      <c r="B42">
        <f t="shared" si="0"/>
        <v>0.63023245807575079</v>
      </c>
      <c r="C42">
        <f t="shared" si="8"/>
        <v>0.52391301223534215</v>
      </c>
      <c r="D42">
        <f t="shared" si="1"/>
        <v>0.86976754192424921</v>
      </c>
      <c r="E42">
        <f t="shared" si="10"/>
        <v>0.97608698776465785</v>
      </c>
      <c r="F42">
        <f t="shared" si="11"/>
        <v>0.68442209230932471</v>
      </c>
      <c r="G42">
        <f t="shared" si="2"/>
        <v>0.84759138317426519</v>
      </c>
      <c r="H42">
        <f t="shared" si="15"/>
        <v>0.84759138317426519</v>
      </c>
      <c r="I42">
        <f t="shared" si="9"/>
        <v>0.93463091561060985</v>
      </c>
      <c r="J42">
        <f t="shared" si="3"/>
        <v>0.89638707476139778</v>
      </c>
      <c r="K42">
        <f t="shared" si="4"/>
        <v>0.8670338100687659</v>
      </c>
      <c r="L42">
        <f t="shared" si="5"/>
        <v>0.92574033945402967</v>
      </c>
      <c r="M42">
        <f t="shared" si="12"/>
        <v>0.81154363853686995</v>
      </c>
      <c r="N42">
        <f t="shared" si="20"/>
        <v>0.97608698776465785</v>
      </c>
      <c r="O42">
        <f t="shared" si="7"/>
        <v>0.52391301223534215</v>
      </c>
      <c r="P42" t="b">
        <f t="shared" si="19"/>
        <v>1</v>
      </c>
    </row>
    <row r="43" spans="1:16" x14ac:dyDescent="0.25">
      <c r="A43">
        <v>0.18</v>
      </c>
      <c r="B43">
        <f t="shared" si="0"/>
        <v>0.63555022885597678</v>
      </c>
      <c r="C43">
        <f t="shared" si="8"/>
        <v>0.5326481405282748</v>
      </c>
      <c r="D43">
        <f t="shared" si="1"/>
        <v>0.86444977114402322</v>
      </c>
      <c r="E43">
        <f t="shared" si="10"/>
        <v>0.9673518594717252</v>
      </c>
      <c r="F43">
        <f t="shared" si="11"/>
        <v>0.68733380174030223</v>
      </c>
      <c r="G43">
        <f t="shared" si="2"/>
        <v>0.83477156523239504</v>
      </c>
      <c r="H43">
        <f t="shared" si="15"/>
        <v>0.83477156523239504</v>
      </c>
      <c r="I43">
        <f t="shared" si="9"/>
        <v>0.91562444977616708</v>
      </c>
      <c r="J43">
        <f t="shared" si="3"/>
        <v>0.87715734784859256</v>
      </c>
      <c r="K43">
        <f t="shared" si="4"/>
        <v>0.84780408315596067</v>
      </c>
      <c r="L43">
        <f t="shared" si="5"/>
        <v>0.90651061254122445</v>
      </c>
      <c r="M43">
        <f t="shared" si="12"/>
        <v>0.80520814992538903</v>
      </c>
      <c r="N43">
        <f t="shared" si="20"/>
        <v>0.9673518594717252</v>
      </c>
      <c r="O43">
        <f t="shared" si="7"/>
        <v>0.5326481405282748</v>
      </c>
      <c r="P43" t="b">
        <f t="shared" si="19"/>
        <v>1</v>
      </c>
    </row>
    <row r="44" spans="1:16" x14ac:dyDescent="0.25">
      <c r="A44">
        <v>0.185</v>
      </c>
      <c r="B44">
        <f t="shared" si="0"/>
        <v>0.64063188653229608</v>
      </c>
      <c r="C44">
        <f t="shared" si="8"/>
        <v>0.5409954224209943</v>
      </c>
      <c r="D44">
        <f t="shared" si="1"/>
        <v>0.85936811346770392</v>
      </c>
      <c r="E44">
        <f t="shared" si="10"/>
        <v>0.9590045775790057</v>
      </c>
      <c r="F44">
        <f t="shared" si="11"/>
        <v>0.69011622903787539</v>
      </c>
      <c r="G44">
        <f t="shared" si="2"/>
        <v>0.8221020169965999</v>
      </c>
      <c r="H44">
        <f t="shared" si="15"/>
        <v>0.8221020169965999</v>
      </c>
      <c r="I44">
        <f t="shared" si="9"/>
        <v>0.89638707476139778</v>
      </c>
      <c r="J44">
        <f t="shared" si="3"/>
        <v>0.8581530254948998</v>
      </c>
      <c r="K44">
        <f t="shared" si="4"/>
        <v>0.82879976080226792</v>
      </c>
      <c r="L44">
        <f t="shared" si="5"/>
        <v>0.88750629018753169</v>
      </c>
      <c r="M44">
        <f t="shared" si="12"/>
        <v>0.79879569158713259</v>
      </c>
      <c r="N44">
        <f t="shared" si="20"/>
        <v>0.9590045775790057</v>
      </c>
      <c r="O44">
        <f t="shared" si="7"/>
        <v>0.5409954224209943</v>
      </c>
      <c r="P44" t="b">
        <f t="shared" si="19"/>
        <v>1</v>
      </c>
    </row>
    <row r="45" spans="1:16" x14ac:dyDescent="0.25">
      <c r="A45">
        <v>0.19</v>
      </c>
      <c r="B45">
        <f t="shared" si="0"/>
        <v>0.64548791470773326</v>
      </c>
      <c r="C45">
        <f t="shared" si="8"/>
        <v>0.54897207859133335</v>
      </c>
      <c r="D45">
        <f t="shared" si="1"/>
        <v>0.85451208529226674</v>
      </c>
      <c r="E45">
        <f t="shared" si="10"/>
        <v>0.95102792140866665</v>
      </c>
      <c r="F45">
        <f t="shared" si="11"/>
        <v>0.69277511442798845</v>
      </c>
      <c r="G45">
        <f t="shared" si="2"/>
        <v>0.80971359739132809</v>
      </c>
      <c r="H45">
        <f t="shared" si="15"/>
        <v>0.80971359739132809</v>
      </c>
      <c r="I45">
        <f t="shared" si="9"/>
        <v>0.87715734784859256</v>
      </c>
      <c r="J45">
        <f t="shared" si="3"/>
        <v>0.83957039608699224</v>
      </c>
      <c r="K45">
        <f t="shared" si="4"/>
        <v>0.81021713139436036</v>
      </c>
      <c r="L45">
        <f t="shared" si="5"/>
        <v>0.86892366077962413</v>
      </c>
      <c r="M45">
        <f t="shared" si="12"/>
        <v>0.79238578261619752</v>
      </c>
      <c r="N45">
        <f t="shared" si="20"/>
        <v>0.95102792140866665</v>
      </c>
      <c r="O45">
        <f t="shared" si="7"/>
        <v>0.54897207859133335</v>
      </c>
      <c r="P45" t="b">
        <f t="shared" si="19"/>
        <v>1</v>
      </c>
    </row>
    <row r="46" spans="1:16" x14ac:dyDescent="0.25">
      <c r="A46">
        <v>0.19500000000000001</v>
      </c>
      <c r="B46">
        <f t="shared" si="0"/>
        <v>0.65012833150529281</v>
      </c>
      <c r="C46">
        <f t="shared" si="8"/>
        <v>0.55659456510581218</v>
      </c>
      <c r="D46">
        <f t="shared" si="1"/>
        <v>0.84987166849470719</v>
      </c>
      <c r="E46">
        <f t="shared" si="10"/>
        <v>0.94340543489418782</v>
      </c>
      <c r="F46">
        <f t="shared" si="11"/>
        <v>0.69531594326614798</v>
      </c>
      <c r="G46">
        <f t="shared" si="2"/>
        <v>0.79772260965163166</v>
      </c>
      <c r="H46">
        <f t="shared" si="15"/>
        <v>0.79772260965163166</v>
      </c>
      <c r="I46">
        <f t="shared" si="9"/>
        <v>0.8581530254948998</v>
      </c>
      <c r="J46">
        <f t="shared" si="3"/>
        <v>0.8215839144774475</v>
      </c>
      <c r="K46">
        <f t="shared" si="4"/>
        <v>0.79223064978481561</v>
      </c>
      <c r="L46">
        <f t="shared" si="5"/>
        <v>0.85093717917007938</v>
      </c>
      <c r="M46">
        <f t="shared" si="12"/>
        <v>0.7860510084982999</v>
      </c>
      <c r="N46">
        <f t="shared" si="20"/>
        <v>0.94340543489418782</v>
      </c>
      <c r="O46">
        <f t="shared" si="7"/>
        <v>0.55659456510581218</v>
      </c>
      <c r="P46" t="b">
        <f t="shared" si="19"/>
        <v>1</v>
      </c>
    </row>
    <row r="47" spans="1:16" x14ac:dyDescent="0.25">
      <c r="A47">
        <v>0.2</v>
      </c>
      <c r="B47">
        <f t="shared" si="0"/>
        <v>0.65456271023562929</v>
      </c>
      <c r="C47">
        <f t="shared" si="8"/>
        <v>0.56387860736896789</v>
      </c>
      <c r="D47">
        <f t="shared" si="1"/>
        <v>0.84543728976437071</v>
      </c>
      <c r="E47">
        <f t="shared" si="10"/>
        <v>0.93612139263103211</v>
      </c>
      <c r="F47">
        <f t="shared" si="11"/>
        <v>0.69774395735386663</v>
      </c>
      <c r="G47">
        <f t="shared" si="2"/>
        <v>0.78623074416681327</v>
      </c>
      <c r="H47">
        <f t="shared" si="15"/>
        <v>0.78623074416681327</v>
      </c>
      <c r="I47">
        <f t="shared" si="9"/>
        <v>0.83957039608699224</v>
      </c>
      <c r="J47">
        <f t="shared" si="3"/>
        <v>0.8043461162502199</v>
      </c>
      <c r="K47">
        <f t="shared" si="4"/>
        <v>0.77499285155758801</v>
      </c>
      <c r="L47">
        <f t="shared" si="5"/>
        <v>0.83369938094285179</v>
      </c>
      <c r="M47">
        <f t="shared" si="12"/>
        <v>0.77985679869566404</v>
      </c>
      <c r="N47">
        <f t="shared" si="20"/>
        <v>0.93612139263103211</v>
      </c>
      <c r="O47">
        <f t="shared" si="7"/>
        <v>0.56387860736896789</v>
      </c>
      <c r="P47" t="b">
        <f t="shared" si="19"/>
        <v>1</v>
      </c>
    </row>
    <row r="48" spans="1:16" x14ac:dyDescent="0.25">
      <c r="A48">
        <v>0.20499999999999999</v>
      </c>
      <c r="B48">
        <f t="shared" si="0"/>
        <v>0.65880019914705679</v>
      </c>
      <c r="C48">
        <f t="shared" si="8"/>
        <v>0.57083923256530733</v>
      </c>
      <c r="D48">
        <f t="shared" si="1"/>
        <v>0.84119980085294321</v>
      </c>
      <c r="E48">
        <f t="shared" si="10"/>
        <v>0.92916076743469267</v>
      </c>
      <c r="F48">
        <f t="shared" si="11"/>
        <v>0.70006416575264641</v>
      </c>
      <c r="G48">
        <f t="shared" si="2"/>
        <v>0.77532519226673857</v>
      </c>
      <c r="H48">
        <f t="shared" si="15"/>
        <v>0.77532519226673857</v>
      </c>
      <c r="I48">
        <f t="shared" si="9"/>
        <v>0.8215839144774475</v>
      </c>
      <c r="J48">
        <f t="shared" si="3"/>
        <v>0.78798778840010797</v>
      </c>
      <c r="K48">
        <f t="shared" si="4"/>
        <v>0.75863452370747608</v>
      </c>
      <c r="L48">
        <f t="shared" si="5"/>
        <v>0.81734105309273986</v>
      </c>
      <c r="M48">
        <f t="shared" si="12"/>
        <v>0.77386130482581583</v>
      </c>
      <c r="N48">
        <f t="shared" si="20"/>
        <v>0.92916076743469267</v>
      </c>
      <c r="O48">
        <f t="shared" si="7"/>
        <v>0.57083923256530733</v>
      </c>
      <c r="P48" t="b">
        <f t="shared" si="19"/>
        <v>1</v>
      </c>
    </row>
    <row r="49" spans="1:16" x14ac:dyDescent="0.25">
      <c r="A49">
        <v>0.21</v>
      </c>
      <c r="B49">
        <f t="shared" si="0"/>
        <v>0.66284954029864318</v>
      </c>
      <c r="C49">
        <f t="shared" si="8"/>
        <v>0.57749080066081204</v>
      </c>
      <c r="D49">
        <f t="shared" si="1"/>
        <v>0.83715045970135682</v>
      </c>
      <c r="E49">
        <f t="shared" si="10"/>
        <v>0.92250919933918796</v>
      </c>
      <c r="F49">
        <f t="shared" si="11"/>
        <v>0.70228135511781464</v>
      </c>
      <c r="G49">
        <f t="shared" si="2"/>
        <v>0.76507891481540347</v>
      </c>
      <c r="H49">
        <f t="shared" si="15"/>
        <v>0.76507891481540347</v>
      </c>
      <c r="I49">
        <f t="shared" si="9"/>
        <v>0.8043461162502199</v>
      </c>
      <c r="J49">
        <f t="shared" si="3"/>
        <v>0.77261837222310514</v>
      </c>
      <c r="K49">
        <f t="shared" si="4"/>
        <v>0.74326510753047326</v>
      </c>
      <c r="L49">
        <f t="shared" si="5"/>
        <v>0.80197163691573703</v>
      </c>
      <c r="M49">
        <f t="shared" si="12"/>
        <v>0.76811537208340663</v>
      </c>
      <c r="N49">
        <f t="shared" si="20"/>
        <v>0.92250919933918796</v>
      </c>
      <c r="O49">
        <f t="shared" si="7"/>
        <v>0.57749080066081204</v>
      </c>
      <c r="P49" t="b">
        <f t="shared" si="19"/>
        <v>1</v>
      </c>
    </row>
    <row r="50" spans="1:16" x14ac:dyDescent="0.25">
      <c r="A50">
        <v>0.215</v>
      </c>
      <c r="B50">
        <f t="shared" si="0"/>
        <v>0.6667190875953245</v>
      </c>
      <c r="C50">
        <f t="shared" si="8"/>
        <v>0.58384703402795324</v>
      </c>
      <c r="D50">
        <f t="shared" si="1"/>
        <v>0.8332809124046755</v>
      </c>
      <c r="E50">
        <f t="shared" si="10"/>
        <v>0.91615296597204676</v>
      </c>
      <c r="F50">
        <f t="shared" si="11"/>
        <v>0.70440009957352834</v>
      </c>
      <c r="G50">
        <f t="shared" si="2"/>
        <v>0.75555104911900872</v>
      </c>
      <c r="H50">
        <f t="shared" si="15"/>
        <v>0.75555104911900872</v>
      </c>
      <c r="I50">
        <f t="shared" si="9"/>
        <v>0.78798778840010797</v>
      </c>
      <c r="J50">
        <f t="shared" si="3"/>
        <v>0.75832657367851308</v>
      </c>
      <c r="K50">
        <f t="shared" si="4"/>
        <v>0.7289733089858812</v>
      </c>
      <c r="L50">
        <f t="shared" si="5"/>
        <v>0.78767983837114497</v>
      </c>
      <c r="M50">
        <f t="shared" si="12"/>
        <v>0.76266259613336929</v>
      </c>
      <c r="N50">
        <f t="shared" si="20"/>
        <v>0.91615296597204676</v>
      </c>
      <c r="O50">
        <f t="shared" si="7"/>
        <v>0.58384703402795324</v>
      </c>
      <c r="P50" t="b">
        <f t="shared" si="19"/>
        <v>1</v>
      </c>
    </row>
    <row r="51" spans="1:16" x14ac:dyDescent="0.25">
      <c r="A51">
        <v>0.22</v>
      </c>
      <c r="B51">
        <f t="shared" si="0"/>
        <v>0.67041682402224612</v>
      </c>
      <c r="C51">
        <f t="shared" si="8"/>
        <v>0.58992104575533288</v>
      </c>
      <c r="D51">
        <f t="shared" si="1"/>
        <v>0.82958317597775388</v>
      </c>
      <c r="E51">
        <f t="shared" si="10"/>
        <v>0.91007895424466712</v>
      </c>
      <c r="F51">
        <f t="shared" si="11"/>
        <v>0.70642477014932159</v>
      </c>
      <c r="G51">
        <f t="shared" si="2"/>
        <v>0.7467874375168233</v>
      </c>
      <c r="H51">
        <f t="shared" si="15"/>
        <v>0.7467874375168233</v>
      </c>
      <c r="I51">
        <f t="shared" si="9"/>
        <v>0.77261837222310514</v>
      </c>
      <c r="J51">
        <f t="shared" si="3"/>
        <v>0.74518115627523496</v>
      </c>
      <c r="K51">
        <f t="shared" si="4"/>
        <v>0.71582789158260307</v>
      </c>
      <c r="L51">
        <f t="shared" si="5"/>
        <v>0.77453442096786684</v>
      </c>
      <c r="M51">
        <f t="shared" si="12"/>
        <v>0.75753945740770168</v>
      </c>
      <c r="N51">
        <f t="shared" si="20"/>
        <v>0.91007895424466712</v>
      </c>
      <c r="O51">
        <f t="shared" si="7"/>
        <v>0.58992104575533288</v>
      </c>
      <c r="P51" t="b">
        <f t="shared" si="19"/>
        <v>1</v>
      </c>
    </row>
    <row r="52" spans="1:16" x14ac:dyDescent="0.25">
      <c r="A52">
        <v>0.22500000000000001</v>
      </c>
      <c r="B52">
        <f t="shared" si="0"/>
        <v>0.67395037811388603</v>
      </c>
      <c r="C52">
        <f t="shared" si="8"/>
        <v>0.59572536670035492</v>
      </c>
      <c r="D52">
        <f t="shared" si="1"/>
        <v>0.82604962188611397</v>
      </c>
      <c r="E52">
        <f t="shared" si="10"/>
        <v>0.90427463329964508</v>
      </c>
      <c r="F52">
        <f t="shared" si="11"/>
        <v>0.70835954379766231</v>
      </c>
      <c r="G52">
        <f t="shared" si="2"/>
        <v>0.73882126108511148</v>
      </c>
      <c r="H52">
        <f t="shared" si="15"/>
        <v>0.73882126108511148</v>
      </c>
      <c r="I52">
        <f t="shared" si="9"/>
        <v>0.75832657367851308</v>
      </c>
      <c r="J52">
        <f t="shared" si="3"/>
        <v>0.73323189162766722</v>
      </c>
      <c r="K52">
        <f t="shared" si="4"/>
        <v>0.70387862693503533</v>
      </c>
      <c r="L52">
        <f t="shared" si="5"/>
        <v>0.76258515632029911</v>
      </c>
      <c r="M52">
        <f t="shared" si="12"/>
        <v>0.75277552455950436</v>
      </c>
      <c r="N52">
        <f t="shared" si="20"/>
        <v>0.90427463329964508</v>
      </c>
      <c r="O52">
        <f t="shared" si="7"/>
        <v>0.59572536670035492</v>
      </c>
      <c r="P52" t="b">
        <f t="shared" si="19"/>
        <v>1</v>
      </c>
    </row>
    <row r="53" spans="1:16" x14ac:dyDescent="0.25">
      <c r="A53">
        <v>0.23</v>
      </c>
      <c r="B53">
        <f t="shared" si="0"/>
        <v>0.67732703969193686</v>
      </c>
      <c r="C53">
        <f t="shared" si="8"/>
        <v>0.60127197134073718</v>
      </c>
      <c r="D53">
        <f t="shared" si="1"/>
        <v>0.82267296030806314</v>
      </c>
      <c r="E53">
        <f t="shared" si="10"/>
        <v>0.89872802865926282</v>
      </c>
      <c r="F53">
        <f t="shared" si="11"/>
        <v>0.71020841201112306</v>
      </c>
      <c r="G53">
        <f t="shared" si="2"/>
        <v>0.73167376212923341</v>
      </c>
      <c r="H53">
        <f t="shared" si="15"/>
        <v>0.73167376212923341</v>
      </c>
      <c r="I53">
        <f t="shared" si="9"/>
        <v>0.74518115627523496</v>
      </c>
      <c r="J53">
        <f t="shared" si="3"/>
        <v>0.72251064319385017</v>
      </c>
      <c r="K53">
        <f t="shared" si="4"/>
        <v>0.69315737850121828</v>
      </c>
      <c r="L53">
        <f t="shared" si="5"/>
        <v>0.75186390788648205</v>
      </c>
      <c r="M53">
        <f t="shared" si="12"/>
        <v>0.74839371875841165</v>
      </c>
      <c r="N53">
        <f t="shared" si="20"/>
        <v>0.89872802865926282</v>
      </c>
      <c r="O53">
        <f t="shared" si="7"/>
        <v>0.60127197134073718</v>
      </c>
      <c r="P53" t="b">
        <f t="shared" si="19"/>
        <v>1</v>
      </c>
    </row>
    <row r="54" spans="1:16" x14ac:dyDescent="0.25">
      <c r="A54">
        <v>0.23499999999999999</v>
      </c>
      <c r="B54">
        <f t="shared" si="0"/>
        <v>0.68055377490441349</v>
      </c>
      <c r="C54">
        <f t="shared" si="8"/>
        <v>0.60657230247819716</v>
      </c>
      <c r="D54">
        <f t="shared" si="1"/>
        <v>0.81944622509558651</v>
      </c>
      <c r="E54">
        <f t="shared" si="10"/>
        <v>0.89342769752180284</v>
      </c>
      <c r="F54">
        <f t="shared" si="11"/>
        <v>0.71197518905694301</v>
      </c>
      <c r="G54">
        <f t="shared" si="2"/>
        <v>0.72535503954801495</v>
      </c>
      <c r="H54">
        <f t="shared" si="15"/>
        <v>0.72535503954801495</v>
      </c>
      <c r="I54">
        <f t="shared" si="9"/>
        <v>0.73323189162766722</v>
      </c>
      <c r="J54">
        <f t="shared" si="3"/>
        <v>0.71303255932202236</v>
      </c>
      <c r="K54">
        <f t="shared" si="4"/>
        <v>0.68367929462939048</v>
      </c>
      <c r="L54">
        <f t="shared" si="5"/>
        <v>0.74238582401465425</v>
      </c>
      <c r="M54">
        <f t="shared" si="12"/>
        <v>0.74441063054255574</v>
      </c>
      <c r="N54">
        <f t="shared" si="20"/>
        <v>0.89342769752180284</v>
      </c>
      <c r="O54">
        <f t="shared" si="7"/>
        <v>0.60657230247819716</v>
      </c>
      <c r="P54" t="b">
        <f t="shared" si="19"/>
        <v>1</v>
      </c>
    </row>
    <row r="55" spans="1:16" x14ac:dyDescent="0.25">
      <c r="A55">
        <v>0.24</v>
      </c>
      <c r="B55">
        <f t="shared" si="0"/>
        <v>0.68363724059701236</v>
      </c>
      <c r="C55">
        <f t="shared" si="8"/>
        <v>0.61163729484527352</v>
      </c>
      <c r="D55">
        <f t="shared" si="1"/>
        <v>0.81636275940298764</v>
      </c>
      <c r="E55">
        <f t="shared" si="10"/>
        <v>0.88836270515472648</v>
      </c>
      <c r="F55">
        <f t="shared" si="11"/>
        <v>0.71366351984596843</v>
      </c>
      <c r="G55">
        <f t="shared" si="2"/>
        <v>0.71986490170874806</v>
      </c>
      <c r="H55">
        <f t="shared" si="15"/>
        <v>0.71986490170874806</v>
      </c>
      <c r="I55">
        <f t="shared" si="9"/>
        <v>0.72251064319385017</v>
      </c>
      <c r="J55">
        <f t="shared" si="3"/>
        <v>0.70479735256312215</v>
      </c>
      <c r="K55">
        <f t="shared" si="4"/>
        <v>0.67544408787049026</v>
      </c>
      <c r="L55">
        <f t="shared" si="5"/>
        <v>0.73415061725575403</v>
      </c>
      <c r="M55">
        <f t="shared" si="12"/>
        <v>0.74083688106461676</v>
      </c>
      <c r="N55">
        <f t="shared" si="20"/>
        <v>0.88836270515472648</v>
      </c>
      <c r="O55">
        <f t="shared" si="7"/>
        <v>0.61163729484527352</v>
      </c>
      <c r="P55" t="b">
        <f t="shared" si="19"/>
        <v>1</v>
      </c>
    </row>
    <row r="56" spans="1:16" x14ac:dyDescent="0.25">
      <c r="A56">
        <v>0.245</v>
      </c>
      <c r="B56">
        <f t="shared" si="0"/>
        <v>0.68658379804637182</v>
      </c>
      <c r="C56">
        <f t="shared" si="8"/>
        <v>0.61647739766398846</v>
      </c>
      <c r="D56">
        <f t="shared" si="1"/>
        <v>0.81341620195362818</v>
      </c>
      <c r="E56">
        <f t="shared" si="10"/>
        <v>0.88352260233601154</v>
      </c>
      <c r="F56">
        <f t="shared" si="11"/>
        <v>0.71527688745220674</v>
      </c>
      <c r="G56">
        <f t="shared" si="2"/>
        <v>0.71519376215180019</v>
      </c>
      <c r="H56">
        <f t="shared" si="15"/>
        <v>0.71519376215180019</v>
      </c>
      <c r="I56">
        <f t="shared" si="9"/>
        <v>0.71303255932202236</v>
      </c>
      <c r="J56">
        <f t="shared" si="3"/>
        <v>0.69779064322770024</v>
      </c>
      <c r="K56">
        <f t="shared" si="4"/>
        <v>0.66843737853506835</v>
      </c>
      <c r="L56">
        <f t="shared" si="5"/>
        <v>0.72714390792033212</v>
      </c>
      <c r="M56">
        <f t="shared" si="12"/>
        <v>0.73767751977400742</v>
      </c>
      <c r="N56">
        <f t="shared" si="20"/>
        <v>0.88352260233601154</v>
      </c>
      <c r="O56">
        <f t="shared" si="7"/>
        <v>0.61647739766398846</v>
      </c>
      <c r="P56" t="b">
        <f t="shared" si="19"/>
        <v>1</v>
      </c>
    </row>
    <row r="57" spans="1:16" x14ac:dyDescent="0.25">
      <c r="A57">
        <v>0.25</v>
      </c>
      <c r="B57">
        <f t="shared" si="0"/>
        <v>0.68939952608356592</v>
      </c>
      <c r="C57">
        <f t="shared" si="8"/>
        <v>0.62110259620288655</v>
      </c>
      <c r="D57">
        <f t="shared" si="1"/>
        <v>0.81060047391643408</v>
      </c>
      <c r="E57">
        <f t="shared" si="10"/>
        <v>0.87889740379711345</v>
      </c>
      <c r="F57">
        <f t="shared" si="11"/>
        <v>0.71681862029850618</v>
      </c>
      <c r="G57">
        <f t="shared" si="2"/>
        <v>0.71132356423208587</v>
      </c>
      <c r="H57">
        <f t="shared" si="15"/>
        <v>0.71132356423208587</v>
      </c>
      <c r="I57">
        <f t="shared" si="9"/>
        <v>0.70479735256312215</v>
      </c>
      <c r="J57">
        <f t="shared" si="3"/>
        <v>0.6919853463481288</v>
      </c>
      <c r="K57">
        <f t="shared" si="4"/>
        <v>0.66263208165549692</v>
      </c>
      <c r="L57">
        <f t="shared" si="5"/>
        <v>0.72133861104076069</v>
      </c>
      <c r="M57">
        <f t="shared" si="12"/>
        <v>0.73493245085437409</v>
      </c>
      <c r="N57">
        <f t="shared" si="20"/>
        <v>0.87889740379711345</v>
      </c>
      <c r="O57">
        <f t="shared" si="7"/>
        <v>0.62110259620288655</v>
      </c>
      <c r="P57" t="b">
        <f t="shared" si="19"/>
        <v>1</v>
      </c>
    </row>
    <row r="58" spans="1:16" x14ac:dyDescent="0.25">
      <c r="A58">
        <v>0.255</v>
      </c>
      <c r="B58">
        <f t="shared" si="0"/>
        <v>0.69209023363490307</v>
      </c>
      <c r="C58">
        <f t="shared" si="8"/>
        <v>0.62552243237692595</v>
      </c>
      <c r="D58">
        <f t="shared" si="1"/>
        <v>0.80790976636509693</v>
      </c>
      <c r="E58">
        <f t="shared" si="10"/>
        <v>0.87447756762307405</v>
      </c>
      <c r="F58">
        <f t="shared" si="11"/>
        <v>0.71829189902318591</v>
      </c>
      <c r="G58">
        <f t="shared" si="2"/>
        <v>0.70822872168228657</v>
      </c>
      <c r="H58">
        <f t="shared" si="15"/>
        <v>0.70822872168228657</v>
      </c>
      <c r="I58">
        <f t="shared" si="9"/>
        <v>0.69779064322770024</v>
      </c>
      <c r="J58">
        <f t="shared" si="3"/>
        <v>0.68734308252342979</v>
      </c>
      <c r="K58">
        <f t="shared" si="4"/>
        <v>0.65798981783079791</v>
      </c>
      <c r="L58">
        <f t="shared" si="5"/>
        <v>0.71669634721606168</v>
      </c>
      <c r="M58">
        <f t="shared" si="12"/>
        <v>0.73259688107590004</v>
      </c>
      <c r="N58">
        <f t="shared" si="20"/>
        <v>0.87447756762307405</v>
      </c>
      <c r="O58">
        <f t="shared" si="7"/>
        <v>0.62552243237692595</v>
      </c>
      <c r="P58" t="b">
        <f t="shared" si="19"/>
        <v>1</v>
      </c>
    </row>
    <row r="59" spans="1:16" x14ac:dyDescent="0.25">
      <c r="A59">
        <v>0.26</v>
      </c>
      <c r="B59">
        <f t="shared" si="0"/>
        <v>0.69466147170590564</v>
      </c>
      <c r="C59">
        <f t="shared" si="8"/>
        <v>0.62974602443271699</v>
      </c>
      <c r="D59">
        <f t="shared" si="1"/>
        <v>0.80533852829409436</v>
      </c>
      <c r="E59">
        <f t="shared" si="10"/>
        <v>0.87025397556728301</v>
      </c>
      <c r="F59">
        <f t="shared" si="11"/>
        <v>0.71969976304178296</v>
      </c>
      <c r="G59">
        <f t="shared" si="2"/>
        <v>0.70587706303195685</v>
      </c>
      <c r="H59">
        <f t="shared" si="15"/>
        <v>0.70587706303195685</v>
      </c>
      <c r="I59">
        <f t="shared" si="9"/>
        <v>0.6919853463481288</v>
      </c>
      <c r="J59">
        <f t="shared" si="3"/>
        <v>0.68381559454793539</v>
      </c>
      <c r="K59">
        <f t="shared" si="4"/>
        <v>0.6544623298553035</v>
      </c>
      <c r="L59">
        <f t="shared" si="5"/>
        <v>0.71316885924056728</v>
      </c>
      <c r="M59">
        <f t="shared" si="12"/>
        <v>0.73066178211604293</v>
      </c>
      <c r="N59">
        <f t="shared" si="20"/>
        <v>0.87025397556728301</v>
      </c>
      <c r="O59">
        <f t="shared" si="7"/>
        <v>0.62974602443271699</v>
      </c>
      <c r="P59" t="b">
        <f t="shared" si="19"/>
        <v>1</v>
      </c>
    </row>
    <row r="60" spans="1:16" x14ac:dyDescent="0.25">
      <c r="A60">
        <v>0.26500000000000001</v>
      </c>
      <c r="B60">
        <f t="shared" si="0"/>
        <v>0.69711854483319058</v>
      </c>
      <c r="C60">
        <f t="shared" si="8"/>
        <v>0.63378208575972261</v>
      </c>
      <c r="D60">
        <f t="shared" si="1"/>
        <v>0.80288145516680942</v>
      </c>
      <c r="E60">
        <f t="shared" si="10"/>
        <v>0.86621791424027739</v>
      </c>
      <c r="F60">
        <f t="shared" si="11"/>
        <v>0.72104511681745154</v>
      </c>
      <c r="G60">
        <f t="shared" si="2"/>
        <v>0.7042307688205437</v>
      </c>
      <c r="H60">
        <f t="shared" si="15"/>
        <v>0.7042307688205437</v>
      </c>
      <c r="I60">
        <f t="shared" si="9"/>
        <v>0.68734308252342979</v>
      </c>
      <c r="J60">
        <f t="shared" si="3"/>
        <v>0.6813461532308156</v>
      </c>
      <c r="K60">
        <f t="shared" si="4"/>
        <v>0.65199288853818371</v>
      </c>
      <c r="L60">
        <f t="shared" si="5"/>
        <v>0.71069941792344749</v>
      </c>
      <c r="M60">
        <f t="shared" si="12"/>
        <v>0.72911436084114323</v>
      </c>
      <c r="N60">
        <f t="shared" si="20"/>
        <v>0.86621791424027739</v>
      </c>
      <c r="O60">
        <f t="shared" si="7"/>
        <v>0.63378208575972261</v>
      </c>
      <c r="P60" t="b">
        <f t="shared" si="19"/>
        <v>1</v>
      </c>
    </row>
    <row r="61" spans="1:16" x14ac:dyDescent="0.25">
      <c r="A61">
        <v>0.27</v>
      </c>
      <c r="B61">
        <f t="shared" si="0"/>
        <v>0.69946652202787785</v>
      </c>
      <c r="C61">
        <f t="shared" si="8"/>
        <v>0.63763894286622658</v>
      </c>
      <c r="D61">
        <f t="shared" si="1"/>
        <v>0.80053347797212215</v>
      </c>
      <c r="E61">
        <f t="shared" si="10"/>
        <v>0.86236105713377342</v>
      </c>
      <c r="F61">
        <f t="shared" si="11"/>
        <v>0.72233073585295282</v>
      </c>
      <c r="G61">
        <f t="shared" si="2"/>
        <v>0.70324729158470201</v>
      </c>
      <c r="H61">
        <f t="shared" si="15"/>
        <v>0.70324729158470201</v>
      </c>
      <c r="I61">
        <f t="shared" si="9"/>
        <v>0.68381559454793539</v>
      </c>
      <c r="J61">
        <f t="shared" si="3"/>
        <v>0.67987093737705295</v>
      </c>
      <c r="K61">
        <f t="shared" si="4"/>
        <v>0.65051767268442107</v>
      </c>
      <c r="L61">
        <f t="shared" si="5"/>
        <v>0.70922420206968484</v>
      </c>
      <c r="M61">
        <f t="shared" si="12"/>
        <v>0.72793853151597843</v>
      </c>
      <c r="N61">
        <f t="shared" si="20"/>
        <v>0.86236105713377342</v>
      </c>
      <c r="O61">
        <f t="shared" si="7"/>
        <v>0.63763894286622658</v>
      </c>
      <c r="P61" t="b">
        <f t="shared" si="19"/>
        <v>1</v>
      </c>
    </row>
    <row r="62" spans="1:16" x14ac:dyDescent="0.25">
      <c r="A62">
        <v>0.27500000000000002</v>
      </c>
      <c r="B62">
        <f t="shared" si="0"/>
        <v>0.70171024723310349</v>
      </c>
      <c r="C62">
        <f t="shared" si="8"/>
        <v>0.64132455255715393</v>
      </c>
      <c r="D62">
        <f t="shared" si="1"/>
        <v>0.79828975276689651</v>
      </c>
      <c r="E62">
        <f t="shared" si="10"/>
        <v>0.85867544744284607</v>
      </c>
      <c r="F62">
        <f t="shared" si="11"/>
        <v>0.72355927241659523</v>
      </c>
      <c r="G62">
        <f t="shared" si="2"/>
        <v>0.70288024966595763</v>
      </c>
      <c r="H62">
        <f t="shared" si="15"/>
        <v>0.70288024966595763</v>
      </c>
      <c r="I62">
        <f t="shared" si="9"/>
        <v>0.6813461532308156</v>
      </c>
      <c r="J62">
        <f t="shared" si="3"/>
        <v>0.67932037449893656</v>
      </c>
      <c r="K62">
        <f t="shared" si="4"/>
        <v>0.64996710980630468</v>
      </c>
      <c r="L62">
        <f t="shared" si="5"/>
        <v>0.70867363919156845</v>
      </c>
      <c r="M62">
        <f t="shared" si="12"/>
        <v>0.7271153844102719</v>
      </c>
      <c r="N62">
        <f t="shared" si="20"/>
        <v>0.85867544744284607</v>
      </c>
      <c r="O62">
        <f t="shared" si="7"/>
        <v>0.64132455255715393</v>
      </c>
      <c r="P62" t="b">
        <f t="shared" si="19"/>
        <v>1</v>
      </c>
    </row>
    <row r="63" spans="1:16" x14ac:dyDescent="0.25">
      <c r="A63">
        <v>0.28000000000000003</v>
      </c>
      <c r="B63">
        <f t="shared" si="0"/>
        <v>0.70385434931721036</v>
      </c>
      <c r="C63">
        <f t="shared" si="8"/>
        <v>0.64484651834918494</v>
      </c>
      <c r="D63">
        <f t="shared" si="1"/>
        <v>0.79614565068278964</v>
      </c>
      <c r="E63">
        <f t="shared" si="10"/>
        <v>0.85515348165081506</v>
      </c>
      <c r="F63">
        <f t="shared" si="11"/>
        <v>0.72473326101393898</v>
      </c>
      <c r="G63">
        <f t="shared" si="2"/>
        <v>0.70308028695959934</v>
      </c>
      <c r="H63">
        <f t="shared" si="15"/>
        <v>0.70308028695959934</v>
      </c>
      <c r="I63">
        <f t="shared" si="9"/>
        <v>0.67987093737705295</v>
      </c>
      <c r="J63">
        <f t="shared" si="3"/>
        <v>0.67962043043939901</v>
      </c>
      <c r="K63">
        <f t="shared" si="4"/>
        <v>0.65026716574676713</v>
      </c>
      <c r="L63">
        <f t="shared" si="5"/>
        <v>0.7089736951320309</v>
      </c>
      <c r="M63">
        <f t="shared" si="12"/>
        <v>0.72662364579235095</v>
      </c>
      <c r="N63">
        <f t="shared" si="20"/>
        <v>0.85515348165081506</v>
      </c>
      <c r="O63">
        <f t="shared" si="7"/>
        <v>0.64484651834918494</v>
      </c>
      <c r="P63" t="b">
        <f t="shared" si="19"/>
        <v>1</v>
      </c>
    </row>
    <row r="64" spans="1:16" x14ac:dyDescent="0.25">
      <c r="A64">
        <v>0.28499999999999998</v>
      </c>
      <c r="B64">
        <f t="shared" si="0"/>
        <v>0.70590325162323464</v>
      </c>
      <c r="C64">
        <f t="shared" si="8"/>
        <v>0.64821210615702329</v>
      </c>
      <c r="D64">
        <f t="shared" si="1"/>
        <v>0.79409674837676536</v>
      </c>
      <c r="E64">
        <f t="shared" si="10"/>
        <v>0.85178789384297671</v>
      </c>
      <c r="F64">
        <f t="shared" si="11"/>
        <v>0.72585512361655169</v>
      </c>
      <c r="G64">
        <f t="shared" si="2"/>
        <v>0.70379589179668089</v>
      </c>
      <c r="H64">
        <f t="shared" si="15"/>
        <v>0.70379589179668089</v>
      </c>
      <c r="I64">
        <f t="shared" si="9"/>
        <v>0.67932037449893656</v>
      </c>
      <c r="J64">
        <f t="shared" si="3"/>
        <v>0.68069383769502134</v>
      </c>
      <c r="K64">
        <f t="shared" si="4"/>
        <v>0.65134057300238946</v>
      </c>
      <c r="L64">
        <f t="shared" si="5"/>
        <v>0.71004710238765323</v>
      </c>
      <c r="M64">
        <f t="shared" si="12"/>
        <v>0.72644012483297882</v>
      </c>
      <c r="N64">
        <f t="shared" si="20"/>
        <v>0.85178789384297671</v>
      </c>
      <c r="O64">
        <f t="shared" si="7"/>
        <v>0.64821210615702329</v>
      </c>
      <c r="P64" t="b">
        <f t="shared" si="19"/>
        <v>1</v>
      </c>
    </row>
    <row r="65" spans="1:16" x14ac:dyDescent="0.25">
      <c r="A65">
        <v>0.28999999999999998</v>
      </c>
      <c r="B65">
        <f t="shared" si="0"/>
        <v>0.70786118109438678</v>
      </c>
      <c r="C65">
        <f t="shared" si="8"/>
        <v>0.6514282592831836</v>
      </c>
      <c r="D65">
        <f t="shared" si="1"/>
        <v>0.79213881890561322</v>
      </c>
      <c r="E65">
        <f t="shared" si="10"/>
        <v>0.8485717407168164</v>
      </c>
      <c r="F65">
        <f t="shared" si="11"/>
        <v>0.72692717465860512</v>
      </c>
      <c r="G65">
        <f t="shared" si="2"/>
        <v>0.70497416920635458</v>
      </c>
      <c r="H65">
        <f t="shared" si="15"/>
        <v>0.70497416920635458</v>
      </c>
      <c r="I65">
        <f t="shared" si="9"/>
        <v>0.67962043043939901</v>
      </c>
      <c r="J65">
        <f t="shared" si="3"/>
        <v>0.68246125380953193</v>
      </c>
      <c r="K65">
        <f t="shared" si="4"/>
        <v>0.65310798911690005</v>
      </c>
      <c r="L65">
        <f t="shared" si="5"/>
        <v>0.71181451850216382</v>
      </c>
      <c r="M65">
        <f t="shared" si="12"/>
        <v>0.72654014347979967</v>
      </c>
      <c r="N65">
        <f t="shared" si="20"/>
        <v>0.8485717407168164</v>
      </c>
      <c r="O65">
        <f t="shared" si="7"/>
        <v>0.6514282592831836</v>
      </c>
      <c r="P65" t="b">
        <f t="shared" si="19"/>
        <v>1</v>
      </c>
    </row>
    <row r="66" spans="1:16" x14ac:dyDescent="0.25">
      <c r="A66">
        <v>0.29499999999999998</v>
      </c>
      <c r="B66">
        <f t="shared" si="0"/>
        <v>0.70973217699435476</v>
      </c>
      <c r="C66">
        <f t="shared" si="8"/>
        <v>0.65450161274222007</v>
      </c>
      <c r="D66">
        <f t="shared" si="1"/>
        <v>0.79026782300564524</v>
      </c>
      <c r="E66">
        <f t="shared" si="10"/>
        <v>0.84549838725777993</v>
      </c>
      <c r="F66">
        <f t="shared" si="11"/>
        <v>0.72795162581161732</v>
      </c>
      <c r="G66">
        <f t="shared" si="2"/>
        <v>0.70656156183479502</v>
      </c>
      <c r="H66">
        <f t="shared" si="15"/>
        <v>0.70656156183479502</v>
      </c>
      <c r="I66">
        <f t="shared" si="9"/>
        <v>0.68069383769502134</v>
      </c>
      <c r="J66">
        <f t="shared" si="3"/>
        <v>0.68484234275219247</v>
      </c>
      <c r="K66">
        <f t="shared" si="4"/>
        <v>0.65548907805956058</v>
      </c>
      <c r="L66">
        <f t="shared" si="5"/>
        <v>0.71419560744482435</v>
      </c>
      <c r="M66">
        <f t="shared" si="12"/>
        <v>0.72689794589834045</v>
      </c>
      <c r="N66">
        <f t="shared" si="20"/>
        <v>0.84549838725777993</v>
      </c>
      <c r="O66">
        <f t="shared" si="7"/>
        <v>0.65450161274222007</v>
      </c>
      <c r="P66" t="b">
        <f t="shared" si="19"/>
        <v>1</v>
      </c>
    </row>
    <row r="67" spans="1:16" x14ac:dyDescent="0.25">
      <c r="A67">
        <v>0.3</v>
      </c>
      <c r="B67">
        <f t="shared" si="0"/>
        <v>0.71152009924041848</v>
      </c>
      <c r="C67">
        <f t="shared" si="8"/>
        <v>0.65743850694894834</v>
      </c>
      <c r="D67">
        <f t="shared" si="1"/>
        <v>0.78847990075958152</v>
      </c>
      <c r="E67">
        <f t="shared" si="10"/>
        <v>0.84256149305105166</v>
      </c>
      <c r="F67">
        <f t="shared" si="11"/>
        <v>0.72893059054719345</v>
      </c>
      <c r="G67">
        <f t="shared" si="2"/>
        <v>0.70850451579032236</v>
      </c>
      <c r="H67">
        <f t="shared" si="15"/>
        <v>0.70850451579032236</v>
      </c>
      <c r="I67">
        <f t="shared" si="9"/>
        <v>0.68246125380953193</v>
      </c>
      <c r="J67">
        <f t="shared" si="3"/>
        <v>0.6877567736854836</v>
      </c>
      <c r="K67">
        <f t="shared" si="4"/>
        <v>0.65840350899285172</v>
      </c>
      <c r="L67">
        <f t="shared" si="5"/>
        <v>0.71711003837811549</v>
      </c>
      <c r="M67">
        <f t="shared" si="12"/>
        <v>0.72748708460317735</v>
      </c>
      <c r="N67">
        <f t="shared" si="20"/>
        <v>0.84256149305105166</v>
      </c>
      <c r="O67">
        <f t="shared" si="7"/>
        <v>0.65743850694894834</v>
      </c>
      <c r="P67" t="b">
        <f t="shared" si="19"/>
        <v>1</v>
      </c>
    </row>
    <row r="68" spans="1:16" x14ac:dyDescent="0.25">
      <c r="A68">
        <v>0.30499999999999999</v>
      </c>
      <c r="B68">
        <f t="shared" si="0"/>
        <v>0.71322863636656841</v>
      </c>
      <c r="C68">
        <f t="shared" si="8"/>
        <v>0.66024500079890025</v>
      </c>
      <c r="D68">
        <f t="shared" si="1"/>
        <v>0.78677136363343159</v>
      </c>
      <c r="E68">
        <f t="shared" si="10"/>
        <v>0.83975499920109975</v>
      </c>
      <c r="F68">
        <f t="shared" si="11"/>
        <v>0.72986608849717738</v>
      </c>
      <c r="G68">
        <f t="shared" si="2"/>
        <v>0.7107500886337984</v>
      </c>
      <c r="H68">
        <f t="shared" si="15"/>
        <v>0.7107500886337984</v>
      </c>
      <c r="I68">
        <f t="shared" si="9"/>
        <v>0.68484234275219247</v>
      </c>
      <c r="J68">
        <f t="shared" si="3"/>
        <v>0.69112513295069755</v>
      </c>
      <c r="K68">
        <f t="shared" si="4"/>
        <v>0.66177186825806567</v>
      </c>
      <c r="L68">
        <f t="shared" si="5"/>
        <v>0.72047839764332944</v>
      </c>
      <c r="M68">
        <f t="shared" si="12"/>
        <v>0.72828078091739745</v>
      </c>
      <c r="N68">
        <f t="shared" si="20"/>
        <v>0.83975499920109975</v>
      </c>
      <c r="O68">
        <f t="shared" si="7"/>
        <v>0.66024500079890025</v>
      </c>
      <c r="P68" t="b">
        <f t="shared" si="19"/>
        <v>1</v>
      </c>
    </row>
    <row r="69" spans="1:16" x14ac:dyDescent="0.25">
      <c r="A69">
        <v>0.31</v>
      </c>
      <c r="B69">
        <f t="shared" si="0"/>
        <v>0.71486131313305501</v>
      </c>
      <c r="C69">
        <f t="shared" si="8"/>
        <v>0.66292688416799583</v>
      </c>
      <c r="D69">
        <f t="shared" si="1"/>
        <v>0.78513868686694499</v>
      </c>
      <c r="E69">
        <f t="shared" si="10"/>
        <v>0.83707311583200417</v>
      </c>
      <c r="F69">
        <f t="shared" si="11"/>
        <v>0.73076004962020924</v>
      </c>
      <c r="G69">
        <f t="shared" si="2"/>
        <v>0.71324649763197656</v>
      </c>
      <c r="H69">
        <f t="shared" si="15"/>
        <v>0.71324649763197656</v>
      </c>
      <c r="I69">
        <f t="shared" si="9"/>
        <v>0.6877567736854836</v>
      </c>
      <c r="J69">
        <f t="shared" si="3"/>
        <v>0.69486974644796473</v>
      </c>
      <c r="K69">
        <f t="shared" si="4"/>
        <v>0.66551648175533284</v>
      </c>
      <c r="L69">
        <f t="shared" si="5"/>
        <v>0.72422301114059662</v>
      </c>
      <c r="M69">
        <f t="shared" si="12"/>
        <v>0.72925225789516124</v>
      </c>
      <c r="N69">
        <f t="shared" si="20"/>
        <v>0.83707311583200417</v>
      </c>
      <c r="O69">
        <f t="shared" si="7"/>
        <v>0.66292688416799583</v>
      </c>
      <c r="P69" t="b">
        <f t="shared" si="19"/>
        <v>1</v>
      </c>
    </row>
    <row r="70" spans="1:16" x14ac:dyDescent="0.25">
      <c r="A70">
        <v>0.315</v>
      </c>
      <c r="B70">
        <f t="shared" si="0"/>
        <v>0.7164214977980683</v>
      </c>
      <c r="C70">
        <f t="shared" si="8"/>
        <v>0.66548968985722079</v>
      </c>
      <c r="D70">
        <f t="shared" si="1"/>
        <v>0.7835785022019317</v>
      </c>
      <c r="E70">
        <f t="shared" si="10"/>
        <v>0.83451031014277921</v>
      </c>
      <c r="F70">
        <f t="shared" si="11"/>
        <v>0.73161431818328426</v>
      </c>
      <c r="G70">
        <f t="shared" si="2"/>
        <v>0.7159436072334554</v>
      </c>
      <c r="H70">
        <f t="shared" si="15"/>
        <v>0.7159436072334554</v>
      </c>
      <c r="I70">
        <f t="shared" si="9"/>
        <v>0.69112513295069755</v>
      </c>
      <c r="J70">
        <f t="shared" si="3"/>
        <v>0.69891541085018305</v>
      </c>
      <c r="K70">
        <f t="shared" si="4"/>
        <v>0.66956214615755116</v>
      </c>
      <c r="L70">
        <f t="shared" si="5"/>
        <v>0.72826867554281494</v>
      </c>
      <c r="M70">
        <f t="shared" si="12"/>
        <v>0.73037504431689915</v>
      </c>
      <c r="N70">
        <f t="shared" si="20"/>
        <v>0.83451031014277921</v>
      </c>
      <c r="O70">
        <f t="shared" si="7"/>
        <v>0.66548968985722079</v>
      </c>
      <c r="P70" t="b">
        <f t="shared" si="19"/>
        <v>1</v>
      </c>
    </row>
    <row r="71" spans="1:16" x14ac:dyDescent="0.25">
      <c r="A71">
        <v>0.32</v>
      </c>
      <c r="B71">
        <f t="shared" ref="B71:B134" si="21">$Q$6-$T$8*EXP(-$T$10*A71)</f>
        <v>0.71791240906654974</v>
      </c>
      <c r="C71">
        <f t="shared" si="8"/>
        <v>0.66793870500695063</v>
      </c>
      <c r="D71">
        <f t="shared" ref="D71:D134" si="22">$Q$6+$T$8*EXP(-$T$10*A71)</f>
        <v>0.78208759093345026</v>
      </c>
      <c r="E71">
        <f t="shared" si="10"/>
        <v>0.83206129499304937</v>
      </c>
      <c r="F71">
        <f t="shared" si="11"/>
        <v>0.7324306565665275</v>
      </c>
      <c r="G71">
        <f t="shared" ref="G71:G134" si="23">$Q$6-EXP(-T$6*T$12*A71)*(COS(T$5*A71)-(T$6*T$12-1)/(T$5)*SIN(T$5*A71))*T$15</f>
        <v>0.71879335550755408</v>
      </c>
      <c r="H71">
        <f t="shared" si="15"/>
        <v>0.71879335550755408</v>
      </c>
      <c r="I71">
        <f t="shared" si="9"/>
        <v>0.69486974644796473</v>
      </c>
      <c r="J71">
        <f t="shared" ref="J71:J134" si="24">$Q$6-(1+Q$16)*EXP(-T$6*T$12*A71)*(COS(T$5*A71)-(T$6*T$12-1)/(T$5)*SIN(T$5*A71))*T$15</f>
        <v>0.70319003326133112</v>
      </c>
      <c r="K71">
        <f t="shared" ref="K71:K134" si="25">J71-T$13</f>
        <v>0.67383676856869923</v>
      </c>
      <c r="L71">
        <f t="shared" ref="L71:L134" si="26">J71+T$13</f>
        <v>0.732543297953963</v>
      </c>
      <c r="M71">
        <f t="shared" si="12"/>
        <v>0.73162324881598828</v>
      </c>
      <c r="N71">
        <f t="shared" si="20"/>
        <v>0.83206129499304937</v>
      </c>
      <c r="O71">
        <f t="shared" ref="O71:O134" si="27">MIN(C71,$Q$6-$T$13)</f>
        <v>0.66793870500695063</v>
      </c>
      <c r="P71" t="b">
        <f t="shared" si="19"/>
        <v>1</v>
      </c>
    </row>
    <row r="72" spans="1:16" x14ac:dyDescent="0.25">
      <c r="A72">
        <v>0.32500000000000001</v>
      </c>
      <c r="B72">
        <f t="shared" si="21"/>
        <v>0.71933712273047112</v>
      </c>
      <c r="C72">
        <f t="shared" si="8"/>
        <v>0.67027898200447056</v>
      </c>
      <c r="D72">
        <f t="shared" si="22"/>
        <v>0.78066287726952888</v>
      </c>
      <c r="E72">
        <f t="shared" si="10"/>
        <v>0.82972101799552944</v>
      </c>
      <c r="F72">
        <f t="shared" si="11"/>
        <v>0.73321074889903415</v>
      </c>
      <c r="G72">
        <f t="shared" si="23"/>
        <v>0.72175012000226735</v>
      </c>
      <c r="H72">
        <f t="shared" si="15"/>
        <v>0.72175012000226735</v>
      </c>
      <c r="I72">
        <f t="shared" si="9"/>
        <v>0.69891541085018305</v>
      </c>
      <c r="J72">
        <f t="shared" si="24"/>
        <v>0.70762518000340102</v>
      </c>
      <c r="K72">
        <f t="shared" si="25"/>
        <v>0.67827191531076914</v>
      </c>
      <c r="L72">
        <f t="shared" si="26"/>
        <v>0.73697844469603291</v>
      </c>
      <c r="M72">
        <f t="shared" si="12"/>
        <v>0.73297180361672765</v>
      </c>
      <c r="N72">
        <f t="shared" si="20"/>
        <v>0.82972101799552944</v>
      </c>
      <c r="O72">
        <f t="shared" si="27"/>
        <v>0.67027898200447056</v>
      </c>
      <c r="P72" t="b">
        <f t="shared" si="19"/>
        <v>1</v>
      </c>
    </row>
    <row r="73" spans="1:16" x14ac:dyDescent="0.25">
      <c r="A73">
        <v>0.33</v>
      </c>
      <c r="B73">
        <f t="shared" si="21"/>
        <v>0.72069857801427983</v>
      </c>
      <c r="C73">
        <f t="shared" ref="C73:C136" si="28">$Q$6-$T$8*(1+Q$16)*EXP(-$T$10*A71)-T$13</f>
        <v>0.67251534890719278</v>
      </c>
      <c r="D73">
        <f t="shared" si="22"/>
        <v>0.77930142198572017</v>
      </c>
      <c r="E73">
        <f t="shared" si="10"/>
        <v>0.82748465109280722</v>
      </c>
      <c r="F73">
        <f t="shared" si="11"/>
        <v>0.73395620453327493</v>
      </c>
      <c r="G73">
        <f t="shared" si="23"/>
        <v>0.72477102412595606</v>
      </c>
      <c r="H73">
        <f t="shared" si="15"/>
        <v>0.72477102412595606</v>
      </c>
      <c r="I73">
        <f t="shared" ref="I73:I136" si="29">$Q$6-(1+Q$16)*EXP(-T$6*T$12*A71)*(COS(T$5*A71)-(T$6*T$12-1)/(T$5)*SIN(T$5*A71))*T$15</f>
        <v>0.70319003326133112</v>
      </c>
      <c r="J73">
        <f t="shared" si="24"/>
        <v>0.71215653618893415</v>
      </c>
      <c r="K73">
        <f t="shared" si="25"/>
        <v>0.68280327149630227</v>
      </c>
      <c r="L73">
        <f t="shared" si="26"/>
        <v>0.74150980088156604</v>
      </c>
      <c r="M73">
        <f t="shared" si="12"/>
        <v>0.73439667775377704</v>
      </c>
      <c r="N73">
        <f t="shared" si="20"/>
        <v>0.82748465109280722</v>
      </c>
      <c r="O73">
        <f t="shared" si="27"/>
        <v>0.67251534890719278</v>
      </c>
      <c r="P73" t="b">
        <f t="shared" si="19"/>
        <v>1</v>
      </c>
    </row>
    <row r="74" spans="1:16" x14ac:dyDescent="0.25">
      <c r="A74">
        <v>0.33500000000000002</v>
      </c>
      <c r="B74">
        <f t="shared" si="21"/>
        <v>0.72199958363860239</v>
      </c>
      <c r="C74">
        <f t="shared" si="28"/>
        <v>0.67465241940307474</v>
      </c>
      <c r="D74">
        <f t="shared" si="22"/>
        <v>0.77800041636139761</v>
      </c>
      <c r="E74">
        <f t="shared" ref="E74:E137" si="30">$Q$6+$T$8*(1+Q$16)*EXP(-$T$10*A72)+T$13</f>
        <v>0.82534758059692526</v>
      </c>
      <c r="F74">
        <f t="shared" ref="F74:F137" si="31">$Q$6-Q$17*$T$8*EXP(-$T$10*A72)</f>
        <v>0.73466856136523551</v>
      </c>
      <c r="G74">
        <f t="shared" si="23"/>
        <v>0.7278161857370723</v>
      </c>
      <c r="H74">
        <f t="shared" si="15"/>
        <v>0.7278161857370723</v>
      </c>
      <c r="I74">
        <f t="shared" si="29"/>
        <v>0.70762518000340102</v>
      </c>
      <c r="J74">
        <f t="shared" si="24"/>
        <v>0.7167242786056085</v>
      </c>
      <c r="K74">
        <f t="shared" si="25"/>
        <v>0.68737101391297661</v>
      </c>
      <c r="L74">
        <f t="shared" si="26"/>
        <v>0.74607754329824039</v>
      </c>
      <c r="M74">
        <f t="shared" ref="M74:M137" si="32">$Q$6-Q$17*EXP(-T$6*T$12*A72)*(COS(T$5*A72)-(T$6*T$12-1)/(T$5)*SIN(T$5*A72))*T$15</f>
        <v>0.73587506000113367</v>
      </c>
      <c r="N74">
        <f t="shared" si="20"/>
        <v>0.82534758059692526</v>
      </c>
      <c r="O74">
        <f t="shared" si="27"/>
        <v>0.67465241940307474</v>
      </c>
      <c r="P74" t="b">
        <f t="shared" si="19"/>
        <v>1</v>
      </c>
    </row>
    <row r="75" spans="1:16" x14ac:dyDescent="0.25">
      <c r="A75">
        <v>0.34</v>
      </c>
      <c r="B75">
        <f t="shared" si="21"/>
        <v>0.72324282361471359</v>
      </c>
      <c r="C75">
        <f t="shared" si="28"/>
        <v>0.67669460232878798</v>
      </c>
      <c r="D75">
        <f t="shared" si="22"/>
        <v>0.77675717638528641</v>
      </c>
      <c r="E75">
        <f t="shared" si="30"/>
        <v>0.82330539767121202</v>
      </c>
      <c r="F75">
        <f t="shared" si="31"/>
        <v>0.73534928900713992</v>
      </c>
      <c r="G75">
        <f t="shared" si="23"/>
        <v>0.73084891013639885</v>
      </c>
      <c r="H75">
        <f t="shared" si="15"/>
        <v>0.73084891013639885</v>
      </c>
      <c r="I75">
        <f t="shared" si="29"/>
        <v>0.71215653618893415</v>
      </c>
      <c r="J75">
        <f t="shared" si="24"/>
        <v>0.72127336520459828</v>
      </c>
      <c r="K75">
        <f t="shared" si="25"/>
        <v>0.6919201005119664</v>
      </c>
      <c r="L75">
        <f t="shared" si="26"/>
        <v>0.75062662989723017</v>
      </c>
      <c r="M75">
        <f t="shared" si="32"/>
        <v>0.73738551206297809</v>
      </c>
      <c r="N75">
        <f t="shared" si="20"/>
        <v>0.82330539767121202</v>
      </c>
      <c r="O75">
        <f t="shared" si="27"/>
        <v>0.67669460232878798</v>
      </c>
      <c r="P75" t="b">
        <f t="shared" si="19"/>
        <v>1</v>
      </c>
    </row>
    <row r="76" spans="1:16" x14ac:dyDescent="0.25">
      <c r="A76">
        <v>0.34499999999999997</v>
      </c>
      <c r="B76">
        <f t="shared" si="21"/>
        <v>0.72443086278172786</v>
      </c>
      <c r="C76">
        <f t="shared" si="28"/>
        <v>0.67864611076527181</v>
      </c>
      <c r="D76">
        <f t="shared" si="22"/>
        <v>0.77556913721827214</v>
      </c>
      <c r="E76">
        <f t="shared" si="30"/>
        <v>0.82135388923472819</v>
      </c>
      <c r="F76">
        <f t="shared" si="31"/>
        <v>0.7359997918193012</v>
      </c>
      <c r="G76">
        <f t="shared" si="23"/>
        <v>0.73383583009723985</v>
      </c>
      <c r="H76">
        <f t="shared" si="15"/>
        <v>0.73383583009723985</v>
      </c>
      <c r="I76">
        <f t="shared" si="29"/>
        <v>0.7167242786056085</v>
      </c>
      <c r="J76">
        <f t="shared" si="24"/>
        <v>0.72575374514585966</v>
      </c>
      <c r="K76">
        <f t="shared" si="25"/>
        <v>0.69640048045322778</v>
      </c>
      <c r="L76">
        <f t="shared" si="26"/>
        <v>0.75510700983849155</v>
      </c>
      <c r="M76">
        <f t="shared" si="32"/>
        <v>0.7389080928685362</v>
      </c>
      <c r="N76">
        <f t="shared" si="20"/>
        <v>0.82135388923472819</v>
      </c>
      <c r="O76">
        <f t="shared" si="27"/>
        <v>0.67864611076527181</v>
      </c>
      <c r="P76" t="b">
        <f t="shared" si="19"/>
        <v>1</v>
      </c>
    </row>
    <row r="77" spans="1:16" x14ac:dyDescent="0.25">
      <c r="A77">
        <v>0.35</v>
      </c>
      <c r="B77">
        <f t="shared" si="21"/>
        <v>0.7255661520979344</v>
      </c>
      <c r="C77">
        <f t="shared" si="28"/>
        <v>0.68051097072943856</v>
      </c>
      <c r="D77">
        <f t="shared" si="22"/>
        <v>0.7744338479020656</v>
      </c>
      <c r="E77">
        <f t="shared" si="30"/>
        <v>0.81948902927056144</v>
      </c>
      <c r="F77">
        <f t="shared" si="31"/>
        <v>0.73662141180735685</v>
      </c>
      <c r="G77">
        <f t="shared" si="23"/>
        <v>0.73674699594173199</v>
      </c>
      <c r="H77">
        <f t="shared" si="15"/>
        <v>0.73674699594173199</v>
      </c>
      <c r="I77">
        <f t="shared" si="29"/>
        <v>0.72127336520459828</v>
      </c>
      <c r="J77">
        <f t="shared" si="24"/>
        <v>0.73012049391259803</v>
      </c>
      <c r="K77">
        <f t="shared" si="25"/>
        <v>0.70076722921996615</v>
      </c>
      <c r="L77">
        <f t="shared" si="26"/>
        <v>0.75947375860522992</v>
      </c>
      <c r="M77">
        <f t="shared" si="32"/>
        <v>0.74042445506819943</v>
      </c>
      <c r="N77">
        <f t="shared" si="20"/>
        <v>0.81948902927056144</v>
      </c>
      <c r="O77">
        <f t="shared" si="27"/>
        <v>0.68051097072943856</v>
      </c>
      <c r="P77" t="b">
        <f t="shared" si="19"/>
        <v>1</v>
      </c>
    </row>
    <row r="78" spans="1:16" x14ac:dyDescent="0.25">
      <c r="A78">
        <v>0.35499999999999998</v>
      </c>
      <c r="B78">
        <f t="shared" si="21"/>
        <v>0.72665103369719342</v>
      </c>
      <c r="C78">
        <f t="shared" si="28"/>
        <v>0.68229302947995996</v>
      </c>
      <c r="D78">
        <f t="shared" si="22"/>
        <v>0.77334896630280658</v>
      </c>
      <c r="E78">
        <f t="shared" si="30"/>
        <v>0.81770697052004004</v>
      </c>
      <c r="F78">
        <f t="shared" si="31"/>
        <v>0.73721543139086398</v>
      </c>
      <c r="G78">
        <f t="shared" si="23"/>
        <v>0.73955591897764716</v>
      </c>
      <c r="H78">
        <f t="shared" si="15"/>
        <v>0.73955591897764716</v>
      </c>
      <c r="I78">
        <f t="shared" si="29"/>
        <v>0.72575374514585966</v>
      </c>
      <c r="J78">
        <f t="shared" si="24"/>
        <v>0.73433387846647069</v>
      </c>
      <c r="K78">
        <f t="shared" si="25"/>
        <v>0.7049806137738388</v>
      </c>
      <c r="L78">
        <f t="shared" si="26"/>
        <v>0.76368714315910258</v>
      </c>
      <c r="M78">
        <f t="shared" si="32"/>
        <v>0.74191791504861992</v>
      </c>
      <c r="N78">
        <f t="shared" si="20"/>
        <v>0.81770697052004004</v>
      </c>
      <c r="O78">
        <f t="shared" si="27"/>
        <v>0.68229302947995996</v>
      </c>
      <c r="P78" t="b">
        <f t="shared" si="19"/>
        <v>1</v>
      </c>
    </row>
    <row r="79" spans="1:16" x14ac:dyDescent="0.25">
      <c r="A79">
        <v>0.36</v>
      </c>
      <c r="B79">
        <f t="shared" si="21"/>
        <v>0.72768774572082395</v>
      </c>
      <c r="C79">
        <f t="shared" si="28"/>
        <v>0.68399596345426972</v>
      </c>
      <c r="D79">
        <f t="shared" si="22"/>
        <v>0.77231225427917605</v>
      </c>
      <c r="E79">
        <f t="shared" si="30"/>
        <v>0.81600403654573028</v>
      </c>
      <c r="F79">
        <f t="shared" si="31"/>
        <v>0.7377830760489672</v>
      </c>
      <c r="G79">
        <f t="shared" si="23"/>
        <v>0.74223957185202261</v>
      </c>
      <c r="H79">
        <f t="shared" si="15"/>
        <v>0.74223957185202261</v>
      </c>
      <c r="I79">
        <f t="shared" si="29"/>
        <v>0.73012049391259803</v>
      </c>
      <c r="J79">
        <f t="shared" si="24"/>
        <v>0.73835935777803385</v>
      </c>
      <c r="K79">
        <f t="shared" si="25"/>
        <v>0.70900609308540197</v>
      </c>
      <c r="L79">
        <f t="shared" si="26"/>
        <v>0.76771262247066574</v>
      </c>
      <c r="M79">
        <f t="shared" si="32"/>
        <v>0.74337349797086605</v>
      </c>
      <c r="N79">
        <f t="shared" si="20"/>
        <v>0.81600403654573028</v>
      </c>
      <c r="O79">
        <f t="shared" si="27"/>
        <v>0.68399596345426972</v>
      </c>
      <c r="P79" t="b">
        <f t="shared" si="19"/>
        <v>1</v>
      </c>
    </row>
    <row r="80" spans="1:16" x14ac:dyDescent="0.25">
      <c r="A80">
        <v>0.36499999999999999</v>
      </c>
      <c r="B80">
        <f t="shared" si="21"/>
        <v>0.72867842693495311</v>
      </c>
      <c r="C80">
        <f t="shared" si="28"/>
        <v>0.68562328585315813</v>
      </c>
      <c r="D80">
        <f t="shared" si="22"/>
        <v>0.77132157306504689</v>
      </c>
      <c r="E80">
        <f t="shared" si="30"/>
        <v>0.81437671414684187</v>
      </c>
      <c r="F80">
        <f t="shared" si="31"/>
        <v>0.73832551684859671</v>
      </c>
      <c r="G80">
        <f t="shared" si="23"/>
        <v>0.74477834955852007</v>
      </c>
      <c r="H80">
        <f t="shared" si="15"/>
        <v>0.74477834955852007</v>
      </c>
      <c r="I80">
        <f t="shared" si="29"/>
        <v>0.73433387846647069</v>
      </c>
      <c r="J80">
        <f t="shared" si="24"/>
        <v>0.74216752433777999</v>
      </c>
      <c r="K80">
        <f t="shared" si="25"/>
        <v>0.71281425964514811</v>
      </c>
      <c r="L80">
        <f t="shared" si="26"/>
        <v>0.77152078903041188</v>
      </c>
      <c r="M80">
        <f t="shared" si="32"/>
        <v>0.74477795948882353</v>
      </c>
      <c r="N80">
        <f t="shared" si="20"/>
        <v>0.81437671414684187</v>
      </c>
      <c r="O80">
        <f t="shared" si="27"/>
        <v>0.68562328585315813</v>
      </c>
      <c r="P80" t="b">
        <f t="shared" si="19"/>
        <v>1</v>
      </c>
    </row>
    <row r="81" spans="1:16" x14ac:dyDescent="0.25">
      <c r="A81">
        <v>0.37</v>
      </c>
      <c r="B81">
        <f t="shared" si="21"/>
        <v>0.72962512114285016</v>
      </c>
      <c r="C81">
        <f t="shared" si="28"/>
        <v>0.68717835388860404</v>
      </c>
      <c r="D81">
        <f t="shared" si="22"/>
        <v>0.77037487885714984</v>
      </c>
      <c r="E81">
        <f t="shared" si="30"/>
        <v>0.81282164611139596</v>
      </c>
      <c r="F81">
        <f t="shared" si="31"/>
        <v>0.73884387286041198</v>
      </c>
      <c r="G81">
        <f t="shared" si="23"/>
        <v>0.74715599495785057</v>
      </c>
      <c r="H81">
        <f t="shared" si="15"/>
        <v>0.74715599495785057</v>
      </c>
      <c r="I81">
        <f t="shared" si="29"/>
        <v>0.73835935777803385</v>
      </c>
      <c r="J81">
        <f t="shared" si="24"/>
        <v>0.74573399243677585</v>
      </c>
      <c r="K81">
        <f t="shared" si="25"/>
        <v>0.71638072774414396</v>
      </c>
      <c r="L81">
        <f t="shared" si="26"/>
        <v>0.77508725712940774</v>
      </c>
      <c r="M81">
        <f t="shared" si="32"/>
        <v>0.74611978592601125</v>
      </c>
      <c r="N81">
        <f t="shared" si="20"/>
        <v>0.81282164611139596</v>
      </c>
      <c r="O81">
        <f t="shared" si="27"/>
        <v>0.68717835388860404</v>
      </c>
      <c r="P81" t="b">
        <f t="shared" si="19"/>
        <v>1</v>
      </c>
    </row>
    <row r="82" spans="1:16" x14ac:dyDescent="0.25">
      <c r="A82">
        <v>0.375</v>
      </c>
      <c r="B82">
        <f t="shared" si="21"/>
        <v>0.73052978140135094</v>
      </c>
      <c r="C82">
        <f t="shared" si="28"/>
        <v>0.68866437570979766</v>
      </c>
      <c r="D82">
        <f t="shared" si="22"/>
        <v>0.76947021859864906</v>
      </c>
      <c r="E82">
        <f t="shared" si="30"/>
        <v>0.81133562429020234</v>
      </c>
      <c r="F82">
        <f t="shared" si="31"/>
        <v>0.73933921346747655</v>
      </c>
      <c r="G82">
        <f t="shared" si="23"/>
        <v>0.74935949273857527</v>
      </c>
      <c r="H82">
        <f t="shared" ref="H82:H145" si="33">$Q$6-EXP(-T$6*T$12*A82)*(COS(T$5*A82)-(T$6*T$12-1)/(T$5)*SIN(T$5*A82))*T$15</f>
        <v>0.74935949273857527</v>
      </c>
      <c r="I82">
        <f t="shared" si="29"/>
        <v>0.74216752433777999</v>
      </c>
      <c r="J82">
        <f t="shared" si="24"/>
        <v>0.74903923910786296</v>
      </c>
      <c r="K82">
        <f t="shared" si="25"/>
        <v>0.71968597441523108</v>
      </c>
      <c r="L82">
        <f t="shared" si="26"/>
        <v>0.77839250380049485</v>
      </c>
      <c r="M82">
        <f t="shared" si="32"/>
        <v>0.74738917477926003</v>
      </c>
      <c r="N82">
        <f t="shared" si="20"/>
        <v>0.81133562429020234</v>
      </c>
      <c r="O82">
        <f t="shared" si="27"/>
        <v>0.68866437570979766</v>
      </c>
      <c r="P82" t="b">
        <f t="shared" si="19"/>
        <v>1</v>
      </c>
    </row>
    <row r="83" spans="1:16" x14ac:dyDescent="0.25">
      <c r="A83">
        <v>0.38</v>
      </c>
      <c r="B83">
        <f t="shared" si="21"/>
        <v>0.73139427405006874</v>
      </c>
      <c r="C83">
        <f t="shared" si="28"/>
        <v>0.69008441702164336</v>
      </c>
      <c r="D83">
        <f t="shared" si="22"/>
        <v>0.76860572594993126</v>
      </c>
      <c r="E83">
        <f t="shared" si="30"/>
        <v>0.80991558297835664</v>
      </c>
      <c r="F83">
        <f t="shared" si="31"/>
        <v>0.73981256057142508</v>
      </c>
      <c r="G83">
        <f t="shared" si="23"/>
        <v>0.75137893576305181</v>
      </c>
      <c r="H83">
        <f t="shared" si="33"/>
        <v>0.75137893576305181</v>
      </c>
      <c r="I83">
        <f t="shared" si="29"/>
        <v>0.74573399243677585</v>
      </c>
      <c r="J83">
        <f t="shared" si="24"/>
        <v>0.75206840364457772</v>
      </c>
      <c r="K83">
        <f t="shared" si="25"/>
        <v>0.72271513895194583</v>
      </c>
      <c r="L83">
        <f t="shared" si="26"/>
        <v>0.78142166833720961</v>
      </c>
      <c r="M83">
        <f t="shared" si="32"/>
        <v>0.74857799747892528</v>
      </c>
      <c r="N83">
        <f t="shared" si="20"/>
        <v>0.80991558297835664</v>
      </c>
      <c r="O83">
        <f t="shared" si="27"/>
        <v>0.69008441702164336</v>
      </c>
      <c r="P83" t="b">
        <f t="shared" si="19"/>
        <v>1</v>
      </c>
    </row>
    <row r="84" spans="1:16" x14ac:dyDescent="0.25">
      <c r="A84">
        <v>0.38500000000000001</v>
      </c>
      <c r="B84">
        <f t="shared" si="21"/>
        <v>0.73222038256170552</v>
      </c>
      <c r="C84">
        <f t="shared" si="28"/>
        <v>0.69144140740939453</v>
      </c>
      <c r="D84">
        <f t="shared" si="22"/>
        <v>0.76777961743829448</v>
      </c>
      <c r="E84">
        <f t="shared" si="30"/>
        <v>0.80855859259060547</v>
      </c>
      <c r="F84">
        <f t="shared" si="31"/>
        <v>0.74026489070067547</v>
      </c>
      <c r="G84">
        <f t="shared" si="23"/>
        <v>0.75320736771443453</v>
      </c>
      <c r="H84">
        <f t="shared" si="33"/>
        <v>0.75320736771443453</v>
      </c>
      <c r="I84">
        <f t="shared" si="29"/>
        <v>0.74903923910786296</v>
      </c>
      <c r="J84">
        <f t="shared" si="24"/>
        <v>0.75481105157165185</v>
      </c>
      <c r="K84">
        <f t="shared" si="25"/>
        <v>0.72545778687901996</v>
      </c>
      <c r="L84">
        <f t="shared" si="26"/>
        <v>0.78416431626428373</v>
      </c>
      <c r="M84">
        <f t="shared" si="32"/>
        <v>0.74967974636928769</v>
      </c>
      <c r="N84">
        <f t="shared" si="20"/>
        <v>0.80855859259060547</v>
      </c>
      <c r="O84">
        <f t="shared" si="27"/>
        <v>0.69144140740939453</v>
      </c>
      <c r="P84" t="b">
        <f t="shared" si="19"/>
        <v>1</v>
      </c>
    </row>
    <row r="85" spans="1:16" x14ac:dyDescent="0.25">
      <c r="A85">
        <v>0.39</v>
      </c>
      <c r="B85">
        <f t="shared" si="21"/>
        <v>0.73300981122140663</v>
      </c>
      <c r="C85">
        <f t="shared" si="28"/>
        <v>0.69273814638247122</v>
      </c>
      <c r="D85">
        <f t="shared" si="22"/>
        <v>0.76699018877859337</v>
      </c>
      <c r="E85">
        <f t="shared" si="30"/>
        <v>0.80726185361752878</v>
      </c>
      <c r="F85">
        <f t="shared" si="31"/>
        <v>0.74069713702503437</v>
      </c>
      <c r="G85">
        <f t="shared" si="23"/>
        <v>0.75484060588980206</v>
      </c>
      <c r="H85">
        <f t="shared" si="33"/>
        <v>0.75484060588980206</v>
      </c>
      <c r="I85">
        <f t="shared" si="29"/>
        <v>0.75206840364457772</v>
      </c>
      <c r="J85">
        <f t="shared" si="24"/>
        <v>0.75726090883470309</v>
      </c>
      <c r="K85">
        <f t="shared" si="25"/>
        <v>0.72790764414207121</v>
      </c>
      <c r="L85">
        <f t="shared" si="26"/>
        <v>0.78661417352733498</v>
      </c>
      <c r="M85">
        <f t="shared" si="32"/>
        <v>0.75068946788152591</v>
      </c>
      <c r="N85">
        <f t="shared" si="20"/>
        <v>0.80726185361752878</v>
      </c>
      <c r="O85">
        <f t="shared" si="27"/>
        <v>0.69273814638247122</v>
      </c>
      <c r="P85" t="b">
        <f t="shared" si="19"/>
        <v>1</v>
      </c>
    </row>
    <row r="86" spans="1:16" x14ac:dyDescent="0.25">
      <c r="A86">
        <v>0.39500000000000002</v>
      </c>
      <c r="B86">
        <f t="shared" si="21"/>
        <v>0.73376418864274906</v>
      </c>
      <c r="C86">
        <f t="shared" si="28"/>
        <v>0.69397730914992639</v>
      </c>
      <c r="D86">
        <f t="shared" si="22"/>
        <v>0.76623581135725094</v>
      </c>
      <c r="E86">
        <f t="shared" si="30"/>
        <v>0.80602269085007361</v>
      </c>
      <c r="F86">
        <f t="shared" si="31"/>
        <v>0.74111019128085276</v>
      </c>
      <c r="G86">
        <f t="shared" si="23"/>
        <v>0.75627704787612771</v>
      </c>
      <c r="H86">
        <f t="shared" si="33"/>
        <v>0.75627704787612771</v>
      </c>
      <c r="I86">
        <f t="shared" si="29"/>
        <v>0.75481105157165185</v>
      </c>
      <c r="J86">
        <f t="shared" si="24"/>
        <v>0.7594155718141915</v>
      </c>
      <c r="K86">
        <f t="shared" si="25"/>
        <v>0.73006230712155962</v>
      </c>
      <c r="L86">
        <f t="shared" si="26"/>
        <v>0.78876883650682339</v>
      </c>
      <c r="M86">
        <f t="shared" si="32"/>
        <v>0.75160368385721732</v>
      </c>
      <c r="N86">
        <f t="shared" si="20"/>
        <v>0.80602269085007361</v>
      </c>
      <c r="O86">
        <f t="shared" si="27"/>
        <v>0.69397730914992639</v>
      </c>
      <c r="P86" t="b">
        <f t="shared" ref="P86:P149" si="34">IF(P85,TRUE,IF(H86&lt;H85,TRUE))</f>
        <v>1</v>
      </c>
    </row>
    <row r="87" spans="1:16" x14ac:dyDescent="0.25">
      <c r="A87">
        <v>0.4</v>
      </c>
      <c r="B87">
        <f t="shared" si="21"/>
        <v>0.73448507112761674</v>
      </c>
      <c r="C87">
        <f t="shared" si="28"/>
        <v>0.69516145213947811</v>
      </c>
      <c r="D87">
        <f t="shared" si="22"/>
        <v>0.76551492887238326</v>
      </c>
      <c r="E87">
        <f t="shared" si="30"/>
        <v>0.80483854786052189</v>
      </c>
      <c r="F87">
        <f t="shared" si="31"/>
        <v>0.74150490561070337</v>
      </c>
      <c r="G87">
        <f t="shared" si="23"/>
        <v>0.75751746570441481</v>
      </c>
      <c r="H87">
        <f t="shared" si="33"/>
        <v>0.75751746570441481</v>
      </c>
      <c r="I87">
        <f t="shared" si="29"/>
        <v>0.75726090883470309</v>
      </c>
      <c r="J87">
        <f t="shared" si="24"/>
        <v>0.76127619855662221</v>
      </c>
      <c r="K87">
        <f t="shared" si="25"/>
        <v>0.73192293386399032</v>
      </c>
      <c r="L87">
        <f t="shared" si="26"/>
        <v>0.79062946324925409</v>
      </c>
      <c r="M87">
        <f t="shared" si="32"/>
        <v>0.75242030294490103</v>
      </c>
      <c r="N87">
        <f t="shared" si="20"/>
        <v>0.80483854786052189</v>
      </c>
      <c r="O87">
        <f t="shared" si="27"/>
        <v>0.69516145213947811</v>
      </c>
      <c r="P87" t="b">
        <f t="shared" si="34"/>
        <v>1</v>
      </c>
    </row>
    <row r="88" spans="1:16" x14ac:dyDescent="0.25">
      <c r="A88">
        <v>0.40500000000000003</v>
      </c>
      <c r="B88">
        <f t="shared" si="21"/>
        <v>0.73517394587689588</v>
      </c>
      <c r="C88">
        <f t="shared" si="28"/>
        <v>0.69629301827149159</v>
      </c>
      <c r="D88">
        <f t="shared" si="22"/>
        <v>0.76482605412310412</v>
      </c>
      <c r="E88">
        <f t="shared" si="30"/>
        <v>0.80370698172850841</v>
      </c>
      <c r="F88">
        <f t="shared" si="31"/>
        <v>0.74188209432137453</v>
      </c>
      <c r="G88">
        <f t="shared" si="23"/>
        <v>0.7585647909073665</v>
      </c>
      <c r="H88">
        <f t="shared" si="33"/>
        <v>0.7585647909073665</v>
      </c>
      <c r="I88">
        <f t="shared" si="29"/>
        <v>0.7594155718141915</v>
      </c>
      <c r="J88">
        <f t="shared" si="24"/>
        <v>0.76284718636104976</v>
      </c>
      <c r="K88">
        <f t="shared" si="25"/>
        <v>0.73349392166841787</v>
      </c>
      <c r="L88">
        <f t="shared" si="26"/>
        <v>0.79220045105368164</v>
      </c>
      <c r="M88">
        <f t="shared" si="32"/>
        <v>0.7531385239380638</v>
      </c>
      <c r="N88">
        <f t="shared" si="20"/>
        <v>0.80370698172850841</v>
      </c>
      <c r="O88">
        <f t="shared" si="27"/>
        <v>0.69629301827149159</v>
      </c>
      <c r="P88" t="b">
        <f t="shared" si="34"/>
        <v>1</v>
      </c>
    </row>
    <row r="89" spans="1:16" x14ac:dyDescent="0.25">
      <c r="A89">
        <v>0.41</v>
      </c>
      <c r="B89">
        <f t="shared" si="21"/>
        <v>0.73583223405861176</v>
      </c>
      <c r="C89">
        <f t="shared" si="28"/>
        <v>0.69737434199879322</v>
      </c>
      <c r="D89">
        <f t="shared" si="22"/>
        <v>0.76416776594138824</v>
      </c>
      <c r="E89">
        <f t="shared" si="30"/>
        <v>0.80262565800120678</v>
      </c>
      <c r="F89">
        <f t="shared" si="31"/>
        <v>0.74224253556380837</v>
      </c>
      <c r="G89">
        <f t="shared" si="23"/>
        <v>0.75942389371185526</v>
      </c>
      <c r="H89">
        <f t="shared" si="33"/>
        <v>0.75942389371185526</v>
      </c>
      <c r="I89">
        <f t="shared" si="29"/>
        <v>0.76127619855662221</v>
      </c>
      <c r="J89">
        <f t="shared" si="24"/>
        <v>0.76413584056778283</v>
      </c>
      <c r="K89">
        <f t="shared" si="25"/>
        <v>0.73478257587515095</v>
      </c>
      <c r="L89">
        <f t="shared" si="26"/>
        <v>0.79348910526041472</v>
      </c>
      <c r="M89">
        <f t="shared" si="32"/>
        <v>0.7537587328522074</v>
      </c>
      <c r="N89">
        <f t="shared" ref="N89:N152" si="35">IF(P89,MAX(E89,$Q$6+$T$13),MAX(L89,$Q$6+$T$13))</f>
        <v>0.80262565800120678</v>
      </c>
      <c r="O89">
        <f t="shared" si="27"/>
        <v>0.69737434199879322</v>
      </c>
      <c r="P89" t="b">
        <f t="shared" si="34"/>
        <v>1</v>
      </c>
    </row>
    <row r="90" spans="1:16" x14ac:dyDescent="0.25">
      <c r="A90">
        <v>0.41499999999999998</v>
      </c>
      <c r="B90">
        <f t="shared" si="21"/>
        <v>0.7364612937398386</v>
      </c>
      <c r="C90">
        <f t="shared" si="28"/>
        <v>0.69840765412271189</v>
      </c>
      <c r="D90">
        <f t="shared" si="22"/>
        <v>0.7635387062601614</v>
      </c>
      <c r="E90">
        <f t="shared" si="30"/>
        <v>0.80159234587728811</v>
      </c>
      <c r="F90">
        <f t="shared" si="31"/>
        <v>0.74258697293844789</v>
      </c>
      <c r="G90">
        <f t="shared" si="23"/>
        <v>0.76010135938350798</v>
      </c>
      <c r="H90">
        <f t="shared" si="33"/>
        <v>0.76010135938350798</v>
      </c>
      <c r="I90">
        <f t="shared" si="29"/>
        <v>0.76284718636104976</v>
      </c>
      <c r="J90">
        <f t="shared" si="24"/>
        <v>0.76515203907526197</v>
      </c>
      <c r="K90">
        <f t="shared" si="25"/>
        <v>0.73579877438263008</v>
      </c>
      <c r="L90">
        <f t="shared" si="26"/>
        <v>0.79450530376789386</v>
      </c>
      <c r="M90">
        <f t="shared" si="32"/>
        <v>0.75428239545368325</v>
      </c>
      <c r="N90">
        <f t="shared" si="35"/>
        <v>0.80159234587728811</v>
      </c>
      <c r="O90">
        <f t="shared" si="27"/>
        <v>0.69840765412271189</v>
      </c>
      <c r="P90" t="b">
        <f t="shared" si="34"/>
        <v>1</v>
      </c>
    </row>
    <row r="91" spans="1:16" x14ac:dyDescent="0.25">
      <c r="A91">
        <v>0.42</v>
      </c>
      <c r="B91">
        <f t="shared" si="21"/>
        <v>0.73706242268843047</v>
      </c>
      <c r="C91">
        <f t="shared" si="28"/>
        <v>0.69939508639528569</v>
      </c>
      <c r="D91">
        <f t="shared" si="22"/>
        <v>0.76293757731156953</v>
      </c>
      <c r="E91">
        <f t="shared" si="30"/>
        <v>0.80060491360471431</v>
      </c>
      <c r="F91">
        <f t="shared" si="31"/>
        <v>0.74291611702930582</v>
      </c>
      <c r="G91">
        <f t="shared" si="23"/>
        <v>0.76060526451107469</v>
      </c>
      <c r="H91">
        <f t="shared" si="33"/>
        <v>0.76060526451107469</v>
      </c>
      <c r="I91">
        <f t="shared" si="29"/>
        <v>0.76413584056778283</v>
      </c>
      <c r="J91">
        <f t="shared" si="24"/>
        <v>0.76590789676661208</v>
      </c>
      <c r="K91">
        <f t="shared" si="25"/>
        <v>0.7365546320739802</v>
      </c>
      <c r="L91">
        <f t="shared" si="26"/>
        <v>0.79526116145924397</v>
      </c>
      <c r="M91">
        <f t="shared" si="32"/>
        <v>0.75471194685592757</v>
      </c>
      <c r="N91">
        <f t="shared" si="35"/>
        <v>0.80060491360471431</v>
      </c>
      <c r="O91">
        <f t="shared" si="27"/>
        <v>0.69939508639528569</v>
      </c>
      <c r="P91" t="b">
        <f t="shared" si="34"/>
        <v>1</v>
      </c>
    </row>
    <row r="92" spans="1:16" x14ac:dyDescent="0.25">
      <c r="A92">
        <v>0.42499999999999999</v>
      </c>
      <c r="B92">
        <f t="shared" si="21"/>
        <v>0.73763686105035231</v>
      </c>
      <c r="C92">
        <f t="shared" si="28"/>
        <v>0.70033867591712606</v>
      </c>
      <c r="D92">
        <f t="shared" si="22"/>
        <v>0.76236313894964769</v>
      </c>
      <c r="E92">
        <f t="shared" si="30"/>
        <v>0.79966132408287394</v>
      </c>
      <c r="F92">
        <f t="shared" si="31"/>
        <v>0.74323064686991935</v>
      </c>
      <c r="G92">
        <f t="shared" si="23"/>
        <v>0.76094495577687926</v>
      </c>
      <c r="H92">
        <f t="shared" si="33"/>
        <v>0.76094495577687926</v>
      </c>
      <c r="I92">
        <f t="shared" si="29"/>
        <v>0.76515203907526197</v>
      </c>
      <c r="J92">
        <f t="shared" si="24"/>
        <v>0.76641743366531889</v>
      </c>
      <c r="K92">
        <f t="shared" si="25"/>
        <v>0.73706416897268701</v>
      </c>
      <c r="L92">
        <f t="shared" si="26"/>
        <v>0.79577069835795078</v>
      </c>
      <c r="M92">
        <f t="shared" si="32"/>
        <v>0.75505067969175399</v>
      </c>
      <c r="N92">
        <f t="shared" si="35"/>
        <v>0.79966132408287394</v>
      </c>
      <c r="O92">
        <f t="shared" si="27"/>
        <v>0.70033867591712606</v>
      </c>
      <c r="P92" t="b">
        <f t="shared" si="34"/>
        <v>1</v>
      </c>
    </row>
    <row r="93" spans="1:16" x14ac:dyDescent="0.25">
      <c r="A93">
        <v>0.43</v>
      </c>
      <c r="B93">
        <f t="shared" si="21"/>
        <v>0.73818579390813688</v>
      </c>
      <c r="C93">
        <f t="shared" si="28"/>
        <v>0.70124036934001377</v>
      </c>
      <c r="D93">
        <f t="shared" si="22"/>
        <v>0.76181420609186312</v>
      </c>
      <c r="E93">
        <f t="shared" si="30"/>
        <v>0.79875963065998623</v>
      </c>
      <c r="F93">
        <f t="shared" si="31"/>
        <v>0.74353121134421518</v>
      </c>
      <c r="G93">
        <f t="shared" si="23"/>
        <v>0.76113083351031863</v>
      </c>
      <c r="H93">
        <f t="shared" si="33"/>
        <v>0.76113083351031863</v>
      </c>
      <c r="I93">
        <f t="shared" si="29"/>
        <v>0.76590789676661208</v>
      </c>
      <c r="J93">
        <f t="shared" si="24"/>
        <v>0.76669625026547794</v>
      </c>
      <c r="K93">
        <f t="shared" si="25"/>
        <v>0.73734298557284605</v>
      </c>
      <c r="L93">
        <f t="shared" si="26"/>
        <v>0.79604951495810983</v>
      </c>
      <c r="M93">
        <f t="shared" si="32"/>
        <v>0.7553026322555374</v>
      </c>
      <c r="N93">
        <f t="shared" si="35"/>
        <v>0.79875963065998623</v>
      </c>
      <c r="O93">
        <f t="shared" si="27"/>
        <v>0.70124036934001377</v>
      </c>
      <c r="P93" t="b">
        <f t="shared" si="34"/>
        <v>1</v>
      </c>
    </row>
    <row r="94" spans="1:16" x14ac:dyDescent="0.25">
      <c r="A94">
        <v>0.435</v>
      </c>
      <c r="B94">
        <f t="shared" si="21"/>
        <v>0.73871035372574267</v>
      </c>
      <c r="C94">
        <f t="shared" si="28"/>
        <v>0.70210202688289658</v>
      </c>
      <c r="D94">
        <f t="shared" si="22"/>
        <v>0.76128964627425733</v>
      </c>
      <c r="E94">
        <f t="shared" si="30"/>
        <v>0.79789797311710342</v>
      </c>
      <c r="F94">
        <f t="shared" si="31"/>
        <v>0.74381843052517616</v>
      </c>
      <c r="G94">
        <f t="shared" si="23"/>
        <v>0.76117414206760137</v>
      </c>
      <c r="H94">
        <f t="shared" si="33"/>
        <v>0.76117414206760137</v>
      </c>
      <c r="I94">
        <f t="shared" si="29"/>
        <v>0.76641743366531889</v>
      </c>
      <c r="J94">
        <f t="shared" si="24"/>
        <v>0.76676121310140199</v>
      </c>
      <c r="K94">
        <f t="shared" si="25"/>
        <v>0.73740794840877011</v>
      </c>
      <c r="L94">
        <f t="shared" si="26"/>
        <v>0.79611447779403388</v>
      </c>
      <c r="M94">
        <f t="shared" si="32"/>
        <v>0.75547247788843963</v>
      </c>
      <c r="N94">
        <f t="shared" si="35"/>
        <v>0.79789797311710342</v>
      </c>
      <c r="O94">
        <f t="shared" si="27"/>
        <v>0.70210202688289658</v>
      </c>
      <c r="P94" t="b">
        <f t="shared" si="34"/>
        <v>1</v>
      </c>
    </row>
    <row r="95" spans="1:16" x14ac:dyDescent="0.25">
      <c r="A95">
        <v>0.44</v>
      </c>
      <c r="B95">
        <f t="shared" si="21"/>
        <v>0.7392116226848594</v>
      </c>
      <c r="C95">
        <f t="shared" si="28"/>
        <v>0.70292542616957354</v>
      </c>
      <c r="D95">
        <f t="shared" si="22"/>
        <v>0.7607883773151406</v>
      </c>
      <c r="E95">
        <f t="shared" si="30"/>
        <v>0.79707457383042646</v>
      </c>
      <c r="F95">
        <f t="shared" si="31"/>
        <v>0.74409289695406844</v>
      </c>
      <c r="G95">
        <f t="shared" si="23"/>
        <v>0.76108676882597093</v>
      </c>
      <c r="H95">
        <f t="shared" si="33"/>
        <v>0.76108676882597093</v>
      </c>
      <c r="I95">
        <f t="shared" si="29"/>
        <v>0.76669625026547794</v>
      </c>
      <c r="J95">
        <f t="shared" si="24"/>
        <v>0.76663015323895634</v>
      </c>
      <c r="K95">
        <f t="shared" si="25"/>
        <v>0.73727688854632445</v>
      </c>
      <c r="L95">
        <f t="shared" si="26"/>
        <v>0.79598341793158822</v>
      </c>
      <c r="M95">
        <f t="shared" si="32"/>
        <v>0.75556541675515931</v>
      </c>
      <c r="N95">
        <f t="shared" si="35"/>
        <v>0.79707457383042646</v>
      </c>
      <c r="O95">
        <f t="shared" si="27"/>
        <v>0.70292542616957354</v>
      </c>
      <c r="P95" t="b">
        <f t="shared" si="34"/>
        <v>1</v>
      </c>
    </row>
    <row r="96" spans="1:16" x14ac:dyDescent="0.25">
      <c r="A96">
        <v>0.44500000000000001</v>
      </c>
      <c r="B96">
        <f t="shared" si="21"/>
        <v>0.73969063491747911</v>
      </c>
      <c r="C96">
        <f t="shared" si="28"/>
        <v>0.70371226589598213</v>
      </c>
      <c r="D96">
        <f t="shared" si="22"/>
        <v>0.76030936508252089</v>
      </c>
      <c r="E96">
        <f t="shared" si="30"/>
        <v>0.79628773410401787</v>
      </c>
      <c r="F96">
        <f t="shared" si="31"/>
        <v>0.74435517686287134</v>
      </c>
      <c r="G96">
        <f t="shared" si="23"/>
        <v>0.76088105332753819</v>
      </c>
      <c r="H96">
        <f t="shared" si="33"/>
        <v>0.76088105332753819</v>
      </c>
      <c r="I96">
        <f t="shared" si="29"/>
        <v>0.76676121310140199</v>
      </c>
      <c r="J96">
        <f t="shared" si="24"/>
        <v>0.76632157999130734</v>
      </c>
      <c r="K96">
        <f t="shared" si="25"/>
        <v>0.73696831529867546</v>
      </c>
      <c r="L96">
        <f t="shared" si="26"/>
        <v>0.79567484468393923</v>
      </c>
      <c r="M96">
        <f t="shared" si="32"/>
        <v>0.75558707103380063</v>
      </c>
      <c r="N96">
        <f t="shared" si="35"/>
        <v>0.79628773410401787</v>
      </c>
      <c r="O96">
        <f t="shared" si="27"/>
        <v>0.70371226589598213</v>
      </c>
      <c r="P96" t="b">
        <f t="shared" si="34"/>
        <v>1</v>
      </c>
    </row>
    <row r="97" spans="1:16" x14ac:dyDescent="0.25">
      <c r="A97">
        <v>0.45</v>
      </c>
      <c r="B97">
        <f t="shared" si="21"/>
        <v>0.7401483786393398</v>
      </c>
      <c r="C97">
        <f t="shared" si="28"/>
        <v>0.70446416933465716</v>
      </c>
      <c r="D97">
        <f t="shared" si="22"/>
        <v>0.7598516213606602</v>
      </c>
      <c r="E97">
        <f t="shared" si="30"/>
        <v>0.79553583066534284</v>
      </c>
      <c r="F97">
        <f t="shared" si="31"/>
        <v>0.74460581134242965</v>
      </c>
      <c r="G97">
        <f t="shared" si="23"/>
        <v>0.76056960785926797</v>
      </c>
      <c r="H97">
        <f t="shared" si="33"/>
        <v>0.76056960785926797</v>
      </c>
      <c r="I97">
        <f t="shared" si="29"/>
        <v>0.76663015323895634</v>
      </c>
      <c r="J97">
        <f t="shared" si="24"/>
        <v>0.76585441178890201</v>
      </c>
      <c r="K97">
        <f t="shared" si="25"/>
        <v>0.73650114709627013</v>
      </c>
      <c r="L97">
        <f t="shared" si="26"/>
        <v>0.7952076764815339</v>
      </c>
      <c r="M97">
        <f t="shared" si="32"/>
        <v>0.75554338441298541</v>
      </c>
      <c r="N97">
        <f t="shared" si="35"/>
        <v>0.79553583066534284</v>
      </c>
      <c r="O97">
        <f t="shared" si="27"/>
        <v>0.70446416933465716</v>
      </c>
      <c r="P97" t="b">
        <f t="shared" si="34"/>
        <v>1</v>
      </c>
    </row>
    <row r="98" spans="1:16" x14ac:dyDescent="0.25">
      <c r="A98">
        <v>0.45500000000000002</v>
      </c>
      <c r="B98">
        <f t="shared" si="21"/>
        <v>0.74058579818864223</v>
      </c>
      <c r="C98">
        <f t="shared" si="28"/>
        <v>0.70518268768358672</v>
      </c>
      <c r="D98">
        <f t="shared" si="22"/>
        <v>0.75941420181135777</v>
      </c>
      <c r="E98">
        <f t="shared" si="30"/>
        <v>0.79481731231641328</v>
      </c>
      <c r="F98">
        <f t="shared" si="31"/>
        <v>0.7448453174587395</v>
      </c>
      <c r="G98">
        <f t="shared" si="23"/>
        <v>0.76016515051405598</v>
      </c>
      <c r="H98">
        <f t="shared" si="33"/>
        <v>0.76016515051405598</v>
      </c>
      <c r="I98">
        <f t="shared" si="29"/>
        <v>0.76632157999130734</v>
      </c>
      <c r="J98">
        <f t="shared" si="24"/>
        <v>0.76524772577108402</v>
      </c>
      <c r="K98">
        <f t="shared" si="25"/>
        <v>0.73589446107845213</v>
      </c>
      <c r="L98">
        <f t="shared" si="26"/>
        <v>0.79460099046371591</v>
      </c>
      <c r="M98">
        <f t="shared" si="32"/>
        <v>0.75544052666376915</v>
      </c>
      <c r="N98">
        <f t="shared" si="35"/>
        <v>0.79481731231641328</v>
      </c>
      <c r="O98">
        <f t="shared" si="27"/>
        <v>0.70518268768358672</v>
      </c>
      <c r="P98" t="b">
        <f t="shared" si="34"/>
        <v>1</v>
      </c>
    </row>
    <row r="99" spans="1:16" x14ac:dyDescent="0.25">
      <c r="A99">
        <v>0.46</v>
      </c>
      <c r="B99">
        <f t="shared" si="21"/>
        <v>0.74100379597424637</v>
      </c>
      <c r="C99">
        <f t="shared" si="28"/>
        <v>0.70586930326637776</v>
      </c>
      <c r="D99">
        <f t="shared" si="22"/>
        <v>0.75899620402575363</v>
      </c>
      <c r="E99">
        <f t="shared" si="30"/>
        <v>0.79413069673362224</v>
      </c>
      <c r="F99">
        <f t="shared" si="31"/>
        <v>0.74507418931966984</v>
      </c>
      <c r="G99">
        <f t="shared" si="23"/>
        <v>0.7596803515453362</v>
      </c>
      <c r="H99">
        <f t="shared" si="33"/>
        <v>0.7596803515453362</v>
      </c>
      <c r="I99">
        <f t="shared" si="29"/>
        <v>0.76585441178890201</v>
      </c>
      <c r="J99">
        <f t="shared" si="24"/>
        <v>0.76452052731800424</v>
      </c>
      <c r="K99">
        <f t="shared" si="25"/>
        <v>0.73516726262537235</v>
      </c>
      <c r="L99">
        <f t="shared" si="26"/>
        <v>0.79387379201063613</v>
      </c>
      <c r="M99">
        <f t="shared" si="32"/>
        <v>0.75528480392963404</v>
      </c>
      <c r="N99">
        <f t="shared" si="35"/>
        <v>0.79413069673362224</v>
      </c>
      <c r="O99">
        <f t="shared" si="27"/>
        <v>0.70586930326637776</v>
      </c>
      <c r="P99" t="b">
        <f t="shared" si="34"/>
        <v>1</v>
      </c>
    </row>
    <row r="100" spans="1:16" x14ac:dyDescent="0.25">
      <c r="A100">
        <v>0.46500000000000002</v>
      </c>
      <c r="B100">
        <f t="shared" si="21"/>
        <v>0.74140323433736621</v>
      </c>
      <c r="C100">
        <f t="shared" si="28"/>
        <v>0.70652543259033151</v>
      </c>
      <c r="D100">
        <f t="shared" si="22"/>
        <v>0.75859676566263379</v>
      </c>
      <c r="E100">
        <f t="shared" si="30"/>
        <v>0.79347456740966849</v>
      </c>
      <c r="F100">
        <f t="shared" si="31"/>
        <v>0.74529289909432117</v>
      </c>
      <c r="G100">
        <f t="shared" si="23"/>
        <v>0.75912769360611687</v>
      </c>
      <c r="H100">
        <f t="shared" si="33"/>
        <v>0.75912769360611687</v>
      </c>
      <c r="I100">
        <f t="shared" si="29"/>
        <v>0.76524772577108402</v>
      </c>
      <c r="J100">
        <f t="shared" si="24"/>
        <v>0.76369154040917531</v>
      </c>
      <c r="K100">
        <f t="shared" si="25"/>
        <v>0.73433827571654342</v>
      </c>
      <c r="L100">
        <f t="shared" si="26"/>
        <v>0.79304480510180719</v>
      </c>
      <c r="M100">
        <f t="shared" si="32"/>
        <v>0.75508257525702804</v>
      </c>
      <c r="N100">
        <f t="shared" si="35"/>
        <v>0.79347456740966849</v>
      </c>
      <c r="O100">
        <f t="shared" si="27"/>
        <v>0.70652543259033151</v>
      </c>
      <c r="P100" t="b">
        <f t="shared" si="34"/>
        <v>1</v>
      </c>
    </row>
    <row r="101" spans="1:16" x14ac:dyDescent="0.25">
      <c r="A101">
        <v>0.47</v>
      </c>
      <c r="B101">
        <f t="shared" si="21"/>
        <v>0.74178493733060391</v>
      </c>
      <c r="C101">
        <f t="shared" si="28"/>
        <v>0.70715242926873778</v>
      </c>
      <c r="D101">
        <f t="shared" si="22"/>
        <v>0.75821506266939609</v>
      </c>
      <c r="E101">
        <f t="shared" si="30"/>
        <v>0.79284757073126222</v>
      </c>
      <c r="F101">
        <f t="shared" si="31"/>
        <v>0.74550189798712319</v>
      </c>
      <c r="G101">
        <f t="shared" si="23"/>
        <v>0.75851934625433359</v>
      </c>
      <c r="H101">
        <f t="shared" si="33"/>
        <v>0.75851934625433359</v>
      </c>
      <c r="I101">
        <f t="shared" si="29"/>
        <v>0.76452052731800424</v>
      </c>
      <c r="J101">
        <f t="shared" si="24"/>
        <v>0.76277901938150039</v>
      </c>
      <c r="K101">
        <f t="shared" si="25"/>
        <v>0.7334257546888685</v>
      </c>
      <c r="L101">
        <f t="shared" si="26"/>
        <v>0.79213228407413228</v>
      </c>
      <c r="M101">
        <f t="shared" si="32"/>
        <v>0.75484017577266804</v>
      </c>
      <c r="N101">
        <f t="shared" si="35"/>
        <v>0.79284757073126222</v>
      </c>
      <c r="O101">
        <f t="shared" si="27"/>
        <v>0.70715242926873778</v>
      </c>
      <c r="P101" t="b">
        <f t="shared" si="34"/>
        <v>1</v>
      </c>
    </row>
    <row r="102" spans="1:16" x14ac:dyDescent="0.25">
      <c r="A102">
        <v>0.47499999999999998</v>
      </c>
      <c r="B102">
        <f t="shared" si="21"/>
        <v>0.74214969241799367</v>
      </c>
      <c r="C102">
        <f t="shared" si="28"/>
        <v>0.70775158681341743</v>
      </c>
      <c r="D102">
        <f t="shared" si="22"/>
        <v>0.75785030758200633</v>
      </c>
      <c r="E102">
        <f t="shared" si="30"/>
        <v>0.79224841318658257</v>
      </c>
      <c r="F102">
        <f t="shared" si="31"/>
        <v>0.74570161716868311</v>
      </c>
      <c r="G102">
        <f t="shared" si="23"/>
        <v>0.75786705491119977</v>
      </c>
      <c r="H102">
        <f t="shared" si="33"/>
        <v>0.75786705491119977</v>
      </c>
      <c r="I102">
        <f t="shared" si="29"/>
        <v>0.76369154040917531</v>
      </c>
      <c r="J102">
        <f t="shared" si="24"/>
        <v>0.76180058236679959</v>
      </c>
      <c r="K102">
        <f t="shared" si="25"/>
        <v>0.73244731767416771</v>
      </c>
      <c r="L102">
        <f t="shared" si="26"/>
        <v>0.79115384705943148</v>
      </c>
      <c r="M102">
        <f t="shared" si="32"/>
        <v>0.75456384680305844</v>
      </c>
      <c r="N102">
        <f t="shared" si="35"/>
        <v>0.79224841318658257</v>
      </c>
      <c r="O102">
        <f t="shared" si="27"/>
        <v>0.70775158681341743</v>
      </c>
      <c r="P102" t="b">
        <f t="shared" si="34"/>
        <v>1</v>
      </c>
    </row>
    <row r="103" spans="1:16" x14ac:dyDescent="0.25">
      <c r="A103">
        <v>0.48</v>
      </c>
      <c r="B103">
        <f t="shared" si="21"/>
        <v>0.74249825209956233</v>
      </c>
      <c r="C103">
        <f t="shared" si="28"/>
        <v>0.70832414130327392</v>
      </c>
      <c r="D103">
        <f t="shared" si="22"/>
        <v>0.75750174790043767</v>
      </c>
      <c r="E103">
        <f t="shared" si="30"/>
        <v>0.79167585869672608</v>
      </c>
      <c r="F103">
        <f t="shared" si="31"/>
        <v>0.7458924686653019</v>
      </c>
      <c r="G103">
        <f t="shared" si="23"/>
        <v>0.75718204427886682</v>
      </c>
      <c r="H103">
        <f t="shared" si="33"/>
        <v>0.75718204427886682</v>
      </c>
      <c r="I103">
        <f t="shared" si="29"/>
        <v>0.76277901938150039</v>
      </c>
      <c r="J103">
        <f t="shared" si="24"/>
        <v>0.76077306641830023</v>
      </c>
      <c r="K103">
        <f t="shared" si="25"/>
        <v>0.73141980172566834</v>
      </c>
      <c r="L103">
        <f t="shared" si="26"/>
        <v>0.79012633111093211</v>
      </c>
      <c r="M103">
        <f t="shared" si="32"/>
        <v>0.7542596731271668</v>
      </c>
      <c r="N103">
        <f t="shared" si="35"/>
        <v>0.79167585869672608</v>
      </c>
      <c r="O103">
        <f t="shared" si="27"/>
        <v>0.70832414130327392</v>
      </c>
      <c r="P103" t="b">
        <f t="shared" si="34"/>
        <v>1</v>
      </c>
    </row>
    <row r="104" spans="1:16" x14ac:dyDescent="0.25">
      <c r="A104">
        <v>0.48499999999999999</v>
      </c>
      <c r="B104">
        <f t="shared" si="21"/>
        <v>0.74283133546375801</v>
      </c>
      <c r="C104">
        <f t="shared" si="28"/>
        <v>0.70887127393435867</v>
      </c>
      <c r="D104">
        <f t="shared" si="22"/>
        <v>0.75716866453624199</v>
      </c>
      <c r="E104">
        <f t="shared" si="30"/>
        <v>0.79112872606564133</v>
      </c>
      <c r="F104">
        <f t="shared" si="31"/>
        <v>0.74607484620899689</v>
      </c>
      <c r="G104">
        <f t="shared" si="23"/>
        <v>0.75647493605891769</v>
      </c>
      <c r="H104">
        <f t="shared" si="33"/>
        <v>0.75647493605891769</v>
      </c>
      <c r="I104">
        <f t="shared" si="29"/>
        <v>0.76180058236679959</v>
      </c>
      <c r="J104">
        <f t="shared" si="24"/>
        <v>0.75971240408837648</v>
      </c>
      <c r="K104">
        <f t="shared" si="25"/>
        <v>0.73035913939574459</v>
      </c>
      <c r="L104">
        <f t="shared" si="26"/>
        <v>0.78906566878100837</v>
      </c>
      <c r="M104">
        <f t="shared" si="32"/>
        <v>0.75393352745559983</v>
      </c>
      <c r="N104">
        <f t="shared" si="35"/>
        <v>0.79112872606564133</v>
      </c>
      <c r="O104">
        <f t="shared" si="27"/>
        <v>0.70887127393435867</v>
      </c>
      <c r="P104" t="b">
        <f t="shared" si="34"/>
        <v>1</v>
      </c>
    </row>
    <row r="105" spans="1:16" x14ac:dyDescent="0.25">
      <c r="A105">
        <v>0.49</v>
      </c>
      <c r="B105">
        <f t="shared" si="21"/>
        <v>0.74314962967094966</v>
      </c>
      <c r="C105">
        <f t="shared" si="28"/>
        <v>0.70939411345671166</v>
      </c>
      <c r="D105">
        <f t="shared" si="22"/>
        <v>0.75685037032905034</v>
      </c>
      <c r="E105">
        <f t="shared" si="30"/>
        <v>0.79060588654328834</v>
      </c>
      <c r="F105">
        <f t="shared" si="31"/>
        <v>0.74624912604978122</v>
      </c>
      <c r="G105">
        <f t="shared" si="23"/>
        <v>0.75575568066454446</v>
      </c>
      <c r="H105">
        <f t="shared" si="33"/>
        <v>0.75575568066454446</v>
      </c>
      <c r="I105">
        <f t="shared" si="29"/>
        <v>0.76077306641830023</v>
      </c>
      <c r="J105">
        <f t="shared" si="24"/>
        <v>0.75863352099681669</v>
      </c>
      <c r="K105">
        <f t="shared" si="25"/>
        <v>0.7292802563041848</v>
      </c>
      <c r="L105">
        <f t="shared" si="26"/>
        <v>0.78798678568944858</v>
      </c>
      <c r="M105">
        <f t="shared" si="32"/>
        <v>0.75359102213943341</v>
      </c>
      <c r="N105">
        <f t="shared" si="35"/>
        <v>0.79060588654328834</v>
      </c>
      <c r="O105">
        <f t="shared" si="27"/>
        <v>0.70939411345671166</v>
      </c>
      <c r="P105" t="b">
        <f t="shared" si="34"/>
        <v>1</v>
      </c>
    </row>
    <row r="106" spans="1:16" x14ac:dyDescent="0.25">
      <c r="A106">
        <v>0.495</v>
      </c>
      <c r="B106">
        <f t="shared" si="21"/>
        <v>0.7434537913710586</v>
      </c>
      <c r="C106">
        <f t="shared" si="28"/>
        <v>0.70989373850300508</v>
      </c>
      <c r="D106">
        <f t="shared" si="22"/>
        <v>0.7565462086289414</v>
      </c>
      <c r="E106">
        <f t="shared" si="30"/>
        <v>0.79010626149699492</v>
      </c>
      <c r="F106">
        <f t="shared" si="31"/>
        <v>0.74641566773187895</v>
      </c>
      <c r="G106">
        <f t="shared" si="23"/>
        <v>0.75503350248698387</v>
      </c>
      <c r="H106">
        <f t="shared" si="33"/>
        <v>0.75503350248698387</v>
      </c>
      <c r="I106">
        <f t="shared" si="29"/>
        <v>0.75971240408837648</v>
      </c>
      <c r="J106">
        <f t="shared" si="24"/>
        <v>0.75755025373047569</v>
      </c>
      <c r="K106">
        <f t="shared" si="25"/>
        <v>0.7281969890378438</v>
      </c>
      <c r="L106">
        <f t="shared" si="26"/>
        <v>0.78690351842310757</v>
      </c>
      <c r="M106">
        <f t="shared" si="32"/>
        <v>0.75323746802945879</v>
      </c>
      <c r="N106">
        <f t="shared" si="35"/>
        <v>0.79010626149699492</v>
      </c>
      <c r="O106">
        <f t="shared" si="27"/>
        <v>0.70989373850300508</v>
      </c>
      <c r="P106" t="b">
        <f t="shared" si="34"/>
        <v>1</v>
      </c>
    </row>
    <row r="107" spans="1:16" x14ac:dyDescent="0.25">
      <c r="A107">
        <v>0.5</v>
      </c>
      <c r="B107">
        <f t="shared" si="21"/>
        <v>0.74374444805824569</v>
      </c>
      <c r="C107">
        <f t="shared" si="28"/>
        <v>0.71037117981379261</v>
      </c>
      <c r="D107">
        <f t="shared" si="22"/>
        <v>0.75625555194175431</v>
      </c>
      <c r="E107">
        <f t="shared" si="30"/>
        <v>0.78962882018620739</v>
      </c>
      <c r="F107">
        <f t="shared" si="31"/>
        <v>0.74657481483547483</v>
      </c>
      <c r="G107">
        <f t="shared" si="23"/>
        <v>0.75431685816098171</v>
      </c>
      <c r="H107">
        <f t="shared" si="33"/>
        <v>0.75431685816098171</v>
      </c>
      <c r="I107">
        <f t="shared" si="29"/>
        <v>0.75863352099681669</v>
      </c>
      <c r="J107">
        <f t="shared" si="24"/>
        <v>0.7564752872414725</v>
      </c>
      <c r="K107">
        <f t="shared" si="25"/>
        <v>0.72712202254884062</v>
      </c>
      <c r="L107">
        <f t="shared" si="26"/>
        <v>0.78582855193410439</v>
      </c>
      <c r="M107">
        <f t="shared" si="32"/>
        <v>0.75287784033227223</v>
      </c>
      <c r="N107">
        <f t="shared" si="35"/>
        <v>0.78962882018620739</v>
      </c>
      <c r="O107">
        <f t="shared" si="27"/>
        <v>0.71037117981379261</v>
      </c>
      <c r="P107" t="b">
        <f t="shared" si="34"/>
        <v>1</v>
      </c>
    </row>
    <row r="108" spans="1:16" x14ac:dyDescent="0.25">
      <c r="A108">
        <v>0.505</v>
      </c>
      <c r="B108">
        <f t="shared" si="21"/>
        <v>0.74402219936544955</v>
      </c>
      <c r="C108">
        <f t="shared" si="28"/>
        <v>0.71082742236395602</v>
      </c>
      <c r="D108">
        <f t="shared" si="22"/>
        <v>0.75597780063455045</v>
      </c>
      <c r="E108">
        <f t="shared" si="30"/>
        <v>0.78917257763604398</v>
      </c>
      <c r="F108">
        <f t="shared" si="31"/>
        <v>0.7467268956855293</v>
      </c>
      <c r="G108">
        <f t="shared" si="23"/>
        <v>0.75361340717462222</v>
      </c>
      <c r="H108">
        <f t="shared" si="33"/>
        <v>0.75361340717462222</v>
      </c>
      <c r="I108">
        <f t="shared" si="29"/>
        <v>0.75755025373047569</v>
      </c>
      <c r="J108">
        <f t="shared" si="24"/>
        <v>0.75542011076193338</v>
      </c>
      <c r="K108">
        <f t="shared" si="25"/>
        <v>0.7260668460693015</v>
      </c>
      <c r="L108">
        <f t="shared" si="26"/>
        <v>0.78477337545456527</v>
      </c>
      <c r="M108">
        <f t="shared" si="32"/>
        <v>0.75251675124349193</v>
      </c>
      <c r="N108">
        <f t="shared" si="35"/>
        <v>0.78917257763604398</v>
      </c>
      <c r="O108">
        <f t="shared" si="27"/>
        <v>0.71082742236395602</v>
      </c>
      <c r="P108" t="b">
        <f t="shared" si="34"/>
        <v>1</v>
      </c>
    </row>
    <row r="109" spans="1:16" x14ac:dyDescent="0.25">
      <c r="A109">
        <v>0.51</v>
      </c>
      <c r="B109">
        <f t="shared" si="21"/>
        <v>0.74428761830144585</v>
      </c>
      <c r="C109">
        <f t="shared" si="28"/>
        <v>0.7112634073947367</v>
      </c>
      <c r="D109">
        <f t="shared" si="22"/>
        <v>0.75571238169855415</v>
      </c>
      <c r="E109">
        <f t="shared" si="30"/>
        <v>0.7887365926052633</v>
      </c>
      <c r="F109">
        <f t="shared" si="31"/>
        <v>0.7468722240291229</v>
      </c>
      <c r="G109">
        <f t="shared" si="23"/>
        <v>0.752929994085486</v>
      </c>
      <c r="H109">
        <f t="shared" si="33"/>
        <v>0.752929994085486</v>
      </c>
      <c r="I109">
        <f t="shared" si="29"/>
        <v>0.7564752872414725</v>
      </c>
      <c r="J109">
        <f t="shared" si="24"/>
        <v>0.75439499112822905</v>
      </c>
      <c r="K109">
        <f t="shared" si="25"/>
        <v>0.72504172643559717</v>
      </c>
      <c r="L109">
        <f t="shared" si="26"/>
        <v>0.78374825582086094</v>
      </c>
      <c r="M109">
        <f t="shared" si="32"/>
        <v>0.7521584290804908</v>
      </c>
      <c r="N109">
        <f t="shared" si="35"/>
        <v>0.7887365926052633</v>
      </c>
      <c r="O109">
        <f t="shared" si="27"/>
        <v>0.7112634073947367</v>
      </c>
      <c r="P109" t="b">
        <f t="shared" si="34"/>
        <v>1</v>
      </c>
    </row>
    <row r="110" spans="1:16" x14ac:dyDescent="0.25">
      <c r="A110">
        <v>0.51500000000000001</v>
      </c>
      <c r="B110">
        <f t="shared" si="21"/>
        <v>0.74454125243298108</v>
      </c>
      <c r="C110">
        <f t="shared" si="28"/>
        <v>0.71168003435554239</v>
      </c>
      <c r="D110">
        <f t="shared" si="22"/>
        <v>0.75545874756701892</v>
      </c>
      <c r="E110">
        <f t="shared" si="30"/>
        <v>0.78831996564445761</v>
      </c>
      <c r="F110">
        <f t="shared" si="31"/>
        <v>0.74701109968272472</v>
      </c>
      <c r="G110">
        <f t="shared" si="23"/>
        <v>0.75227264153735585</v>
      </c>
      <c r="H110">
        <f t="shared" si="33"/>
        <v>0.75227264153735585</v>
      </c>
      <c r="I110">
        <f t="shared" si="29"/>
        <v>0.75542011076193338</v>
      </c>
      <c r="J110">
        <f t="shared" si="24"/>
        <v>0.75340896230603371</v>
      </c>
      <c r="K110">
        <f t="shared" si="25"/>
        <v>0.72405569761340183</v>
      </c>
      <c r="L110">
        <f t="shared" si="26"/>
        <v>0.7827622269986656</v>
      </c>
      <c r="M110">
        <f t="shared" si="32"/>
        <v>0.75180670358731116</v>
      </c>
      <c r="N110">
        <f t="shared" si="35"/>
        <v>0.78831996564445761</v>
      </c>
      <c r="O110">
        <f t="shared" si="27"/>
        <v>0.71168003435554239</v>
      </c>
      <c r="P110" t="b">
        <f t="shared" si="34"/>
        <v>1</v>
      </c>
    </row>
    <row r="111" spans="1:16" x14ac:dyDescent="0.25">
      <c r="A111">
        <v>0.52</v>
      </c>
      <c r="B111">
        <f t="shared" si="21"/>
        <v>0.74478362501441797</v>
      </c>
      <c r="C111">
        <f t="shared" si="28"/>
        <v>0.71207816275953695</v>
      </c>
      <c r="D111">
        <f t="shared" si="22"/>
        <v>0.75521637498558203</v>
      </c>
      <c r="E111">
        <f t="shared" si="30"/>
        <v>0.78792183724046305</v>
      </c>
      <c r="F111">
        <f t="shared" si="31"/>
        <v>0.74714380915072298</v>
      </c>
      <c r="G111">
        <f t="shared" si="23"/>
        <v>0.75164655321897711</v>
      </c>
      <c r="H111">
        <f t="shared" si="33"/>
        <v>0.75164655321897711</v>
      </c>
      <c r="I111">
        <f t="shared" si="29"/>
        <v>0.75439499112822905</v>
      </c>
      <c r="J111">
        <f t="shared" si="24"/>
        <v>0.75246982982846566</v>
      </c>
      <c r="K111">
        <f t="shared" si="25"/>
        <v>0.72311656513583378</v>
      </c>
      <c r="L111">
        <f t="shared" si="26"/>
        <v>0.78182309452109755</v>
      </c>
      <c r="M111">
        <f t="shared" si="32"/>
        <v>0.75146499704274305</v>
      </c>
      <c r="N111">
        <f t="shared" si="35"/>
        <v>0.78792183724046305</v>
      </c>
      <c r="O111">
        <f t="shared" si="27"/>
        <v>0.71207816275953695</v>
      </c>
      <c r="P111" t="b">
        <f t="shared" si="34"/>
        <v>1</v>
      </c>
    </row>
    <row r="112" spans="1:16" x14ac:dyDescent="0.25">
      <c r="A112">
        <v>0.52500000000000002</v>
      </c>
      <c r="B112">
        <f t="shared" si="21"/>
        <v>0.74501523606722364</v>
      </c>
      <c r="C112">
        <f t="shared" si="28"/>
        <v>0.71245861395683974</v>
      </c>
      <c r="D112">
        <f t="shared" si="22"/>
        <v>0.75498476393277636</v>
      </c>
      <c r="E112">
        <f t="shared" si="30"/>
        <v>0.78754138604316026</v>
      </c>
      <c r="F112">
        <f t="shared" si="31"/>
        <v>0.74727062621649054</v>
      </c>
      <c r="G112">
        <f t="shared" si="23"/>
        <v>0.75105612586799719</v>
      </c>
      <c r="H112">
        <f t="shared" si="33"/>
        <v>0.75105612586799719</v>
      </c>
      <c r="I112">
        <f t="shared" si="29"/>
        <v>0.75340896230603371</v>
      </c>
      <c r="J112">
        <f t="shared" si="24"/>
        <v>0.75158418880199584</v>
      </c>
      <c r="K112">
        <f t="shared" si="25"/>
        <v>0.72223092410936396</v>
      </c>
      <c r="L112">
        <f t="shared" si="26"/>
        <v>0.78093745349462773</v>
      </c>
      <c r="M112">
        <f t="shared" si="32"/>
        <v>0.75113632076867787</v>
      </c>
      <c r="N112">
        <f t="shared" si="35"/>
        <v>0.78754138604316026</v>
      </c>
      <c r="O112">
        <f t="shared" si="27"/>
        <v>0.71245861395683974</v>
      </c>
      <c r="P112" t="b">
        <f t="shared" si="34"/>
        <v>1</v>
      </c>
    </row>
    <row r="113" spans="1:16" x14ac:dyDescent="0.25">
      <c r="A113">
        <v>0.53</v>
      </c>
      <c r="B113">
        <f t="shared" si="21"/>
        <v>0.74523656341152877</v>
      </c>
      <c r="C113">
        <f t="shared" si="28"/>
        <v>0.71282217282899507</v>
      </c>
      <c r="D113">
        <f t="shared" si="22"/>
        <v>0.75476343658847123</v>
      </c>
      <c r="E113">
        <f t="shared" si="30"/>
        <v>0.78717782717100493</v>
      </c>
      <c r="F113">
        <f t="shared" si="31"/>
        <v>0.74739181250720899</v>
      </c>
      <c r="G113">
        <f t="shared" si="23"/>
        <v>0.75050496939834133</v>
      </c>
      <c r="H113">
        <f t="shared" si="33"/>
        <v>0.75050496939834133</v>
      </c>
      <c r="I113">
        <f t="shared" si="29"/>
        <v>0.75246982982846566</v>
      </c>
      <c r="J113">
        <f t="shared" si="24"/>
        <v>0.75075745409751204</v>
      </c>
      <c r="K113">
        <f t="shared" si="25"/>
        <v>0.72140418940488016</v>
      </c>
      <c r="L113">
        <f t="shared" si="26"/>
        <v>0.78011071879014393</v>
      </c>
      <c r="M113">
        <f t="shared" si="32"/>
        <v>0.75082327660948855</v>
      </c>
      <c r="N113">
        <f t="shared" si="35"/>
        <v>0.78717782717100493</v>
      </c>
      <c r="O113">
        <f t="shared" si="27"/>
        <v>0.71282217282899507</v>
      </c>
      <c r="P113" t="b">
        <f t="shared" si="34"/>
        <v>1</v>
      </c>
    </row>
    <row r="114" spans="1:16" x14ac:dyDescent="0.25">
      <c r="A114">
        <v>0.53500000000000003</v>
      </c>
      <c r="B114">
        <f t="shared" si="21"/>
        <v>0.7454480636518831</v>
      </c>
      <c r="C114">
        <f t="shared" si="28"/>
        <v>0.71316958940820363</v>
      </c>
      <c r="D114">
        <f t="shared" si="22"/>
        <v>0.7545519363481169</v>
      </c>
      <c r="E114">
        <f t="shared" si="30"/>
        <v>0.78683041059179637</v>
      </c>
      <c r="F114">
        <f t="shared" si="31"/>
        <v>0.74750761803361188</v>
      </c>
      <c r="G114">
        <f t="shared" si="23"/>
        <v>0.7499959342170518</v>
      </c>
      <c r="H114">
        <f t="shared" si="33"/>
        <v>0.7499959342170518</v>
      </c>
      <c r="I114">
        <f t="shared" si="29"/>
        <v>0.75158418880199584</v>
      </c>
      <c r="J114">
        <f t="shared" si="24"/>
        <v>0.74999390132557764</v>
      </c>
      <c r="K114">
        <f t="shared" si="25"/>
        <v>0.72064063663294575</v>
      </c>
      <c r="L114">
        <f t="shared" si="26"/>
        <v>0.77934716601820953</v>
      </c>
      <c r="M114">
        <f t="shared" si="32"/>
        <v>0.75052806293399865</v>
      </c>
      <c r="N114">
        <f t="shared" si="35"/>
        <v>0.78683041059179637</v>
      </c>
      <c r="O114">
        <f t="shared" si="27"/>
        <v>0.71316958940820363</v>
      </c>
      <c r="P114" t="b">
        <f t="shared" si="34"/>
        <v>1</v>
      </c>
    </row>
    <row r="115" spans="1:16" x14ac:dyDescent="0.25">
      <c r="A115">
        <v>0.54</v>
      </c>
      <c r="B115">
        <f t="shared" si="21"/>
        <v>0.74565017311924431</v>
      </c>
      <c r="C115">
        <f t="shared" si="28"/>
        <v>0.71350158042466127</v>
      </c>
      <c r="D115">
        <f t="shared" si="22"/>
        <v>0.75434982688075569</v>
      </c>
      <c r="E115">
        <f t="shared" si="30"/>
        <v>0.78649841957533873</v>
      </c>
      <c r="F115">
        <f t="shared" si="31"/>
        <v>0.74761828170576439</v>
      </c>
      <c r="G115">
        <f t="shared" si="23"/>
        <v>0.74953114479604888</v>
      </c>
      <c r="H115">
        <f t="shared" si="33"/>
        <v>0.74953114479604888</v>
      </c>
      <c r="I115">
        <f t="shared" si="29"/>
        <v>0.75075745409751204</v>
      </c>
      <c r="J115">
        <f t="shared" si="24"/>
        <v>0.7492967171940732</v>
      </c>
      <c r="K115">
        <f t="shared" si="25"/>
        <v>0.71994345250144132</v>
      </c>
      <c r="L115">
        <f t="shared" si="26"/>
        <v>0.77864998188670509</v>
      </c>
      <c r="M115">
        <f t="shared" si="32"/>
        <v>0.75025248469917072</v>
      </c>
      <c r="N115">
        <f t="shared" si="35"/>
        <v>0.78649841957533873</v>
      </c>
      <c r="O115">
        <f t="shared" si="27"/>
        <v>0.71350158042466127</v>
      </c>
      <c r="P115" t="b">
        <f t="shared" si="34"/>
        <v>1</v>
      </c>
    </row>
    <row r="116" spans="1:16" x14ac:dyDescent="0.25">
      <c r="A116">
        <v>0.54500000000000004</v>
      </c>
      <c r="B116">
        <f t="shared" si="21"/>
        <v>0.74584330877114036</v>
      </c>
      <c r="C116">
        <f t="shared" si="28"/>
        <v>0.71381883078519281</v>
      </c>
      <c r="D116">
        <f t="shared" si="22"/>
        <v>0.75415669122885964</v>
      </c>
      <c r="E116">
        <f t="shared" si="30"/>
        <v>0.78618116921480719</v>
      </c>
      <c r="F116">
        <f t="shared" si="31"/>
        <v>0.7477240318259416</v>
      </c>
      <c r="G116">
        <f t="shared" si="23"/>
        <v>0.74911203857437547</v>
      </c>
      <c r="H116">
        <f t="shared" si="33"/>
        <v>0.74911203857437547</v>
      </c>
      <c r="I116">
        <f t="shared" si="29"/>
        <v>0.74999390132557764</v>
      </c>
      <c r="J116">
        <f t="shared" si="24"/>
        <v>0.74866805786156321</v>
      </c>
      <c r="K116">
        <f t="shared" si="25"/>
        <v>0.71931479316893132</v>
      </c>
      <c r="L116">
        <f t="shared" si="26"/>
        <v>0.77802132255419509</v>
      </c>
      <c r="M116">
        <f t="shared" si="32"/>
        <v>0.74999796710852584</v>
      </c>
      <c r="N116">
        <f t="shared" si="35"/>
        <v>0.78618116921480719</v>
      </c>
      <c r="O116">
        <f t="shared" si="27"/>
        <v>0.71381883078519281</v>
      </c>
      <c r="P116" t="b">
        <f t="shared" si="34"/>
        <v>1</v>
      </c>
    </row>
    <row r="117" spans="1:16" x14ac:dyDescent="0.25">
      <c r="A117">
        <v>0.55000000000000004</v>
      </c>
      <c r="B117">
        <f t="shared" si="21"/>
        <v>0.74602786905186502</v>
      </c>
      <c r="C117">
        <f t="shared" si="28"/>
        <v>0.71412199498623452</v>
      </c>
      <c r="D117">
        <f t="shared" si="22"/>
        <v>0.75397213094813498</v>
      </c>
      <c r="E117">
        <f t="shared" si="30"/>
        <v>0.78587800501376548</v>
      </c>
      <c r="F117">
        <f t="shared" si="31"/>
        <v>0.7478250865596221</v>
      </c>
      <c r="G117">
        <f t="shared" si="23"/>
        <v>0.74873940928620697</v>
      </c>
      <c r="H117">
        <f t="shared" si="33"/>
        <v>0.74873940928620697</v>
      </c>
      <c r="I117">
        <f t="shared" si="29"/>
        <v>0.7492967171940732</v>
      </c>
      <c r="J117">
        <f t="shared" si="24"/>
        <v>0.74810911392931034</v>
      </c>
      <c r="K117">
        <f t="shared" si="25"/>
        <v>0.71875584923667846</v>
      </c>
      <c r="L117">
        <f t="shared" si="26"/>
        <v>0.77746237862194223</v>
      </c>
      <c r="M117">
        <f t="shared" si="32"/>
        <v>0.74976557239802444</v>
      </c>
      <c r="N117">
        <f t="shared" si="35"/>
        <v>0.78587800501376548</v>
      </c>
      <c r="O117">
        <f t="shared" si="27"/>
        <v>0.71412199498623452</v>
      </c>
      <c r="P117" t="b">
        <f t="shared" si="34"/>
        <v>1</v>
      </c>
    </row>
    <row r="118" spans="1:16" x14ac:dyDescent="0.25">
      <c r="A118">
        <v>0.55500000000000005</v>
      </c>
      <c r="B118">
        <f t="shared" si="21"/>
        <v>0.74620423471447994</v>
      </c>
      <c r="C118">
        <f t="shared" si="28"/>
        <v>0.71441169846407859</v>
      </c>
      <c r="D118">
        <f t="shared" si="22"/>
        <v>0.75379576528552006</v>
      </c>
      <c r="E118">
        <f t="shared" si="30"/>
        <v>0.78558830153592141</v>
      </c>
      <c r="F118">
        <f t="shared" si="31"/>
        <v>0.74792165438557012</v>
      </c>
      <c r="G118">
        <f t="shared" si="23"/>
        <v>0.74841345383819646</v>
      </c>
      <c r="H118">
        <f t="shared" si="33"/>
        <v>0.74841345383819646</v>
      </c>
      <c r="I118">
        <f t="shared" si="29"/>
        <v>0.74866805786156321</v>
      </c>
      <c r="J118">
        <f t="shared" si="24"/>
        <v>0.74762018075729464</v>
      </c>
      <c r="K118">
        <f t="shared" si="25"/>
        <v>0.71826691606466275</v>
      </c>
      <c r="L118">
        <f t="shared" si="26"/>
        <v>0.77697344544992653</v>
      </c>
      <c r="M118">
        <f t="shared" si="32"/>
        <v>0.74955601928718774</v>
      </c>
      <c r="N118">
        <f t="shared" si="35"/>
        <v>0.78558830153592141</v>
      </c>
      <c r="O118">
        <f t="shared" si="27"/>
        <v>0.71441169846407859</v>
      </c>
      <c r="P118" t="b">
        <f t="shared" si="34"/>
        <v>1</v>
      </c>
    </row>
    <row r="119" spans="1:16" x14ac:dyDescent="0.25">
      <c r="A119">
        <v>0.56000000000000005</v>
      </c>
      <c r="B119">
        <f t="shared" si="21"/>
        <v>0.74637276960631815</v>
      </c>
      <c r="C119">
        <f t="shared" si="28"/>
        <v>0.7146885388851657</v>
      </c>
      <c r="D119">
        <f t="shared" si="22"/>
        <v>0.75362723039368185</v>
      </c>
      <c r="E119">
        <f t="shared" si="30"/>
        <v>0.7853114611148343</v>
      </c>
      <c r="F119">
        <f t="shared" si="31"/>
        <v>0.74801393452593257</v>
      </c>
      <c r="G119">
        <f t="shared" si="23"/>
        <v>0.7481338218955117</v>
      </c>
      <c r="H119">
        <f t="shared" si="33"/>
        <v>0.7481338218955117</v>
      </c>
      <c r="I119">
        <f t="shared" si="29"/>
        <v>0.74810911392931034</v>
      </c>
      <c r="J119">
        <f t="shared" si="24"/>
        <v>0.7472007328432676</v>
      </c>
      <c r="K119">
        <f t="shared" si="25"/>
        <v>0.71784746815063571</v>
      </c>
      <c r="L119">
        <f t="shared" si="26"/>
        <v>0.77655399753589949</v>
      </c>
      <c r="M119">
        <f t="shared" si="32"/>
        <v>0.74936970464310348</v>
      </c>
      <c r="N119">
        <f t="shared" si="35"/>
        <v>0.7853114611148343</v>
      </c>
      <c r="O119">
        <f t="shared" si="27"/>
        <v>0.7146885388851657</v>
      </c>
      <c r="P119" t="b">
        <f t="shared" si="34"/>
        <v>1</v>
      </c>
    </row>
    <row r="120" spans="1:16" x14ac:dyDescent="0.25">
      <c r="A120">
        <v>0.56499999999999995</v>
      </c>
      <c r="B120">
        <f t="shared" si="21"/>
        <v>0.74653382141961222</v>
      </c>
      <c r="C120">
        <f t="shared" si="28"/>
        <v>0.71495308737908803</v>
      </c>
      <c r="D120">
        <f t="shared" si="22"/>
        <v>0.75346617858038778</v>
      </c>
      <c r="E120">
        <f t="shared" si="30"/>
        <v>0.78504691262091197</v>
      </c>
      <c r="F120">
        <f t="shared" si="31"/>
        <v>0.74810211735723997</v>
      </c>
      <c r="G120">
        <f t="shared" si="23"/>
        <v>0.74789966737814406</v>
      </c>
      <c r="H120">
        <f t="shared" si="33"/>
        <v>0.74789966737814406</v>
      </c>
      <c r="I120">
        <f t="shared" si="29"/>
        <v>0.74762018075729464</v>
      </c>
      <c r="J120">
        <f t="shared" si="24"/>
        <v>0.74684950106721604</v>
      </c>
      <c r="K120">
        <f t="shared" si="25"/>
        <v>0.71749623637458415</v>
      </c>
      <c r="L120">
        <f t="shared" si="26"/>
        <v>0.77620276575984792</v>
      </c>
      <c r="M120">
        <f t="shared" si="32"/>
        <v>0.74920672691909818</v>
      </c>
      <c r="N120">
        <f t="shared" si="35"/>
        <v>0.78504691262091197</v>
      </c>
      <c r="O120">
        <f t="shared" si="27"/>
        <v>0.71495308737908803</v>
      </c>
      <c r="P120" t="b">
        <f t="shared" si="34"/>
        <v>1</v>
      </c>
    </row>
    <row r="121" spans="1:16" x14ac:dyDescent="0.25">
      <c r="A121">
        <v>0.56999999999999995</v>
      </c>
      <c r="B121">
        <f t="shared" si="21"/>
        <v>0.74668772240879244</v>
      </c>
      <c r="C121">
        <f t="shared" si="28"/>
        <v>0.7152058897168454</v>
      </c>
      <c r="D121">
        <f t="shared" si="22"/>
        <v>0.75331227759120756</v>
      </c>
      <c r="E121">
        <f t="shared" si="30"/>
        <v>0.7847941102831546</v>
      </c>
      <c r="F121">
        <f t="shared" si="31"/>
        <v>0.74818638480315913</v>
      </c>
      <c r="G121">
        <f t="shared" si="23"/>
        <v>0.74770970111670099</v>
      </c>
      <c r="H121">
        <f t="shared" si="33"/>
        <v>0.74770970111670099</v>
      </c>
      <c r="I121">
        <f t="shared" si="29"/>
        <v>0.7472007328432676</v>
      </c>
      <c r="J121">
        <f t="shared" si="24"/>
        <v>0.74656455167505142</v>
      </c>
      <c r="K121">
        <f t="shared" si="25"/>
        <v>0.71721128698241954</v>
      </c>
      <c r="L121">
        <f t="shared" si="26"/>
        <v>0.77591781636768331</v>
      </c>
      <c r="M121">
        <f t="shared" si="32"/>
        <v>0.7490669109477559</v>
      </c>
      <c r="N121">
        <f t="shared" si="35"/>
        <v>0.7847941102831546</v>
      </c>
      <c r="O121">
        <f t="shared" si="27"/>
        <v>0.7152058897168454</v>
      </c>
      <c r="P121" t="b">
        <f t="shared" si="34"/>
        <v>1</v>
      </c>
    </row>
    <row r="122" spans="1:16" x14ac:dyDescent="0.25">
      <c r="A122">
        <v>0.57499999999999996</v>
      </c>
      <c r="B122">
        <f t="shared" si="21"/>
        <v>0.74683479007593767</v>
      </c>
      <c r="C122">
        <f t="shared" si="28"/>
        <v>0.71544746743678644</v>
      </c>
      <c r="D122">
        <f t="shared" si="22"/>
        <v>0.75316520992406233</v>
      </c>
      <c r="E122">
        <f t="shared" si="30"/>
        <v>0.78455253256321356</v>
      </c>
      <c r="F122">
        <f t="shared" si="31"/>
        <v>0.74826691070980611</v>
      </c>
      <c r="G122">
        <f t="shared" si="23"/>
        <v>0.74756224396891469</v>
      </c>
      <c r="H122">
        <f t="shared" si="33"/>
        <v>0.74756224396891469</v>
      </c>
      <c r="I122">
        <f t="shared" si="29"/>
        <v>0.74684950106721604</v>
      </c>
      <c r="J122">
        <f t="shared" si="24"/>
        <v>0.74634336595337203</v>
      </c>
      <c r="K122">
        <f t="shared" si="25"/>
        <v>0.71699010126074014</v>
      </c>
      <c r="L122">
        <f t="shared" si="26"/>
        <v>0.77569663064600392</v>
      </c>
      <c r="M122">
        <f t="shared" si="32"/>
        <v>0.74894983368907198</v>
      </c>
      <c r="N122">
        <f t="shared" si="35"/>
        <v>0.78455253256321356</v>
      </c>
      <c r="O122">
        <f t="shared" si="27"/>
        <v>0.71544746743678644</v>
      </c>
      <c r="P122" t="b">
        <f t="shared" si="34"/>
        <v>1</v>
      </c>
    </row>
    <row r="123" spans="1:16" x14ac:dyDescent="0.25">
      <c r="A123">
        <v>0.57999999999999996</v>
      </c>
      <c r="B123">
        <f t="shared" si="21"/>
        <v>0.74697532782579068</v>
      </c>
      <c r="C123">
        <f t="shared" si="28"/>
        <v>0.71567831892055678</v>
      </c>
      <c r="D123">
        <f t="shared" si="22"/>
        <v>0.75302467217420932</v>
      </c>
      <c r="E123">
        <f t="shared" si="30"/>
        <v>0.78432168107944322</v>
      </c>
      <c r="F123">
        <f t="shared" si="31"/>
        <v>0.74834386120439622</v>
      </c>
      <c r="G123">
        <f t="shared" si="23"/>
        <v>0.74745527975353865</v>
      </c>
      <c r="H123">
        <f t="shared" si="33"/>
        <v>0.74745527975353865</v>
      </c>
      <c r="I123">
        <f t="shared" si="29"/>
        <v>0.74656455167505142</v>
      </c>
      <c r="J123">
        <f t="shared" si="24"/>
        <v>0.74618291963030792</v>
      </c>
      <c r="K123">
        <f t="shared" si="25"/>
        <v>0.71682965493767603</v>
      </c>
      <c r="L123">
        <f t="shared" si="26"/>
        <v>0.7755361843229398</v>
      </c>
      <c r="M123">
        <f t="shared" si="32"/>
        <v>0.74885485055835044</v>
      </c>
      <c r="N123">
        <f t="shared" si="35"/>
        <v>0.78432168107944322</v>
      </c>
      <c r="O123">
        <f t="shared" si="27"/>
        <v>0.71567831892055678</v>
      </c>
      <c r="P123" t="b">
        <f t="shared" si="34"/>
        <v>1</v>
      </c>
    </row>
    <row r="124" spans="1:16" x14ac:dyDescent="0.25">
      <c r="A124">
        <v>0.58499999999999996</v>
      </c>
      <c r="B124">
        <f t="shared" si="21"/>
        <v>0.74710962559169081</v>
      </c>
      <c r="C124">
        <f t="shared" si="28"/>
        <v>0.71589892042127468</v>
      </c>
      <c r="D124">
        <f t="shared" si="22"/>
        <v>0.75289037440830919</v>
      </c>
      <c r="E124">
        <f t="shared" si="30"/>
        <v>0.78410107957872532</v>
      </c>
      <c r="F124">
        <f t="shared" si="31"/>
        <v>0.74841739503796889</v>
      </c>
      <c r="G124">
        <f t="shared" si="23"/>
        <v>0.74738650741624035</v>
      </c>
      <c r="H124">
        <f t="shared" si="33"/>
        <v>0.74738650741624035</v>
      </c>
      <c r="I124">
        <f t="shared" si="29"/>
        <v>0.74634336595337203</v>
      </c>
      <c r="J124">
        <f t="shared" si="24"/>
        <v>0.74607976112436047</v>
      </c>
      <c r="K124">
        <f t="shared" si="25"/>
        <v>0.71672649643172859</v>
      </c>
      <c r="L124">
        <f t="shared" si="26"/>
        <v>0.77543302581699236</v>
      </c>
      <c r="M124">
        <f t="shared" si="32"/>
        <v>0.74878112198445734</v>
      </c>
      <c r="N124">
        <f t="shared" si="35"/>
        <v>0.78410107957872532</v>
      </c>
      <c r="O124">
        <f t="shared" si="27"/>
        <v>0.71589892042127468</v>
      </c>
      <c r="P124" t="b">
        <f t="shared" si="34"/>
        <v>1</v>
      </c>
    </row>
    <row r="125" spans="1:16" x14ac:dyDescent="0.25">
      <c r="A125">
        <v>0.59</v>
      </c>
      <c r="B125">
        <f t="shared" si="21"/>
        <v>0.7472379604337146</v>
      </c>
      <c r="C125">
        <f t="shared" si="28"/>
        <v>0.71610972704605425</v>
      </c>
      <c r="D125">
        <f t="shared" si="22"/>
        <v>0.7527620395662854</v>
      </c>
      <c r="E125">
        <f t="shared" si="30"/>
        <v>0.78389027295394575</v>
      </c>
      <c r="F125">
        <f t="shared" si="31"/>
        <v>0.74848766391289534</v>
      </c>
      <c r="G125">
        <f t="shared" si="23"/>
        <v>0.74735339190165018</v>
      </c>
      <c r="H125">
        <f t="shared" si="33"/>
        <v>0.74735339190165018</v>
      </c>
      <c r="I125">
        <f t="shared" si="29"/>
        <v>0.74618291963030792</v>
      </c>
      <c r="J125">
        <f t="shared" si="24"/>
        <v>0.74603008785247527</v>
      </c>
      <c r="K125">
        <f t="shared" si="25"/>
        <v>0.71667682315984338</v>
      </c>
      <c r="L125">
        <f t="shared" si="26"/>
        <v>0.77538335254510715</v>
      </c>
      <c r="M125">
        <f t="shared" si="32"/>
        <v>0.74872763987676927</v>
      </c>
      <c r="N125">
        <f t="shared" si="35"/>
        <v>0.78389027295394575</v>
      </c>
      <c r="O125">
        <f t="shared" si="27"/>
        <v>0.71610972704605425</v>
      </c>
      <c r="P125" t="b">
        <f t="shared" si="34"/>
        <v>1</v>
      </c>
    </row>
    <row r="126" spans="1:16" x14ac:dyDescent="0.25">
      <c r="A126">
        <v>0.59499999999999997</v>
      </c>
      <c r="B126">
        <f t="shared" si="21"/>
        <v>0.74736059711025848</v>
      </c>
      <c r="C126">
        <f t="shared" si="28"/>
        <v>0.71631117369490438</v>
      </c>
      <c r="D126">
        <f t="shared" si="22"/>
        <v>0.75263940288974152</v>
      </c>
      <c r="E126">
        <f t="shared" si="30"/>
        <v>0.78368882630509562</v>
      </c>
      <c r="F126">
        <f t="shared" si="31"/>
        <v>0.74855481279584546</v>
      </c>
      <c r="G126">
        <f t="shared" si="23"/>
        <v>0.74735321326608206</v>
      </c>
      <c r="H126">
        <f t="shared" si="33"/>
        <v>0.74735321326608206</v>
      </c>
      <c r="I126">
        <f t="shared" si="29"/>
        <v>0.74607976112436047</v>
      </c>
      <c r="J126">
        <f t="shared" si="24"/>
        <v>0.74602981989912309</v>
      </c>
      <c r="K126">
        <f t="shared" si="25"/>
        <v>0.71667655520649121</v>
      </c>
      <c r="L126">
        <f t="shared" si="26"/>
        <v>0.77538308459175498</v>
      </c>
      <c r="M126">
        <f t="shared" si="32"/>
        <v>0.74869325370812012</v>
      </c>
      <c r="N126">
        <f t="shared" si="35"/>
        <v>0.78368882630509562</v>
      </c>
      <c r="O126">
        <f t="shared" si="27"/>
        <v>0.71631117369490438</v>
      </c>
      <c r="P126" t="b">
        <f t="shared" si="34"/>
        <v>1</v>
      </c>
    </row>
    <row r="127" spans="1:16" x14ac:dyDescent="0.25">
      <c r="A127">
        <v>0.6</v>
      </c>
      <c r="B127">
        <f t="shared" si="21"/>
        <v>0.74747778862424297</v>
      </c>
      <c r="C127">
        <f t="shared" si="28"/>
        <v>0.71650367595793996</v>
      </c>
      <c r="D127">
        <f t="shared" si="22"/>
        <v>0.75252221137575703</v>
      </c>
      <c r="E127">
        <f t="shared" si="30"/>
        <v>0.78349632404206004</v>
      </c>
      <c r="F127">
        <f t="shared" si="31"/>
        <v>0.74861898021685724</v>
      </c>
      <c r="G127">
        <f t="shared" si="23"/>
        <v>0.74738311362584198</v>
      </c>
      <c r="H127">
        <f t="shared" si="33"/>
        <v>0.74738311362584198</v>
      </c>
      <c r="I127">
        <f t="shared" si="29"/>
        <v>0.74603008785247527</v>
      </c>
      <c r="J127">
        <f t="shared" si="24"/>
        <v>0.74607467043876297</v>
      </c>
      <c r="K127">
        <f t="shared" si="25"/>
        <v>0.71672140574613108</v>
      </c>
      <c r="L127">
        <f t="shared" si="26"/>
        <v>0.77542793513139485</v>
      </c>
      <c r="M127">
        <f t="shared" si="32"/>
        <v>0.74867669595082509</v>
      </c>
      <c r="N127">
        <f t="shared" si="35"/>
        <v>0.78349632404206004</v>
      </c>
      <c r="O127">
        <f t="shared" si="27"/>
        <v>0.71650367595793996</v>
      </c>
      <c r="P127" t="b">
        <f t="shared" si="34"/>
        <v>1</v>
      </c>
    </row>
    <row r="128" spans="1:16" x14ac:dyDescent="0.25">
      <c r="A128">
        <v>0.60499999999999998</v>
      </c>
      <c r="B128">
        <f t="shared" si="21"/>
        <v>0.74758977674506488</v>
      </c>
      <c r="C128">
        <f t="shared" si="28"/>
        <v>0.71668763097275578</v>
      </c>
      <c r="D128">
        <f t="shared" si="22"/>
        <v>0.75241022325493512</v>
      </c>
      <c r="E128">
        <f t="shared" si="30"/>
        <v>0.78331236902724422</v>
      </c>
      <c r="F128">
        <f t="shared" si="31"/>
        <v>0.74868029855512919</v>
      </c>
      <c r="G128">
        <f t="shared" si="23"/>
        <v>0.74744014159579952</v>
      </c>
      <c r="H128">
        <f t="shared" si="33"/>
        <v>0.74744014159579952</v>
      </c>
      <c r="I128">
        <f t="shared" si="29"/>
        <v>0.74602981989912309</v>
      </c>
      <c r="J128">
        <f t="shared" si="24"/>
        <v>0.74616021239369934</v>
      </c>
      <c r="K128">
        <f t="shared" si="25"/>
        <v>0.71680694770106745</v>
      </c>
      <c r="L128">
        <f t="shared" si="26"/>
        <v>0.77551347708633123</v>
      </c>
      <c r="M128">
        <f t="shared" si="32"/>
        <v>0.74867660663304103</v>
      </c>
      <c r="N128">
        <f t="shared" si="35"/>
        <v>0.78331236902724422</v>
      </c>
      <c r="O128">
        <f t="shared" si="27"/>
        <v>0.71668763097275578</v>
      </c>
      <c r="P128" t="b">
        <f t="shared" si="34"/>
        <v>1</v>
      </c>
    </row>
    <row r="129" spans="1:16" x14ac:dyDescent="0.25">
      <c r="A129">
        <v>0.61</v>
      </c>
      <c r="B129">
        <f t="shared" si="21"/>
        <v>0.74769679250737409</v>
      </c>
      <c r="C129">
        <f t="shared" si="28"/>
        <v>0.71686341824373268</v>
      </c>
      <c r="D129">
        <f t="shared" si="22"/>
        <v>0.75230320749262591</v>
      </c>
      <c r="E129">
        <f t="shared" si="30"/>
        <v>0.78313658175626732</v>
      </c>
      <c r="F129">
        <f t="shared" si="31"/>
        <v>0.74873889431212148</v>
      </c>
      <c r="G129">
        <f t="shared" si="23"/>
        <v>0.74752129393138811</v>
      </c>
      <c r="H129">
        <f t="shared" si="33"/>
        <v>0.74752129393138811</v>
      </c>
      <c r="I129">
        <f t="shared" si="29"/>
        <v>0.74607467043876297</v>
      </c>
      <c r="J129">
        <f t="shared" si="24"/>
        <v>0.74628194089708222</v>
      </c>
      <c r="K129">
        <f t="shared" si="25"/>
        <v>0.71692867620445033</v>
      </c>
      <c r="L129">
        <f t="shared" si="26"/>
        <v>0.77563520558971411</v>
      </c>
      <c r="M129">
        <f t="shared" si="32"/>
        <v>0.74869155681292099</v>
      </c>
      <c r="N129">
        <f t="shared" si="35"/>
        <v>0.78313658175626732</v>
      </c>
      <c r="O129">
        <f t="shared" si="27"/>
        <v>0.71686341824373268</v>
      </c>
      <c r="P129" t="b">
        <f t="shared" si="34"/>
        <v>1</v>
      </c>
    </row>
    <row r="130" spans="1:16" x14ac:dyDescent="0.25">
      <c r="A130">
        <v>0.61499999999999999</v>
      </c>
      <c r="B130">
        <f t="shared" si="21"/>
        <v>0.74779905668770452</v>
      </c>
      <c r="C130">
        <f t="shared" si="28"/>
        <v>0.71703140042496549</v>
      </c>
      <c r="D130">
        <f t="shared" si="22"/>
        <v>0.75220094331229548</v>
      </c>
      <c r="E130">
        <f t="shared" si="30"/>
        <v>0.78296859957503451</v>
      </c>
      <c r="F130">
        <f t="shared" si="31"/>
        <v>0.7487948883725325</v>
      </c>
      <c r="G130">
        <f t="shared" si="23"/>
        <v>0.74762355414386994</v>
      </c>
      <c r="H130">
        <f t="shared" si="33"/>
        <v>0.74762355414386994</v>
      </c>
      <c r="I130">
        <f t="shared" si="29"/>
        <v>0.74616021239369934</v>
      </c>
      <c r="J130">
        <f t="shared" si="24"/>
        <v>0.74643533121580496</v>
      </c>
      <c r="K130">
        <f t="shared" si="25"/>
        <v>0.71708206652317308</v>
      </c>
      <c r="L130">
        <f t="shared" si="26"/>
        <v>0.77578859590843685</v>
      </c>
      <c r="M130">
        <f t="shared" si="32"/>
        <v>0.74872007079789982</v>
      </c>
      <c r="N130">
        <f t="shared" si="35"/>
        <v>0.78296859957503451</v>
      </c>
      <c r="O130">
        <f t="shared" si="27"/>
        <v>0.71703140042496549</v>
      </c>
      <c r="P130" t="b">
        <f t="shared" si="34"/>
        <v>1</v>
      </c>
    </row>
    <row r="131" spans="1:16" x14ac:dyDescent="0.25">
      <c r="A131">
        <v>0.62</v>
      </c>
      <c r="B131">
        <f t="shared" si="21"/>
        <v>0.74789678025994299</v>
      </c>
      <c r="C131">
        <f t="shared" si="28"/>
        <v>0.71719192406842913</v>
      </c>
      <c r="D131">
        <f t="shared" si="22"/>
        <v>0.75210321974005701</v>
      </c>
      <c r="E131">
        <f t="shared" si="30"/>
        <v>0.78280807593157087</v>
      </c>
      <c r="F131">
        <f t="shared" si="31"/>
        <v>0.74884839625368704</v>
      </c>
      <c r="G131">
        <f t="shared" si="23"/>
        <v>0.74774392791306765</v>
      </c>
      <c r="H131">
        <f t="shared" si="33"/>
        <v>0.74774392791306765</v>
      </c>
      <c r="I131">
        <f t="shared" si="29"/>
        <v>0.74628194089708222</v>
      </c>
      <c r="J131">
        <f t="shared" si="24"/>
        <v>0.74661589186960153</v>
      </c>
      <c r="K131">
        <f t="shared" si="25"/>
        <v>0.71726262717696965</v>
      </c>
      <c r="L131">
        <f t="shared" si="26"/>
        <v>0.77596915656223342</v>
      </c>
      <c r="M131">
        <f t="shared" si="32"/>
        <v>0.74876064696569411</v>
      </c>
      <c r="N131">
        <f t="shared" si="35"/>
        <v>0.78280807593157087</v>
      </c>
      <c r="O131">
        <f t="shared" si="27"/>
        <v>0.71719192406842913</v>
      </c>
      <c r="P131" t="b">
        <f t="shared" si="34"/>
        <v>1</v>
      </c>
    </row>
    <row r="132" spans="1:16" x14ac:dyDescent="0.25">
      <c r="A132">
        <v>0.625</v>
      </c>
      <c r="B132">
        <f t="shared" si="21"/>
        <v>0.74799016483057357</v>
      </c>
      <c r="C132">
        <f t="shared" si="28"/>
        <v>0.71734532033892495</v>
      </c>
      <c r="D132">
        <f t="shared" si="22"/>
        <v>0.75200983516942643</v>
      </c>
      <c r="E132">
        <f t="shared" si="30"/>
        <v>0.78265467966107505</v>
      </c>
      <c r="F132">
        <f t="shared" si="31"/>
        <v>0.74889952834385232</v>
      </c>
      <c r="G132">
        <f t="shared" si="23"/>
        <v>0.74787947517340314</v>
      </c>
      <c r="H132">
        <f t="shared" si="33"/>
        <v>0.74787947517340314</v>
      </c>
      <c r="I132">
        <f t="shared" si="29"/>
        <v>0.74643533121580496</v>
      </c>
      <c r="J132">
        <f t="shared" si="24"/>
        <v>0.74681921276010477</v>
      </c>
      <c r="K132">
        <f t="shared" si="25"/>
        <v>0.71746594806747288</v>
      </c>
      <c r="L132">
        <f t="shared" si="26"/>
        <v>0.77617247745273665</v>
      </c>
      <c r="M132">
        <f t="shared" si="32"/>
        <v>0.74881177707193503</v>
      </c>
      <c r="N132">
        <f t="shared" si="35"/>
        <v>0.78265467966107505</v>
      </c>
      <c r="O132">
        <f t="shared" si="27"/>
        <v>0.71734532033892495</v>
      </c>
      <c r="P132" t="b">
        <f t="shared" si="34"/>
        <v>1</v>
      </c>
    </row>
    <row r="133" spans="1:16" x14ac:dyDescent="0.25">
      <c r="A133">
        <v>0.63</v>
      </c>
      <c r="B133">
        <f t="shared" si="21"/>
        <v>0.74807940305459764</v>
      </c>
      <c r="C133">
        <f t="shared" si="28"/>
        <v>0.71749190569728261</v>
      </c>
      <c r="D133">
        <f t="shared" si="22"/>
        <v>0.75192059694540236</v>
      </c>
      <c r="E133">
        <f t="shared" si="30"/>
        <v>0.78250809430271739</v>
      </c>
      <c r="F133">
        <f t="shared" si="31"/>
        <v>0.7489483901299715</v>
      </c>
      <c r="G133">
        <f t="shared" si="23"/>
        <v>0.74802733879765237</v>
      </c>
      <c r="H133">
        <f t="shared" si="33"/>
        <v>0.74802733879765237</v>
      </c>
      <c r="I133">
        <f t="shared" si="29"/>
        <v>0.74661589186960153</v>
      </c>
      <c r="J133">
        <f t="shared" si="24"/>
        <v>0.74704100819647856</v>
      </c>
      <c r="K133">
        <f t="shared" si="25"/>
        <v>0.71768774350384668</v>
      </c>
      <c r="L133">
        <f t="shared" si="26"/>
        <v>0.77639427288911045</v>
      </c>
      <c r="M133">
        <f t="shared" si="32"/>
        <v>0.74887196395653388</v>
      </c>
      <c r="N133">
        <f t="shared" si="35"/>
        <v>0.78250809430271739</v>
      </c>
      <c r="O133">
        <f t="shared" si="27"/>
        <v>0.71749190569728261</v>
      </c>
      <c r="P133" t="b">
        <f t="shared" si="34"/>
        <v>1</v>
      </c>
    </row>
    <row r="134" spans="1:16" x14ac:dyDescent="0.25">
      <c r="A134">
        <v>0.63500000000000001</v>
      </c>
      <c r="B134">
        <f t="shared" si="21"/>
        <v>0.74816467903298678</v>
      </c>
      <c r="C134">
        <f t="shared" si="28"/>
        <v>0.71763198255322846</v>
      </c>
      <c r="D134">
        <f t="shared" si="22"/>
        <v>0.75183532096701322</v>
      </c>
      <c r="E134">
        <f t="shared" si="30"/>
        <v>0.78236801744677154</v>
      </c>
      <c r="F134">
        <f t="shared" si="31"/>
        <v>0.74899508241528678</v>
      </c>
      <c r="G134">
        <f t="shared" si="23"/>
        <v>0.74818476984803273</v>
      </c>
      <c r="H134">
        <f t="shared" si="33"/>
        <v>0.74818476984803273</v>
      </c>
      <c r="I134">
        <f t="shared" si="29"/>
        <v>0.74681921276010477</v>
      </c>
      <c r="J134">
        <f t="shared" si="24"/>
        <v>0.74727715477204903</v>
      </c>
      <c r="K134">
        <f t="shared" si="25"/>
        <v>0.71792389007941715</v>
      </c>
      <c r="L134">
        <f t="shared" si="26"/>
        <v>0.77663041946468092</v>
      </c>
      <c r="M134">
        <f t="shared" si="32"/>
        <v>0.74893973758670163</v>
      </c>
      <c r="N134">
        <f t="shared" si="35"/>
        <v>0.78236801744677154</v>
      </c>
      <c r="O134">
        <f t="shared" si="27"/>
        <v>0.71763198255322846</v>
      </c>
      <c r="P134" t="b">
        <f t="shared" si="34"/>
        <v>1</v>
      </c>
    </row>
    <row r="135" spans="1:16" x14ac:dyDescent="0.25">
      <c r="A135">
        <v>0.64</v>
      </c>
      <c r="B135">
        <f t="shared" ref="B135:B198" si="36">$Q$6-$T$8*EXP(-$T$10*A135)</f>
        <v>0.74824616869248806</v>
      </c>
      <c r="C135">
        <f t="shared" si="28"/>
        <v>0.71776583988926457</v>
      </c>
      <c r="D135">
        <f t="shared" ref="D135:D198" si="37">$Q$6+$T$8*EXP(-$T$10*A135)</f>
        <v>0.75175383130751194</v>
      </c>
      <c r="E135">
        <f t="shared" si="30"/>
        <v>0.78223416011073543</v>
      </c>
      <c r="F135">
        <f t="shared" si="31"/>
        <v>0.74903970152729882</v>
      </c>
      <c r="G135">
        <f t="shared" ref="G135:G198" si="38">$Q$6-EXP(-T$6*T$12*A135)*(COS(T$5*A135)-(T$6*T$12-1)/(T$5)*SIN(T$5*A135))*T$15</f>
        <v>0.7483491494058675</v>
      </c>
      <c r="H135">
        <f t="shared" si="33"/>
        <v>0.7483491494058675</v>
      </c>
      <c r="I135">
        <f t="shared" si="29"/>
        <v>0.74704100819647856</v>
      </c>
      <c r="J135">
        <f t="shared" ref="J135:J198" si="39">$Q$6-(1+Q$16)*EXP(-T$6*T$12*A135)*(COS(T$5*A135)-(T$6*T$12-1)/(T$5)*SIN(T$5*A135))*T$15</f>
        <v>0.74752372410880119</v>
      </c>
      <c r="K135">
        <f t="shared" ref="K135:K198" si="40">J135-T$13</f>
        <v>0.7181704594161693</v>
      </c>
      <c r="L135">
        <f t="shared" ref="L135:L198" si="41">J135+T$13</f>
        <v>0.77687698880143308</v>
      </c>
      <c r="M135">
        <f t="shared" si="32"/>
        <v>0.74901366939882619</v>
      </c>
      <c r="N135">
        <f t="shared" si="35"/>
        <v>0.78223416011073543</v>
      </c>
      <c r="O135">
        <f t="shared" ref="O135:O198" si="42">MIN(C135,$Q$6-$T$13)</f>
        <v>0.71776583988926457</v>
      </c>
      <c r="P135" t="b">
        <f t="shared" si="34"/>
        <v>1</v>
      </c>
    </row>
    <row r="136" spans="1:16" x14ac:dyDescent="0.25">
      <c r="A136">
        <v>0.64500000000000002</v>
      </c>
      <c r="B136">
        <f t="shared" si="36"/>
        <v>0.74832404014856613</v>
      </c>
      <c r="C136">
        <f t="shared" si="28"/>
        <v>0.71789375385684828</v>
      </c>
      <c r="D136">
        <f t="shared" si="37"/>
        <v>0.75167595985143387</v>
      </c>
      <c r="E136">
        <f t="shared" si="30"/>
        <v>0.78210624614315172</v>
      </c>
      <c r="F136">
        <f t="shared" si="31"/>
        <v>0.74908233951649339</v>
      </c>
      <c r="G136">
        <f t="shared" si="38"/>
        <v>0.74851800702895865</v>
      </c>
      <c r="H136">
        <f t="shared" si="33"/>
        <v>0.74851800702895865</v>
      </c>
      <c r="I136">
        <f t="shared" si="29"/>
        <v>0.74727715477204903</v>
      </c>
      <c r="J136">
        <f t="shared" si="39"/>
        <v>0.74777701054343793</v>
      </c>
      <c r="K136">
        <f t="shared" si="40"/>
        <v>0.71842374585080604</v>
      </c>
      <c r="L136">
        <f t="shared" si="41"/>
        <v>0.77713027523606981</v>
      </c>
      <c r="M136">
        <f t="shared" si="32"/>
        <v>0.74909238492401631</v>
      </c>
      <c r="N136">
        <f t="shared" si="35"/>
        <v>0.78210624614315172</v>
      </c>
      <c r="O136">
        <f t="shared" si="42"/>
        <v>0.71789375385684828</v>
      </c>
      <c r="P136" t="b">
        <f t="shared" si="34"/>
        <v>1</v>
      </c>
    </row>
    <row r="137" spans="1:16" x14ac:dyDescent="0.25">
      <c r="A137">
        <v>0.65</v>
      </c>
      <c r="B137">
        <f t="shared" si="36"/>
        <v>0.74839845405222982</v>
      </c>
      <c r="C137">
        <f t="shared" ref="C137:C200" si="43">$Q$6-$T$8*(1+Q$16)*EXP(-$T$10*A135)-T$13</f>
        <v>0.71801598834610025</v>
      </c>
      <c r="D137">
        <f t="shared" si="37"/>
        <v>0.75160154594777018</v>
      </c>
      <c r="E137">
        <f t="shared" si="30"/>
        <v>0.78198401165389975</v>
      </c>
      <c r="F137">
        <f t="shared" si="31"/>
        <v>0.74912308434624408</v>
      </c>
      <c r="G137">
        <f t="shared" si="38"/>
        <v>0.74868903591983615</v>
      </c>
      <c r="H137">
        <f t="shared" si="33"/>
        <v>0.74868903591983615</v>
      </c>
      <c r="I137">
        <f t="shared" ref="I137:I200" si="44">$Q$6-(1+Q$16)*EXP(-T$6*T$12*A135)*(COS(T$5*A135)-(T$6*T$12-1)/(T$5)*SIN(T$5*A135))*T$15</f>
        <v>0.74752372410880119</v>
      </c>
      <c r="J137">
        <f t="shared" si="39"/>
        <v>0.74803355387975434</v>
      </c>
      <c r="K137">
        <f t="shared" si="40"/>
        <v>0.71868028918712246</v>
      </c>
      <c r="L137">
        <f t="shared" si="41"/>
        <v>0.77738681857238623</v>
      </c>
      <c r="M137">
        <f t="shared" si="32"/>
        <v>0.74917457470293369</v>
      </c>
      <c r="N137">
        <f t="shared" si="35"/>
        <v>0.78198401165389975</v>
      </c>
      <c r="O137">
        <f t="shared" si="42"/>
        <v>0.71801598834610025</v>
      </c>
      <c r="P137" t="b">
        <f t="shared" si="34"/>
        <v>1</v>
      </c>
    </row>
    <row r="138" spans="1:16" x14ac:dyDescent="0.25">
      <c r="A138">
        <v>0.65500000000000003</v>
      </c>
      <c r="B138">
        <f t="shared" si="36"/>
        <v>0.74846956392145991</v>
      </c>
      <c r="C138">
        <f t="shared" si="43"/>
        <v>0.71813279553021736</v>
      </c>
      <c r="D138">
        <f t="shared" si="37"/>
        <v>0.75153043607854009</v>
      </c>
      <c r="E138">
        <f t="shared" ref="E138:E201" si="45">$Q$6+$T$8*(1+Q$16)*EXP(-$T$10*A136)+T$13</f>
        <v>0.78186720446978264</v>
      </c>
      <c r="F138">
        <f t="shared" ref="F138:F201" si="46">$Q$6-Q$17*$T$8*EXP(-$T$10*A136)</f>
        <v>0.74916202007428312</v>
      </c>
      <c r="G138">
        <f t="shared" si="38"/>
        <v>0.74886010491819077</v>
      </c>
      <c r="H138">
        <f t="shared" si="33"/>
        <v>0.74886010491819077</v>
      </c>
      <c r="I138">
        <f t="shared" si="44"/>
        <v>0.74777701054343793</v>
      </c>
      <c r="J138">
        <f t="shared" si="39"/>
        <v>0.74829015737728621</v>
      </c>
      <c r="K138">
        <f t="shared" si="40"/>
        <v>0.71893689268465433</v>
      </c>
      <c r="L138">
        <f t="shared" si="41"/>
        <v>0.7776434220699181</v>
      </c>
      <c r="M138">
        <f t="shared" ref="M138:M201" si="47">$Q$6-Q$17*EXP(-T$6*T$12*A136)*(COS(T$5*A136)-(T$6*T$12-1)/(T$5)*SIN(T$5*A136))*T$15</f>
        <v>0.74925900351447927</v>
      </c>
      <c r="N138">
        <f t="shared" si="35"/>
        <v>0.78186720446978264</v>
      </c>
      <c r="O138">
        <f t="shared" si="42"/>
        <v>0.71813279553021736</v>
      </c>
      <c r="P138" t="b">
        <f t="shared" si="34"/>
        <v>1</v>
      </c>
    </row>
    <row r="139" spans="1:16" x14ac:dyDescent="0.25">
      <c r="A139">
        <v>0.66</v>
      </c>
      <c r="B139">
        <f t="shared" si="36"/>
        <v>0.74853751645792099</v>
      </c>
      <c r="C139">
        <f t="shared" si="43"/>
        <v>0.7182444163857129</v>
      </c>
      <c r="D139">
        <f t="shared" si="37"/>
        <v>0.75146248354207901</v>
      </c>
      <c r="E139">
        <f t="shared" si="45"/>
        <v>0.7817555836142871</v>
      </c>
      <c r="F139">
        <f t="shared" si="46"/>
        <v>0.74919922702611497</v>
      </c>
      <c r="G139">
        <f t="shared" si="38"/>
        <v>0.74902926745703013</v>
      </c>
      <c r="H139">
        <f t="shared" si="33"/>
        <v>0.74902926745703013</v>
      </c>
      <c r="I139">
        <f t="shared" si="44"/>
        <v>0.74803355387975434</v>
      </c>
      <c r="J139">
        <f t="shared" si="39"/>
        <v>0.74854390118554515</v>
      </c>
      <c r="K139">
        <f t="shared" si="40"/>
        <v>0.71919063649291326</v>
      </c>
      <c r="L139">
        <f t="shared" si="41"/>
        <v>0.77789716587817703</v>
      </c>
      <c r="M139">
        <f t="shared" si="47"/>
        <v>0.74934451795991808</v>
      </c>
      <c r="N139">
        <f t="shared" si="35"/>
        <v>0.7817555836142871</v>
      </c>
      <c r="O139">
        <f t="shared" si="42"/>
        <v>0.7182444163857129</v>
      </c>
      <c r="P139" t="b">
        <f t="shared" si="34"/>
        <v>1</v>
      </c>
    </row>
    <row r="140" spans="1:16" x14ac:dyDescent="0.25">
      <c r="A140">
        <v>0.66500000000000004</v>
      </c>
      <c r="B140">
        <f t="shared" si="36"/>
        <v>0.74860245184961127</v>
      </c>
      <c r="C140">
        <f t="shared" si="43"/>
        <v>0.71835108118955804</v>
      </c>
      <c r="D140">
        <f t="shared" si="37"/>
        <v>0.75139754815038873</v>
      </c>
      <c r="E140">
        <f t="shared" si="45"/>
        <v>0.78164891881044196</v>
      </c>
      <c r="F140">
        <f t="shared" si="46"/>
        <v>0.74923478196073001</v>
      </c>
      <c r="G140">
        <f t="shared" si="38"/>
        <v>0.74919476764447135</v>
      </c>
      <c r="H140">
        <f t="shared" si="33"/>
        <v>0.74919476764447135</v>
      </c>
      <c r="I140">
        <f t="shared" si="44"/>
        <v>0.74829015737728621</v>
      </c>
      <c r="J140">
        <f t="shared" si="39"/>
        <v>0.74879215146670708</v>
      </c>
      <c r="K140">
        <f t="shared" si="40"/>
        <v>0.71943888677407519</v>
      </c>
      <c r="L140">
        <f t="shared" si="41"/>
        <v>0.77814541615933897</v>
      </c>
      <c r="M140">
        <f t="shared" si="47"/>
        <v>0.74943005245909544</v>
      </c>
      <c r="N140">
        <f t="shared" si="35"/>
        <v>0.78164891881044196</v>
      </c>
      <c r="O140">
        <f t="shared" si="42"/>
        <v>0.71835108118955804</v>
      </c>
      <c r="P140" t="b">
        <f t="shared" si="34"/>
        <v>1</v>
      </c>
    </row>
    <row r="141" spans="1:16" x14ac:dyDescent="0.25">
      <c r="A141">
        <v>0.67</v>
      </c>
      <c r="B141">
        <f t="shared" si="36"/>
        <v>0.74866450406007412</v>
      </c>
      <c r="C141">
        <f t="shared" si="43"/>
        <v>0.71845300999424966</v>
      </c>
      <c r="D141">
        <f t="shared" si="37"/>
        <v>0.75133549593992588</v>
      </c>
      <c r="E141">
        <f t="shared" si="45"/>
        <v>0.78154699000575034</v>
      </c>
      <c r="F141">
        <f t="shared" si="46"/>
        <v>0.74926875822896055</v>
      </c>
      <c r="G141">
        <f t="shared" si="38"/>
        <v>0.7493550436516706</v>
      </c>
      <c r="H141">
        <f t="shared" si="33"/>
        <v>0.7493550436516706</v>
      </c>
      <c r="I141">
        <f t="shared" si="44"/>
        <v>0.74854390118554515</v>
      </c>
      <c r="J141">
        <f t="shared" si="39"/>
        <v>0.74903256547750596</v>
      </c>
      <c r="K141">
        <f t="shared" si="40"/>
        <v>0.71967930078487408</v>
      </c>
      <c r="L141">
        <f t="shared" si="41"/>
        <v>0.77838583017013785</v>
      </c>
      <c r="M141">
        <f t="shared" si="47"/>
        <v>0.74951463372851501</v>
      </c>
      <c r="N141">
        <f t="shared" si="35"/>
        <v>0.78154699000575034</v>
      </c>
      <c r="O141">
        <f t="shared" si="42"/>
        <v>0.71845300999424966</v>
      </c>
      <c r="P141" t="b">
        <f t="shared" si="34"/>
        <v>1</v>
      </c>
    </row>
    <row r="142" spans="1:16" x14ac:dyDescent="0.25">
      <c r="A142">
        <v>0.67500000000000004</v>
      </c>
      <c r="B142">
        <f t="shared" si="36"/>
        <v>0.74872380110476866</v>
      </c>
      <c r="C142">
        <f t="shared" si="43"/>
        <v>0.71855041308178502</v>
      </c>
      <c r="D142">
        <f t="shared" si="37"/>
        <v>0.75127619889523134</v>
      </c>
      <c r="E142">
        <f t="shared" si="45"/>
        <v>0.78144958691821498</v>
      </c>
      <c r="F142">
        <f t="shared" si="46"/>
        <v>0.74930122592480564</v>
      </c>
      <c r="G142">
        <f t="shared" si="38"/>
        <v>0.74950872860231632</v>
      </c>
      <c r="H142">
        <f t="shared" si="33"/>
        <v>0.74950872860231632</v>
      </c>
      <c r="I142">
        <f t="shared" si="44"/>
        <v>0.74879215146670708</v>
      </c>
      <c r="J142">
        <f t="shared" si="39"/>
        <v>0.74926309290347459</v>
      </c>
      <c r="K142">
        <f t="shared" si="40"/>
        <v>0.71990982821084271</v>
      </c>
      <c r="L142">
        <f t="shared" si="41"/>
        <v>0.77861635759610648</v>
      </c>
      <c r="M142">
        <f t="shared" si="47"/>
        <v>0.74959738382223573</v>
      </c>
      <c r="N142">
        <f t="shared" si="35"/>
        <v>0.78144958691821498</v>
      </c>
      <c r="O142">
        <f t="shared" si="42"/>
        <v>0.71855041308178502</v>
      </c>
      <c r="P142" t="b">
        <f t="shared" si="34"/>
        <v>1</v>
      </c>
    </row>
    <row r="143" spans="1:16" x14ac:dyDescent="0.25">
      <c r="A143">
        <v>0.68</v>
      </c>
      <c r="B143">
        <f t="shared" si="36"/>
        <v>0.74878046531516984</v>
      </c>
      <c r="C143">
        <f t="shared" si="43"/>
        <v>0.71864349139747918</v>
      </c>
      <c r="D143">
        <f t="shared" si="37"/>
        <v>0.75121953468483016</v>
      </c>
      <c r="E143">
        <f t="shared" si="45"/>
        <v>0.78135650860252082</v>
      </c>
      <c r="F143">
        <f t="shared" si="46"/>
        <v>0.74933225203003706</v>
      </c>
      <c r="G143">
        <f t="shared" si="38"/>
        <v>0.74965464917052249</v>
      </c>
      <c r="H143">
        <f t="shared" si="33"/>
        <v>0.74965464917052249</v>
      </c>
      <c r="I143">
        <f t="shared" si="44"/>
        <v>0.74903256547750596</v>
      </c>
      <c r="J143">
        <f t="shared" si="39"/>
        <v>0.74948197375578363</v>
      </c>
      <c r="K143">
        <f t="shared" si="40"/>
        <v>0.72012870906315174</v>
      </c>
      <c r="L143">
        <f t="shared" si="41"/>
        <v>0.77883523844841551</v>
      </c>
      <c r="M143">
        <f t="shared" si="47"/>
        <v>0.74967752182583536</v>
      </c>
      <c r="N143">
        <f t="shared" si="35"/>
        <v>0.78135650860252082</v>
      </c>
      <c r="O143">
        <f t="shared" si="42"/>
        <v>0.71864349139747918</v>
      </c>
      <c r="P143" t="b">
        <f t="shared" si="34"/>
        <v>1</v>
      </c>
    </row>
    <row r="144" spans="1:16" x14ac:dyDescent="0.25">
      <c r="A144">
        <v>0.68500000000000005</v>
      </c>
      <c r="B144">
        <f t="shared" si="36"/>
        <v>0.74883461359114067</v>
      </c>
      <c r="C144">
        <f t="shared" si="43"/>
        <v>0.71873243696452116</v>
      </c>
      <c r="D144">
        <f t="shared" si="37"/>
        <v>0.75116538640885933</v>
      </c>
      <c r="E144">
        <f t="shared" si="45"/>
        <v>0.78126756303547884</v>
      </c>
      <c r="F144">
        <f t="shared" si="46"/>
        <v>0.74936190055238439</v>
      </c>
      <c r="G144">
        <f t="shared" si="38"/>
        <v>0.74979182210202744</v>
      </c>
      <c r="H144">
        <f t="shared" si="33"/>
        <v>0.74979182210202744</v>
      </c>
      <c r="I144">
        <f t="shared" si="44"/>
        <v>0.74926309290347459</v>
      </c>
      <c r="J144">
        <f t="shared" si="39"/>
        <v>0.74968773315304116</v>
      </c>
      <c r="K144">
        <f t="shared" si="40"/>
        <v>0.72033446846040927</v>
      </c>
      <c r="L144">
        <f t="shared" si="41"/>
        <v>0.77904099784567304</v>
      </c>
      <c r="M144">
        <f t="shared" si="47"/>
        <v>0.74975436430115816</v>
      </c>
      <c r="N144">
        <f t="shared" si="35"/>
        <v>0.78126756303547884</v>
      </c>
      <c r="O144">
        <f t="shared" si="42"/>
        <v>0.71873243696452116</v>
      </c>
      <c r="P144" t="b">
        <f t="shared" si="34"/>
        <v>1</v>
      </c>
    </row>
    <row r="145" spans="1:16" x14ac:dyDescent="0.25">
      <c r="A145">
        <v>0.69</v>
      </c>
      <c r="B145">
        <f t="shared" si="36"/>
        <v>0.74888635764210076</v>
      </c>
      <c r="C145">
        <f t="shared" si="43"/>
        <v>0.71881743328012282</v>
      </c>
      <c r="D145">
        <f t="shared" si="37"/>
        <v>0.75111364235789924</v>
      </c>
      <c r="E145">
        <f t="shared" si="45"/>
        <v>0.78118256671987718</v>
      </c>
      <c r="F145">
        <f t="shared" si="46"/>
        <v>0.74939023265758486</v>
      </c>
      <c r="G145">
        <f t="shared" si="38"/>
        <v>0.74991944887853257</v>
      </c>
      <c r="H145">
        <f t="shared" si="33"/>
        <v>0.74991944887853257</v>
      </c>
      <c r="I145">
        <f t="shared" si="44"/>
        <v>0.74948197375578363</v>
      </c>
      <c r="J145">
        <f t="shared" si="39"/>
        <v>0.74987917331779885</v>
      </c>
      <c r="K145">
        <f t="shared" si="40"/>
        <v>0.72052590862516697</v>
      </c>
      <c r="L145">
        <f t="shared" si="41"/>
        <v>0.77923243801043074</v>
      </c>
      <c r="M145">
        <f t="shared" si="47"/>
        <v>0.74982732458526125</v>
      </c>
      <c r="N145">
        <f t="shared" si="35"/>
        <v>0.78118256671987718</v>
      </c>
      <c r="O145">
        <f t="shared" si="42"/>
        <v>0.71881743328012282</v>
      </c>
      <c r="P145" t="b">
        <f t="shared" si="34"/>
        <v>1</v>
      </c>
    </row>
    <row r="146" spans="1:16" x14ac:dyDescent="0.25">
      <c r="A146">
        <v>0.69499999999999995</v>
      </c>
      <c r="B146">
        <f t="shared" si="36"/>
        <v>0.74893580421748607</v>
      </c>
      <c r="C146">
        <f t="shared" si="43"/>
        <v>0.71889865569407907</v>
      </c>
      <c r="D146">
        <f t="shared" si="37"/>
        <v>0.75106419578251393</v>
      </c>
      <c r="E146">
        <f t="shared" si="45"/>
        <v>0.78110134430592093</v>
      </c>
      <c r="F146">
        <f t="shared" si="46"/>
        <v>0.74941730679557028</v>
      </c>
      <c r="G146">
        <f t="shared" si="38"/>
        <v>0.75003690874701567</v>
      </c>
      <c r="H146">
        <f t="shared" ref="H146:H209" si="48">$Q$6-EXP(-T$6*T$12*A146)*(COS(T$5*A146)-(T$6*T$12-1)/(T$5)*SIN(T$5*A146))*T$15</f>
        <v>0.75003690874701567</v>
      </c>
      <c r="I146">
        <f t="shared" si="44"/>
        <v>0.74968773315304116</v>
      </c>
      <c r="J146">
        <f t="shared" si="39"/>
        <v>0.75005536312052357</v>
      </c>
      <c r="K146">
        <f t="shared" si="40"/>
        <v>0.72070209842789168</v>
      </c>
      <c r="L146">
        <f t="shared" si="41"/>
        <v>0.77940862781315545</v>
      </c>
      <c r="M146">
        <f t="shared" si="47"/>
        <v>0.74989591105101372</v>
      </c>
      <c r="N146">
        <f t="shared" si="35"/>
        <v>0.78110134430592093</v>
      </c>
      <c r="O146">
        <f t="shared" si="42"/>
        <v>0.71889865569407907</v>
      </c>
      <c r="P146" t="b">
        <f t="shared" si="34"/>
        <v>1</v>
      </c>
    </row>
    <row r="147" spans="1:16" x14ac:dyDescent="0.25">
      <c r="A147">
        <v>0.7</v>
      </c>
      <c r="B147">
        <f t="shared" si="36"/>
        <v>0.74898305532697507</v>
      </c>
      <c r="C147">
        <f t="shared" si="43"/>
        <v>0.71897627177051937</v>
      </c>
      <c r="D147">
        <f t="shared" si="37"/>
        <v>0.75101694467302493</v>
      </c>
      <c r="E147">
        <f t="shared" si="45"/>
        <v>0.78102372822948063</v>
      </c>
      <c r="F147">
        <f t="shared" si="46"/>
        <v>0.74944317882105038</v>
      </c>
      <c r="G147">
        <f t="shared" si="38"/>
        <v>0.75014375033516667</v>
      </c>
      <c r="H147">
        <f t="shared" si="48"/>
        <v>0.75014375033516667</v>
      </c>
      <c r="I147">
        <f t="shared" si="44"/>
        <v>0.74987917331779885</v>
      </c>
      <c r="J147">
        <f t="shared" si="39"/>
        <v>0.75021562550275001</v>
      </c>
      <c r="K147">
        <f t="shared" si="40"/>
        <v>0.72086236081011812</v>
      </c>
      <c r="L147">
        <f t="shared" si="41"/>
        <v>0.77956889019538189</v>
      </c>
      <c r="M147">
        <f t="shared" si="47"/>
        <v>0.74995972443926628</v>
      </c>
      <c r="N147">
        <f t="shared" si="35"/>
        <v>0.78102372822948063</v>
      </c>
      <c r="O147">
        <f t="shared" si="42"/>
        <v>0.71897627177051937</v>
      </c>
      <c r="P147" t="b">
        <f t="shared" si="34"/>
        <v>1</v>
      </c>
    </row>
    <row r="148" spans="1:16" x14ac:dyDescent="0.25">
      <c r="A148">
        <v>0.70499999999999996</v>
      </c>
      <c r="B148">
        <f t="shared" si="36"/>
        <v>0.74902820845093865</v>
      </c>
      <c r="C148">
        <f t="shared" si="43"/>
        <v>0.7190504416335971</v>
      </c>
      <c r="D148">
        <f t="shared" si="37"/>
        <v>0.75097179154906135</v>
      </c>
      <c r="E148">
        <f t="shared" si="45"/>
        <v>0.7809495583664029</v>
      </c>
      <c r="F148">
        <f t="shared" si="46"/>
        <v>0.74946790210874303</v>
      </c>
      <c r="G148">
        <f t="shared" si="38"/>
        <v>0.7502396820709466</v>
      </c>
      <c r="H148">
        <f t="shared" si="48"/>
        <v>0.7502396820709466</v>
      </c>
      <c r="I148">
        <f t="shared" si="44"/>
        <v>0.75005536312052357</v>
      </c>
      <c r="J148">
        <f t="shared" si="39"/>
        <v>0.75035952310641996</v>
      </c>
      <c r="K148">
        <f t="shared" si="40"/>
        <v>0.72100625841378807</v>
      </c>
      <c r="L148">
        <f t="shared" si="41"/>
        <v>0.77971278779905184</v>
      </c>
      <c r="M148">
        <f t="shared" si="47"/>
        <v>0.75001845437350789</v>
      </c>
      <c r="N148">
        <f t="shared" si="35"/>
        <v>0.7809495583664029</v>
      </c>
      <c r="O148">
        <f t="shared" si="42"/>
        <v>0.7190504416335971</v>
      </c>
      <c r="P148" t="b">
        <f t="shared" si="34"/>
        <v>1</v>
      </c>
    </row>
    <row r="149" spans="1:16" x14ac:dyDescent="0.25">
      <c r="A149">
        <v>0.71</v>
      </c>
      <c r="B149">
        <f t="shared" si="36"/>
        <v>0.74907135674154424</v>
      </c>
      <c r="C149">
        <f t="shared" si="43"/>
        <v>0.71912131829783066</v>
      </c>
      <c r="D149">
        <f t="shared" si="37"/>
        <v>0.75092864325845576</v>
      </c>
      <c r="E149">
        <f t="shared" si="45"/>
        <v>0.78087868170216934</v>
      </c>
      <c r="F149">
        <f t="shared" si="46"/>
        <v>0.74949152766348748</v>
      </c>
      <c r="G149">
        <f t="shared" si="38"/>
        <v>0.75032456161893035</v>
      </c>
      <c r="H149">
        <f t="shared" si="48"/>
        <v>0.75032456161893035</v>
      </c>
      <c r="I149">
        <f t="shared" si="44"/>
        <v>0.75021562550275001</v>
      </c>
      <c r="J149">
        <f t="shared" si="39"/>
        <v>0.75048684242839547</v>
      </c>
      <c r="K149">
        <f t="shared" si="40"/>
        <v>0.72113357773576359</v>
      </c>
      <c r="L149">
        <f t="shared" si="41"/>
        <v>0.77984010712102736</v>
      </c>
      <c r="M149">
        <f t="shared" si="47"/>
        <v>0.75007187516758334</v>
      </c>
      <c r="N149">
        <f t="shared" si="35"/>
        <v>0.78087868170216934</v>
      </c>
      <c r="O149">
        <f t="shared" si="42"/>
        <v>0.71912131829783066</v>
      </c>
      <c r="P149" t="b">
        <f t="shared" si="34"/>
        <v>1</v>
      </c>
    </row>
    <row r="150" spans="1:16" x14ac:dyDescent="0.25">
      <c r="A150">
        <v>0.71499999999999997</v>
      </c>
      <c r="B150">
        <f t="shared" si="36"/>
        <v>0.74911258921493162</v>
      </c>
      <c r="C150">
        <f t="shared" si="43"/>
        <v>0.71918904798377603</v>
      </c>
      <c r="D150">
        <f t="shared" si="37"/>
        <v>0.75088741078506838</v>
      </c>
      <c r="E150">
        <f t="shared" si="45"/>
        <v>0.78081095201622397</v>
      </c>
      <c r="F150">
        <f t="shared" si="46"/>
        <v>0.74951410422546927</v>
      </c>
      <c r="G150">
        <f t="shared" si="38"/>
        <v>0.75039838453878904</v>
      </c>
      <c r="H150">
        <f t="shared" si="48"/>
        <v>0.75039838453878904</v>
      </c>
      <c r="I150">
        <f t="shared" si="44"/>
        <v>0.75035952310641996</v>
      </c>
      <c r="J150">
        <f t="shared" si="39"/>
        <v>0.75059757680818351</v>
      </c>
      <c r="K150">
        <f t="shared" si="40"/>
        <v>0.72124431211555162</v>
      </c>
      <c r="L150">
        <f t="shared" si="41"/>
        <v>0.77995084150081539</v>
      </c>
      <c r="M150">
        <f t="shared" si="47"/>
        <v>0.75011984103547336</v>
      </c>
      <c r="N150">
        <f t="shared" si="35"/>
        <v>0.78081095201622397</v>
      </c>
      <c r="O150">
        <f t="shared" si="42"/>
        <v>0.71918904798377603</v>
      </c>
      <c r="P150" t="b">
        <f t="shared" ref="P150:P213" si="49">IF(P149,TRUE,IF(H150&lt;H149,TRUE))</f>
        <v>1</v>
      </c>
    </row>
    <row r="151" spans="1:16" x14ac:dyDescent="0.25">
      <c r="A151">
        <v>0.72</v>
      </c>
      <c r="B151">
        <f t="shared" si="36"/>
        <v>0.74915199093485574</v>
      </c>
      <c r="C151">
        <f t="shared" si="43"/>
        <v>0.71925377041968452</v>
      </c>
      <c r="D151">
        <f t="shared" si="37"/>
        <v>0.75084800906514426</v>
      </c>
      <c r="E151">
        <f t="shared" si="45"/>
        <v>0.78074622958031548</v>
      </c>
      <c r="F151">
        <f t="shared" si="46"/>
        <v>0.74953567837077217</v>
      </c>
      <c r="G151">
        <f t="shared" si="38"/>
        <v>0.75046127236228055</v>
      </c>
      <c r="H151">
        <f t="shared" si="48"/>
        <v>0.75046127236228055</v>
      </c>
      <c r="I151">
        <f t="shared" si="44"/>
        <v>0.75048684242839547</v>
      </c>
      <c r="J151">
        <f t="shared" si="39"/>
        <v>0.75069190854342083</v>
      </c>
      <c r="K151">
        <f t="shared" si="40"/>
        <v>0.72133864385078894</v>
      </c>
      <c r="L151">
        <f t="shared" si="41"/>
        <v>0.78004517323605271</v>
      </c>
      <c r="M151">
        <f t="shared" si="47"/>
        <v>0.75016228080946512</v>
      </c>
      <c r="N151">
        <f t="shared" si="35"/>
        <v>0.78074622958031548</v>
      </c>
      <c r="O151">
        <f t="shared" si="42"/>
        <v>0.71925377041968452</v>
      </c>
      <c r="P151" t="b">
        <f t="shared" si="49"/>
        <v>1</v>
      </c>
    </row>
    <row r="152" spans="1:16" x14ac:dyDescent="0.25">
      <c r="A152">
        <v>0.72499999999999998</v>
      </c>
      <c r="B152">
        <f t="shared" si="36"/>
        <v>0.74918964318817527</v>
      </c>
      <c r="C152">
        <f t="shared" si="43"/>
        <v>0.7193156191297656</v>
      </c>
      <c r="D152">
        <f t="shared" si="37"/>
        <v>0.75081035681182473</v>
      </c>
      <c r="E152">
        <f t="shared" si="45"/>
        <v>0.7806843808702344</v>
      </c>
      <c r="F152">
        <f t="shared" si="46"/>
        <v>0.74955629460746587</v>
      </c>
      <c r="G152">
        <f t="shared" si="38"/>
        <v>0.75051346027466248</v>
      </c>
      <c r="H152">
        <f t="shared" si="48"/>
        <v>0.75051346027466248</v>
      </c>
      <c r="I152">
        <f t="shared" si="44"/>
        <v>0.75059757680818351</v>
      </c>
      <c r="J152">
        <f t="shared" si="39"/>
        <v>0.75077019041199367</v>
      </c>
      <c r="K152">
        <f t="shared" si="40"/>
        <v>0.72141692571936178</v>
      </c>
      <c r="L152">
        <f t="shared" si="41"/>
        <v>0.78012345510462555</v>
      </c>
      <c r="M152">
        <f t="shared" si="47"/>
        <v>0.75019919226939447</v>
      </c>
      <c r="N152">
        <f t="shared" si="35"/>
        <v>0.7806843808702344</v>
      </c>
      <c r="O152">
        <f t="shared" si="42"/>
        <v>0.7193156191297656</v>
      </c>
      <c r="P152" t="b">
        <f t="shared" si="49"/>
        <v>1</v>
      </c>
    </row>
    <row r="153" spans="1:16" x14ac:dyDescent="0.25">
      <c r="A153">
        <v>0.73</v>
      </c>
      <c r="B153">
        <f t="shared" si="36"/>
        <v>0.74922562365255019</v>
      </c>
      <c r="C153">
        <f t="shared" si="43"/>
        <v>0.71937472170965178</v>
      </c>
      <c r="D153">
        <f t="shared" si="37"/>
        <v>0.75077437634744981</v>
      </c>
      <c r="E153">
        <f t="shared" si="45"/>
        <v>0.78062527829034822</v>
      </c>
      <c r="F153">
        <f t="shared" si="46"/>
        <v>0.74957599546742792</v>
      </c>
      <c r="G153">
        <f t="shared" si="38"/>
        <v>0.75055528457479903</v>
      </c>
      <c r="H153">
        <f t="shared" si="48"/>
        <v>0.75055528457479903</v>
      </c>
      <c r="I153">
        <f t="shared" si="44"/>
        <v>0.75069190854342083</v>
      </c>
      <c r="J153">
        <f t="shared" si="39"/>
        <v>0.7508329268621986</v>
      </c>
      <c r="K153">
        <f t="shared" si="40"/>
        <v>0.72147966216956672</v>
      </c>
      <c r="L153">
        <f t="shared" si="41"/>
        <v>0.78018619155483049</v>
      </c>
      <c r="M153">
        <f t="shared" si="47"/>
        <v>0.75023063618114028</v>
      </c>
      <c r="N153">
        <f t="shared" ref="N153:N216" si="50">IF(P153,MAX(E153,$Q$6+$T$13),MAX(L153,$Q$6+$T$13))</f>
        <v>0.78062527829034822</v>
      </c>
      <c r="O153">
        <f t="shared" si="42"/>
        <v>0.71937472170965178</v>
      </c>
      <c r="P153" t="b">
        <f t="shared" si="49"/>
        <v>1</v>
      </c>
    </row>
    <row r="154" spans="1:16" x14ac:dyDescent="0.25">
      <c r="A154">
        <v>0.73499999999999999</v>
      </c>
      <c r="B154">
        <f t="shared" si="36"/>
        <v>0.74926000655669278</v>
      </c>
      <c r="C154">
        <f t="shared" si="43"/>
        <v>0.71943120008963102</v>
      </c>
      <c r="D154">
        <f t="shared" si="37"/>
        <v>0.75073999344330722</v>
      </c>
      <c r="E154">
        <f t="shared" si="45"/>
        <v>0.78056879991036898</v>
      </c>
      <c r="F154">
        <f t="shared" si="46"/>
        <v>0.74959482159408763</v>
      </c>
      <c r="G154">
        <f t="shared" si="38"/>
        <v>0.7505871700756106</v>
      </c>
      <c r="H154">
        <f t="shared" si="48"/>
        <v>0.7505871700756106</v>
      </c>
      <c r="I154">
        <f t="shared" si="44"/>
        <v>0.75077019041199367</v>
      </c>
      <c r="J154">
        <f t="shared" si="39"/>
        <v>0.7508807551134159</v>
      </c>
      <c r="K154">
        <f t="shared" si="40"/>
        <v>0.72152749042078401</v>
      </c>
      <c r="L154">
        <f t="shared" si="41"/>
        <v>0.78023401980604778</v>
      </c>
      <c r="M154">
        <f t="shared" si="47"/>
        <v>0.75025673013733118</v>
      </c>
      <c r="N154">
        <f t="shared" si="50"/>
        <v>0.78056879991036898</v>
      </c>
      <c r="O154">
        <f t="shared" si="42"/>
        <v>0.71943120008963102</v>
      </c>
      <c r="P154" t="b">
        <f t="shared" si="49"/>
        <v>1</v>
      </c>
    </row>
    <row r="155" spans="1:16" x14ac:dyDescent="0.25">
      <c r="A155">
        <v>0.74</v>
      </c>
      <c r="B155">
        <f t="shared" si="36"/>
        <v>0.74929286283350327</v>
      </c>
      <c r="C155">
        <f t="shared" si="43"/>
        <v>0.71948517078619345</v>
      </c>
      <c r="D155">
        <f t="shared" si="37"/>
        <v>0.75070713716649673</v>
      </c>
      <c r="E155">
        <f t="shared" si="45"/>
        <v>0.78051482921380655</v>
      </c>
      <c r="F155">
        <f t="shared" si="46"/>
        <v>0.74961281182627515</v>
      </c>
      <c r="G155">
        <f t="shared" si="38"/>
        <v>0.75060961759315781</v>
      </c>
      <c r="H155">
        <f t="shared" si="48"/>
        <v>0.75060961759315781</v>
      </c>
      <c r="I155">
        <f t="shared" si="44"/>
        <v>0.7508329268621986</v>
      </c>
      <c r="J155">
        <f t="shared" si="39"/>
        <v>0.75091442638973671</v>
      </c>
      <c r="K155">
        <f t="shared" si="40"/>
        <v>0.72156116169710482</v>
      </c>
      <c r="L155">
        <f t="shared" si="41"/>
        <v>0.7802676910823686</v>
      </c>
      <c r="M155">
        <f t="shared" si="47"/>
        <v>0.75027764228739957</v>
      </c>
      <c r="N155">
        <f t="shared" si="50"/>
        <v>0.78051482921380655</v>
      </c>
      <c r="O155">
        <f t="shared" si="42"/>
        <v>0.71948517078619345</v>
      </c>
      <c r="P155" t="b">
        <f t="shared" si="49"/>
        <v>1</v>
      </c>
    </row>
    <row r="156" spans="1:16" x14ac:dyDescent="0.25">
      <c r="A156">
        <v>0.745</v>
      </c>
      <c r="B156">
        <f t="shared" si="36"/>
        <v>0.74932426026640697</v>
      </c>
      <c r="C156">
        <f t="shared" si="43"/>
        <v>0.71953674514240717</v>
      </c>
      <c r="D156">
        <f t="shared" si="37"/>
        <v>0.75067573973359303</v>
      </c>
      <c r="E156">
        <f t="shared" si="45"/>
        <v>0.78046325485759283</v>
      </c>
      <c r="F156">
        <f t="shared" si="46"/>
        <v>0.74963000327834639</v>
      </c>
      <c r="G156">
        <f t="shared" si="38"/>
        <v>0.75062319165876989</v>
      </c>
      <c r="H156">
        <f t="shared" si="48"/>
        <v>0.75062319165876989</v>
      </c>
      <c r="I156">
        <f t="shared" si="44"/>
        <v>0.7508807551134159</v>
      </c>
      <c r="J156">
        <f t="shared" si="39"/>
        <v>0.75093478748815479</v>
      </c>
      <c r="K156">
        <f t="shared" si="40"/>
        <v>0.7215815227955229</v>
      </c>
      <c r="L156">
        <f t="shared" si="41"/>
        <v>0.78028805218078667</v>
      </c>
      <c r="M156">
        <f t="shared" si="47"/>
        <v>0.7502935850378053</v>
      </c>
      <c r="N156">
        <f t="shared" si="50"/>
        <v>0.78046325485759283</v>
      </c>
      <c r="O156">
        <f t="shared" si="42"/>
        <v>0.71953674514240717</v>
      </c>
      <c r="P156" t="b">
        <f t="shared" si="49"/>
        <v>1</v>
      </c>
    </row>
    <row r="157" spans="1:16" x14ac:dyDescent="0.25">
      <c r="A157">
        <v>0.75</v>
      </c>
      <c r="B157">
        <f t="shared" si="36"/>
        <v>0.749354263629193</v>
      </c>
      <c r="C157">
        <f t="shared" si="43"/>
        <v>0.71958602955762296</v>
      </c>
      <c r="D157">
        <f t="shared" si="37"/>
        <v>0.750645736370807</v>
      </c>
      <c r="E157">
        <f t="shared" si="45"/>
        <v>0.78041397044237704</v>
      </c>
      <c r="F157">
        <f t="shared" si="46"/>
        <v>0.74964643141675158</v>
      </c>
      <c r="G157">
        <f t="shared" si="38"/>
        <v>0.75062850857442098</v>
      </c>
      <c r="H157">
        <f t="shared" si="48"/>
        <v>0.75062850857442098</v>
      </c>
      <c r="I157">
        <f t="shared" si="44"/>
        <v>0.75091442638973671</v>
      </c>
      <c r="J157">
        <f t="shared" si="39"/>
        <v>0.75094276286163142</v>
      </c>
      <c r="K157">
        <f t="shared" si="40"/>
        <v>0.72158949816899953</v>
      </c>
      <c r="L157">
        <f t="shared" si="41"/>
        <v>0.78029602755426331</v>
      </c>
      <c r="M157">
        <f t="shared" si="47"/>
        <v>0.7503048087965789</v>
      </c>
      <c r="N157">
        <f t="shared" si="50"/>
        <v>0.78041397044237704</v>
      </c>
      <c r="O157">
        <f t="shared" si="42"/>
        <v>0.71958602955762296</v>
      </c>
      <c r="P157" t="b">
        <f t="shared" si="49"/>
        <v>1</v>
      </c>
    </row>
    <row r="158" spans="1:16" x14ac:dyDescent="0.25">
      <c r="A158">
        <v>0.755</v>
      </c>
      <c r="B158">
        <f t="shared" si="36"/>
        <v>0.74938293481964435</v>
      </c>
      <c r="C158">
        <f t="shared" si="43"/>
        <v>0.71963312570697857</v>
      </c>
      <c r="D158">
        <f t="shared" si="37"/>
        <v>0.75061706518035565</v>
      </c>
      <c r="E158">
        <f t="shared" si="45"/>
        <v>0.78036687429302143</v>
      </c>
      <c r="F158">
        <f t="shared" si="46"/>
        <v>0.74966213013320349</v>
      </c>
      <c r="G158">
        <f t="shared" si="38"/>
        <v>0.75062622491722353</v>
      </c>
      <c r="H158">
        <f t="shared" si="48"/>
        <v>0.75062622491722353</v>
      </c>
      <c r="I158">
        <f t="shared" si="44"/>
        <v>0.75093478748815479</v>
      </c>
      <c r="J158">
        <f t="shared" si="39"/>
        <v>0.75093933737583518</v>
      </c>
      <c r="K158">
        <f t="shared" si="40"/>
        <v>0.72158607268320329</v>
      </c>
      <c r="L158">
        <f t="shared" si="41"/>
        <v>0.78029260206846707</v>
      </c>
      <c r="M158">
        <f t="shared" si="47"/>
        <v>0.75031159582938489</v>
      </c>
      <c r="N158">
        <f t="shared" si="50"/>
        <v>0.78036687429302143</v>
      </c>
      <c r="O158">
        <f t="shared" si="42"/>
        <v>0.71963312570697857</v>
      </c>
      <c r="P158" t="b">
        <f t="shared" si="49"/>
        <v>1</v>
      </c>
    </row>
    <row r="159" spans="1:16" x14ac:dyDescent="0.25">
      <c r="A159">
        <v>0.76</v>
      </c>
      <c r="B159">
        <f t="shared" si="36"/>
        <v>0.74941033298723525</v>
      </c>
      <c r="C159">
        <f t="shared" si="43"/>
        <v>0.7196781307511575</v>
      </c>
      <c r="D159">
        <f t="shared" si="37"/>
        <v>0.75058966701276475</v>
      </c>
      <c r="E159">
        <f t="shared" si="45"/>
        <v>0.7803218692488425</v>
      </c>
      <c r="F159">
        <f t="shared" si="46"/>
        <v>0.7496771318145965</v>
      </c>
      <c r="G159">
        <f t="shared" si="38"/>
        <v>0.75061702658461293</v>
      </c>
      <c r="H159">
        <f t="shared" si="48"/>
        <v>0.75061702658461293</v>
      </c>
      <c r="I159">
        <f t="shared" si="44"/>
        <v>0.75094276286163142</v>
      </c>
      <c r="J159">
        <f t="shared" si="39"/>
        <v>0.75092553987691946</v>
      </c>
      <c r="K159">
        <f t="shared" si="40"/>
        <v>0.72157227518428757</v>
      </c>
      <c r="L159">
        <f t="shared" si="41"/>
        <v>0.78027880456955134</v>
      </c>
      <c r="M159">
        <f t="shared" si="47"/>
        <v>0.75031425428721044</v>
      </c>
      <c r="N159">
        <f t="shared" si="50"/>
        <v>0.7803218692488425</v>
      </c>
      <c r="O159">
        <f t="shared" si="42"/>
        <v>0.7196781307511575</v>
      </c>
      <c r="P159" t="b">
        <f t="shared" si="49"/>
        <v>1</v>
      </c>
    </row>
    <row r="160" spans="1:16" x14ac:dyDescent="0.25">
      <c r="A160">
        <v>0.76500000000000001</v>
      </c>
      <c r="B160">
        <f t="shared" si="36"/>
        <v>0.7494365146551577</v>
      </c>
      <c r="C160">
        <f t="shared" si="43"/>
        <v>0.71972113753683464</v>
      </c>
      <c r="D160">
        <f t="shared" si="37"/>
        <v>0.7505634853448423</v>
      </c>
      <c r="E160">
        <f t="shared" si="45"/>
        <v>0.78027886246316536</v>
      </c>
      <c r="F160">
        <f t="shared" si="46"/>
        <v>0.74969146740982218</v>
      </c>
      <c r="G160">
        <f t="shared" si="38"/>
        <v>0.75060161845770657</v>
      </c>
      <c r="H160">
        <f t="shared" si="48"/>
        <v>0.75060161845770657</v>
      </c>
      <c r="I160">
        <f t="shared" si="44"/>
        <v>0.75093933737583518</v>
      </c>
      <c r="J160">
        <f t="shared" si="39"/>
        <v>0.75090242768655979</v>
      </c>
      <c r="K160">
        <f t="shared" si="40"/>
        <v>0.72154916299392791</v>
      </c>
      <c r="L160">
        <f t="shared" si="41"/>
        <v>0.78025569237919168</v>
      </c>
      <c r="M160">
        <f t="shared" si="47"/>
        <v>0.75031311245861176</v>
      </c>
      <c r="N160">
        <f t="shared" si="50"/>
        <v>0.78027886246316536</v>
      </c>
      <c r="O160">
        <f t="shared" si="42"/>
        <v>0.71972113753683464</v>
      </c>
      <c r="P160" t="b">
        <f t="shared" si="49"/>
        <v>1</v>
      </c>
    </row>
    <row r="161" spans="1:16" x14ac:dyDescent="0.25">
      <c r="A161">
        <v>0.77</v>
      </c>
      <c r="B161">
        <f t="shared" si="36"/>
        <v>0.74946153383693048</v>
      </c>
      <c r="C161">
        <f t="shared" si="43"/>
        <v>0.71976223478822099</v>
      </c>
      <c r="D161">
        <f t="shared" si="37"/>
        <v>0.75053846616306952</v>
      </c>
      <c r="E161">
        <f t="shared" si="45"/>
        <v>0.78023776521177901</v>
      </c>
      <c r="F161">
        <f t="shared" si="46"/>
        <v>0.74970516649361763</v>
      </c>
      <c r="G161">
        <f t="shared" si="38"/>
        <v>0.75058071474656674</v>
      </c>
      <c r="H161">
        <f t="shared" si="48"/>
        <v>0.75058071474656674</v>
      </c>
      <c r="I161">
        <f t="shared" si="44"/>
        <v>0.75092553987691946</v>
      </c>
      <c r="J161">
        <f t="shared" si="39"/>
        <v>0.75087107211985005</v>
      </c>
      <c r="K161">
        <f t="shared" si="40"/>
        <v>0.72151780742721816</v>
      </c>
      <c r="L161">
        <f t="shared" si="41"/>
        <v>0.78022433681248193</v>
      </c>
      <c r="M161">
        <f t="shared" si="47"/>
        <v>0.75030851329230652</v>
      </c>
      <c r="N161">
        <f t="shared" si="50"/>
        <v>0.78023776521177901</v>
      </c>
      <c r="O161">
        <f t="shared" si="42"/>
        <v>0.71976223478822099</v>
      </c>
      <c r="P161" t="b">
        <f t="shared" si="49"/>
        <v>1</v>
      </c>
    </row>
    <row r="162" spans="1:16" x14ac:dyDescent="0.25">
      <c r="A162">
        <v>0.77500000000000002</v>
      </c>
      <c r="B162">
        <f t="shared" si="36"/>
        <v>0.74948544214783097</v>
      </c>
      <c r="C162">
        <f t="shared" si="43"/>
        <v>0.71980150729010461</v>
      </c>
      <c r="D162">
        <f t="shared" si="37"/>
        <v>0.75051455785216903</v>
      </c>
      <c r="E162">
        <f t="shared" si="45"/>
        <v>0.78019849270989539</v>
      </c>
      <c r="F162">
        <f t="shared" si="46"/>
        <v>0.7497182573275788</v>
      </c>
      <c r="G162">
        <f t="shared" si="38"/>
        <v>0.75055503006782498</v>
      </c>
      <c r="H162">
        <f t="shared" si="48"/>
        <v>0.75055503006782498</v>
      </c>
      <c r="I162">
        <f t="shared" si="44"/>
        <v>0.75090242768655979</v>
      </c>
      <c r="J162">
        <f t="shared" si="39"/>
        <v>0.75083254510173747</v>
      </c>
      <c r="K162">
        <f t="shared" si="40"/>
        <v>0.72147928040910558</v>
      </c>
      <c r="L162">
        <f t="shared" si="41"/>
        <v>0.78018580979436936</v>
      </c>
      <c r="M162">
        <f t="shared" si="47"/>
        <v>0.75030080922885323</v>
      </c>
      <c r="N162">
        <f t="shared" si="50"/>
        <v>0.78019849270989539</v>
      </c>
      <c r="O162">
        <f t="shared" si="42"/>
        <v>0.71980150729010461</v>
      </c>
      <c r="P162" t="b">
        <f t="shared" si="49"/>
        <v>1</v>
      </c>
    </row>
    <row r="163" spans="1:16" x14ac:dyDescent="0.25">
      <c r="A163">
        <v>0.78</v>
      </c>
      <c r="B163">
        <f t="shared" si="36"/>
        <v>0.74950828891137844</v>
      </c>
      <c r="C163">
        <f t="shared" si="43"/>
        <v>0.71983903606276389</v>
      </c>
      <c r="D163">
        <f t="shared" si="37"/>
        <v>0.75049171108862156</v>
      </c>
      <c r="E163">
        <f t="shared" si="45"/>
        <v>0.78016096393723611</v>
      </c>
      <c r="F163">
        <f t="shared" si="46"/>
        <v>0.7497307669184653</v>
      </c>
      <c r="G163">
        <f t="shared" si="38"/>
        <v>0.75052527129241764</v>
      </c>
      <c r="H163">
        <f t="shared" si="48"/>
        <v>0.75052527129241764</v>
      </c>
      <c r="I163">
        <f t="shared" si="44"/>
        <v>0.75087107211985005</v>
      </c>
      <c r="J163">
        <f t="shared" si="39"/>
        <v>0.7507879069386264</v>
      </c>
      <c r="K163">
        <f t="shared" si="40"/>
        <v>0.72143464224599452</v>
      </c>
      <c r="L163">
        <f t="shared" si="41"/>
        <v>0.78014117163125829</v>
      </c>
      <c r="M163">
        <f t="shared" si="47"/>
        <v>0.75029035737328331</v>
      </c>
      <c r="N163">
        <f t="shared" si="50"/>
        <v>0.78016096393723611</v>
      </c>
      <c r="O163">
        <f t="shared" si="42"/>
        <v>0.71983903606276389</v>
      </c>
      <c r="P163" t="b">
        <f t="shared" si="49"/>
        <v>1</v>
      </c>
    </row>
    <row r="164" spans="1:16" x14ac:dyDescent="0.25">
      <c r="A164">
        <v>0.78500000000000003</v>
      </c>
      <c r="B164">
        <f t="shared" si="36"/>
        <v>0.74953012126108998</v>
      </c>
      <c r="C164">
        <f t="shared" si="43"/>
        <v>0.71987489852911457</v>
      </c>
      <c r="D164">
        <f t="shared" si="37"/>
        <v>0.75046987873891002</v>
      </c>
      <c r="E164">
        <f t="shared" si="45"/>
        <v>0.78012510147088543</v>
      </c>
      <c r="F164">
        <f t="shared" si="46"/>
        <v>0.74974272107391549</v>
      </c>
      <c r="G164">
        <f t="shared" si="38"/>
        <v>0.75049213018916305</v>
      </c>
      <c r="H164">
        <f t="shared" si="48"/>
        <v>0.75049213018916305</v>
      </c>
      <c r="I164">
        <f t="shared" si="44"/>
        <v>0.75083254510173747</v>
      </c>
      <c r="J164">
        <f t="shared" si="39"/>
        <v>0.75073819528374464</v>
      </c>
      <c r="K164">
        <f t="shared" si="40"/>
        <v>0.72138493059111275</v>
      </c>
      <c r="L164">
        <f t="shared" si="41"/>
        <v>0.78009145997637652</v>
      </c>
      <c r="M164">
        <f t="shared" si="47"/>
        <v>0.75027751503391249</v>
      </c>
      <c r="N164">
        <f t="shared" si="50"/>
        <v>0.78012510147088543</v>
      </c>
      <c r="O164">
        <f t="shared" si="42"/>
        <v>0.71987489852911457</v>
      </c>
      <c r="P164" t="b">
        <f t="shared" si="49"/>
        <v>1</v>
      </c>
    </row>
    <row r="165" spans="1:16" x14ac:dyDescent="0.25">
      <c r="A165">
        <v>0.79</v>
      </c>
      <c r="B165">
        <f t="shared" si="36"/>
        <v>0.74955098423771849</v>
      </c>
      <c r="C165">
        <f t="shared" si="43"/>
        <v>0.71990916867443566</v>
      </c>
      <c r="D165">
        <f t="shared" si="37"/>
        <v>0.75044901576228151</v>
      </c>
      <c r="E165">
        <f t="shared" si="45"/>
        <v>0.78009083132556434</v>
      </c>
      <c r="F165">
        <f t="shared" si="46"/>
        <v>0.74975414445568922</v>
      </c>
      <c r="G165">
        <f t="shared" si="38"/>
        <v>0.75045627687863592</v>
      </c>
      <c r="H165">
        <f t="shared" si="48"/>
        <v>0.75045627687863592</v>
      </c>
      <c r="I165">
        <f t="shared" si="44"/>
        <v>0.7507879069386264</v>
      </c>
      <c r="J165">
        <f t="shared" si="39"/>
        <v>0.75068441531795382</v>
      </c>
      <c r="K165">
        <f t="shared" si="40"/>
        <v>0.72133115062532194</v>
      </c>
      <c r="L165">
        <f t="shared" si="41"/>
        <v>0.78003768001058571</v>
      </c>
      <c r="M165">
        <f t="shared" si="47"/>
        <v>0.75026263564620876</v>
      </c>
      <c r="N165">
        <f t="shared" si="50"/>
        <v>0.78009083132556434</v>
      </c>
      <c r="O165">
        <f t="shared" si="42"/>
        <v>0.71990916867443566</v>
      </c>
      <c r="P165" t="b">
        <f t="shared" si="49"/>
        <v>1</v>
      </c>
    </row>
    <row r="166" spans="1:16" x14ac:dyDescent="0.25">
      <c r="A166">
        <v>0.79500000000000004</v>
      </c>
      <c r="B166">
        <f t="shared" si="36"/>
        <v>0.74957092088217292</v>
      </c>
      <c r="C166">
        <f t="shared" si="43"/>
        <v>0.71994191719900302</v>
      </c>
      <c r="D166">
        <f t="shared" si="37"/>
        <v>0.75042907911782708</v>
      </c>
      <c r="E166">
        <f t="shared" si="45"/>
        <v>0.78005808280099698</v>
      </c>
      <c r="F166">
        <f t="shared" si="46"/>
        <v>0.74976506063054493</v>
      </c>
      <c r="G166">
        <f t="shared" si="38"/>
        <v>0.75041835410133195</v>
      </c>
      <c r="H166">
        <f t="shared" si="48"/>
        <v>0.75041835410133195</v>
      </c>
      <c r="I166">
        <f t="shared" si="44"/>
        <v>0.75073819528374464</v>
      </c>
      <c r="J166">
        <f t="shared" si="39"/>
        <v>0.75062753115199798</v>
      </c>
      <c r="K166">
        <f t="shared" si="40"/>
        <v>0.7212742664593661</v>
      </c>
      <c r="L166">
        <f t="shared" si="41"/>
        <v>0.77998079584462987</v>
      </c>
      <c r="M166">
        <f t="shared" si="47"/>
        <v>0.75024606509458158</v>
      </c>
      <c r="N166">
        <f t="shared" si="50"/>
        <v>0.78005808280099698</v>
      </c>
      <c r="O166">
        <f t="shared" si="42"/>
        <v>0.71994191719900302</v>
      </c>
      <c r="P166" t="b">
        <f t="shared" si="49"/>
        <v>1</v>
      </c>
    </row>
    <row r="167" spans="1:16" x14ac:dyDescent="0.25">
      <c r="A167">
        <v>0.8</v>
      </c>
      <c r="B167">
        <f t="shared" si="36"/>
        <v>0.74958997232431268</v>
      </c>
      <c r="C167">
        <f t="shared" si="43"/>
        <v>0.7199732116639459</v>
      </c>
      <c r="D167">
        <f t="shared" si="37"/>
        <v>0.75041002767568732</v>
      </c>
      <c r="E167">
        <f t="shared" si="45"/>
        <v>0.7800267883360541</v>
      </c>
      <c r="F167">
        <f t="shared" si="46"/>
        <v>0.7497754921188593</v>
      </c>
      <c r="G167">
        <f t="shared" si="38"/>
        <v>0.75037897229452621</v>
      </c>
      <c r="H167">
        <f t="shared" si="48"/>
        <v>0.75037897229452621</v>
      </c>
      <c r="I167">
        <f t="shared" si="44"/>
        <v>0.75068441531795382</v>
      </c>
      <c r="J167">
        <f t="shared" si="39"/>
        <v>0.75056845844178932</v>
      </c>
      <c r="K167">
        <f t="shared" si="40"/>
        <v>0.72121519374915743</v>
      </c>
      <c r="L167">
        <f t="shared" si="41"/>
        <v>0.77992172313442121</v>
      </c>
      <c r="M167">
        <f t="shared" si="47"/>
        <v>0.7502281384393179</v>
      </c>
      <c r="N167">
        <f t="shared" si="50"/>
        <v>0.7800267883360541</v>
      </c>
      <c r="O167">
        <f t="shared" si="42"/>
        <v>0.7199732116639459</v>
      </c>
      <c r="P167" t="b">
        <f t="shared" si="49"/>
        <v>1</v>
      </c>
    </row>
    <row r="168" spans="1:16" x14ac:dyDescent="0.25">
      <c r="A168">
        <v>0.80500000000000005</v>
      </c>
      <c r="B168">
        <f t="shared" si="36"/>
        <v>0.74960817786779987</v>
      </c>
      <c r="C168">
        <f t="shared" si="43"/>
        <v>0.72000311663062755</v>
      </c>
      <c r="D168">
        <f t="shared" si="37"/>
        <v>0.75039182213220013</v>
      </c>
      <c r="E168">
        <f t="shared" si="45"/>
        <v>0.77999688336937245</v>
      </c>
      <c r="F168">
        <f t="shared" si="46"/>
        <v>0.74978546044108652</v>
      </c>
      <c r="G168">
        <f t="shared" si="38"/>
        <v>0.75033870546352288</v>
      </c>
      <c r="H168">
        <f t="shared" si="48"/>
        <v>0.75033870546352288</v>
      </c>
      <c r="I168">
        <f t="shared" si="44"/>
        <v>0.75062753115199798</v>
      </c>
      <c r="J168">
        <f t="shared" si="39"/>
        <v>0.75050805819528432</v>
      </c>
      <c r="K168">
        <f t="shared" si="40"/>
        <v>0.72115479350265244</v>
      </c>
      <c r="L168">
        <f t="shared" si="41"/>
        <v>0.77986132288791621</v>
      </c>
      <c r="M168">
        <f t="shared" si="47"/>
        <v>0.75020917705066603</v>
      </c>
      <c r="N168">
        <f t="shared" si="50"/>
        <v>0.77999688336937245</v>
      </c>
      <c r="O168">
        <f t="shared" si="42"/>
        <v>0.72000311663062755</v>
      </c>
      <c r="P168" t="b">
        <f t="shared" si="49"/>
        <v>1</v>
      </c>
    </row>
    <row r="169" spans="1:16" x14ac:dyDescent="0.25">
      <c r="A169">
        <v>0.81</v>
      </c>
      <c r="B169">
        <f t="shared" si="36"/>
        <v>0.74962557507118388</v>
      </c>
      <c r="C169">
        <f t="shared" si="43"/>
        <v>0.72003169379383702</v>
      </c>
      <c r="D169">
        <f t="shared" si="37"/>
        <v>0.75037442492881612</v>
      </c>
      <c r="E169">
        <f t="shared" si="45"/>
        <v>0.77996830620616298</v>
      </c>
      <c r="F169">
        <f t="shared" si="46"/>
        <v>0.74979498616215634</v>
      </c>
      <c r="G169">
        <f t="shared" si="38"/>
        <v>0.75029808782521734</v>
      </c>
      <c r="H169">
        <f t="shared" si="48"/>
        <v>0.75029808782521734</v>
      </c>
      <c r="I169">
        <f t="shared" si="44"/>
        <v>0.75056845844178932</v>
      </c>
      <c r="J169">
        <f t="shared" si="39"/>
        <v>0.75044713173782596</v>
      </c>
      <c r="K169">
        <f t="shared" si="40"/>
        <v>0.72109386704519407</v>
      </c>
      <c r="L169">
        <f t="shared" si="41"/>
        <v>0.77980039643045784</v>
      </c>
      <c r="M169">
        <f t="shared" si="47"/>
        <v>0.75018948614726311</v>
      </c>
      <c r="N169">
        <f t="shared" si="50"/>
        <v>0.77996830620616298</v>
      </c>
      <c r="O169">
        <f t="shared" si="42"/>
        <v>0.72003169379383702</v>
      </c>
      <c r="P169" t="b">
        <f t="shared" si="49"/>
        <v>1</v>
      </c>
    </row>
    <row r="170" spans="1:16" x14ac:dyDescent="0.25">
      <c r="A170">
        <v>0.81499999999999995</v>
      </c>
      <c r="B170">
        <f t="shared" si="36"/>
        <v>0.74964219982538571</v>
      </c>
      <c r="C170">
        <f t="shared" si="43"/>
        <v>0.72005900210906781</v>
      </c>
      <c r="D170">
        <f t="shared" si="37"/>
        <v>0.75035780017461429</v>
      </c>
      <c r="E170">
        <f t="shared" si="45"/>
        <v>0.77994099789093219</v>
      </c>
      <c r="F170">
        <f t="shared" si="46"/>
        <v>0.74980408893389994</v>
      </c>
      <c r="G170">
        <f t="shared" si="38"/>
        <v>0.75025761119503398</v>
      </c>
      <c r="H170">
        <f t="shared" si="48"/>
        <v>0.75025761119503398</v>
      </c>
      <c r="I170">
        <f t="shared" si="44"/>
        <v>0.75050805819528432</v>
      </c>
      <c r="J170">
        <f t="shared" si="39"/>
        <v>0.75038641679255091</v>
      </c>
      <c r="K170">
        <f t="shared" si="40"/>
        <v>0.72103315209991903</v>
      </c>
      <c r="L170">
        <f t="shared" si="41"/>
        <v>0.7797396814851828</v>
      </c>
      <c r="M170">
        <f t="shared" si="47"/>
        <v>0.75016935273176144</v>
      </c>
      <c r="N170">
        <f t="shared" si="50"/>
        <v>0.77994099789093219</v>
      </c>
      <c r="O170">
        <f t="shared" si="42"/>
        <v>0.72005900210906781</v>
      </c>
      <c r="P170" t="b">
        <f t="shared" si="49"/>
        <v>1</v>
      </c>
    </row>
    <row r="171" spans="1:16" x14ac:dyDescent="0.25">
      <c r="A171">
        <v>0.82</v>
      </c>
      <c r="B171">
        <f t="shared" si="36"/>
        <v>0.74965808642774179</v>
      </c>
      <c r="C171">
        <f t="shared" si="43"/>
        <v>0.72008509791414388</v>
      </c>
      <c r="D171">
        <f t="shared" si="37"/>
        <v>0.75034191357225821</v>
      </c>
      <c r="E171">
        <f t="shared" si="45"/>
        <v>0.77991490208585612</v>
      </c>
      <c r="F171">
        <f t="shared" si="46"/>
        <v>0.74981278753559188</v>
      </c>
      <c r="G171">
        <f t="shared" si="38"/>
        <v>0.75021772308237289</v>
      </c>
      <c r="H171">
        <f t="shared" si="48"/>
        <v>0.75021772308237289</v>
      </c>
      <c r="I171">
        <f t="shared" si="44"/>
        <v>0.75044713173782596</v>
      </c>
      <c r="J171">
        <f t="shared" si="39"/>
        <v>0.75032658462355939</v>
      </c>
      <c r="K171">
        <f t="shared" si="40"/>
        <v>0.7209733199309275</v>
      </c>
      <c r="L171">
        <f t="shared" si="41"/>
        <v>0.77967984931619128</v>
      </c>
      <c r="M171">
        <f t="shared" si="47"/>
        <v>0.75014904391260862</v>
      </c>
      <c r="N171">
        <f t="shared" si="50"/>
        <v>0.77991490208585612</v>
      </c>
      <c r="O171">
        <f t="shared" si="42"/>
        <v>0.72008509791414388</v>
      </c>
      <c r="P171" t="b">
        <f t="shared" si="49"/>
        <v>1</v>
      </c>
    </row>
    <row r="172" spans="1:16" x14ac:dyDescent="0.25">
      <c r="A172">
        <v>0.82499999999999996</v>
      </c>
      <c r="B172">
        <f t="shared" si="36"/>
        <v>0.74967326765276077</v>
      </c>
      <c r="C172">
        <f t="shared" si="43"/>
        <v>0.72011003504544657</v>
      </c>
      <c r="D172">
        <f t="shared" si="37"/>
        <v>0.75032673234723923</v>
      </c>
      <c r="E172">
        <f t="shared" si="45"/>
        <v>0.77988996495455343</v>
      </c>
      <c r="F172">
        <f t="shared" si="46"/>
        <v>0.74982109991269286</v>
      </c>
      <c r="G172">
        <f t="shared" si="38"/>
        <v>0.75017882545467851</v>
      </c>
      <c r="H172">
        <f t="shared" si="48"/>
        <v>0.75017882545467851</v>
      </c>
      <c r="I172">
        <f t="shared" si="44"/>
        <v>0.75038641679255091</v>
      </c>
      <c r="J172">
        <f t="shared" si="39"/>
        <v>0.75026823818201782</v>
      </c>
      <c r="K172">
        <f t="shared" si="40"/>
        <v>0.72091497348938594</v>
      </c>
      <c r="L172">
        <f t="shared" si="41"/>
        <v>0.77962150287464971</v>
      </c>
      <c r="M172">
        <f t="shared" si="47"/>
        <v>0.75012880559751693</v>
      </c>
      <c r="N172">
        <f t="shared" si="50"/>
        <v>0.77988996495455343</v>
      </c>
      <c r="O172">
        <f t="shared" si="42"/>
        <v>0.72011003504544657</v>
      </c>
      <c r="P172" t="b">
        <f t="shared" si="49"/>
        <v>1</v>
      </c>
    </row>
    <row r="173" spans="1:16" x14ac:dyDescent="0.25">
      <c r="A173">
        <v>0.83</v>
      </c>
      <c r="B173">
        <f t="shared" si="36"/>
        <v>0.74968777481973758</v>
      </c>
      <c r="C173">
        <f t="shared" si="43"/>
        <v>0.7201338649489808</v>
      </c>
      <c r="D173">
        <f t="shared" si="37"/>
        <v>0.75031222518026242</v>
      </c>
      <c r="E173">
        <f t="shared" si="45"/>
        <v>0.7798661350510192</v>
      </c>
      <c r="F173">
        <f t="shared" si="46"/>
        <v>0.74982904321387089</v>
      </c>
      <c r="G173">
        <f t="shared" si="38"/>
        <v>0.75014127412611142</v>
      </c>
      <c r="H173">
        <f t="shared" si="48"/>
        <v>0.75014127412611142</v>
      </c>
      <c r="I173">
        <f t="shared" si="44"/>
        <v>0.75032658462355939</v>
      </c>
      <c r="J173">
        <f t="shared" si="39"/>
        <v>0.75021191118916719</v>
      </c>
      <c r="K173">
        <f t="shared" si="40"/>
        <v>0.7208586464965353</v>
      </c>
      <c r="L173">
        <f t="shared" si="41"/>
        <v>0.77956517588179908</v>
      </c>
      <c r="M173">
        <f t="shared" si="47"/>
        <v>0.7501088615411865</v>
      </c>
      <c r="N173">
        <f t="shared" si="50"/>
        <v>0.7798661350510192</v>
      </c>
      <c r="O173">
        <f t="shared" si="42"/>
        <v>0.7201338649489808</v>
      </c>
      <c r="P173" t="b">
        <f t="shared" si="49"/>
        <v>1</v>
      </c>
    </row>
    <row r="174" spans="1:16" x14ac:dyDescent="0.25">
      <c r="A174">
        <v>0.83499999999999996</v>
      </c>
      <c r="B174">
        <f t="shared" si="36"/>
        <v>0.74970163785736676</v>
      </c>
      <c r="C174">
        <f t="shared" si="43"/>
        <v>0.72015663678650921</v>
      </c>
      <c r="D174">
        <f t="shared" si="37"/>
        <v>0.75029836214263324</v>
      </c>
      <c r="E174">
        <f t="shared" si="45"/>
        <v>0.77984336321349079</v>
      </c>
      <c r="F174">
        <f t="shared" si="46"/>
        <v>0.74983663382638033</v>
      </c>
      <c r="G174">
        <f t="shared" si="38"/>
        <v>0.75010537872353389</v>
      </c>
      <c r="H174">
        <f t="shared" si="48"/>
        <v>0.75010537872353389</v>
      </c>
      <c r="I174">
        <f t="shared" si="44"/>
        <v>0.75026823818201782</v>
      </c>
      <c r="J174">
        <f t="shared" si="39"/>
        <v>0.75015806808530094</v>
      </c>
      <c r="K174">
        <f t="shared" si="40"/>
        <v>0.72080480339266906</v>
      </c>
      <c r="L174">
        <f t="shared" si="41"/>
        <v>0.77951133277793283</v>
      </c>
      <c r="M174">
        <f t="shared" si="47"/>
        <v>0.75008941272733931</v>
      </c>
      <c r="N174">
        <f t="shared" si="50"/>
        <v>0.77984336321349079</v>
      </c>
      <c r="O174">
        <f t="shared" si="42"/>
        <v>0.72015663678650921</v>
      </c>
      <c r="P174" t="b">
        <f t="shared" si="49"/>
        <v>1</v>
      </c>
    </row>
    <row r="175" spans="1:16" x14ac:dyDescent="0.25">
      <c r="A175">
        <v>0.84000000000000097</v>
      </c>
      <c r="B175">
        <f t="shared" si="36"/>
        <v>0.74971488536548569</v>
      </c>
      <c r="C175">
        <f t="shared" si="43"/>
        <v>0.72017839753697455</v>
      </c>
      <c r="D175">
        <f t="shared" si="37"/>
        <v>0.75028511463451431</v>
      </c>
      <c r="E175">
        <f t="shared" si="45"/>
        <v>0.77982160246302545</v>
      </c>
      <c r="F175">
        <f t="shared" si="46"/>
        <v>0.74984388740986885</v>
      </c>
      <c r="G175">
        <f t="shared" si="38"/>
        <v>0.75007140318006604</v>
      </c>
      <c r="H175">
        <f t="shared" si="48"/>
        <v>0.75007140318006604</v>
      </c>
      <c r="I175">
        <f t="shared" si="44"/>
        <v>0.75021191118916719</v>
      </c>
      <c r="J175">
        <f t="shared" si="39"/>
        <v>0.75010710477009901</v>
      </c>
      <c r="K175">
        <f t="shared" si="40"/>
        <v>0.72075384007746712</v>
      </c>
      <c r="L175">
        <f t="shared" si="41"/>
        <v>0.7794603694627309</v>
      </c>
      <c r="M175">
        <f t="shared" si="47"/>
        <v>0.75007063706305577</v>
      </c>
      <c r="N175">
        <f t="shared" si="50"/>
        <v>0.77982160246302545</v>
      </c>
      <c r="O175">
        <f t="shared" si="42"/>
        <v>0.72017839753697455</v>
      </c>
      <c r="P175" t="b">
        <f t="shared" si="49"/>
        <v>1</v>
      </c>
    </row>
    <row r="176" spans="1:16" x14ac:dyDescent="0.25">
      <c r="A176">
        <v>0.84500000000000097</v>
      </c>
      <c r="B176">
        <f t="shared" si="36"/>
        <v>0.74972754467407698</v>
      </c>
      <c r="C176">
        <f t="shared" si="43"/>
        <v>0.72019919209341832</v>
      </c>
      <c r="D176">
        <f t="shared" si="37"/>
        <v>0.75027245532592302</v>
      </c>
      <c r="E176">
        <f t="shared" si="45"/>
        <v>0.77980080790658168</v>
      </c>
      <c r="F176">
        <f t="shared" si="46"/>
        <v>0.74985081892868344</v>
      </c>
      <c r="G176">
        <f t="shared" si="38"/>
        <v>0.7500395667047981</v>
      </c>
      <c r="H176">
        <f t="shared" si="48"/>
        <v>0.7500395667047981</v>
      </c>
      <c r="I176">
        <f t="shared" si="44"/>
        <v>0.75015806808530094</v>
      </c>
      <c r="J176">
        <f t="shared" si="39"/>
        <v>0.75005935005719726</v>
      </c>
      <c r="K176">
        <f t="shared" si="40"/>
        <v>0.72070608536456537</v>
      </c>
      <c r="L176">
        <f t="shared" si="41"/>
        <v>0.77941261474982915</v>
      </c>
      <c r="M176">
        <f t="shared" si="47"/>
        <v>0.75005268936176694</v>
      </c>
      <c r="N176">
        <f t="shared" si="50"/>
        <v>0.77980080790658168</v>
      </c>
      <c r="O176">
        <f t="shared" si="42"/>
        <v>0.72019919209341832</v>
      </c>
      <c r="P176" t="b">
        <f t="shared" si="49"/>
        <v>1</v>
      </c>
    </row>
    <row r="177" spans="1:16" x14ac:dyDescent="0.25">
      <c r="A177">
        <v>0.85000000000000098</v>
      </c>
      <c r="B177">
        <f t="shared" si="36"/>
        <v>0.74973964189965103</v>
      </c>
      <c r="C177">
        <f t="shared" si="43"/>
        <v>0.7202190633555966</v>
      </c>
      <c r="D177">
        <f t="shared" si="37"/>
        <v>0.75026035810034897</v>
      </c>
      <c r="E177">
        <f t="shared" si="45"/>
        <v>0.7797809366444034</v>
      </c>
      <c r="F177">
        <f t="shared" si="46"/>
        <v>0.74985744268274279</v>
      </c>
      <c r="G177">
        <f t="shared" si="38"/>
        <v>0.75001004517630032</v>
      </c>
      <c r="H177">
        <f t="shared" si="48"/>
        <v>0.75001004517630032</v>
      </c>
      <c r="I177">
        <f t="shared" si="44"/>
        <v>0.75010710477009901</v>
      </c>
      <c r="J177">
        <f t="shared" si="39"/>
        <v>0.75001506776445048</v>
      </c>
      <c r="K177">
        <f t="shared" si="40"/>
        <v>0.7206618030718186</v>
      </c>
      <c r="L177">
        <f t="shared" si="41"/>
        <v>0.77936833245708237</v>
      </c>
      <c r="M177">
        <f t="shared" si="47"/>
        <v>0.75003570159003297</v>
      </c>
      <c r="N177">
        <f t="shared" si="50"/>
        <v>0.7797809366444034</v>
      </c>
      <c r="O177">
        <f t="shared" si="42"/>
        <v>0.7202190633555966</v>
      </c>
      <c r="P177" t="b">
        <f t="shared" si="49"/>
        <v>1</v>
      </c>
    </row>
    <row r="178" spans="1:16" x14ac:dyDescent="0.25">
      <c r="A178">
        <v>0.85500000000000098</v>
      </c>
      <c r="B178">
        <f t="shared" si="36"/>
        <v>0.74975120199912526</v>
      </c>
      <c r="C178">
        <f t="shared" si="43"/>
        <v>0.72023805231848348</v>
      </c>
      <c r="D178">
        <f t="shared" si="37"/>
        <v>0.75024879800087474</v>
      </c>
      <c r="E178">
        <f t="shared" si="45"/>
        <v>0.77976194768151652</v>
      </c>
      <c r="F178">
        <f t="shared" si="46"/>
        <v>0.74986377233703849</v>
      </c>
      <c r="G178">
        <f t="shared" si="38"/>
        <v>0.74998297290730209</v>
      </c>
      <c r="H178">
        <f t="shared" si="48"/>
        <v>0.74998297290730209</v>
      </c>
      <c r="I178">
        <f t="shared" si="44"/>
        <v>0.75005935005719726</v>
      </c>
      <c r="J178">
        <f t="shared" si="39"/>
        <v>0.74997445936095308</v>
      </c>
      <c r="K178">
        <f t="shared" si="40"/>
        <v>0.7206211946683212</v>
      </c>
      <c r="L178">
        <f t="shared" si="41"/>
        <v>0.77932772405358497</v>
      </c>
      <c r="M178">
        <f t="shared" si="47"/>
        <v>0.75001978335239905</v>
      </c>
      <c r="N178">
        <f t="shared" si="50"/>
        <v>0.77976194768151652</v>
      </c>
      <c r="O178">
        <f t="shared" si="42"/>
        <v>0.72023805231848348</v>
      </c>
      <c r="P178" t="b">
        <f t="shared" si="49"/>
        <v>1</v>
      </c>
    </row>
    <row r="179" spans="1:16" x14ac:dyDescent="0.25">
      <c r="A179">
        <v>0.86000000000000099</v>
      </c>
      <c r="B179">
        <f t="shared" si="36"/>
        <v>0.74976224882131071</v>
      </c>
      <c r="C179">
        <f t="shared" si="43"/>
        <v>0.72025619815684461</v>
      </c>
      <c r="D179">
        <f t="shared" si="37"/>
        <v>0.75023775117868929</v>
      </c>
      <c r="E179">
        <f t="shared" si="45"/>
        <v>0.77974380184315539</v>
      </c>
      <c r="F179">
        <f t="shared" si="46"/>
        <v>0.74986982094982546</v>
      </c>
      <c r="G179">
        <f t="shared" si="38"/>
        <v>0.74995844472826978</v>
      </c>
      <c r="H179">
        <f t="shared" si="48"/>
        <v>0.74995844472826978</v>
      </c>
      <c r="I179">
        <f t="shared" si="44"/>
        <v>0.75001506776445048</v>
      </c>
      <c r="J179">
        <f t="shared" si="39"/>
        <v>0.74993766709240461</v>
      </c>
      <c r="K179">
        <f t="shared" si="40"/>
        <v>0.72058440239977273</v>
      </c>
      <c r="L179">
        <f t="shared" si="41"/>
        <v>0.7792909317850365</v>
      </c>
      <c r="M179">
        <f t="shared" si="47"/>
        <v>0.75000502258815016</v>
      </c>
      <c r="N179">
        <f t="shared" si="50"/>
        <v>0.77974380184315539</v>
      </c>
      <c r="O179">
        <f t="shared" si="42"/>
        <v>0.72025619815684461</v>
      </c>
      <c r="P179" t="b">
        <f t="shared" si="49"/>
        <v>1</v>
      </c>
    </row>
    <row r="180" spans="1:16" x14ac:dyDescent="0.25">
      <c r="A180">
        <v>0.86500000000000099</v>
      </c>
      <c r="B180">
        <f t="shared" si="36"/>
        <v>0.749772805156113</v>
      </c>
      <c r="C180">
        <f t="shared" si="43"/>
        <v>0.720273538306056</v>
      </c>
      <c r="D180">
        <f t="shared" si="37"/>
        <v>0.750227194843887</v>
      </c>
      <c r="E180">
        <f t="shared" si="45"/>
        <v>0.779726461693944</v>
      </c>
      <c r="F180">
        <f t="shared" si="46"/>
        <v>0.74987560099956263</v>
      </c>
      <c r="G180">
        <f t="shared" si="38"/>
        <v>0.74993651833852548</v>
      </c>
      <c r="H180">
        <f t="shared" si="48"/>
        <v>0.74993651833852548</v>
      </c>
      <c r="I180">
        <f t="shared" si="44"/>
        <v>0.74997445936095308</v>
      </c>
      <c r="J180">
        <f t="shared" si="39"/>
        <v>0.74990477750778817</v>
      </c>
      <c r="K180">
        <f t="shared" si="40"/>
        <v>0.72055151281515628</v>
      </c>
      <c r="L180">
        <f t="shared" si="41"/>
        <v>0.77925804220042005</v>
      </c>
      <c r="M180">
        <f t="shared" si="47"/>
        <v>0.74999148645365099</v>
      </c>
      <c r="N180">
        <f t="shared" si="50"/>
        <v>0.779726461693944</v>
      </c>
      <c r="O180">
        <f t="shared" si="42"/>
        <v>0.720273538306056</v>
      </c>
      <c r="P180" t="b">
        <f t="shared" si="49"/>
        <v>1</v>
      </c>
    </row>
    <row r="181" spans="1:16" x14ac:dyDescent="0.25">
      <c r="A181">
        <v>0.87000000000000099</v>
      </c>
      <c r="B181">
        <f t="shared" si="36"/>
        <v>0.7497828927815483</v>
      </c>
      <c r="C181">
        <f t="shared" si="43"/>
        <v>0.72029010853933428</v>
      </c>
      <c r="D181">
        <f t="shared" si="37"/>
        <v>0.7502171072184517</v>
      </c>
      <c r="E181">
        <f t="shared" si="45"/>
        <v>0.77970989146066572</v>
      </c>
      <c r="F181">
        <f t="shared" si="46"/>
        <v>0.74988112441065535</v>
      </c>
      <c r="G181">
        <f t="shared" si="38"/>
        <v>0.74991721687497126</v>
      </c>
      <c r="H181">
        <f t="shared" si="48"/>
        <v>0.74991721687497126</v>
      </c>
      <c r="I181">
        <f t="shared" si="44"/>
        <v>0.74993766709240461</v>
      </c>
      <c r="J181">
        <f t="shared" si="39"/>
        <v>0.74987582531245689</v>
      </c>
      <c r="K181">
        <f t="shared" si="40"/>
        <v>0.720522560619825</v>
      </c>
      <c r="L181">
        <f t="shared" si="41"/>
        <v>0.77922909000508878</v>
      </c>
      <c r="M181">
        <f t="shared" si="47"/>
        <v>0.74997922236413483</v>
      </c>
      <c r="N181">
        <f t="shared" si="50"/>
        <v>0.77970989146066572</v>
      </c>
      <c r="O181">
        <f t="shared" si="42"/>
        <v>0.72029010853933428</v>
      </c>
      <c r="P181" t="b">
        <f t="shared" si="49"/>
        <v>1</v>
      </c>
    </row>
    <row r="182" spans="1:16" x14ac:dyDescent="0.25">
      <c r="A182">
        <v>0.875000000000001</v>
      </c>
      <c r="B182">
        <f t="shared" si="36"/>
        <v>0.74979253250867228</v>
      </c>
      <c r="C182">
        <f t="shared" si="43"/>
        <v>0.72030594304153761</v>
      </c>
      <c r="D182">
        <f t="shared" si="37"/>
        <v>0.75020746749132772</v>
      </c>
      <c r="E182">
        <f t="shared" si="45"/>
        <v>0.77969405695846239</v>
      </c>
      <c r="F182">
        <f t="shared" si="46"/>
        <v>0.7498864025780565</v>
      </c>
      <c r="G182">
        <f t="shared" si="38"/>
        <v>0.74990053165034798</v>
      </c>
      <c r="H182">
        <f t="shared" si="48"/>
        <v>0.74990053165034798</v>
      </c>
      <c r="I182">
        <f t="shared" si="44"/>
        <v>0.74990477750778817</v>
      </c>
      <c r="J182">
        <f t="shared" si="39"/>
        <v>0.74985079747552197</v>
      </c>
      <c r="K182">
        <f t="shared" si="40"/>
        <v>0.72049753278289008</v>
      </c>
      <c r="L182">
        <f t="shared" si="41"/>
        <v>0.77920406216815385</v>
      </c>
      <c r="M182">
        <f t="shared" si="47"/>
        <v>0.74996825916926269</v>
      </c>
      <c r="N182">
        <f t="shared" si="50"/>
        <v>0.77969405695846239</v>
      </c>
      <c r="O182">
        <f t="shared" si="42"/>
        <v>0.72030594304153761</v>
      </c>
      <c r="P182" t="b">
        <f t="shared" si="49"/>
        <v>1</v>
      </c>
    </row>
    <row r="183" spans="1:16" x14ac:dyDescent="0.25">
      <c r="A183">
        <v>0.880000000000001</v>
      </c>
      <c r="B183">
        <f t="shared" si="36"/>
        <v>0.74980174422451373</v>
      </c>
      <c r="C183">
        <f t="shared" si="43"/>
        <v>0.72032107447969063</v>
      </c>
      <c r="D183">
        <f t="shared" si="37"/>
        <v>0.75019825577548627</v>
      </c>
      <c r="E183">
        <f t="shared" si="45"/>
        <v>0.77967892552030937</v>
      </c>
      <c r="F183">
        <f t="shared" si="46"/>
        <v>0.74989144639077421</v>
      </c>
      <c r="G183">
        <f t="shared" si="38"/>
        <v>0.74988642501520419</v>
      </c>
      <c r="H183">
        <f t="shared" si="48"/>
        <v>0.74988642501520419</v>
      </c>
      <c r="I183">
        <f t="shared" si="44"/>
        <v>0.74987582531245689</v>
      </c>
      <c r="J183">
        <f t="shared" si="39"/>
        <v>0.7498296375228064</v>
      </c>
      <c r="K183">
        <f t="shared" si="40"/>
        <v>0.72047637283017452</v>
      </c>
      <c r="L183">
        <f t="shared" si="41"/>
        <v>0.77918290221543829</v>
      </c>
      <c r="M183">
        <f t="shared" si="47"/>
        <v>0.74995860843748563</v>
      </c>
      <c r="N183">
        <f t="shared" si="50"/>
        <v>0.77967892552030937</v>
      </c>
      <c r="O183">
        <f t="shared" si="42"/>
        <v>0.72032107447969063</v>
      </c>
      <c r="P183" t="b">
        <f t="shared" si="49"/>
        <v>1</v>
      </c>
    </row>
    <row r="184" spans="1:16" x14ac:dyDescent="0.25">
      <c r="A184">
        <v>0.88500000000000101</v>
      </c>
      <c r="B184">
        <f t="shared" si="36"/>
        <v>0.74981054693310201</v>
      </c>
      <c r="C184">
        <f t="shared" si="43"/>
        <v>0.72033553407037654</v>
      </c>
      <c r="D184">
        <f t="shared" si="37"/>
        <v>0.75018945306689799</v>
      </c>
      <c r="E184">
        <f t="shared" si="45"/>
        <v>0.77966446592962346</v>
      </c>
      <c r="F184">
        <f t="shared" si="46"/>
        <v>0.74989626625433614</v>
      </c>
      <c r="G184">
        <f t="shared" si="38"/>
        <v>0.74987483330032767</v>
      </c>
      <c r="H184">
        <f t="shared" si="48"/>
        <v>0.74987483330032767</v>
      </c>
      <c r="I184">
        <f t="shared" si="44"/>
        <v>0.74985079747552197</v>
      </c>
      <c r="J184">
        <f t="shared" si="39"/>
        <v>0.74981224995049145</v>
      </c>
      <c r="K184">
        <f t="shared" si="40"/>
        <v>0.72045898525785956</v>
      </c>
      <c r="L184">
        <f t="shared" si="41"/>
        <v>0.77916551464312334</v>
      </c>
      <c r="M184">
        <f t="shared" si="47"/>
        <v>0.74995026582517399</v>
      </c>
      <c r="N184">
        <f t="shared" si="50"/>
        <v>0.77966446592962346</v>
      </c>
      <c r="O184">
        <f t="shared" si="42"/>
        <v>0.72033553407037654</v>
      </c>
      <c r="P184" t="b">
        <f t="shared" si="49"/>
        <v>1</v>
      </c>
    </row>
    <row r="185" spans="1:16" x14ac:dyDescent="0.25">
      <c r="A185">
        <v>0.89000000000000101</v>
      </c>
      <c r="B185">
        <f t="shared" si="36"/>
        <v>0.74981895879467308</v>
      </c>
      <c r="C185">
        <f t="shared" si="43"/>
        <v>0.72034935164413871</v>
      </c>
      <c r="D185">
        <f t="shared" si="37"/>
        <v>0.75018104120532692</v>
      </c>
      <c r="E185">
        <f t="shared" si="45"/>
        <v>0.77965064835586129</v>
      </c>
      <c r="F185">
        <f t="shared" si="46"/>
        <v>0.74990087211225687</v>
      </c>
      <c r="G185">
        <f t="shared" si="38"/>
        <v>0.74986566979922908</v>
      </c>
      <c r="H185">
        <f t="shared" si="48"/>
        <v>0.74986566979922908</v>
      </c>
      <c r="I185">
        <f t="shared" si="44"/>
        <v>0.7498296375228064</v>
      </c>
      <c r="J185">
        <f t="shared" si="39"/>
        <v>0.74979850469884368</v>
      </c>
      <c r="K185">
        <f t="shared" si="40"/>
        <v>0.7204452400062118</v>
      </c>
      <c r="L185">
        <f t="shared" si="41"/>
        <v>0.77915176939147557</v>
      </c>
      <c r="M185">
        <f t="shared" si="47"/>
        <v>0.7499432125076021</v>
      </c>
      <c r="N185">
        <f t="shared" si="50"/>
        <v>0.77965064835586129</v>
      </c>
      <c r="O185">
        <f t="shared" si="42"/>
        <v>0.72034935164413871</v>
      </c>
      <c r="P185" t="b">
        <f t="shared" si="49"/>
        <v>1</v>
      </c>
    </row>
    <row r="186" spans="1:16" x14ac:dyDescent="0.25">
      <c r="A186">
        <v>0.89500000000000102</v>
      </c>
      <c r="B186">
        <f t="shared" si="36"/>
        <v>0.7498269971631345</v>
      </c>
      <c r="C186">
        <f t="shared" si="43"/>
        <v>0.72036255570702112</v>
      </c>
      <c r="D186">
        <f t="shared" si="37"/>
        <v>0.7501730028368655</v>
      </c>
      <c r="E186">
        <f t="shared" si="45"/>
        <v>0.77963744429297888</v>
      </c>
      <c r="F186">
        <f t="shared" si="46"/>
        <v>0.749905273466551</v>
      </c>
      <c r="G186">
        <f t="shared" si="38"/>
        <v>0.74985882775332624</v>
      </c>
      <c r="H186">
        <f t="shared" si="48"/>
        <v>0.74985882775332624</v>
      </c>
      <c r="I186">
        <f t="shared" si="44"/>
        <v>0.74981224995049145</v>
      </c>
      <c r="J186">
        <f t="shared" si="39"/>
        <v>0.74978824162998936</v>
      </c>
      <c r="K186">
        <f t="shared" si="40"/>
        <v>0.72043497693735747</v>
      </c>
      <c r="L186">
        <f t="shared" si="41"/>
        <v>0.77914150632262125</v>
      </c>
      <c r="M186">
        <f t="shared" si="47"/>
        <v>0.74993741665016378</v>
      </c>
      <c r="N186">
        <f t="shared" si="50"/>
        <v>0.77963744429297888</v>
      </c>
      <c r="O186">
        <f t="shared" si="42"/>
        <v>0.72036255570702112</v>
      </c>
      <c r="P186" t="b">
        <f t="shared" si="49"/>
        <v>1</v>
      </c>
    </row>
    <row r="187" spans="1:16" x14ac:dyDescent="0.25">
      <c r="A187">
        <v>0.90000000000000102</v>
      </c>
      <c r="B187">
        <f t="shared" si="36"/>
        <v>0.74983467862186692</v>
      </c>
      <c r="C187">
        <f t="shared" si="43"/>
        <v>0.72037517349937774</v>
      </c>
      <c r="D187">
        <f t="shared" si="37"/>
        <v>0.75016532137813308</v>
      </c>
      <c r="E187">
        <f t="shared" si="45"/>
        <v>0.77962482650062226</v>
      </c>
      <c r="F187">
        <f t="shared" si="46"/>
        <v>0.74990947939733654</v>
      </c>
      <c r="G187">
        <f t="shared" si="38"/>
        <v>0.74985418330568432</v>
      </c>
      <c r="H187">
        <f t="shared" si="48"/>
        <v>0.74985418330568432</v>
      </c>
      <c r="I187">
        <f t="shared" si="44"/>
        <v>0.74979850469884368</v>
      </c>
      <c r="J187">
        <f t="shared" si="39"/>
        <v>0.74978127495852642</v>
      </c>
      <c r="K187">
        <f t="shared" si="40"/>
        <v>0.72042801026589454</v>
      </c>
      <c r="L187">
        <f t="shared" si="41"/>
        <v>0.77913453965115831</v>
      </c>
      <c r="M187">
        <f t="shared" si="47"/>
        <v>0.7499328348996146</v>
      </c>
      <c r="N187">
        <f t="shared" si="50"/>
        <v>0.77962482650062226</v>
      </c>
      <c r="O187">
        <f t="shared" si="42"/>
        <v>0.72037517349937774</v>
      </c>
      <c r="P187" t="b">
        <f t="shared" si="49"/>
        <v>1</v>
      </c>
    </row>
    <row r="188" spans="1:16" x14ac:dyDescent="0.25">
      <c r="A188">
        <v>0.90500000000000103</v>
      </c>
      <c r="B188">
        <f t="shared" si="36"/>
        <v>0.74984201901793635</v>
      </c>
      <c r="C188">
        <f t="shared" si="43"/>
        <v>0.72038723105206981</v>
      </c>
      <c r="D188">
        <f t="shared" si="37"/>
        <v>0.75015798098206365</v>
      </c>
      <c r="E188">
        <f t="shared" si="45"/>
        <v>0.77961276894793019</v>
      </c>
      <c r="F188">
        <f t="shared" si="46"/>
        <v>0.74991349858156719</v>
      </c>
      <c r="G188">
        <f t="shared" si="38"/>
        <v>0.74985159839249527</v>
      </c>
      <c r="H188">
        <f t="shared" si="48"/>
        <v>0.74985159839249527</v>
      </c>
      <c r="I188">
        <f t="shared" si="44"/>
        <v>0.74978824162998936</v>
      </c>
      <c r="J188">
        <f t="shared" si="39"/>
        <v>0.74977739758874284</v>
      </c>
      <c r="K188">
        <f t="shared" si="40"/>
        <v>0.72042413289611096</v>
      </c>
      <c r="L188">
        <f t="shared" si="41"/>
        <v>0.77913066228137473</v>
      </c>
      <c r="M188">
        <f t="shared" si="47"/>
        <v>0.74992941387666312</v>
      </c>
      <c r="N188">
        <f t="shared" si="50"/>
        <v>0.77961276894793019</v>
      </c>
      <c r="O188">
        <f t="shared" si="42"/>
        <v>0.72038723105206981</v>
      </c>
      <c r="P188" t="b">
        <f t="shared" si="49"/>
        <v>1</v>
      </c>
    </row>
    <row r="189" spans="1:16" x14ac:dyDescent="0.25">
      <c r="A189">
        <v>0.91000000000000103</v>
      </c>
      <c r="B189">
        <f t="shared" si="36"/>
        <v>0.74984903349478671</v>
      </c>
      <c r="C189">
        <f t="shared" si="43"/>
        <v>0.72039875324016855</v>
      </c>
      <c r="D189">
        <f t="shared" si="37"/>
        <v>0.75015096650521329</v>
      </c>
      <c r="E189">
        <f t="shared" si="45"/>
        <v>0.77960124675983145</v>
      </c>
      <c r="F189">
        <f t="shared" si="46"/>
        <v>0.74991733931093352</v>
      </c>
      <c r="G189">
        <f t="shared" si="38"/>
        <v>0.74985092354485716</v>
      </c>
      <c r="H189">
        <f t="shared" si="48"/>
        <v>0.74985092354485716</v>
      </c>
      <c r="I189">
        <f t="shared" si="44"/>
        <v>0.74978127495852642</v>
      </c>
      <c r="J189">
        <f t="shared" si="39"/>
        <v>0.74977638531728574</v>
      </c>
      <c r="K189">
        <f t="shared" si="40"/>
        <v>0.72042312062465386</v>
      </c>
      <c r="L189">
        <f t="shared" si="41"/>
        <v>0.77912965000991763</v>
      </c>
      <c r="M189">
        <f t="shared" si="47"/>
        <v>0.7499270916528421</v>
      </c>
      <c r="N189">
        <f t="shared" si="50"/>
        <v>0.77960124675983145</v>
      </c>
      <c r="O189">
        <f t="shared" si="42"/>
        <v>0.72039875324016855</v>
      </c>
      <c r="P189" t="b">
        <f t="shared" si="49"/>
        <v>1</v>
      </c>
    </row>
    <row r="190" spans="1:16" x14ac:dyDescent="0.25">
      <c r="A190">
        <v>0.91500000000000103</v>
      </c>
      <c r="B190">
        <f t="shared" si="36"/>
        <v>0.74985573652348136</v>
      </c>
      <c r="C190">
        <f t="shared" si="43"/>
        <v>0.72040976383427258</v>
      </c>
      <c r="D190">
        <f t="shared" si="37"/>
        <v>0.75014426347651864</v>
      </c>
      <c r="E190">
        <f t="shared" si="45"/>
        <v>0.77959023616572742</v>
      </c>
      <c r="F190">
        <f t="shared" si="46"/>
        <v>0.74992100950896812</v>
      </c>
      <c r="G190">
        <f t="shared" si="38"/>
        <v>0.74985200057682044</v>
      </c>
      <c r="H190">
        <f t="shared" si="48"/>
        <v>0.74985200057682044</v>
      </c>
      <c r="I190">
        <f t="shared" si="44"/>
        <v>0.74977739758874284</v>
      </c>
      <c r="J190">
        <f t="shared" si="39"/>
        <v>0.74977800086523061</v>
      </c>
      <c r="K190">
        <f t="shared" si="40"/>
        <v>0.72042473617259872</v>
      </c>
      <c r="L190">
        <f t="shared" si="41"/>
        <v>0.7791312655578625</v>
      </c>
      <c r="M190">
        <f t="shared" si="47"/>
        <v>0.74992579919624758</v>
      </c>
      <c r="N190">
        <f t="shared" si="50"/>
        <v>0.77959023616572742</v>
      </c>
      <c r="O190">
        <f t="shared" si="42"/>
        <v>0.72040976383427258</v>
      </c>
      <c r="P190" t="b">
        <f t="shared" si="49"/>
        <v>1</v>
      </c>
    </row>
    <row r="191" spans="1:16" x14ac:dyDescent="0.25">
      <c r="A191">
        <v>0.92000000000000104</v>
      </c>
      <c r="B191">
        <f t="shared" si="36"/>
        <v>0.74986214193255762</v>
      </c>
      <c r="C191">
        <f t="shared" si="43"/>
        <v>0.72042028554954807</v>
      </c>
      <c r="D191">
        <f t="shared" si="37"/>
        <v>0.75013785806744238</v>
      </c>
      <c r="E191">
        <f t="shared" si="45"/>
        <v>0.77957971445045193</v>
      </c>
      <c r="F191">
        <f t="shared" si="46"/>
        <v>0.74992451674739335</v>
      </c>
      <c r="G191">
        <f t="shared" si="38"/>
        <v>0.74985466513904186</v>
      </c>
      <c r="H191">
        <f t="shared" si="48"/>
        <v>0.74985466513904186</v>
      </c>
      <c r="I191">
        <f t="shared" si="44"/>
        <v>0.74977638531728574</v>
      </c>
      <c r="J191">
        <f t="shared" si="39"/>
        <v>0.7497819977085628</v>
      </c>
      <c r="K191">
        <f t="shared" si="40"/>
        <v>0.72042873301593091</v>
      </c>
      <c r="L191">
        <f t="shared" si="41"/>
        <v>0.77913526240119468</v>
      </c>
      <c r="M191">
        <f t="shared" si="47"/>
        <v>0.74992546177242858</v>
      </c>
      <c r="N191">
        <f t="shared" si="50"/>
        <v>0.77957971445045193</v>
      </c>
      <c r="O191">
        <f t="shared" si="42"/>
        <v>0.72042028554954807</v>
      </c>
      <c r="P191" t="b">
        <f t="shared" si="49"/>
        <v>1</v>
      </c>
    </row>
    <row r="192" spans="1:16" x14ac:dyDescent="0.25">
      <c r="A192">
        <v>0.92500000000000104</v>
      </c>
      <c r="B192">
        <f t="shared" si="36"/>
        <v>0.74986826293655495</v>
      </c>
      <c r="C192">
        <f t="shared" si="43"/>
        <v>0.72043034009259022</v>
      </c>
      <c r="D192">
        <f t="shared" si="37"/>
        <v>0.75013173706344505</v>
      </c>
      <c r="E192">
        <f t="shared" si="45"/>
        <v>0.77956965990740978</v>
      </c>
      <c r="F192">
        <f t="shared" si="46"/>
        <v>0.74992786826174074</v>
      </c>
      <c r="G192">
        <f t="shared" si="38"/>
        <v>0.74985874912071271</v>
      </c>
      <c r="H192">
        <f t="shared" si="48"/>
        <v>0.74985874912071271</v>
      </c>
      <c r="I192">
        <f t="shared" si="44"/>
        <v>0.74977800086523061</v>
      </c>
      <c r="J192">
        <f t="shared" si="39"/>
        <v>0.74978812368106906</v>
      </c>
      <c r="K192">
        <f t="shared" si="40"/>
        <v>0.72043485898843718</v>
      </c>
      <c r="L192">
        <f t="shared" si="41"/>
        <v>0.77914138837370095</v>
      </c>
      <c r="M192">
        <f t="shared" si="47"/>
        <v>0.74992600028841017</v>
      </c>
      <c r="N192">
        <f t="shared" si="50"/>
        <v>0.77956965990740978</v>
      </c>
      <c r="O192">
        <f t="shared" si="42"/>
        <v>0.72043034009259022</v>
      </c>
      <c r="P192" t="b">
        <f t="shared" si="49"/>
        <v>1</v>
      </c>
    </row>
    <row r="193" spans="1:16" x14ac:dyDescent="0.25">
      <c r="A193">
        <v>0.93000000000000105</v>
      </c>
      <c r="B193">
        <f t="shared" si="36"/>
        <v>0.74987411216327704</v>
      </c>
      <c r="C193">
        <f t="shared" si="43"/>
        <v>0.72043994820620461</v>
      </c>
      <c r="D193">
        <f t="shared" si="37"/>
        <v>0.75012588783672296</v>
      </c>
      <c r="E193">
        <f t="shared" si="45"/>
        <v>0.77956005179379539</v>
      </c>
      <c r="F193">
        <f t="shared" si="46"/>
        <v>0.74993107096627887</v>
      </c>
      <c r="G193">
        <f t="shared" si="38"/>
        <v>0.74986408288565065</v>
      </c>
      <c r="H193">
        <f t="shared" si="48"/>
        <v>0.74986408288565065</v>
      </c>
      <c r="I193">
        <f t="shared" si="44"/>
        <v>0.7497819977085628</v>
      </c>
      <c r="J193">
        <f t="shared" si="39"/>
        <v>0.74979612432847587</v>
      </c>
      <c r="K193">
        <f t="shared" si="40"/>
        <v>0.72044285963584398</v>
      </c>
      <c r="L193">
        <f t="shared" si="41"/>
        <v>0.77914938902110775</v>
      </c>
      <c r="M193">
        <f t="shared" si="47"/>
        <v>0.74992733256952093</v>
      </c>
      <c r="N193">
        <f t="shared" si="50"/>
        <v>0.77956005179379539</v>
      </c>
      <c r="O193">
        <f t="shared" si="42"/>
        <v>0.72043994820620461</v>
      </c>
      <c r="P193" t="b">
        <f t="shared" si="49"/>
        <v>1</v>
      </c>
    </row>
    <row r="194" spans="1:16" x14ac:dyDescent="0.25">
      <c r="A194">
        <v>0.93500000000000105</v>
      </c>
      <c r="B194">
        <f t="shared" si="36"/>
        <v>0.74987970167984352</v>
      </c>
      <c r="C194">
        <f t="shared" si="43"/>
        <v>0.72044912971220054</v>
      </c>
      <c r="D194">
        <f t="shared" si="37"/>
        <v>0.75012029832015648</v>
      </c>
      <c r="E194">
        <f t="shared" si="45"/>
        <v>0.77955087028779946</v>
      </c>
      <c r="F194">
        <f t="shared" si="46"/>
        <v>0.74993413146827748</v>
      </c>
      <c r="G194">
        <f t="shared" si="38"/>
        <v>0.74987049733155819</v>
      </c>
      <c r="H194">
        <f t="shared" si="48"/>
        <v>0.74987049733155819</v>
      </c>
      <c r="I194">
        <f t="shared" si="44"/>
        <v>0.74978812368106906</v>
      </c>
      <c r="J194">
        <f t="shared" si="39"/>
        <v>0.74980574599733729</v>
      </c>
      <c r="K194">
        <f t="shared" si="40"/>
        <v>0.72045248130470541</v>
      </c>
      <c r="L194">
        <f t="shared" si="41"/>
        <v>0.77915901068996918</v>
      </c>
      <c r="M194">
        <f t="shared" si="47"/>
        <v>0.74992937456035635</v>
      </c>
      <c r="N194">
        <f t="shared" si="50"/>
        <v>0.77955087028779946</v>
      </c>
      <c r="O194">
        <f t="shared" si="42"/>
        <v>0.72044912971220054</v>
      </c>
      <c r="P194" t="b">
        <f t="shared" si="49"/>
        <v>1</v>
      </c>
    </row>
    <row r="195" spans="1:16" x14ac:dyDescent="0.25">
      <c r="A195">
        <v>0.94000000000000095</v>
      </c>
      <c r="B195">
        <f t="shared" si="36"/>
        <v>0.74988504301758463</v>
      </c>
      <c r="C195">
        <f t="shared" si="43"/>
        <v>0.72045790355228367</v>
      </c>
      <c r="D195">
        <f t="shared" si="37"/>
        <v>0.75011495698241537</v>
      </c>
      <c r="E195">
        <f t="shared" si="45"/>
        <v>0.77954209644771633</v>
      </c>
      <c r="F195">
        <f t="shared" si="46"/>
        <v>0.74993705608163852</v>
      </c>
      <c r="G195">
        <f t="shared" si="38"/>
        <v>0.74987782576441109</v>
      </c>
      <c r="H195">
        <f t="shared" si="48"/>
        <v>0.74987782576441109</v>
      </c>
      <c r="I195">
        <f t="shared" si="44"/>
        <v>0.74979612432847587</v>
      </c>
      <c r="J195">
        <f t="shared" si="39"/>
        <v>0.74981673864661669</v>
      </c>
      <c r="K195">
        <f t="shared" si="40"/>
        <v>0.7204634739539848</v>
      </c>
      <c r="L195">
        <f t="shared" si="41"/>
        <v>0.77917000333924857</v>
      </c>
      <c r="M195">
        <f t="shared" si="47"/>
        <v>0.74993204144282533</v>
      </c>
      <c r="N195">
        <f t="shared" si="50"/>
        <v>0.77954209644771633</v>
      </c>
      <c r="O195">
        <f t="shared" si="42"/>
        <v>0.72045790355228367</v>
      </c>
      <c r="P195" t="b">
        <f t="shared" si="49"/>
        <v>1</v>
      </c>
    </row>
    <row r="196" spans="1:16" x14ac:dyDescent="0.25">
      <c r="A196">
        <v>0.94500000000000095</v>
      </c>
      <c r="B196">
        <f t="shared" si="36"/>
        <v>0.74989014719583069</v>
      </c>
      <c r="C196">
        <f t="shared" si="43"/>
        <v>0.7204662878271334</v>
      </c>
      <c r="D196">
        <f t="shared" si="37"/>
        <v>0.75010985280416931</v>
      </c>
      <c r="E196">
        <f t="shared" si="45"/>
        <v>0.7795337121728666</v>
      </c>
      <c r="F196">
        <f t="shared" si="46"/>
        <v>0.74993985083992176</v>
      </c>
      <c r="G196">
        <f t="shared" si="38"/>
        <v>0.74988590558273904</v>
      </c>
      <c r="H196">
        <f t="shared" si="48"/>
        <v>0.74988590558273904</v>
      </c>
      <c r="I196">
        <f t="shared" si="44"/>
        <v>0.74980574599733729</v>
      </c>
      <c r="J196">
        <f t="shared" si="39"/>
        <v>0.74982885837410851</v>
      </c>
      <c r="K196">
        <f t="shared" si="40"/>
        <v>0.72047559368147662</v>
      </c>
      <c r="L196">
        <f t="shared" si="41"/>
        <v>0.7791821230667404</v>
      </c>
      <c r="M196">
        <f t="shared" si="47"/>
        <v>0.7499352486657791</v>
      </c>
      <c r="N196">
        <f t="shared" si="50"/>
        <v>0.7795337121728666</v>
      </c>
      <c r="O196">
        <f t="shared" si="42"/>
        <v>0.7204662878271334</v>
      </c>
      <c r="P196" t="b">
        <f t="shared" si="49"/>
        <v>1</v>
      </c>
    </row>
    <row r="197" spans="1:16" x14ac:dyDescent="0.25">
      <c r="A197">
        <v>0.95000000000000095</v>
      </c>
      <c r="B197">
        <f t="shared" si="36"/>
        <v>0.7498950247446452</v>
      </c>
      <c r="C197">
        <f t="shared" si="43"/>
        <v>0.720474299833745</v>
      </c>
      <c r="D197">
        <f t="shared" si="37"/>
        <v>0.7501049752553548</v>
      </c>
      <c r="E197">
        <f t="shared" si="45"/>
        <v>0.779525700166255</v>
      </c>
      <c r="F197">
        <f t="shared" si="46"/>
        <v>0.74994252150879226</v>
      </c>
      <c r="G197">
        <f t="shared" si="38"/>
        <v>0.74989457976917495</v>
      </c>
      <c r="H197">
        <f t="shared" si="48"/>
        <v>0.74989457976917495</v>
      </c>
      <c r="I197">
        <f t="shared" si="44"/>
        <v>0.74981673864661669</v>
      </c>
      <c r="J197">
        <f t="shared" si="39"/>
        <v>0.74984186965376243</v>
      </c>
      <c r="K197">
        <f t="shared" si="40"/>
        <v>0.72048860496113054</v>
      </c>
      <c r="L197">
        <f t="shared" si="41"/>
        <v>0.77919513434639431</v>
      </c>
      <c r="M197">
        <f t="shared" si="47"/>
        <v>0.7499389128822056</v>
      </c>
      <c r="N197">
        <f t="shared" si="50"/>
        <v>0.779525700166255</v>
      </c>
      <c r="O197">
        <f t="shared" si="42"/>
        <v>0.720474299833745</v>
      </c>
      <c r="P197" t="b">
        <f t="shared" si="49"/>
        <v>1</v>
      </c>
    </row>
    <row r="198" spans="1:16" x14ac:dyDescent="0.25">
      <c r="A198">
        <v>0.95500000000000096</v>
      </c>
      <c r="B198">
        <f t="shared" si="36"/>
        <v>0.74989968572654908</v>
      </c>
      <c r="C198">
        <f t="shared" si="43"/>
        <v>0.7204819561011141</v>
      </c>
      <c r="D198">
        <f t="shared" si="37"/>
        <v>0.75010031427345092</v>
      </c>
      <c r="E198">
        <f t="shared" si="45"/>
        <v>0.7795180438988859</v>
      </c>
      <c r="F198">
        <f t="shared" si="46"/>
        <v>0.74994507359791529</v>
      </c>
      <c r="G198">
        <f t="shared" si="38"/>
        <v>0.74990369818906588</v>
      </c>
      <c r="H198">
        <f t="shared" si="48"/>
        <v>0.74990369818906588</v>
      </c>
      <c r="I198">
        <f t="shared" si="44"/>
        <v>0.74982885837410851</v>
      </c>
      <c r="J198">
        <f t="shared" si="39"/>
        <v>0.74985554728359893</v>
      </c>
      <c r="K198">
        <f t="shared" si="40"/>
        <v>0.72050228259096705</v>
      </c>
      <c r="L198">
        <f t="shared" si="41"/>
        <v>0.77920881197623082</v>
      </c>
      <c r="M198">
        <f t="shared" si="47"/>
        <v>0.74994295279136947</v>
      </c>
      <c r="N198">
        <f t="shared" si="50"/>
        <v>0.7795180438988859</v>
      </c>
      <c r="O198">
        <f t="shared" si="42"/>
        <v>0.7204819561011141</v>
      </c>
      <c r="P198" t="b">
        <f t="shared" si="49"/>
        <v>1</v>
      </c>
    </row>
    <row r="199" spans="1:16" x14ac:dyDescent="0.25">
      <c r="A199">
        <v>0.96000000000000096</v>
      </c>
      <c r="B199">
        <f t="shared" ref="B199:B262" si="51">$Q$6-$T$8*EXP(-$T$10*A199)</f>
        <v>0.7499041397572791</v>
      </c>
      <c r="C199">
        <f t="shared" si="43"/>
        <v>0.72048927242433591</v>
      </c>
      <c r="D199">
        <f t="shared" ref="D199:D262" si="52">$Q$6+$T$8*EXP(-$T$10*A199)</f>
        <v>0.7500958602427209</v>
      </c>
      <c r="E199">
        <f t="shared" si="45"/>
        <v>0.77951072757566409</v>
      </c>
      <c r="F199">
        <f t="shared" si="46"/>
        <v>0.7499475123723226</v>
      </c>
      <c r="G199">
        <f t="shared" ref="G199:G262" si="53">$Q$6-EXP(-T$6*T$12*A199)*(COS(T$5*A199)-(T$6*T$12-1)/(T$5)*SIN(T$5*A199))*T$15</f>
        <v>0.74991311869814858</v>
      </c>
      <c r="H199">
        <f t="shared" si="48"/>
        <v>0.74991311869814858</v>
      </c>
      <c r="I199">
        <f t="shared" si="44"/>
        <v>0.74984186965376243</v>
      </c>
      <c r="J199">
        <f t="shared" ref="J199:J262" si="54">$Q$6-(1+Q$16)*EXP(-T$6*T$12*A199)*(COS(T$5*A199)-(T$6*T$12-1)/(T$5)*SIN(T$5*A199))*T$15</f>
        <v>0.74986967804722282</v>
      </c>
      <c r="K199">
        <f t="shared" ref="K199:K262" si="55">J199-T$13</f>
        <v>0.72051641335459093</v>
      </c>
      <c r="L199">
        <f t="shared" ref="L199:L262" si="56">J199+T$13</f>
        <v>0.77922294273985471</v>
      </c>
      <c r="M199">
        <f t="shared" si="47"/>
        <v>0.74994728988458748</v>
      </c>
      <c r="N199">
        <f t="shared" si="50"/>
        <v>0.77951072757566409</v>
      </c>
      <c r="O199">
        <f t="shared" ref="O199:O262" si="57">MIN(C199,$Q$6-$T$13)</f>
        <v>0.72048927242433591</v>
      </c>
      <c r="P199" t="b">
        <f t="shared" si="49"/>
        <v>1</v>
      </c>
    </row>
    <row r="200" spans="1:16" x14ac:dyDescent="0.25">
      <c r="A200">
        <v>0.96500000000000097</v>
      </c>
      <c r="B200">
        <f t="shared" si="51"/>
        <v>0.74990839602562642</v>
      </c>
      <c r="C200">
        <f t="shared" si="43"/>
        <v>0.72049626389719168</v>
      </c>
      <c r="D200">
        <f t="shared" si="52"/>
        <v>0.75009160397437358</v>
      </c>
      <c r="E200">
        <f t="shared" si="45"/>
        <v>0.77950373610280832</v>
      </c>
      <c r="F200">
        <f t="shared" si="46"/>
        <v>0.74994984286327449</v>
      </c>
      <c r="G200">
        <f t="shared" si="53"/>
        <v>0.74992270806328576</v>
      </c>
      <c r="H200">
        <f t="shared" si="48"/>
        <v>0.74992270806328576</v>
      </c>
      <c r="I200">
        <f t="shared" si="44"/>
        <v>0.74985554728359893</v>
      </c>
      <c r="J200">
        <f t="shared" si="54"/>
        <v>0.74988406209492853</v>
      </c>
      <c r="K200">
        <f t="shared" si="55"/>
        <v>0.72053079740229664</v>
      </c>
      <c r="L200">
        <f t="shared" si="56"/>
        <v>0.77923732678756041</v>
      </c>
      <c r="M200">
        <f t="shared" si="47"/>
        <v>0.74995184909453294</v>
      </c>
      <c r="N200">
        <f t="shared" si="50"/>
        <v>0.77950373610280832</v>
      </c>
      <c r="O200">
        <f t="shared" si="57"/>
        <v>0.72049626389719168</v>
      </c>
      <c r="P200" t="b">
        <f t="shared" si="49"/>
        <v>1</v>
      </c>
    </row>
    <row r="201" spans="1:16" x14ac:dyDescent="0.25">
      <c r="A201">
        <v>0.97000000000000097</v>
      </c>
      <c r="B201">
        <f t="shared" si="51"/>
        <v>0.74991246331239247</v>
      </c>
      <c r="C201">
        <f t="shared" ref="C201:C264" si="58">$Q$6-$T$8*(1+Q$16)*EXP(-$T$10*A199)-T$13</f>
        <v>0.72050294494328682</v>
      </c>
      <c r="D201">
        <f t="shared" si="52"/>
        <v>0.75008753668760753</v>
      </c>
      <c r="E201">
        <f t="shared" si="45"/>
        <v>0.77949705505671318</v>
      </c>
      <c r="F201">
        <f t="shared" si="46"/>
        <v>0.7499520698786396</v>
      </c>
      <c r="G201">
        <f t="shared" si="53"/>
        <v>0.74993234270203912</v>
      </c>
      <c r="H201">
        <f t="shared" si="48"/>
        <v>0.74993234270203912</v>
      </c>
      <c r="I201">
        <f t="shared" ref="I201:I264" si="59">$Q$6-(1+Q$16)*EXP(-T$6*T$12*A199)*(COS(T$5*A199)-(T$6*T$12-1)/(T$5)*SIN(T$5*A199))*T$15</f>
        <v>0.74986967804722282</v>
      </c>
      <c r="J201">
        <f t="shared" si="54"/>
        <v>0.74989851405305863</v>
      </c>
      <c r="K201">
        <f t="shared" si="55"/>
        <v>0.72054524936042674</v>
      </c>
      <c r="L201">
        <f t="shared" si="56"/>
        <v>0.77925177874569052</v>
      </c>
      <c r="M201">
        <f t="shared" si="47"/>
        <v>0.74995655934907424</v>
      </c>
      <c r="N201">
        <f t="shared" si="50"/>
        <v>0.77949705505671318</v>
      </c>
      <c r="O201">
        <f t="shared" si="57"/>
        <v>0.72050294494328682</v>
      </c>
      <c r="P201" t="b">
        <f t="shared" si="49"/>
        <v>1</v>
      </c>
    </row>
    <row r="202" spans="1:16" x14ac:dyDescent="0.25">
      <c r="A202">
        <v>0.97500000000000098</v>
      </c>
      <c r="B202">
        <f t="shared" si="51"/>
        <v>0.74991635000850465</v>
      </c>
      <c r="C202">
        <f t="shared" si="58"/>
        <v>0.72050932934580769</v>
      </c>
      <c r="D202">
        <f t="shared" si="52"/>
        <v>0.75008364999149535</v>
      </c>
      <c r="E202">
        <f t="shared" ref="E202:E265" si="60">$Q$6+$T$8*(1+Q$16)*EXP(-$T$10*A200)+T$13</f>
        <v>0.77949067065419231</v>
      </c>
      <c r="F202">
        <f t="shared" ref="F202:F265" si="61">$Q$6-Q$17*$T$8*EXP(-$T$10*A200)</f>
        <v>0.74995419801281316</v>
      </c>
      <c r="G202">
        <f t="shared" si="53"/>
        <v>0.74994190924840709</v>
      </c>
      <c r="H202">
        <f t="shared" si="48"/>
        <v>0.74994190924840709</v>
      </c>
      <c r="I202">
        <f t="shared" si="59"/>
        <v>0.74988406209492853</v>
      </c>
      <c r="J202">
        <f t="shared" si="54"/>
        <v>0.74991286387261058</v>
      </c>
      <c r="K202">
        <f t="shared" si="55"/>
        <v>0.72055959917997869</v>
      </c>
      <c r="L202">
        <f t="shared" si="56"/>
        <v>0.77926612856524247</v>
      </c>
      <c r="M202">
        <f t="shared" ref="M202:M265" si="62">$Q$6-Q$17*EXP(-T$6*T$12*A200)*(COS(T$5*A200)-(T$6*T$12-1)/(T$5)*SIN(T$5*A200))*T$15</f>
        <v>0.74996135403164288</v>
      </c>
      <c r="N202">
        <f t="shared" si="50"/>
        <v>0.77949067065419231</v>
      </c>
      <c r="O202">
        <f t="shared" si="57"/>
        <v>0.72050932934580769</v>
      </c>
      <c r="P202" t="b">
        <f t="shared" si="49"/>
        <v>1</v>
      </c>
    </row>
    <row r="203" spans="1:16" x14ac:dyDescent="0.25">
      <c r="A203">
        <v>0.98000000000000098</v>
      </c>
      <c r="B203">
        <f t="shared" si="51"/>
        <v>0.74992006413232648</v>
      </c>
      <c r="C203">
        <f t="shared" si="58"/>
        <v>0.72051543027595688</v>
      </c>
      <c r="D203">
        <f t="shared" si="52"/>
        <v>0.75007993586767352</v>
      </c>
      <c r="E203">
        <f t="shared" si="60"/>
        <v>0.77948456972404312</v>
      </c>
      <c r="F203">
        <f t="shared" si="61"/>
        <v>0.74995623165619629</v>
      </c>
      <c r="G203">
        <f t="shared" si="53"/>
        <v>0.74995130495339624</v>
      </c>
      <c r="H203">
        <f t="shared" si="48"/>
        <v>0.74995130495339624</v>
      </c>
      <c r="I203">
        <f t="shared" si="59"/>
        <v>0.74989851405305863</v>
      </c>
      <c r="J203">
        <f t="shared" si="54"/>
        <v>0.7499269574300943</v>
      </c>
      <c r="K203">
        <f t="shared" si="55"/>
        <v>0.72057369273746241</v>
      </c>
      <c r="L203">
        <f t="shared" si="56"/>
        <v>0.77928022212272618</v>
      </c>
      <c r="M203">
        <f t="shared" si="62"/>
        <v>0.74996617135101951</v>
      </c>
      <c r="N203">
        <f t="shared" si="50"/>
        <v>0.77948456972404312</v>
      </c>
      <c r="O203">
        <f t="shared" si="57"/>
        <v>0.72051543027595688</v>
      </c>
      <c r="P203" t="b">
        <f t="shared" si="49"/>
        <v>1</v>
      </c>
    </row>
    <row r="204" spans="1:16" x14ac:dyDescent="0.25">
      <c r="A204">
        <v>0.98500000000000099</v>
      </c>
      <c r="B204">
        <f t="shared" si="51"/>
        <v>0.74992361334620006</v>
      </c>
      <c r="C204">
        <f t="shared" si="58"/>
        <v>0.72052126032012509</v>
      </c>
      <c r="D204">
        <f t="shared" si="52"/>
        <v>0.75007638665379994</v>
      </c>
      <c r="E204">
        <f t="shared" si="60"/>
        <v>0.77947873967987491</v>
      </c>
      <c r="F204">
        <f t="shared" si="61"/>
        <v>0.74995817500425233</v>
      </c>
      <c r="G204">
        <f t="shared" si="53"/>
        <v>0.74996043793021827</v>
      </c>
      <c r="H204">
        <f t="shared" si="48"/>
        <v>0.74996043793021827</v>
      </c>
      <c r="I204">
        <f t="shared" si="59"/>
        <v>0.74991286387261058</v>
      </c>
      <c r="J204">
        <f t="shared" si="54"/>
        <v>0.74994065689532741</v>
      </c>
      <c r="K204">
        <f t="shared" si="55"/>
        <v>0.72058739220269552</v>
      </c>
      <c r="L204">
        <f t="shared" si="56"/>
        <v>0.77929392158795929</v>
      </c>
      <c r="M204">
        <f t="shared" si="62"/>
        <v>0.74997095462420349</v>
      </c>
      <c r="N204">
        <f t="shared" si="50"/>
        <v>0.77947873967987491</v>
      </c>
      <c r="O204">
        <f t="shared" si="57"/>
        <v>0.72052126032012509</v>
      </c>
      <c r="P204" t="b">
        <f t="shared" si="49"/>
        <v>1</v>
      </c>
    </row>
    <row r="205" spans="1:16" x14ac:dyDescent="0.25">
      <c r="A205">
        <v>0.99000000000000099</v>
      </c>
      <c r="B205">
        <f t="shared" si="51"/>
        <v>0.74992700497225373</v>
      </c>
      <c r="C205">
        <f t="shared" si="58"/>
        <v>0.72052683150585783</v>
      </c>
      <c r="D205">
        <f t="shared" si="52"/>
        <v>0.75007299502774627</v>
      </c>
      <c r="E205">
        <f t="shared" si="60"/>
        <v>0.77947316849414217</v>
      </c>
      <c r="F205">
        <f t="shared" si="61"/>
        <v>0.74996003206616324</v>
      </c>
      <c r="G205">
        <f t="shared" si="53"/>
        <v>0.7499692272548184</v>
      </c>
      <c r="H205">
        <f t="shared" si="48"/>
        <v>0.7499692272548184</v>
      </c>
      <c r="I205">
        <f t="shared" si="59"/>
        <v>0.7499269574300943</v>
      </c>
      <c r="J205">
        <f t="shared" si="54"/>
        <v>0.74995384088222761</v>
      </c>
      <c r="K205">
        <f t="shared" si="55"/>
        <v>0.72060057618959572</v>
      </c>
      <c r="L205">
        <f t="shared" si="56"/>
        <v>0.77930710557485949</v>
      </c>
      <c r="M205">
        <f t="shared" si="62"/>
        <v>0.74997565247669806</v>
      </c>
      <c r="N205">
        <f t="shared" si="50"/>
        <v>0.77947316849414217</v>
      </c>
      <c r="O205">
        <f t="shared" si="57"/>
        <v>0.72052683150585783</v>
      </c>
      <c r="P205" t="b">
        <f t="shared" si="49"/>
        <v>1</v>
      </c>
    </row>
    <row r="206" spans="1:16" x14ac:dyDescent="0.25">
      <c r="A206">
        <v>0.99500000000000099</v>
      </c>
      <c r="B206">
        <f t="shared" si="51"/>
        <v>0.74993024600750768</v>
      </c>
      <c r="C206">
        <f t="shared" si="58"/>
        <v>0.72053215532666826</v>
      </c>
      <c r="D206">
        <f t="shared" si="52"/>
        <v>0.75006975399249232</v>
      </c>
      <c r="E206">
        <f t="shared" si="60"/>
        <v>0.77946784467333174</v>
      </c>
      <c r="F206">
        <f t="shared" si="61"/>
        <v>0.74996180667310008</v>
      </c>
      <c r="G206">
        <f t="shared" si="53"/>
        <v>0.74997760293315396</v>
      </c>
      <c r="H206">
        <f t="shared" si="48"/>
        <v>0.74997760293315396</v>
      </c>
      <c r="I206">
        <f t="shared" si="59"/>
        <v>0.74994065689532741</v>
      </c>
      <c r="J206">
        <f t="shared" si="54"/>
        <v>0.74996640439973106</v>
      </c>
      <c r="K206">
        <f t="shared" si="55"/>
        <v>0.72061313970709917</v>
      </c>
      <c r="L206">
        <f t="shared" si="56"/>
        <v>0.77931966909236294</v>
      </c>
      <c r="M206">
        <f t="shared" si="62"/>
        <v>0.74998021896510914</v>
      </c>
      <c r="N206">
        <f t="shared" si="50"/>
        <v>0.77946784467333174</v>
      </c>
      <c r="O206">
        <f t="shared" si="57"/>
        <v>0.72053215532666826</v>
      </c>
      <c r="P206" t="b">
        <f t="shared" si="49"/>
        <v>1</v>
      </c>
    </row>
    <row r="207" spans="1:16" x14ac:dyDescent="0.25">
      <c r="A207">
        <v>1</v>
      </c>
      <c r="B207">
        <f t="shared" si="51"/>
        <v>0.74993334313830884</v>
      </c>
      <c r="C207">
        <f t="shared" si="58"/>
        <v>0.72053724276574871</v>
      </c>
      <c r="D207">
        <f t="shared" si="52"/>
        <v>0.75006665686169116</v>
      </c>
      <c r="E207">
        <f t="shared" si="60"/>
        <v>0.77946275723425129</v>
      </c>
      <c r="F207">
        <f t="shared" si="61"/>
        <v>0.74996350248612687</v>
      </c>
      <c r="G207">
        <f t="shared" si="53"/>
        <v>0.74998550574716738</v>
      </c>
      <c r="H207">
        <f t="shared" si="48"/>
        <v>0.74998550574716738</v>
      </c>
      <c r="I207">
        <f t="shared" si="59"/>
        <v>0.74995384088222761</v>
      </c>
      <c r="J207">
        <f t="shared" si="54"/>
        <v>0.74997825862075107</v>
      </c>
      <c r="K207">
        <f t="shared" si="55"/>
        <v>0.72062499392811918</v>
      </c>
      <c r="L207">
        <f t="shared" si="56"/>
        <v>0.77933152331338296</v>
      </c>
      <c r="M207">
        <f t="shared" si="62"/>
        <v>0.7499846136274092</v>
      </c>
      <c r="N207">
        <f t="shared" si="50"/>
        <v>0.77946275723425129</v>
      </c>
      <c r="O207">
        <f t="shared" si="57"/>
        <v>0.72053724276574871</v>
      </c>
      <c r="P207" t="b">
        <f t="shared" si="49"/>
        <v>1</v>
      </c>
    </row>
    <row r="208" spans="1:16" x14ac:dyDescent="0.25">
      <c r="A208">
        <v>1.0049999999999999</v>
      </c>
      <c r="B208">
        <f t="shared" si="51"/>
        <v>0.74993630275412559</v>
      </c>
      <c r="C208">
        <f t="shared" si="58"/>
        <v>0.72054210431862964</v>
      </c>
      <c r="D208">
        <f t="shared" si="52"/>
        <v>0.75006369724587441</v>
      </c>
      <c r="E208">
        <f t="shared" si="60"/>
        <v>0.77945789568137036</v>
      </c>
      <c r="F208">
        <f t="shared" si="61"/>
        <v>0.74996512300375384</v>
      </c>
      <c r="G208">
        <f t="shared" si="53"/>
        <v>0.74999288699173272</v>
      </c>
      <c r="H208">
        <f t="shared" si="48"/>
        <v>0.74999288699173272</v>
      </c>
      <c r="I208">
        <f t="shared" si="59"/>
        <v>0.74996640439973106</v>
      </c>
      <c r="J208">
        <f t="shared" si="54"/>
        <v>0.74998933048759908</v>
      </c>
      <c r="K208">
        <f t="shared" si="55"/>
        <v>0.7206360657949672</v>
      </c>
      <c r="L208">
        <f t="shared" si="56"/>
        <v>0.77934259518023097</v>
      </c>
      <c r="M208">
        <f t="shared" si="62"/>
        <v>0.74998880146657698</v>
      </c>
      <c r="N208">
        <f t="shared" si="50"/>
        <v>0.77945789568137036</v>
      </c>
      <c r="O208">
        <f t="shared" si="57"/>
        <v>0.72054210431862964</v>
      </c>
      <c r="P208" t="b">
        <f t="shared" si="49"/>
        <v>1</v>
      </c>
    </row>
    <row r="209" spans="1:16" x14ac:dyDescent="0.25">
      <c r="A209">
        <v>1.01</v>
      </c>
      <c r="B209">
        <f t="shared" si="51"/>
        <v>0.74993913096072851</v>
      </c>
      <c r="C209">
        <f t="shared" si="58"/>
        <v>0.72054675001483148</v>
      </c>
      <c r="D209">
        <f t="shared" si="52"/>
        <v>0.75006086903927149</v>
      </c>
      <c r="E209">
        <f t="shared" si="60"/>
        <v>0.77945324998516852</v>
      </c>
      <c r="F209">
        <f t="shared" si="61"/>
        <v>0.74996667156915442</v>
      </c>
      <c r="G209">
        <f t="shared" si="53"/>
        <v>0.74999970811503369</v>
      </c>
      <c r="H209">
        <f t="shared" si="48"/>
        <v>0.74999970811503369</v>
      </c>
      <c r="I209">
        <f t="shared" si="59"/>
        <v>0.74997825862075107</v>
      </c>
      <c r="J209">
        <f t="shared" si="54"/>
        <v>0.74999956217255059</v>
      </c>
      <c r="K209">
        <f t="shared" si="55"/>
        <v>0.72064629747991871</v>
      </c>
      <c r="L209">
        <f t="shared" si="56"/>
        <v>0.77935282686518248</v>
      </c>
      <c r="M209">
        <f t="shared" si="62"/>
        <v>0.74999275287358369</v>
      </c>
      <c r="N209">
        <f t="shared" si="50"/>
        <v>0.77945324998516852</v>
      </c>
      <c r="O209">
        <f t="shared" si="57"/>
        <v>0.72054675001483148</v>
      </c>
      <c r="P209" t="b">
        <f t="shared" si="49"/>
        <v>1</v>
      </c>
    </row>
    <row r="210" spans="1:16" x14ac:dyDescent="0.25">
      <c r="A210">
        <v>1.0149999999999999</v>
      </c>
      <c r="B210">
        <f t="shared" si="51"/>
        <v>0.74994183359278777</v>
      </c>
      <c r="C210">
        <f t="shared" si="58"/>
        <v>0.72055118943855645</v>
      </c>
      <c r="D210">
        <f t="shared" si="52"/>
        <v>0.75005816640721223</v>
      </c>
      <c r="E210">
        <f t="shared" si="60"/>
        <v>0.77944881056144355</v>
      </c>
      <c r="F210">
        <f t="shared" si="61"/>
        <v>0.74996815137706274</v>
      </c>
      <c r="G210">
        <f t="shared" si="53"/>
        <v>0.75000594027484069</v>
      </c>
      <c r="H210">
        <f t="shared" ref="H210:H270" si="63">$Q$6-EXP(-T$6*T$12*A210)*(COS(T$5*A210)-(T$6*T$12-1)/(T$5)*SIN(T$5*A210))*T$15</f>
        <v>0.75000594027484069</v>
      </c>
      <c r="I210">
        <f t="shared" si="59"/>
        <v>0.74998933048759908</v>
      </c>
      <c r="J210">
        <f t="shared" si="54"/>
        <v>0.75000891041226092</v>
      </c>
      <c r="K210">
        <f t="shared" si="55"/>
        <v>0.72065564571962903</v>
      </c>
      <c r="L210">
        <f t="shared" si="56"/>
        <v>0.77936217510489281</v>
      </c>
      <c r="M210">
        <f t="shared" si="62"/>
        <v>0.74999644349586636</v>
      </c>
      <c r="N210">
        <f t="shared" si="50"/>
        <v>0.77944881056144355</v>
      </c>
      <c r="O210">
        <f t="shared" si="57"/>
        <v>0.72055118943855645</v>
      </c>
      <c r="P210" t="b">
        <f t="shared" si="49"/>
        <v>1</v>
      </c>
    </row>
    <row r="211" spans="1:16" x14ac:dyDescent="0.25">
      <c r="A211">
        <v>1.02</v>
      </c>
      <c r="B211">
        <f t="shared" si="51"/>
        <v>0.74994441622590935</v>
      </c>
      <c r="C211">
        <f t="shared" si="58"/>
        <v>0.72055543174846093</v>
      </c>
      <c r="D211">
        <f t="shared" si="52"/>
        <v>0.75005558377409065</v>
      </c>
      <c r="E211">
        <f t="shared" si="60"/>
        <v>0.77944456825153907</v>
      </c>
      <c r="F211">
        <f t="shared" si="61"/>
        <v>0.74996956548036431</v>
      </c>
      <c r="G211">
        <f t="shared" si="53"/>
        <v>0.75001156382303003</v>
      </c>
      <c r="H211">
        <f t="shared" si="63"/>
        <v>0.75001156382303003</v>
      </c>
      <c r="I211">
        <f t="shared" si="59"/>
        <v>0.74999956217255059</v>
      </c>
      <c r="J211">
        <f t="shared" si="54"/>
        <v>0.75001734573454515</v>
      </c>
      <c r="K211">
        <f t="shared" si="55"/>
        <v>0.72066408104191326</v>
      </c>
      <c r="L211">
        <f t="shared" si="56"/>
        <v>0.77937061042717704</v>
      </c>
      <c r="M211">
        <f t="shared" si="62"/>
        <v>0.7499998540575169</v>
      </c>
      <c r="N211">
        <f t="shared" si="50"/>
        <v>0.77944456825153907</v>
      </c>
      <c r="O211">
        <f t="shared" si="57"/>
        <v>0.72055543174846093</v>
      </c>
      <c r="P211" t="b">
        <f t="shared" si="49"/>
        <v>1</v>
      </c>
    </row>
    <row r="212" spans="1:16" x14ac:dyDescent="0.25">
      <c r="A212">
        <v>1.0249999999999999</v>
      </c>
      <c r="B212">
        <f t="shared" si="51"/>
        <v>0.74994688418813815</v>
      </c>
      <c r="C212">
        <f t="shared" si="58"/>
        <v>0.72055948569654971</v>
      </c>
      <c r="D212">
        <f t="shared" si="52"/>
        <v>0.75005311581186185</v>
      </c>
      <c r="E212">
        <f t="shared" si="60"/>
        <v>0.77944051430345029</v>
      </c>
      <c r="F212">
        <f t="shared" si="61"/>
        <v>0.74997091679639383</v>
      </c>
      <c r="G212">
        <f t="shared" si="53"/>
        <v>0.75001656773043246</v>
      </c>
      <c r="H212">
        <f t="shared" si="63"/>
        <v>0.75001656773043246</v>
      </c>
      <c r="I212">
        <f t="shared" si="59"/>
        <v>0.75000891041226092</v>
      </c>
      <c r="J212">
        <f t="shared" si="54"/>
        <v>0.75002485159564858</v>
      </c>
      <c r="K212">
        <f t="shared" si="55"/>
        <v>0.72067158690301669</v>
      </c>
      <c r="L212">
        <f t="shared" si="56"/>
        <v>0.77937811628828046</v>
      </c>
      <c r="M212">
        <f t="shared" si="62"/>
        <v>0.75000297013742034</v>
      </c>
      <c r="N212">
        <f t="shared" si="50"/>
        <v>0.77944051430345029</v>
      </c>
      <c r="O212">
        <f t="shared" si="57"/>
        <v>0.72055948569654971</v>
      </c>
      <c r="P212" t="b">
        <f t="shared" si="49"/>
        <v>1</v>
      </c>
    </row>
    <row r="213" spans="1:16" x14ac:dyDescent="0.25">
      <c r="A213">
        <v>1.03</v>
      </c>
      <c r="B213">
        <f t="shared" si="51"/>
        <v>0.74994924257094997</v>
      </c>
      <c r="C213">
        <f t="shared" si="58"/>
        <v>0.72056335964623208</v>
      </c>
      <c r="D213">
        <f t="shared" si="52"/>
        <v>0.75005075742905003</v>
      </c>
      <c r="E213">
        <f t="shared" si="60"/>
        <v>0.77943664035376792</v>
      </c>
      <c r="F213">
        <f t="shared" si="61"/>
        <v>0.74997220811295462</v>
      </c>
      <c r="G213">
        <f t="shared" si="53"/>
        <v>0.75002094896372196</v>
      </c>
      <c r="H213">
        <f t="shared" si="63"/>
        <v>0.75002094896372196</v>
      </c>
      <c r="I213">
        <f t="shared" si="59"/>
        <v>0.75001734573454515</v>
      </c>
      <c r="J213">
        <f t="shared" si="54"/>
        <v>0.75003142344558305</v>
      </c>
      <c r="K213">
        <f t="shared" si="55"/>
        <v>0.72067815875295116</v>
      </c>
      <c r="L213">
        <f t="shared" si="56"/>
        <v>0.77938468813821493</v>
      </c>
      <c r="M213">
        <f t="shared" si="62"/>
        <v>0.75000578191151501</v>
      </c>
      <c r="N213">
        <f t="shared" si="50"/>
        <v>0.77943664035376792</v>
      </c>
      <c r="O213">
        <f t="shared" si="57"/>
        <v>0.72056335964623208</v>
      </c>
      <c r="P213" t="b">
        <f t="shared" si="49"/>
        <v>1</v>
      </c>
    </row>
    <row r="214" spans="1:16" x14ac:dyDescent="0.25">
      <c r="A214">
        <v>1.0349999999999999</v>
      </c>
      <c r="B214">
        <f t="shared" si="51"/>
        <v>0.74995149623975499</v>
      </c>
      <c r="C214">
        <f t="shared" si="58"/>
        <v>0.7205670615895754</v>
      </c>
      <c r="D214">
        <f t="shared" si="52"/>
        <v>0.75004850376024501</v>
      </c>
      <c r="E214">
        <f t="shared" si="60"/>
        <v>0.7794329384104246</v>
      </c>
      <c r="F214">
        <f t="shared" si="61"/>
        <v>0.74997344209406913</v>
      </c>
      <c r="G214">
        <f t="shared" si="53"/>
        <v>0.75002471182559094</v>
      </c>
      <c r="H214">
        <f t="shared" si="63"/>
        <v>0.75002471182559094</v>
      </c>
      <c r="I214">
        <f t="shared" si="59"/>
        <v>0.75002485159564858</v>
      </c>
      <c r="J214">
        <f t="shared" si="54"/>
        <v>0.75003706773838641</v>
      </c>
      <c r="K214">
        <f t="shared" si="55"/>
        <v>0.72068380304575452</v>
      </c>
      <c r="L214">
        <f t="shared" si="56"/>
        <v>0.7793903324310183</v>
      </c>
      <c r="M214">
        <f t="shared" si="62"/>
        <v>0.75000828386521623</v>
      </c>
      <c r="N214">
        <f t="shared" si="50"/>
        <v>0.7794329384104246</v>
      </c>
      <c r="O214">
        <f t="shared" si="57"/>
        <v>0.7205670615895754</v>
      </c>
      <c r="P214" t="b">
        <f t="shared" ref="P214:P270" si="64">IF(P213,TRUE,IF(H214&lt;H213,TRUE))</f>
        <v>1</v>
      </c>
    </row>
    <row r="215" spans="1:16" x14ac:dyDescent="0.25">
      <c r="A215">
        <v>1.04</v>
      </c>
      <c r="B215">
        <f t="shared" si="51"/>
        <v>0.74995364984393531</v>
      </c>
      <c r="C215">
        <f t="shared" si="58"/>
        <v>0.72057059916379318</v>
      </c>
      <c r="D215">
        <f t="shared" si="52"/>
        <v>0.75004635015606469</v>
      </c>
      <c r="E215">
        <f t="shared" si="60"/>
        <v>0.77942940083620682</v>
      </c>
      <c r="F215">
        <f t="shared" si="61"/>
        <v>0.74997462128547498</v>
      </c>
      <c r="G215">
        <f t="shared" si="53"/>
        <v>0.75002786726888993</v>
      </c>
      <c r="H215">
        <f t="shared" si="63"/>
        <v>0.75002786726888993</v>
      </c>
      <c r="I215">
        <f t="shared" si="59"/>
        <v>0.75003142344558305</v>
      </c>
      <c r="J215">
        <f t="shared" si="54"/>
        <v>0.75004180090333483</v>
      </c>
      <c r="K215">
        <f t="shared" si="55"/>
        <v>0.72068853621070295</v>
      </c>
      <c r="L215">
        <f t="shared" si="56"/>
        <v>0.77939506559596672</v>
      </c>
      <c r="M215">
        <f t="shared" si="62"/>
        <v>0.75001047448186098</v>
      </c>
      <c r="N215">
        <f t="shared" si="50"/>
        <v>0.77942940083620682</v>
      </c>
      <c r="O215">
        <f t="shared" si="57"/>
        <v>0.72057059916379318</v>
      </c>
      <c r="P215" t="b">
        <f t="shared" si="64"/>
        <v>1</v>
      </c>
    </row>
    <row r="216" spans="1:16" x14ac:dyDescent="0.25">
      <c r="A216">
        <v>1.0449999999999999</v>
      </c>
      <c r="B216">
        <f t="shared" si="51"/>
        <v>0.74995570782643728</v>
      </c>
      <c r="C216">
        <f t="shared" si="58"/>
        <v>0.72057397966700054</v>
      </c>
      <c r="D216">
        <f t="shared" si="52"/>
        <v>0.75004429217356272</v>
      </c>
      <c r="E216">
        <f t="shared" si="60"/>
        <v>0.77942602033299946</v>
      </c>
      <c r="F216">
        <f t="shared" si="61"/>
        <v>0.74997574811987744</v>
      </c>
      <c r="G216">
        <f t="shared" si="53"/>
        <v>0.75003043219478649</v>
      </c>
      <c r="H216">
        <f t="shared" si="63"/>
        <v>0.75003043219478649</v>
      </c>
      <c r="I216">
        <f t="shared" si="59"/>
        <v>0.75003706773838641</v>
      </c>
      <c r="J216">
        <f t="shared" si="54"/>
        <v>0.75004564829217979</v>
      </c>
      <c r="K216">
        <f t="shared" si="55"/>
        <v>0.7206923835995479</v>
      </c>
      <c r="L216">
        <f t="shared" si="56"/>
        <v>0.77939891298481168</v>
      </c>
      <c r="M216">
        <f t="shared" si="62"/>
        <v>0.75001235591279547</v>
      </c>
      <c r="N216">
        <f t="shared" si="50"/>
        <v>0.77942602033299946</v>
      </c>
      <c r="O216">
        <f t="shared" si="57"/>
        <v>0.72057397966700054</v>
      </c>
      <c r="P216" t="b">
        <f t="shared" si="64"/>
        <v>1</v>
      </c>
    </row>
    <row r="217" spans="1:16" x14ac:dyDescent="0.25">
      <c r="A217">
        <v>1.05</v>
      </c>
      <c r="B217">
        <f t="shared" si="51"/>
        <v>0.74995767443293671</v>
      </c>
      <c r="C217">
        <f t="shared" si="58"/>
        <v>0.72057721007327113</v>
      </c>
      <c r="D217">
        <f t="shared" si="52"/>
        <v>0.75004232556706329</v>
      </c>
      <c r="E217">
        <f t="shared" si="60"/>
        <v>0.77942278992672887</v>
      </c>
      <c r="F217">
        <f t="shared" si="61"/>
        <v>0.74997682492196771</v>
      </c>
      <c r="G217">
        <f t="shared" si="53"/>
        <v>0.75003242874430043</v>
      </c>
      <c r="H217">
        <f t="shared" si="63"/>
        <v>0.75003242874430043</v>
      </c>
      <c r="I217">
        <f t="shared" si="59"/>
        <v>0.75004180090333483</v>
      </c>
      <c r="J217">
        <f t="shared" si="54"/>
        <v>0.75004864311645059</v>
      </c>
      <c r="K217">
        <f t="shared" si="55"/>
        <v>0.7206953784238187</v>
      </c>
      <c r="L217">
        <f t="shared" si="56"/>
        <v>0.77940190780908247</v>
      </c>
      <c r="M217">
        <f t="shared" si="62"/>
        <v>0.75001393363444491</v>
      </c>
      <c r="N217">
        <f t="shared" ref="N217:N270" si="65">IF(P217,MAX(E217,$Q$6+$T$13),MAX(L217,$Q$6+$T$13))</f>
        <v>0.77942278992672887</v>
      </c>
      <c r="O217">
        <f t="shared" si="57"/>
        <v>0.72057721007327113</v>
      </c>
      <c r="P217" t="b">
        <f t="shared" si="64"/>
        <v>1</v>
      </c>
    </row>
    <row r="218" spans="1:16" x14ac:dyDescent="0.25">
      <c r="A218">
        <v>1.0549999999999999</v>
      </c>
      <c r="B218">
        <f t="shared" si="51"/>
        <v>0.74995955372059819</v>
      </c>
      <c r="C218">
        <f t="shared" si="58"/>
        <v>0.72058029704702409</v>
      </c>
      <c r="D218">
        <f t="shared" si="52"/>
        <v>0.75004044627940181</v>
      </c>
      <c r="E218">
        <f t="shared" si="60"/>
        <v>0.77941970295297591</v>
      </c>
      <c r="F218">
        <f t="shared" si="61"/>
        <v>0.74997785391321869</v>
      </c>
      <c r="G218">
        <f t="shared" si="53"/>
        <v>0.75003388359183831</v>
      </c>
      <c r="H218">
        <f t="shared" si="63"/>
        <v>0.75003388359183831</v>
      </c>
      <c r="I218">
        <f t="shared" si="59"/>
        <v>0.75004564829217979</v>
      </c>
      <c r="J218">
        <f t="shared" si="54"/>
        <v>0.75005082538775736</v>
      </c>
      <c r="K218">
        <f t="shared" si="55"/>
        <v>0.72069756069512547</v>
      </c>
      <c r="L218">
        <f t="shared" si="56"/>
        <v>0.77940409008038924</v>
      </c>
      <c r="M218">
        <f t="shared" si="62"/>
        <v>0.7500152160973933</v>
      </c>
      <c r="N218">
        <f t="shared" si="65"/>
        <v>0.77941970295297591</v>
      </c>
      <c r="O218">
        <f t="shared" si="57"/>
        <v>0.72058029704702409</v>
      </c>
      <c r="P218" t="b">
        <f t="shared" si="64"/>
        <v>1</v>
      </c>
    </row>
    <row r="219" spans="1:16" x14ac:dyDescent="0.25">
      <c r="A219">
        <v>1.06</v>
      </c>
      <c r="B219">
        <f t="shared" si="51"/>
        <v>0.74996134956644522</v>
      </c>
      <c r="C219">
        <f t="shared" si="58"/>
        <v>0.72058324695677312</v>
      </c>
      <c r="D219">
        <f t="shared" si="52"/>
        <v>0.75003865043355478</v>
      </c>
      <c r="E219">
        <f t="shared" si="60"/>
        <v>0.77941675304322688</v>
      </c>
      <c r="F219">
        <f t="shared" si="61"/>
        <v>0.7499788372164683</v>
      </c>
      <c r="G219">
        <f t="shared" si="53"/>
        <v>0.75003482724857817</v>
      </c>
      <c r="H219">
        <f t="shared" si="63"/>
        <v>0.75003482724857817</v>
      </c>
      <c r="I219">
        <f t="shared" si="59"/>
        <v>0.75004864311645059</v>
      </c>
      <c r="J219">
        <f t="shared" si="54"/>
        <v>0.75005224087286737</v>
      </c>
      <c r="K219">
        <f t="shared" si="55"/>
        <v>0.72069897618023548</v>
      </c>
      <c r="L219">
        <f t="shared" si="56"/>
        <v>0.77940550556549926</v>
      </c>
      <c r="M219">
        <f t="shared" si="62"/>
        <v>0.75001621437215016</v>
      </c>
      <c r="N219">
        <f t="shared" si="65"/>
        <v>0.77941675304322688</v>
      </c>
      <c r="O219">
        <f t="shared" si="57"/>
        <v>0.72058324695677312</v>
      </c>
      <c r="P219" t="b">
        <f t="shared" si="64"/>
        <v>1</v>
      </c>
    </row>
    <row r="220" spans="1:16" x14ac:dyDescent="0.25">
      <c r="A220">
        <v>1.0649999999999999</v>
      </c>
      <c r="B220">
        <f t="shared" si="51"/>
        <v>0.74996306567535831</v>
      </c>
      <c r="C220">
        <f t="shared" si="58"/>
        <v>0.72058606588826535</v>
      </c>
      <c r="D220">
        <f t="shared" si="52"/>
        <v>0.75003693432464169</v>
      </c>
      <c r="E220">
        <f t="shared" si="60"/>
        <v>0.77941393411173465</v>
      </c>
      <c r="F220">
        <f t="shared" si="61"/>
        <v>0.74997977686029904</v>
      </c>
      <c r="G220">
        <f t="shared" si="53"/>
        <v>0.75003529338276198</v>
      </c>
      <c r="H220">
        <f t="shared" si="63"/>
        <v>0.75003529338276198</v>
      </c>
      <c r="I220">
        <f t="shared" si="59"/>
        <v>0.75005082538775736</v>
      </c>
      <c r="J220">
        <f t="shared" si="54"/>
        <v>0.75005294007414303</v>
      </c>
      <c r="K220">
        <f t="shared" si="55"/>
        <v>0.72069967538151114</v>
      </c>
      <c r="L220">
        <f t="shared" si="56"/>
        <v>0.77940620476677491</v>
      </c>
      <c r="M220">
        <f t="shared" si="62"/>
        <v>0.75001694179591916</v>
      </c>
      <c r="N220">
        <f t="shared" si="65"/>
        <v>0.77941393411173465</v>
      </c>
      <c r="O220">
        <f t="shared" si="57"/>
        <v>0.72058606588826535</v>
      </c>
      <c r="P220" t="b">
        <f t="shared" si="64"/>
        <v>1</v>
      </c>
    </row>
    <row r="221" spans="1:16" x14ac:dyDescent="0.25">
      <c r="A221">
        <v>1.07</v>
      </c>
      <c r="B221">
        <f t="shared" si="51"/>
        <v>0.74996470558771866</v>
      </c>
      <c r="C221">
        <f t="shared" si="58"/>
        <v>0.72058875965703595</v>
      </c>
      <c r="D221">
        <f t="shared" si="52"/>
        <v>0.75003529441228134</v>
      </c>
      <c r="E221">
        <f t="shared" si="60"/>
        <v>0.77941124034296405</v>
      </c>
      <c r="F221">
        <f t="shared" si="61"/>
        <v>0.74998067478322261</v>
      </c>
      <c r="G221">
        <f t="shared" si="53"/>
        <v>0.7500353181631465</v>
      </c>
      <c r="H221">
        <f t="shared" si="63"/>
        <v>0.7500353181631465</v>
      </c>
      <c r="I221">
        <f t="shared" si="59"/>
        <v>0.75005224087286737</v>
      </c>
      <c r="J221">
        <f t="shared" si="54"/>
        <v>0.75005297724471975</v>
      </c>
      <c r="K221">
        <f t="shared" si="55"/>
        <v>0.72069971255208787</v>
      </c>
      <c r="L221">
        <f t="shared" si="56"/>
        <v>0.77940624193735164</v>
      </c>
      <c r="M221">
        <f t="shared" si="62"/>
        <v>0.75001741362428909</v>
      </c>
      <c r="N221">
        <f t="shared" si="65"/>
        <v>0.77941124034296405</v>
      </c>
      <c r="O221">
        <f t="shared" si="57"/>
        <v>0.72058875965703595</v>
      </c>
      <c r="P221" t="b">
        <f t="shared" si="64"/>
        <v>1</v>
      </c>
    </row>
    <row r="222" spans="1:16" x14ac:dyDescent="0.25">
      <c r="A222">
        <v>1.075</v>
      </c>
      <c r="B222">
        <f t="shared" si="51"/>
        <v>0.74996627268671157</v>
      </c>
      <c r="C222">
        <f t="shared" si="58"/>
        <v>0.72059133382040563</v>
      </c>
      <c r="D222">
        <f t="shared" si="52"/>
        <v>0.75003372731328843</v>
      </c>
      <c r="E222">
        <f t="shared" si="60"/>
        <v>0.77940866617959437</v>
      </c>
      <c r="F222">
        <f t="shared" si="61"/>
        <v>0.74998153283767921</v>
      </c>
      <c r="G222">
        <f t="shared" si="53"/>
        <v>0.75003493963106183</v>
      </c>
      <c r="H222">
        <f t="shared" si="63"/>
        <v>0.75003493963106183</v>
      </c>
      <c r="I222">
        <f t="shared" si="59"/>
        <v>0.75005294007414303</v>
      </c>
      <c r="J222">
        <f t="shared" si="54"/>
        <v>0.75005240944659268</v>
      </c>
      <c r="K222">
        <f t="shared" si="55"/>
        <v>0.7206991447539608</v>
      </c>
      <c r="L222">
        <f t="shared" si="56"/>
        <v>0.77940567413922457</v>
      </c>
      <c r="M222">
        <f t="shared" si="62"/>
        <v>0.75001764669138105</v>
      </c>
      <c r="N222">
        <f t="shared" si="65"/>
        <v>0.77940866617959437</v>
      </c>
      <c r="O222">
        <f t="shared" si="57"/>
        <v>0.72059133382040563</v>
      </c>
      <c r="P222" t="b">
        <f t="shared" si="64"/>
        <v>1</v>
      </c>
    </row>
    <row r="223" spans="1:16" x14ac:dyDescent="0.25">
      <c r="A223">
        <v>1.08</v>
      </c>
      <c r="B223">
        <f t="shared" si="51"/>
        <v>0.74996777020530647</v>
      </c>
      <c r="C223">
        <f t="shared" si="58"/>
        <v>0.72059379368894605</v>
      </c>
      <c r="D223">
        <f t="shared" si="52"/>
        <v>0.75003222979469353</v>
      </c>
      <c r="E223">
        <f t="shared" si="60"/>
        <v>0.77940620631105395</v>
      </c>
      <c r="F223">
        <f t="shared" si="61"/>
        <v>0.74998235279385927</v>
      </c>
      <c r="G223">
        <f t="shared" si="53"/>
        <v>0.75003419710572306</v>
      </c>
      <c r="H223">
        <f t="shared" si="63"/>
        <v>0.75003419710572306</v>
      </c>
      <c r="I223">
        <f t="shared" si="59"/>
        <v>0.75005297724471975</v>
      </c>
      <c r="J223">
        <f t="shared" si="54"/>
        <v>0.75005129565858464</v>
      </c>
      <c r="K223">
        <f t="shared" si="55"/>
        <v>0.72069803096595275</v>
      </c>
      <c r="L223">
        <f t="shared" si="56"/>
        <v>0.77940456035121652</v>
      </c>
      <c r="M223">
        <f t="shared" si="62"/>
        <v>0.75001765908157325</v>
      </c>
      <c r="N223">
        <f t="shared" si="65"/>
        <v>0.77940620631105395</v>
      </c>
      <c r="O223">
        <f t="shared" si="57"/>
        <v>0.72059379368894605</v>
      </c>
      <c r="P223" t="b">
        <f t="shared" si="64"/>
        <v>1</v>
      </c>
    </row>
    <row r="224" spans="1:16" x14ac:dyDescent="0.25">
      <c r="A224">
        <v>1.085</v>
      </c>
      <c r="B224">
        <f t="shared" si="51"/>
        <v>0.74996920123292654</v>
      </c>
      <c r="C224">
        <f t="shared" si="58"/>
        <v>0.72059614433743546</v>
      </c>
      <c r="D224">
        <f t="shared" si="52"/>
        <v>0.75003079876707346</v>
      </c>
      <c r="E224">
        <f t="shared" si="60"/>
        <v>0.77940385566256454</v>
      </c>
      <c r="F224">
        <f t="shared" si="61"/>
        <v>0.74998313634335578</v>
      </c>
      <c r="G224">
        <f t="shared" si="53"/>
        <v>0.75003313062666566</v>
      </c>
      <c r="H224">
        <f t="shared" si="63"/>
        <v>0.75003313062666566</v>
      </c>
      <c r="I224">
        <f t="shared" si="59"/>
        <v>0.75005240944659268</v>
      </c>
      <c r="J224">
        <f t="shared" si="54"/>
        <v>0.75004969593999848</v>
      </c>
      <c r="K224">
        <f t="shared" si="55"/>
        <v>0.7206964312473666</v>
      </c>
      <c r="L224">
        <f t="shared" si="56"/>
        <v>0.77940296063263037</v>
      </c>
      <c r="M224">
        <f t="shared" si="62"/>
        <v>0.75001746981553086</v>
      </c>
      <c r="N224">
        <f t="shared" si="65"/>
        <v>0.77940385566256454</v>
      </c>
      <c r="O224">
        <f t="shared" si="57"/>
        <v>0.72059614433743546</v>
      </c>
      <c r="P224" t="b">
        <f t="shared" si="64"/>
        <v>1</v>
      </c>
    </row>
    <row r="225" spans="1:16" x14ac:dyDescent="0.25">
      <c r="A225">
        <v>1.0900000000000001</v>
      </c>
      <c r="B225">
        <f t="shared" si="51"/>
        <v>0.74997056872182188</v>
      </c>
      <c r="C225">
        <f t="shared" si="58"/>
        <v>0.72059839061532782</v>
      </c>
      <c r="D225">
        <f t="shared" si="52"/>
        <v>0.75002943127817812</v>
      </c>
      <c r="E225">
        <f t="shared" si="60"/>
        <v>0.77940160938467218</v>
      </c>
      <c r="F225">
        <f t="shared" si="61"/>
        <v>0.74998388510265324</v>
      </c>
      <c r="G225">
        <f t="shared" si="53"/>
        <v>0.75003178043641061</v>
      </c>
      <c r="H225">
        <f t="shared" si="63"/>
        <v>0.75003178043641061</v>
      </c>
      <c r="I225">
        <f t="shared" si="59"/>
        <v>0.75005129565858464</v>
      </c>
      <c r="J225">
        <f t="shared" si="54"/>
        <v>0.75004767065461597</v>
      </c>
      <c r="K225">
        <f t="shared" si="55"/>
        <v>0.72069440596198409</v>
      </c>
      <c r="L225">
        <f t="shared" si="56"/>
        <v>0.77940093534724786</v>
      </c>
      <c r="M225">
        <f t="shared" si="62"/>
        <v>0.75001709855286158</v>
      </c>
      <c r="N225">
        <f t="shared" si="65"/>
        <v>0.77940160938467218</v>
      </c>
      <c r="O225">
        <f t="shared" si="57"/>
        <v>0.72059839061532782</v>
      </c>
      <c r="P225" t="b">
        <f t="shared" si="64"/>
        <v>1</v>
      </c>
    </row>
    <row r="226" spans="1:16" x14ac:dyDescent="0.25">
      <c r="A226">
        <v>1.095</v>
      </c>
      <c r="B226">
        <f t="shared" si="51"/>
        <v>0.7499718754931608</v>
      </c>
      <c r="C226">
        <f t="shared" si="58"/>
        <v>0.72060053715675787</v>
      </c>
      <c r="D226">
        <f t="shared" si="52"/>
        <v>0.7500281245068392</v>
      </c>
      <c r="E226">
        <f t="shared" si="60"/>
        <v>0.77939946284324213</v>
      </c>
      <c r="F226">
        <f t="shared" si="61"/>
        <v>0.74998460061646322</v>
      </c>
      <c r="G226">
        <f t="shared" si="53"/>
        <v>0.75003018650574582</v>
      </c>
      <c r="H226">
        <f t="shared" si="63"/>
        <v>0.75003018650574582</v>
      </c>
      <c r="I226">
        <f t="shared" si="59"/>
        <v>0.75004969593999848</v>
      </c>
      <c r="J226">
        <f t="shared" si="54"/>
        <v>0.75004527975861868</v>
      </c>
      <c r="K226">
        <f t="shared" si="55"/>
        <v>0.72069201506598679</v>
      </c>
      <c r="L226">
        <f t="shared" si="56"/>
        <v>0.77939854445125056</v>
      </c>
      <c r="M226">
        <f t="shared" si="62"/>
        <v>0.75001656531333283</v>
      </c>
      <c r="N226">
        <f t="shared" si="65"/>
        <v>0.77939946284324213</v>
      </c>
      <c r="O226">
        <f t="shared" si="57"/>
        <v>0.72060053715675787</v>
      </c>
      <c r="P226" t="b">
        <f t="shared" si="64"/>
        <v>1</v>
      </c>
    </row>
    <row r="227" spans="1:16" x14ac:dyDescent="0.25">
      <c r="A227">
        <v>1.1000000000000001</v>
      </c>
      <c r="B227">
        <f t="shared" si="51"/>
        <v>0.74997312424284934</v>
      </c>
      <c r="C227">
        <f t="shared" si="58"/>
        <v>0.72060258839010094</v>
      </c>
      <c r="D227">
        <f t="shared" si="52"/>
        <v>0.75002687575715066</v>
      </c>
      <c r="E227">
        <f t="shared" si="60"/>
        <v>0.77939741160989906</v>
      </c>
      <c r="F227">
        <f t="shared" si="61"/>
        <v>0.74998528436091094</v>
      </c>
      <c r="G227">
        <f t="shared" si="53"/>
        <v>0.75002838810331263</v>
      </c>
      <c r="H227">
        <f t="shared" si="63"/>
        <v>0.75002838810331263</v>
      </c>
      <c r="I227">
        <f t="shared" si="59"/>
        <v>0.75004767065461597</v>
      </c>
      <c r="J227">
        <f t="shared" si="54"/>
        <v>0.750042582154969</v>
      </c>
      <c r="K227">
        <f t="shared" si="55"/>
        <v>0.72068931746233711</v>
      </c>
      <c r="L227">
        <f t="shared" si="56"/>
        <v>0.77939584684760088</v>
      </c>
      <c r="M227">
        <f t="shared" si="62"/>
        <v>0.75001589021820536</v>
      </c>
      <c r="N227">
        <f t="shared" si="65"/>
        <v>0.77939741160989906</v>
      </c>
      <c r="O227">
        <f t="shared" si="57"/>
        <v>0.72060258839010094</v>
      </c>
      <c r="P227" t="b">
        <f t="shared" si="64"/>
        <v>1</v>
      </c>
    </row>
    <row r="228" spans="1:16" x14ac:dyDescent="0.25">
      <c r="A228">
        <v>1.105</v>
      </c>
      <c r="B228">
        <f t="shared" si="51"/>
        <v>0.74997431754709343</v>
      </c>
      <c r="C228">
        <f t="shared" si="58"/>
        <v>0.72060454854710931</v>
      </c>
      <c r="D228">
        <f t="shared" si="52"/>
        <v>0.75002568245290657</v>
      </c>
      <c r="E228">
        <f t="shared" si="60"/>
        <v>0.77939545145289069</v>
      </c>
      <c r="F228">
        <f t="shared" si="61"/>
        <v>0.7499859377465804</v>
      </c>
      <c r="G228">
        <f t="shared" si="53"/>
        <v>0.75002642341054182</v>
      </c>
      <c r="H228">
        <f t="shared" si="63"/>
        <v>0.75002642341054182</v>
      </c>
      <c r="I228">
        <f t="shared" si="59"/>
        <v>0.75004527975861868</v>
      </c>
      <c r="J228">
        <f t="shared" si="54"/>
        <v>0.75003963511581262</v>
      </c>
      <c r="K228">
        <f t="shared" si="55"/>
        <v>0.72068637042318073</v>
      </c>
      <c r="L228">
        <f t="shared" si="56"/>
        <v>0.77939289980844451</v>
      </c>
      <c r="M228">
        <f t="shared" si="62"/>
        <v>0.75001509325287286</v>
      </c>
      <c r="N228">
        <f t="shared" si="65"/>
        <v>0.77939545145289069</v>
      </c>
      <c r="O228">
        <f t="shared" si="57"/>
        <v>0.72060454854710931</v>
      </c>
      <c r="P228" t="b">
        <f t="shared" si="64"/>
        <v>1</v>
      </c>
    </row>
    <row r="229" spans="1:16" x14ac:dyDescent="0.25">
      <c r="A229">
        <v>1.1100000000000001</v>
      </c>
      <c r="B229">
        <f t="shared" si="51"/>
        <v>0.74997545786771314</v>
      </c>
      <c r="C229">
        <f t="shared" si="58"/>
        <v>0.72060642167164224</v>
      </c>
      <c r="D229">
        <f t="shared" si="52"/>
        <v>0.75002454213228686</v>
      </c>
      <c r="E229">
        <f t="shared" si="60"/>
        <v>0.77939357832835776</v>
      </c>
      <c r="F229">
        <f t="shared" si="61"/>
        <v>0.74998656212142467</v>
      </c>
      <c r="G229">
        <f t="shared" si="53"/>
        <v>0.75002432918237194</v>
      </c>
      <c r="H229">
        <f t="shared" si="63"/>
        <v>0.75002432918237194</v>
      </c>
      <c r="I229">
        <f t="shared" si="59"/>
        <v>0.750042582154969</v>
      </c>
      <c r="J229">
        <f t="shared" si="54"/>
        <v>0.75003649377355797</v>
      </c>
      <c r="K229">
        <f t="shared" si="55"/>
        <v>0.72068322908092608</v>
      </c>
      <c r="L229">
        <f t="shared" si="56"/>
        <v>0.77938975846618985</v>
      </c>
      <c r="M229">
        <f t="shared" si="62"/>
        <v>0.75001419405165637</v>
      </c>
      <c r="N229">
        <f t="shared" si="65"/>
        <v>0.77939357832835776</v>
      </c>
      <c r="O229">
        <f t="shared" si="57"/>
        <v>0.72060642167164224</v>
      </c>
      <c r="P229" t="b">
        <f t="shared" si="64"/>
        <v>1</v>
      </c>
    </row>
    <row r="230" spans="1:16" x14ac:dyDescent="0.25">
      <c r="A230">
        <v>1.115</v>
      </c>
      <c r="B230">
        <f t="shared" si="51"/>
        <v>0.74997654755722221</v>
      </c>
      <c r="C230">
        <f t="shared" si="58"/>
        <v>0.72060821162800826</v>
      </c>
      <c r="D230">
        <f t="shared" si="52"/>
        <v>0.75002345244277779</v>
      </c>
      <c r="E230">
        <f t="shared" si="60"/>
        <v>0.77939178837199174</v>
      </c>
      <c r="F230">
        <f t="shared" si="61"/>
        <v>0.74998715877354671</v>
      </c>
      <c r="G230">
        <f t="shared" si="53"/>
        <v>0.75002214045363269</v>
      </c>
      <c r="H230">
        <f t="shared" si="63"/>
        <v>0.75002214045363269</v>
      </c>
      <c r="I230">
        <f t="shared" si="59"/>
        <v>0.75003963511581262</v>
      </c>
      <c r="J230">
        <f t="shared" si="54"/>
        <v>0.75003321068044904</v>
      </c>
      <c r="K230">
        <f t="shared" si="55"/>
        <v>0.72067994598781715</v>
      </c>
      <c r="L230">
        <f t="shared" si="56"/>
        <v>0.77938647537308092</v>
      </c>
      <c r="M230">
        <f t="shared" si="62"/>
        <v>0.75001321170527091</v>
      </c>
      <c r="N230">
        <f t="shared" si="65"/>
        <v>0.77939178837199174</v>
      </c>
      <c r="O230">
        <f t="shared" si="57"/>
        <v>0.72060821162800826</v>
      </c>
      <c r="P230" t="b">
        <f t="shared" si="64"/>
        <v>1</v>
      </c>
    </row>
    <row r="231" spans="1:16" x14ac:dyDescent="0.25">
      <c r="A231">
        <v>1.1200000000000001</v>
      </c>
      <c r="B231">
        <f t="shared" si="51"/>
        <v>0.74997758886368071</v>
      </c>
      <c r="C231">
        <f t="shared" si="58"/>
        <v>0.72060992210893782</v>
      </c>
      <c r="D231">
        <f t="shared" si="52"/>
        <v>0.75002241113631929</v>
      </c>
      <c r="E231">
        <f t="shared" si="60"/>
        <v>0.77939007789106218</v>
      </c>
      <c r="F231">
        <f t="shared" si="61"/>
        <v>0.74998772893385657</v>
      </c>
      <c r="G231">
        <f t="shared" si="53"/>
        <v>0.75001989029045846</v>
      </c>
      <c r="H231">
        <f t="shared" si="63"/>
        <v>0.75001989029045846</v>
      </c>
      <c r="I231">
        <f t="shared" si="59"/>
        <v>0.75003649377355797</v>
      </c>
      <c r="J231">
        <f t="shared" si="54"/>
        <v>0.75002983543568769</v>
      </c>
      <c r="K231">
        <f t="shared" si="55"/>
        <v>0.7206765707430558</v>
      </c>
      <c r="L231">
        <f t="shared" si="56"/>
        <v>0.77938310012831957</v>
      </c>
      <c r="M231">
        <f t="shared" si="62"/>
        <v>0.75001216459118603</v>
      </c>
      <c r="N231">
        <f t="shared" si="65"/>
        <v>0.77939007789106218</v>
      </c>
      <c r="O231">
        <f t="shared" si="57"/>
        <v>0.72060992210893782</v>
      </c>
      <c r="P231" t="b">
        <f t="shared" si="64"/>
        <v>1</v>
      </c>
    </row>
    <row r="232" spans="1:16" x14ac:dyDescent="0.25">
      <c r="A232">
        <v>1.125</v>
      </c>
      <c r="B232">
        <f t="shared" si="51"/>
        <v>0.74997858393533334</v>
      </c>
      <c r="C232">
        <f t="shared" si="58"/>
        <v>0.72061155664320142</v>
      </c>
      <c r="D232">
        <f t="shared" si="52"/>
        <v>0.75002141606466666</v>
      </c>
      <c r="E232">
        <f t="shared" si="60"/>
        <v>0.77938844335679858</v>
      </c>
      <c r="F232">
        <f t="shared" si="61"/>
        <v>0.7499882737786111</v>
      </c>
      <c r="G232">
        <f t="shared" si="53"/>
        <v>0.75001760958565</v>
      </c>
      <c r="H232">
        <f t="shared" si="63"/>
        <v>0.75001760958565</v>
      </c>
      <c r="I232">
        <f t="shared" si="59"/>
        <v>0.75003321068044904</v>
      </c>
      <c r="J232">
        <f t="shared" si="54"/>
        <v>0.75002641437847495</v>
      </c>
      <c r="K232">
        <f t="shared" si="55"/>
        <v>0.72067314968584306</v>
      </c>
      <c r="L232">
        <f t="shared" si="56"/>
        <v>0.77937967907110683</v>
      </c>
      <c r="M232">
        <f t="shared" si="62"/>
        <v>0.75001107022681635</v>
      </c>
      <c r="N232">
        <f t="shared" si="65"/>
        <v>0.77938844335679858</v>
      </c>
      <c r="O232">
        <f t="shared" si="57"/>
        <v>0.72061155664320142</v>
      </c>
      <c r="P232" t="b">
        <f t="shared" si="64"/>
        <v>1</v>
      </c>
    </row>
    <row r="233" spans="1:16" x14ac:dyDescent="0.25">
      <c r="A233">
        <v>1.1299999999999999</v>
      </c>
      <c r="B233">
        <f t="shared" si="51"/>
        <v>0.74997953482504087</v>
      </c>
      <c r="C233">
        <f t="shared" si="58"/>
        <v>0.72061311860288924</v>
      </c>
      <c r="D233">
        <f t="shared" si="52"/>
        <v>0.75002046517495913</v>
      </c>
      <c r="E233">
        <f t="shared" si="60"/>
        <v>0.77938688139711076</v>
      </c>
      <c r="F233">
        <f t="shared" si="61"/>
        <v>0.74998879443184041</v>
      </c>
      <c r="G233">
        <f t="shared" si="53"/>
        <v>0.75001532689648931</v>
      </c>
      <c r="H233">
        <f t="shared" si="63"/>
        <v>0.75001532689648931</v>
      </c>
      <c r="I233">
        <f t="shared" si="59"/>
        <v>0.75002983543568769</v>
      </c>
      <c r="J233">
        <f t="shared" si="54"/>
        <v>0.75002299034473396</v>
      </c>
      <c r="K233">
        <f t="shared" si="55"/>
        <v>0.72066972565210208</v>
      </c>
      <c r="L233">
        <f t="shared" si="56"/>
        <v>0.77937625503736585</v>
      </c>
      <c r="M233">
        <f t="shared" si="62"/>
        <v>0.75000994514522923</v>
      </c>
      <c r="N233">
        <f t="shared" si="65"/>
        <v>0.77938688139711076</v>
      </c>
      <c r="O233">
        <f t="shared" si="57"/>
        <v>0.72061311860288924</v>
      </c>
      <c r="P233" t="b">
        <f t="shared" si="64"/>
        <v>1</v>
      </c>
    </row>
    <row r="234" spans="1:16" x14ac:dyDescent="0.25">
      <c r="A234">
        <v>1.135</v>
      </c>
      <c r="B234">
        <f t="shared" si="51"/>
        <v>0.74998044349451554</v>
      </c>
      <c r="C234">
        <f t="shared" si="58"/>
        <v>0.72061461121036807</v>
      </c>
      <c r="D234">
        <f t="shared" si="52"/>
        <v>0.75001955650548446</v>
      </c>
      <c r="E234">
        <f t="shared" si="60"/>
        <v>0.77938538878963193</v>
      </c>
      <c r="F234">
        <f t="shared" si="61"/>
        <v>0.74998929196766662</v>
      </c>
      <c r="G234">
        <f t="shared" si="53"/>
        <v>0.75001306832316594</v>
      </c>
      <c r="H234">
        <f t="shared" si="63"/>
        <v>0.75001306832316594</v>
      </c>
      <c r="I234">
        <f t="shared" si="59"/>
        <v>0.75002641437847495</v>
      </c>
      <c r="J234">
        <f t="shared" si="54"/>
        <v>0.75001960248474886</v>
      </c>
      <c r="K234">
        <f t="shared" si="55"/>
        <v>0.72066633779211697</v>
      </c>
      <c r="L234">
        <f t="shared" si="56"/>
        <v>0.77937286717738075</v>
      </c>
      <c r="M234">
        <f t="shared" si="62"/>
        <v>0.75000880479282495</v>
      </c>
      <c r="N234">
        <f t="shared" si="65"/>
        <v>0.77938538878963193</v>
      </c>
      <c r="O234">
        <f t="shared" si="57"/>
        <v>0.72061461121036807</v>
      </c>
      <c r="P234" t="b">
        <f t="shared" si="64"/>
        <v>1</v>
      </c>
    </row>
    <row r="235" spans="1:16" x14ac:dyDescent="0.25">
      <c r="A235">
        <v>1.1399999999999999</v>
      </c>
      <c r="B235">
        <f t="shared" si="51"/>
        <v>0.74998131181836825</v>
      </c>
      <c r="C235">
        <f t="shared" si="58"/>
        <v>0.72061603754492942</v>
      </c>
      <c r="D235">
        <f t="shared" si="52"/>
        <v>0.75001868818163175</v>
      </c>
      <c r="E235">
        <f t="shared" si="60"/>
        <v>0.77938396245507058</v>
      </c>
      <c r="F235">
        <f t="shared" si="61"/>
        <v>0.74998976741252044</v>
      </c>
      <c r="G235">
        <f t="shared" si="53"/>
        <v>0.75001085742566775</v>
      </c>
      <c r="H235">
        <f t="shared" si="63"/>
        <v>0.75001085742566775</v>
      </c>
      <c r="I235">
        <f t="shared" si="59"/>
        <v>0.75002299034473396</v>
      </c>
      <c r="J235">
        <f t="shared" si="54"/>
        <v>0.75001628613850169</v>
      </c>
      <c r="K235">
        <f t="shared" si="55"/>
        <v>0.7206630214458698</v>
      </c>
      <c r="L235">
        <f t="shared" si="56"/>
        <v>0.77936955083113357</v>
      </c>
      <c r="M235">
        <f t="shared" si="62"/>
        <v>0.75000766344824465</v>
      </c>
      <c r="N235">
        <f t="shared" si="65"/>
        <v>0.77938396245507058</v>
      </c>
      <c r="O235">
        <f t="shared" si="57"/>
        <v>0.72061603754492942</v>
      </c>
      <c r="P235" t="b">
        <f t="shared" si="64"/>
        <v>1</v>
      </c>
    </row>
    <row r="236" spans="1:16" x14ac:dyDescent="0.25">
      <c r="A236">
        <v>1.145</v>
      </c>
      <c r="B236">
        <f t="shared" si="51"/>
        <v>0.74998214158797549</v>
      </c>
      <c r="C236">
        <f t="shared" si="58"/>
        <v>0.72061740054914147</v>
      </c>
      <c r="D236">
        <f t="shared" si="52"/>
        <v>0.75001785841202451</v>
      </c>
      <c r="E236">
        <f t="shared" si="60"/>
        <v>0.77938259945085853</v>
      </c>
      <c r="F236">
        <f t="shared" si="61"/>
        <v>0.74999022174725782</v>
      </c>
      <c r="G236">
        <f t="shared" si="53"/>
        <v>0.75000871517674128</v>
      </c>
      <c r="H236">
        <f t="shared" si="63"/>
        <v>0.75000871517674128</v>
      </c>
      <c r="I236">
        <f t="shared" si="59"/>
        <v>0.75001960248474886</v>
      </c>
      <c r="J236">
        <f t="shared" si="54"/>
        <v>0.75001307276511198</v>
      </c>
      <c r="K236">
        <f t="shared" si="55"/>
        <v>0.72065980807248009</v>
      </c>
      <c r="L236">
        <f t="shared" si="56"/>
        <v>0.77936633745774386</v>
      </c>
      <c r="M236">
        <f t="shared" si="62"/>
        <v>0.75000653416158292</v>
      </c>
      <c r="N236">
        <f t="shared" si="65"/>
        <v>0.77938259945085853</v>
      </c>
      <c r="O236">
        <f t="shared" si="57"/>
        <v>0.72061740054914147</v>
      </c>
      <c r="P236" t="b">
        <f t="shared" si="64"/>
        <v>1</v>
      </c>
    </row>
    <row r="237" spans="1:16" x14ac:dyDescent="0.25">
      <c r="A237">
        <v>1.1499999999999999</v>
      </c>
      <c r="B237">
        <f t="shared" si="51"/>
        <v>0.74998293451517528</v>
      </c>
      <c r="C237">
        <f t="shared" si="58"/>
        <v>0.72061870303492048</v>
      </c>
      <c r="D237">
        <f t="shared" si="52"/>
        <v>0.75001706548482472</v>
      </c>
      <c r="E237">
        <f t="shared" si="60"/>
        <v>0.77938129696507952</v>
      </c>
      <c r="F237">
        <f t="shared" si="61"/>
        <v>0.74999065590918412</v>
      </c>
      <c r="G237">
        <f t="shared" si="53"/>
        <v>0.75000665994832372</v>
      </c>
      <c r="H237">
        <f t="shared" si="63"/>
        <v>0.75000665994832372</v>
      </c>
      <c r="I237">
        <f t="shared" si="59"/>
        <v>0.75001628613850169</v>
      </c>
      <c r="J237">
        <f t="shared" si="54"/>
        <v>0.75000998992248558</v>
      </c>
      <c r="K237">
        <f t="shared" si="55"/>
        <v>0.72065672522985369</v>
      </c>
      <c r="L237">
        <f t="shared" si="56"/>
        <v>0.77936325461511746</v>
      </c>
      <c r="M237">
        <f t="shared" si="62"/>
        <v>0.75000542871283393</v>
      </c>
      <c r="N237">
        <f t="shared" si="65"/>
        <v>0.77938129696507952</v>
      </c>
      <c r="O237">
        <f t="shared" si="57"/>
        <v>0.72061870303492048</v>
      </c>
      <c r="P237" t="b">
        <f t="shared" si="64"/>
        <v>1</v>
      </c>
    </row>
    <row r="238" spans="1:16" x14ac:dyDescent="0.25">
      <c r="A238">
        <v>1.155</v>
      </c>
      <c r="B238">
        <f t="shared" si="51"/>
        <v>0.74998369223579886</v>
      </c>
      <c r="C238">
        <f t="shared" si="58"/>
        <v>0.72061994768933124</v>
      </c>
      <c r="D238">
        <f t="shared" si="52"/>
        <v>0.75001630776420114</v>
      </c>
      <c r="E238">
        <f t="shared" si="60"/>
        <v>0.77938005231066876</v>
      </c>
      <c r="F238">
        <f t="shared" si="61"/>
        <v>0.74999107079398775</v>
      </c>
      <c r="G238">
        <f t="shared" si="53"/>
        <v>0.75000470752869353</v>
      </c>
      <c r="H238">
        <f t="shared" si="63"/>
        <v>0.75000470752869353</v>
      </c>
      <c r="I238">
        <f t="shared" si="59"/>
        <v>0.75001307276511198</v>
      </c>
      <c r="J238">
        <f t="shared" si="54"/>
        <v>0.75000706129304029</v>
      </c>
      <c r="K238">
        <f t="shared" si="55"/>
        <v>0.7206537966004084</v>
      </c>
      <c r="L238">
        <f t="shared" si="56"/>
        <v>0.77936032598567218</v>
      </c>
      <c r="M238">
        <f t="shared" si="62"/>
        <v>0.7500043575883707</v>
      </c>
      <c r="N238">
        <f t="shared" si="65"/>
        <v>0.77938005231066876</v>
      </c>
      <c r="O238">
        <f t="shared" si="57"/>
        <v>0.72061994768933124</v>
      </c>
      <c r="P238" t="b">
        <f t="shared" si="64"/>
        <v>1</v>
      </c>
    </row>
    <row r="239" spans="1:16" x14ac:dyDescent="0.25">
      <c r="A239">
        <v>1.1599999999999999</v>
      </c>
      <c r="B239">
        <f t="shared" si="51"/>
        <v>0.74998441631304513</v>
      </c>
      <c r="C239">
        <f t="shared" si="58"/>
        <v>0.72062113708013098</v>
      </c>
      <c r="D239">
        <f t="shared" si="52"/>
        <v>0.75001558368695487</v>
      </c>
      <c r="E239">
        <f t="shared" si="60"/>
        <v>0.77937886291986902</v>
      </c>
      <c r="F239">
        <f t="shared" si="61"/>
        <v>0.74999146725758759</v>
      </c>
      <c r="G239">
        <f t="shared" si="53"/>
        <v>0.75000287116747977</v>
      </c>
      <c r="H239">
        <f t="shared" si="63"/>
        <v>0.75000287116747977</v>
      </c>
      <c r="I239">
        <f t="shared" si="59"/>
        <v>0.75000998992248558</v>
      </c>
      <c r="J239">
        <f t="shared" si="54"/>
        <v>0.75000430675121954</v>
      </c>
      <c r="K239">
        <f t="shared" si="55"/>
        <v>0.72065104205858765</v>
      </c>
      <c r="L239">
        <f t="shared" si="56"/>
        <v>0.77935757144385143</v>
      </c>
      <c r="M239">
        <f t="shared" si="62"/>
        <v>0.75000332997416186</v>
      </c>
      <c r="N239">
        <f t="shared" si="65"/>
        <v>0.77937886291986902</v>
      </c>
      <c r="O239">
        <f t="shared" si="57"/>
        <v>0.72062113708013098</v>
      </c>
      <c r="P239" t="b">
        <f t="shared" si="64"/>
        <v>1</v>
      </c>
    </row>
    <row r="240" spans="1:16" x14ac:dyDescent="0.25">
      <c r="A240">
        <v>1.165</v>
      </c>
      <c r="B240">
        <f t="shared" si="51"/>
        <v>0.74998510824070608</v>
      </c>
      <c r="C240">
        <f t="shared" si="58"/>
        <v>0.72062227366106635</v>
      </c>
      <c r="D240">
        <f t="shared" si="52"/>
        <v>0.75001489175929392</v>
      </c>
      <c r="E240">
        <f t="shared" si="60"/>
        <v>0.77937772633893365</v>
      </c>
      <c r="F240">
        <f t="shared" si="61"/>
        <v>0.74999184611789937</v>
      </c>
      <c r="G240">
        <f t="shared" si="53"/>
        <v>0.75000116164559683</v>
      </c>
      <c r="H240">
        <f t="shared" si="63"/>
        <v>0.75000116164559683</v>
      </c>
      <c r="I240">
        <f t="shared" si="59"/>
        <v>0.75000706129304029</v>
      </c>
      <c r="J240">
        <f t="shared" si="54"/>
        <v>0.75000174246839513</v>
      </c>
      <c r="K240">
        <f t="shared" si="55"/>
        <v>0.72064847777576324</v>
      </c>
      <c r="L240">
        <f t="shared" si="56"/>
        <v>0.77935500716102701</v>
      </c>
      <c r="M240">
        <f t="shared" si="62"/>
        <v>0.75000235376434676</v>
      </c>
      <c r="N240">
        <f t="shared" si="65"/>
        <v>0.77937772633893365</v>
      </c>
      <c r="O240">
        <f t="shared" si="57"/>
        <v>0.72062227366106635</v>
      </c>
      <c r="P240" t="b">
        <f t="shared" si="64"/>
        <v>1</v>
      </c>
    </row>
    <row r="241" spans="1:16" x14ac:dyDescent="0.25">
      <c r="A241">
        <v>1.17</v>
      </c>
      <c r="B241">
        <f t="shared" si="51"/>
        <v>0.74998576944624784</v>
      </c>
      <c r="C241">
        <f t="shared" si="58"/>
        <v>0.72062335977693592</v>
      </c>
      <c r="D241">
        <f t="shared" si="52"/>
        <v>0.75001423055375216</v>
      </c>
      <c r="E241">
        <f t="shared" si="60"/>
        <v>0.77937664022306408</v>
      </c>
      <c r="F241">
        <f t="shared" si="61"/>
        <v>0.74999220815652257</v>
      </c>
      <c r="G241">
        <f t="shared" si="53"/>
        <v>0.74999958736714878</v>
      </c>
      <c r="H241">
        <f t="shared" si="63"/>
        <v>0.74999958736714878</v>
      </c>
      <c r="I241">
        <f t="shared" si="59"/>
        <v>0.75000430675121954</v>
      </c>
      <c r="J241">
        <f t="shared" si="54"/>
        <v>0.74999938105072317</v>
      </c>
      <c r="K241">
        <f t="shared" si="55"/>
        <v>0.72064611635809128</v>
      </c>
      <c r="L241">
        <f t="shared" si="56"/>
        <v>0.77935264574335505</v>
      </c>
      <c r="M241">
        <f t="shared" si="62"/>
        <v>0.75000143558373988</v>
      </c>
      <c r="N241">
        <f t="shared" si="65"/>
        <v>0.77937664022306408</v>
      </c>
      <c r="O241">
        <f t="shared" si="57"/>
        <v>0.72062335977693592</v>
      </c>
      <c r="P241" t="b">
        <f t="shared" si="64"/>
        <v>1</v>
      </c>
    </row>
    <row r="242" spans="1:16" x14ac:dyDescent="0.25">
      <c r="A242">
        <v>1.175</v>
      </c>
      <c r="B242">
        <f t="shared" si="51"/>
        <v>0.74998640129375604</v>
      </c>
      <c r="C242">
        <f t="shared" si="58"/>
        <v>0.72062439766842723</v>
      </c>
      <c r="D242">
        <f t="shared" si="52"/>
        <v>0.75001359870624396</v>
      </c>
      <c r="E242">
        <f t="shared" si="60"/>
        <v>0.77937560233157277</v>
      </c>
      <c r="F242">
        <f t="shared" si="61"/>
        <v>0.74999255412035304</v>
      </c>
      <c r="G242">
        <f t="shared" si="53"/>
        <v>0.74999815447035012</v>
      </c>
      <c r="H242">
        <f t="shared" si="63"/>
        <v>0.74999815447035012</v>
      </c>
      <c r="I242">
        <f t="shared" si="59"/>
        <v>0.75000174246839513</v>
      </c>
      <c r="J242">
        <f t="shared" si="54"/>
        <v>0.74999723170552512</v>
      </c>
      <c r="K242">
        <f t="shared" si="55"/>
        <v>0.72064396701289324</v>
      </c>
      <c r="L242">
        <f t="shared" si="56"/>
        <v>0.77935049639815701</v>
      </c>
      <c r="M242">
        <f t="shared" si="62"/>
        <v>0.75000058082279841</v>
      </c>
      <c r="N242">
        <f t="shared" si="65"/>
        <v>0.77937560233157277</v>
      </c>
      <c r="O242">
        <f t="shared" si="57"/>
        <v>0.72062439766842723</v>
      </c>
      <c r="P242" t="b">
        <f t="shared" si="64"/>
        <v>1</v>
      </c>
    </row>
    <row r="243" spans="1:16" x14ac:dyDescent="0.25">
      <c r="A243">
        <v>1.18</v>
      </c>
      <c r="B243">
        <f t="shared" si="51"/>
        <v>0.74998700508674998</v>
      </c>
      <c r="C243">
        <f t="shared" si="58"/>
        <v>0.72062538947673982</v>
      </c>
      <c r="D243">
        <f t="shared" si="52"/>
        <v>0.75001299491325002</v>
      </c>
      <c r="E243">
        <f t="shared" si="60"/>
        <v>0.77937461052326018</v>
      </c>
      <c r="F243">
        <f t="shared" si="61"/>
        <v>0.74999288472312386</v>
      </c>
      <c r="G243">
        <f t="shared" si="53"/>
        <v>0.74999686695455225</v>
      </c>
      <c r="H243">
        <f t="shared" si="63"/>
        <v>0.74999686695455225</v>
      </c>
      <c r="I243">
        <f t="shared" si="59"/>
        <v>0.74999938105072317</v>
      </c>
      <c r="J243">
        <f t="shared" si="54"/>
        <v>0.74999530043182827</v>
      </c>
      <c r="K243">
        <f t="shared" si="55"/>
        <v>0.72064203573919638</v>
      </c>
      <c r="L243">
        <f t="shared" si="56"/>
        <v>0.77934856512446016</v>
      </c>
      <c r="M243">
        <f t="shared" si="62"/>
        <v>0.74999979368357439</v>
      </c>
      <c r="N243">
        <f t="shared" si="65"/>
        <v>0.77937461052326018</v>
      </c>
      <c r="O243">
        <f t="shared" si="57"/>
        <v>0.72062538947673982</v>
      </c>
      <c r="P243" t="b">
        <f t="shared" si="64"/>
        <v>1</v>
      </c>
    </row>
    <row r="244" spans="1:16" x14ac:dyDescent="0.25">
      <c r="A244">
        <v>1.1850000000000001</v>
      </c>
      <c r="B244">
        <f t="shared" si="51"/>
        <v>0.74998758207087157</v>
      </c>
      <c r="C244">
        <f t="shared" si="58"/>
        <v>0.72062633724800218</v>
      </c>
      <c r="D244">
        <f t="shared" si="52"/>
        <v>0.75001241792912843</v>
      </c>
      <c r="E244">
        <f t="shared" si="60"/>
        <v>0.77937366275199782</v>
      </c>
      <c r="F244">
        <f t="shared" si="61"/>
        <v>0.74999320064687802</v>
      </c>
      <c r="G244">
        <f t="shared" si="53"/>
        <v>0.74999572682053472</v>
      </c>
      <c r="H244">
        <f t="shared" si="63"/>
        <v>0.74999572682053472</v>
      </c>
      <c r="I244">
        <f t="shared" si="59"/>
        <v>0.74999723170552512</v>
      </c>
      <c r="J244">
        <f t="shared" si="54"/>
        <v>0.74999359023080203</v>
      </c>
      <c r="K244">
        <f t="shared" si="55"/>
        <v>0.72064032553817015</v>
      </c>
      <c r="L244">
        <f t="shared" si="56"/>
        <v>0.77934685492343392</v>
      </c>
      <c r="M244">
        <f t="shared" si="62"/>
        <v>0.749999077235175</v>
      </c>
      <c r="N244">
        <f t="shared" si="65"/>
        <v>0.77937366275199782</v>
      </c>
      <c r="O244">
        <f t="shared" si="57"/>
        <v>0.72062633724800218</v>
      </c>
      <c r="P244" t="b">
        <f t="shared" si="64"/>
        <v>1</v>
      </c>
    </row>
    <row r="245" spans="1:16" x14ac:dyDescent="0.25">
      <c r="A245">
        <v>1.19</v>
      </c>
      <c r="B245">
        <f t="shared" si="51"/>
        <v>0.74998813343645532</v>
      </c>
      <c r="C245">
        <f t="shared" si="58"/>
        <v>0.72062724293749303</v>
      </c>
      <c r="D245">
        <f t="shared" si="52"/>
        <v>0.75001186656354468</v>
      </c>
      <c r="E245">
        <f t="shared" si="60"/>
        <v>0.77937275706250697</v>
      </c>
      <c r="F245">
        <f t="shared" si="61"/>
        <v>0.74999350254337493</v>
      </c>
      <c r="G245">
        <f t="shared" si="53"/>
        <v>0.74999473422131568</v>
      </c>
      <c r="H245">
        <f t="shared" si="63"/>
        <v>0.74999473422131568</v>
      </c>
      <c r="I245">
        <f t="shared" si="59"/>
        <v>0.74999530043182827</v>
      </c>
      <c r="J245">
        <f t="shared" si="54"/>
        <v>0.74999210133197347</v>
      </c>
      <c r="K245">
        <f t="shared" si="55"/>
        <v>0.72063883663934158</v>
      </c>
      <c r="L245">
        <f t="shared" si="56"/>
        <v>0.77934536602460536</v>
      </c>
      <c r="M245">
        <f t="shared" si="62"/>
        <v>0.74999843347727613</v>
      </c>
      <c r="N245">
        <f t="shared" si="65"/>
        <v>0.77937275706250697</v>
      </c>
      <c r="O245">
        <f t="shared" si="57"/>
        <v>0.72062724293749303</v>
      </c>
      <c r="P245" t="b">
        <f t="shared" si="64"/>
        <v>1</v>
      </c>
    </row>
    <row r="246" spans="1:16" x14ac:dyDescent="0.25">
      <c r="A246">
        <v>1.1950000000000001</v>
      </c>
      <c r="B246">
        <f t="shared" si="51"/>
        <v>0.74998866032098399</v>
      </c>
      <c r="C246">
        <f t="shared" si="58"/>
        <v>0.72062810841367542</v>
      </c>
      <c r="D246">
        <f t="shared" si="52"/>
        <v>0.75001133967901601</v>
      </c>
      <c r="E246">
        <f t="shared" si="60"/>
        <v>0.77937189158632458</v>
      </c>
      <c r="F246">
        <f t="shared" si="61"/>
        <v>0.74999379103543573</v>
      </c>
      <c r="G246">
        <f t="shared" si="53"/>
        <v>0.74999388762085495</v>
      </c>
      <c r="H246">
        <f t="shared" si="63"/>
        <v>0.74999388762085495</v>
      </c>
      <c r="I246">
        <f t="shared" si="59"/>
        <v>0.74999359023080203</v>
      </c>
      <c r="J246">
        <f t="shared" si="54"/>
        <v>0.74999083143128253</v>
      </c>
      <c r="K246">
        <f t="shared" si="55"/>
        <v>0.72063756673865065</v>
      </c>
      <c r="L246">
        <f t="shared" si="56"/>
        <v>0.77934409612391442</v>
      </c>
      <c r="M246">
        <f t="shared" si="62"/>
        <v>0.74999786341026731</v>
      </c>
      <c r="N246">
        <f t="shared" si="65"/>
        <v>0.77937189158632458</v>
      </c>
      <c r="O246">
        <f t="shared" si="57"/>
        <v>0.72062810841367542</v>
      </c>
      <c r="P246" t="b">
        <f t="shared" si="64"/>
        <v>1</v>
      </c>
    </row>
    <row r="247" spans="1:16" x14ac:dyDescent="0.25">
      <c r="A247">
        <v>1.2</v>
      </c>
      <c r="B247">
        <f t="shared" si="51"/>
        <v>0.74998916381143521</v>
      </c>
      <c r="C247">
        <f t="shared" si="58"/>
        <v>0.72062893546205109</v>
      </c>
      <c r="D247">
        <f t="shared" si="52"/>
        <v>0.75001083618856479</v>
      </c>
      <c r="E247">
        <f t="shared" si="60"/>
        <v>0.77937106453794891</v>
      </c>
      <c r="F247">
        <f t="shared" si="61"/>
        <v>0.74999406671822766</v>
      </c>
      <c r="G247">
        <f t="shared" si="53"/>
        <v>0.74999318395816261</v>
      </c>
      <c r="H247">
        <f t="shared" si="63"/>
        <v>0.74999318395816261</v>
      </c>
      <c r="I247">
        <f t="shared" si="59"/>
        <v>0.74999210133197347</v>
      </c>
      <c r="J247">
        <f t="shared" si="54"/>
        <v>0.74998977593724381</v>
      </c>
      <c r="K247">
        <f t="shared" si="55"/>
        <v>0.72063651124461192</v>
      </c>
      <c r="L247">
        <f t="shared" si="56"/>
        <v>0.77934304062987569</v>
      </c>
      <c r="M247">
        <f t="shared" si="62"/>
        <v>0.74999736711065779</v>
      </c>
      <c r="N247">
        <f t="shared" si="65"/>
        <v>0.77937106453794891</v>
      </c>
      <c r="O247">
        <f t="shared" si="57"/>
        <v>0.72062893546205109</v>
      </c>
      <c r="P247" t="b">
        <f t="shared" si="64"/>
        <v>1</v>
      </c>
    </row>
    <row r="248" spans="1:16" x14ac:dyDescent="0.25">
      <c r="A248">
        <v>1.2050000000000001</v>
      </c>
      <c r="B248">
        <f t="shared" si="51"/>
        <v>0.74998964494652409</v>
      </c>
      <c r="C248">
        <f t="shared" si="58"/>
        <v>0.7206297257888441</v>
      </c>
      <c r="D248">
        <f t="shared" si="52"/>
        <v>0.75001035505347591</v>
      </c>
      <c r="E248">
        <f t="shared" si="60"/>
        <v>0.7793702742111559</v>
      </c>
      <c r="F248">
        <f t="shared" si="61"/>
        <v>0.749994330160492</v>
      </c>
      <c r="G248">
        <f t="shared" si="53"/>
        <v>0.74999261881447798</v>
      </c>
      <c r="H248">
        <f t="shared" si="63"/>
        <v>0.74999261881447798</v>
      </c>
      <c r="I248">
        <f t="shared" si="59"/>
        <v>0.74999083143128253</v>
      </c>
      <c r="J248">
        <f t="shared" si="54"/>
        <v>0.74998892822171703</v>
      </c>
      <c r="K248">
        <f t="shared" si="55"/>
        <v>0.72063566352908515</v>
      </c>
      <c r="L248">
        <f t="shared" si="56"/>
        <v>0.77934219291434892</v>
      </c>
      <c r="M248">
        <f t="shared" si="62"/>
        <v>0.74999694381042747</v>
      </c>
      <c r="N248">
        <f t="shared" si="65"/>
        <v>0.7793702742111559</v>
      </c>
      <c r="O248">
        <f t="shared" si="57"/>
        <v>0.7206297257888441</v>
      </c>
      <c r="P248" t="b">
        <f t="shared" si="64"/>
        <v>1</v>
      </c>
    </row>
    <row r="249" spans="1:16" x14ac:dyDescent="0.25">
      <c r="A249">
        <v>1.21</v>
      </c>
      <c r="B249">
        <f t="shared" si="51"/>
        <v>0.74999010471884564</v>
      </c>
      <c r="C249">
        <f t="shared" si="58"/>
        <v>0.72063048102452099</v>
      </c>
      <c r="D249">
        <f t="shared" si="52"/>
        <v>0.75000989528115436</v>
      </c>
      <c r="E249">
        <f t="shared" si="60"/>
        <v>0.77936951897547901</v>
      </c>
      <c r="F249">
        <f t="shared" si="61"/>
        <v>0.74999458190571766</v>
      </c>
      <c r="G249">
        <f t="shared" si="53"/>
        <v>0.74999218658135658</v>
      </c>
      <c r="H249">
        <f t="shared" si="63"/>
        <v>0.74999218658135658</v>
      </c>
      <c r="I249">
        <f t="shared" si="59"/>
        <v>0.74998977593724381</v>
      </c>
      <c r="J249">
        <f t="shared" si="54"/>
        <v>0.74998827987203487</v>
      </c>
      <c r="K249">
        <f t="shared" si="55"/>
        <v>0.72063501517940298</v>
      </c>
      <c r="L249">
        <f t="shared" si="56"/>
        <v>0.77934154456466675</v>
      </c>
      <c r="M249">
        <f t="shared" si="62"/>
        <v>0.74999659197908131</v>
      </c>
      <c r="N249">
        <f t="shared" si="65"/>
        <v>0.77936951897547901</v>
      </c>
      <c r="O249">
        <f t="shared" si="57"/>
        <v>0.72063048102452099</v>
      </c>
      <c r="P249" t="b">
        <f t="shared" si="64"/>
        <v>1</v>
      </c>
    </row>
    <row r="250" spans="1:16" x14ac:dyDescent="0.25">
      <c r="A250">
        <v>1.2150000000000001</v>
      </c>
      <c r="B250">
        <f t="shared" si="51"/>
        <v>0.74999054407692334</v>
      </c>
      <c r="C250">
        <f t="shared" si="58"/>
        <v>0.7206312027271542</v>
      </c>
      <c r="D250">
        <f t="shared" si="52"/>
        <v>0.75000945592307666</v>
      </c>
      <c r="E250">
        <f t="shared" si="60"/>
        <v>0.7793687972728458</v>
      </c>
      <c r="F250">
        <f t="shared" si="61"/>
        <v>0.74999482247326199</v>
      </c>
      <c r="G250">
        <f t="shared" si="53"/>
        <v>0.74999188062767275</v>
      </c>
      <c r="H250">
        <f t="shared" si="63"/>
        <v>0.74999188062767275</v>
      </c>
      <c r="I250">
        <f t="shared" si="59"/>
        <v>0.74998892822171703</v>
      </c>
      <c r="J250">
        <f t="shared" si="54"/>
        <v>0.74998782094150906</v>
      </c>
      <c r="K250">
        <f t="shared" si="55"/>
        <v>0.72063455624887718</v>
      </c>
      <c r="L250">
        <f t="shared" si="56"/>
        <v>0.77934108563414095</v>
      </c>
      <c r="M250">
        <f t="shared" si="62"/>
        <v>0.74999630940723905</v>
      </c>
      <c r="N250">
        <f t="shared" si="65"/>
        <v>0.7793687972728458</v>
      </c>
      <c r="O250">
        <f t="shared" si="57"/>
        <v>0.7206312027271542</v>
      </c>
      <c r="P250" t="b">
        <f t="shared" si="64"/>
        <v>1</v>
      </c>
    </row>
    <row r="251" spans="1:16" x14ac:dyDescent="0.25">
      <c r="A251">
        <v>1.22</v>
      </c>
      <c r="B251">
        <f t="shared" si="51"/>
        <v>0.74999096392716513</v>
      </c>
      <c r="C251">
        <f t="shared" si="58"/>
        <v>0.72063189238563663</v>
      </c>
      <c r="D251">
        <f t="shared" si="52"/>
        <v>0.75000903607283487</v>
      </c>
      <c r="E251">
        <f t="shared" si="60"/>
        <v>0.77936810761436337</v>
      </c>
      <c r="F251">
        <f t="shared" si="61"/>
        <v>0.74999505235942288</v>
      </c>
      <c r="G251">
        <f t="shared" si="53"/>
        <v>0.7499916934637394</v>
      </c>
      <c r="H251">
        <f t="shared" si="63"/>
        <v>0.7499916934637394</v>
      </c>
      <c r="I251">
        <f t="shared" si="59"/>
        <v>0.74998827987203487</v>
      </c>
      <c r="J251">
        <f t="shared" si="54"/>
        <v>0.74998754019560909</v>
      </c>
      <c r="K251">
        <f t="shared" si="55"/>
        <v>0.72063427550297721</v>
      </c>
      <c r="L251">
        <f t="shared" si="56"/>
        <v>0.77934080488824098</v>
      </c>
      <c r="M251">
        <f t="shared" si="62"/>
        <v>0.74999609329067829</v>
      </c>
      <c r="N251">
        <f t="shared" si="65"/>
        <v>0.77936810761436337</v>
      </c>
      <c r="O251">
        <f t="shared" si="57"/>
        <v>0.72063189238563663</v>
      </c>
      <c r="P251" t="b">
        <f t="shared" si="64"/>
        <v>1</v>
      </c>
    </row>
    <row r="252" spans="1:16" x14ac:dyDescent="0.25">
      <c r="A252">
        <v>1.2250000000000001</v>
      </c>
      <c r="B252">
        <f t="shared" si="51"/>
        <v>0.74999136513573395</v>
      </c>
      <c r="C252">
        <f t="shared" si="58"/>
        <v>0.72063255142275306</v>
      </c>
      <c r="D252">
        <f t="shared" si="52"/>
        <v>0.75000863486426605</v>
      </c>
      <c r="E252">
        <f t="shared" si="60"/>
        <v>0.77936744857724694</v>
      </c>
      <c r="F252">
        <f t="shared" si="61"/>
        <v>0.74999527203846161</v>
      </c>
      <c r="G252">
        <f t="shared" si="53"/>
        <v>0.74999161690092842</v>
      </c>
      <c r="H252">
        <f t="shared" si="63"/>
        <v>0.74999161690092842</v>
      </c>
      <c r="I252">
        <f t="shared" si="59"/>
        <v>0.74998782094150906</v>
      </c>
      <c r="J252">
        <f t="shared" si="54"/>
        <v>0.74998742535139251</v>
      </c>
      <c r="K252">
        <f t="shared" si="55"/>
        <v>0.72063416065876063</v>
      </c>
      <c r="L252">
        <f t="shared" si="56"/>
        <v>0.7793406900440244</v>
      </c>
      <c r="M252">
        <f t="shared" si="62"/>
        <v>0.74999594031383632</v>
      </c>
      <c r="N252">
        <f t="shared" si="65"/>
        <v>0.77936744857724694</v>
      </c>
      <c r="O252">
        <f t="shared" si="57"/>
        <v>0.72063255142275306</v>
      </c>
      <c r="P252" t="b">
        <f t="shared" si="64"/>
        <v>1</v>
      </c>
    </row>
    <row r="253" spans="1:16" x14ac:dyDescent="0.25">
      <c r="A253">
        <v>1.23</v>
      </c>
      <c r="B253">
        <f t="shared" si="51"/>
        <v>0.74999174853033446</v>
      </c>
      <c r="C253">
        <f t="shared" si="58"/>
        <v>0.72063318119811581</v>
      </c>
      <c r="D253">
        <f t="shared" si="52"/>
        <v>0.75000825146966554</v>
      </c>
      <c r="E253">
        <f t="shared" si="60"/>
        <v>0.77936681880188419</v>
      </c>
      <c r="F253">
        <f t="shared" si="61"/>
        <v>0.74999548196358257</v>
      </c>
      <c r="G253">
        <f t="shared" si="53"/>
        <v>0.74999164220536985</v>
      </c>
      <c r="H253">
        <f t="shared" si="63"/>
        <v>0.74999164220536985</v>
      </c>
      <c r="I253">
        <f t="shared" si="59"/>
        <v>0.74998754019560909</v>
      </c>
      <c r="J253">
        <f t="shared" si="54"/>
        <v>0.74998746330805477</v>
      </c>
      <c r="K253">
        <f t="shared" si="55"/>
        <v>0.72063419861542288</v>
      </c>
      <c r="L253">
        <f t="shared" si="56"/>
        <v>0.77934072800068666</v>
      </c>
      <c r="M253">
        <f t="shared" si="62"/>
        <v>0.7499958467318697</v>
      </c>
      <c r="N253">
        <f t="shared" si="65"/>
        <v>0.77936681880188419</v>
      </c>
      <c r="O253">
        <f t="shared" si="57"/>
        <v>0.72063318119811581</v>
      </c>
      <c r="P253" t="b">
        <f t="shared" si="64"/>
        <v>1</v>
      </c>
    </row>
    <row r="254" spans="1:16" x14ac:dyDescent="0.25">
      <c r="A254">
        <v>1.2350000000000001</v>
      </c>
      <c r="B254">
        <f t="shared" si="51"/>
        <v>0.74999211490192041</v>
      </c>
      <c r="C254">
        <f t="shared" si="58"/>
        <v>0.72063378301096903</v>
      </c>
      <c r="D254">
        <f t="shared" si="52"/>
        <v>0.75000788509807959</v>
      </c>
      <c r="E254">
        <f t="shared" si="60"/>
        <v>0.77936621698903097</v>
      </c>
      <c r="F254">
        <f t="shared" si="61"/>
        <v>0.74999568256786697</v>
      </c>
      <c r="G254">
        <f t="shared" si="53"/>
        <v>0.74999176024449932</v>
      </c>
      <c r="H254">
        <f t="shared" si="63"/>
        <v>0.74999176024449932</v>
      </c>
      <c r="I254">
        <f t="shared" si="59"/>
        <v>0.74998742535139251</v>
      </c>
      <c r="J254">
        <f t="shared" si="54"/>
        <v>0.74998764036674903</v>
      </c>
      <c r="K254">
        <f t="shared" si="55"/>
        <v>0.72063437567411714</v>
      </c>
      <c r="L254">
        <f t="shared" si="56"/>
        <v>0.77934090505938092</v>
      </c>
      <c r="M254">
        <f t="shared" si="62"/>
        <v>0.74999580845046421</v>
      </c>
      <c r="N254">
        <f t="shared" si="65"/>
        <v>0.77936621698903097</v>
      </c>
      <c r="O254">
        <f t="shared" si="57"/>
        <v>0.72063378301096903</v>
      </c>
      <c r="P254" t="b">
        <f t="shared" si="64"/>
        <v>1</v>
      </c>
    </row>
    <row r="255" spans="1:16" x14ac:dyDescent="0.25">
      <c r="A255">
        <v>1.24</v>
      </c>
      <c r="B255">
        <f t="shared" si="51"/>
        <v>0.74999246500632677</v>
      </c>
      <c r="C255">
        <f t="shared" si="58"/>
        <v>0.7206343581028698</v>
      </c>
      <c r="D255">
        <f t="shared" si="52"/>
        <v>0.75000753499367323</v>
      </c>
      <c r="E255">
        <f t="shared" si="60"/>
        <v>0.7793656418971302</v>
      </c>
      <c r="F255">
        <f t="shared" si="61"/>
        <v>0.74999587426516723</v>
      </c>
      <c r="G255">
        <f t="shared" si="53"/>
        <v>0.74999196162540849</v>
      </c>
      <c r="H255">
        <f t="shared" si="63"/>
        <v>0.74999196162540849</v>
      </c>
      <c r="I255">
        <f t="shared" si="59"/>
        <v>0.74998746330805477</v>
      </c>
      <c r="J255">
        <f t="shared" si="54"/>
        <v>0.74998794243811273</v>
      </c>
      <c r="K255">
        <f t="shared" si="55"/>
        <v>0.72063467774548084</v>
      </c>
      <c r="L255">
        <f t="shared" si="56"/>
        <v>0.77934120713074462</v>
      </c>
      <c r="M255">
        <f t="shared" si="62"/>
        <v>0.74999582110268492</v>
      </c>
      <c r="N255">
        <f t="shared" si="65"/>
        <v>0.7793656418971302</v>
      </c>
      <c r="O255">
        <f t="shared" si="57"/>
        <v>0.7206343581028698</v>
      </c>
      <c r="P255" t="b">
        <f t="shared" si="64"/>
        <v>1</v>
      </c>
    </row>
    <row r="256" spans="1:16" x14ac:dyDescent="0.25">
      <c r="A256">
        <v>1.2450000000000001</v>
      </c>
      <c r="B256">
        <f t="shared" si="51"/>
        <v>0.74999279956582876</v>
      </c>
      <c r="C256">
        <f t="shared" si="58"/>
        <v>0.72063490766024874</v>
      </c>
      <c r="D256">
        <f t="shared" si="52"/>
        <v>0.75000720043417124</v>
      </c>
      <c r="E256">
        <f t="shared" si="60"/>
        <v>0.77936509233975126</v>
      </c>
      <c r="F256">
        <f t="shared" si="61"/>
        <v>0.74999605745096021</v>
      </c>
      <c r="G256">
        <f t="shared" si="53"/>
        <v>0.74999223682413974</v>
      </c>
      <c r="H256">
        <f t="shared" si="63"/>
        <v>0.74999223682413974</v>
      </c>
      <c r="I256">
        <f t="shared" si="59"/>
        <v>0.74998764036674903</v>
      </c>
      <c r="J256">
        <f t="shared" si="54"/>
        <v>0.74998835523620955</v>
      </c>
      <c r="K256">
        <f t="shared" si="55"/>
        <v>0.72063509054357766</v>
      </c>
      <c r="L256">
        <f t="shared" si="56"/>
        <v>0.77934161992884143</v>
      </c>
      <c r="M256">
        <f t="shared" si="62"/>
        <v>0.74999588012224971</v>
      </c>
      <c r="N256">
        <f t="shared" si="65"/>
        <v>0.77936509233975126</v>
      </c>
      <c r="O256">
        <f t="shared" si="57"/>
        <v>0.72063490766024874</v>
      </c>
      <c r="P256" t="b">
        <f t="shared" si="64"/>
        <v>1</v>
      </c>
    </row>
    <row r="257" spans="1:16" x14ac:dyDescent="0.25">
      <c r="A257">
        <v>1.25</v>
      </c>
      <c r="B257">
        <f t="shared" si="51"/>
        <v>0.74999311927063217</v>
      </c>
      <c r="C257">
        <f t="shared" si="58"/>
        <v>0.72063543281685827</v>
      </c>
      <c r="D257">
        <f t="shared" si="52"/>
        <v>0.75000688072936783</v>
      </c>
      <c r="E257">
        <f t="shared" si="60"/>
        <v>0.77936456718314173</v>
      </c>
      <c r="F257">
        <f t="shared" si="61"/>
        <v>0.74999623250316338</v>
      </c>
      <c r="G257">
        <f t="shared" si="53"/>
        <v>0.74999257630524341</v>
      </c>
      <c r="H257">
        <f t="shared" si="63"/>
        <v>0.74999257630524341</v>
      </c>
      <c r="I257">
        <f t="shared" si="59"/>
        <v>0.74998794243811273</v>
      </c>
      <c r="J257">
        <f t="shared" si="54"/>
        <v>0.74998886445786517</v>
      </c>
      <c r="K257">
        <f t="shared" si="55"/>
        <v>0.72063559976523328</v>
      </c>
      <c r="L257">
        <f t="shared" si="56"/>
        <v>0.77934212915049705</v>
      </c>
      <c r="M257">
        <f t="shared" si="62"/>
        <v>0.74999598081270424</v>
      </c>
      <c r="N257">
        <f t="shared" si="65"/>
        <v>0.77936456718314173</v>
      </c>
      <c r="O257">
        <f t="shared" si="57"/>
        <v>0.72063543281685827</v>
      </c>
      <c r="P257" t="b">
        <f t="shared" si="64"/>
        <v>1</v>
      </c>
    </row>
    <row r="258" spans="1:16" x14ac:dyDescent="0.25">
      <c r="A258">
        <v>1.2549999999999999</v>
      </c>
      <c r="B258">
        <f t="shared" si="51"/>
        <v>0.74999342478029685</v>
      </c>
      <c r="C258">
        <f t="shared" si="58"/>
        <v>0.72063593465611131</v>
      </c>
      <c r="D258">
        <f t="shared" si="52"/>
        <v>0.75000657521970315</v>
      </c>
      <c r="E258">
        <f t="shared" si="60"/>
        <v>0.77936406534388869</v>
      </c>
      <c r="F258">
        <f t="shared" si="61"/>
        <v>0.74999639978291444</v>
      </c>
      <c r="G258">
        <f t="shared" si="53"/>
        <v>0.74999297063108372</v>
      </c>
      <c r="H258">
        <f t="shared" si="63"/>
        <v>0.74999297063108372</v>
      </c>
      <c r="I258">
        <f t="shared" si="59"/>
        <v>0.74998835523620955</v>
      </c>
      <c r="J258">
        <f t="shared" si="54"/>
        <v>0.74998945594662547</v>
      </c>
      <c r="K258">
        <f t="shared" si="55"/>
        <v>0.72063619125399359</v>
      </c>
      <c r="L258">
        <f t="shared" si="56"/>
        <v>0.77934272063925736</v>
      </c>
      <c r="M258">
        <f t="shared" si="62"/>
        <v>0.74999611841206981</v>
      </c>
      <c r="N258">
        <f t="shared" si="65"/>
        <v>0.77936406534388869</v>
      </c>
      <c r="O258">
        <f t="shared" si="57"/>
        <v>0.72063593465611131</v>
      </c>
      <c r="P258" t="b">
        <f t="shared" si="64"/>
        <v>1</v>
      </c>
    </row>
    <row r="259" spans="1:16" x14ac:dyDescent="0.25">
      <c r="A259">
        <v>1.26</v>
      </c>
      <c r="B259">
        <f t="shared" si="51"/>
        <v>0.74999371672509807</v>
      </c>
      <c r="C259">
        <f t="shared" si="58"/>
        <v>0.72063641421331637</v>
      </c>
      <c r="D259">
        <f t="shared" si="52"/>
        <v>0.75000628327490193</v>
      </c>
      <c r="E259">
        <f t="shared" si="60"/>
        <v>0.77936358578668363</v>
      </c>
      <c r="F259">
        <f t="shared" si="61"/>
        <v>0.74999655963531608</v>
      </c>
      <c r="G259">
        <f t="shared" si="53"/>
        <v>0.74999341056054247</v>
      </c>
      <c r="H259">
        <f t="shared" si="63"/>
        <v>0.74999341056054247</v>
      </c>
      <c r="I259">
        <f t="shared" si="59"/>
        <v>0.74998886445786517</v>
      </c>
      <c r="J259">
        <f t="shared" si="54"/>
        <v>0.74999011584081365</v>
      </c>
      <c r="K259">
        <f t="shared" si="55"/>
        <v>0.72063685114818177</v>
      </c>
      <c r="L259">
        <f t="shared" si="56"/>
        <v>0.77934338053344554</v>
      </c>
      <c r="M259">
        <f t="shared" si="62"/>
        <v>0.74999628815262176</v>
      </c>
      <c r="N259">
        <f t="shared" si="65"/>
        <v>0.77936358578668363</v>
      </c>
      <c r="O259">
        <f t="shared" si="57"/>
        <v>0.72063641421331637</v>
      </c>
      <c r="P259" t="b">
        <f t="shared" si="64"/>
        <v>1</v>
      </c>
    </row>
    <row r="260" spans="1:16" x14ac:dyDescent="0.25">
      <c r="A260">
        <v>1.2649999999999999</v>
      </c>
      <c r="B260">
        <f t="shared" si="51"/>
        <v>0.74999399570732594</v>
      </c>
      <c r="C260">
        <f t="shared" si="58"/>
        <v>0.72063687247781338</v>
      </c>
      <c r="D260">
        <f t="shared" si="52"/>
        <v>0.75000600429267406</v>
      </c>
      <c r="E260">
        <f t="shared" si="60"/>
        <v>0.77936312752218662</v>
      </c>
      <c r="F260">
        <f t="shared" si="61"/>
        <v>0.74999671239014842</v>
      </c>
      <c r="G260">
        <f t="shared" si="53"/>
        <v>0.74999388713692106</v>
      </c>
      <c r="H260">
        <f t="shared" si="63"/>
        <v>0.74999388713692106</v>
      </c>
      <c r="I260">
        <f t="shared" si="59"/>
        <v>0.74998945594662547</v>
      </c>
      <c r="J260">
        <f t="shared" si="54"/>
        <v>0.74999083070538153</v>
      </c>
      <c r="K260">
        <f t="shared" si="55"/>
        <v>0.72063756601274964</v>
      </c>
      <c r="L260">
        <f t="shared" si="56"/>
        <v>0.77934409539801341</v>
      </c>
      <c r="M260">
        <f t="shared" si="62"/>
        <v>0.74999648531554186</v>
      </c>
      <c r="N260">
        <f t="shared" si="65"/>
        <v>0.77936312752218662</v>
      </c>
      <c r="O260">
        <f t="shared" si="57"/>
        <v>0.72063687247781338</v>
      </c>
      <c r="P260" t="b">
        <f t="shared" si="64"/>
        <v>1</v>
      </c>
    </row>
    <row r="261" spans="1:16" x14ac:dyDescent="0.25">
      <c r="A261">
        <v>1.27</v>
      </c>
      <c r="B261">
        <f t="shared" si="51"/>
        <v>0.74999426230252886</v>
      </c>
      <c r="C261">
        <f t="shared" si="58"/>
        <v>0.72063731039501511</v>
      </c>
      <c r="D261">
        <f t="shared" si="52"/>
        <v>0.75000573769747114</v>
      </c>
      <c r="E261">
        <f t="shared" si="60"/>
        <v>0.77936268960498489</v>
      </c>
      <c r="F261">
        <f t="shared" si="61"/>
        <v>0.74999685836254903</v>
      </c>
      <c r="G261">
        <f t="shared" si="53"/>
        <v>0.74999439176497829</v>
      </c>
      <c r="H261">
        <f t="shared" si="63"/>
        <v>0.74999439176497829</v>
      </c>
      <c r="I261">
        <f t="shared" si="59"/>
        <v>0.74999011584081365</v>
      </c>
      <c r="J261">
        <f t="shared" si="54"/>
        <v>0.74999158764746743</v>
      </c>
      <c r="K261">
        <f t="shared" si="55"/>
        <v>0.72063832295483554</v>
      </c>
      <c r="L261">
        <f t="shared" si="56"/>
        <v>0.77934485234009931</v>
      </c>
      <c r="M261">
        <f t="shared" si="62"/>
        <v>0.74999670528027118</v>
      </c>
      <c r="N261">
        <f t="shared" si="65"/>
        <v>0.77936268960498489</v>
      </c>
      <c r="O261">
        <f t="shared" si="57"/>
        <v>0.72063731039501511</v>
      </c>
      <c r="P261" t="b">
        <f t="shared" si="64"/>
        <v>1</v>
      </c>
    </row>
    <row r="262" spans="1:16" x14ac:dyDescent="0.25">
      <c r="A262">
        <v>1.2749999999999999</v>
      </c>
      <c r="B262">
        <f t="shared" si="51"/>
        <v>0.74999451706070008</v>
      </c>
      <c r="C262">
        <f t="shared" si="58"/>
        <v>0.72063772886835697</v>
      </c>
      <c r="D262">
        <f t="shared" si="52"/>
        <v>0.75000548293929992</v>
      </c>
      <c r="E262">
        <f t="shared" si="60"/>
        <v>0.77936227113164303</v>
      </c>
      <c r="F262">
        <f t="shared" si="61"/>
        <v>0.74999699785366292</v>
      </c>
      <c r="G262">
        <f t="shared" si="53"/>
        <v>0.74999491627717441</v>
      </c>
      <c r="H262">
        <f t="shared" si="63"/>
        <v>0.74999491627717441</v>
      </c>
      <c r="I262">
        <f t="shared" si="59"/>
        <v>0.74999083070538153</v>
      </c>
      <c r="J262">
        <f t="shared" si="54"/>
        <v>0.74999237441576161</v>
      </c>
      <c r="K262">
        <f t="shared" si="55"/>
        <v>0.72063910972312972</v>
      </c>
      <c r="L262">
        <f t="shared" si="56"/>
        <v>0.7793456391083935</v>
      </c>
      <c r="M262">
        <f t="shared" si="62"/>
        <v>0.74999694356846047</v>
      </c>
      <c r="N262">
        <f t="shared" si="65"/>
        <v>0.77936227113164303</v>
      </c>
      <c r="O262">
        <f t="shared" si="57"/>
        <v>0.72063772886835697</v>
      </c>
      <c r="P262" t="b">
        <f t="shared" si="64"/>
        <v>1</v>
      </c>
    </row>
    <row r="263" spans="1:16" x14ac:dyDescent="0.25">
      <c r="A263">
        <v>1.28</v>
      </c>
      <c r="B263">
        <f t="shared" ref="B263:B270" si="66">$Q$6-$T$8*EXP(-$T$10*A263)</f>
        <v>0.74999476050741298</v>
      </c>
      <c r="C263">
        <f t="shared" si="58"/>
        <v>0.72063812876116129</v>
      </c>
      <c r="D263">
        <f t="shared" ref="D263:D270" si="67">$Q$6+$T$8*EXP(-$T$10*A263)</f>
        <v>0.75000523949258702</v>
      </c>
      <c r="E263">
        <f t="shared" si="60"/>
        <v>0.77936187123883871</v>
      </c>
      <c r="F263">
        <f t="shared" si="61"/>
        <v>0.74999713115126443</v>
      </c>
      <c r="G263">
        <f t="shared" ref="G263:G270" si="68">$Q$6-EXP(-T$6*T$12*A263)*(COS(T$5*A263)-(T$6*T$12-1)/(T$5)*SIN(T$5*A263))*T$15</f>
        <v>0.74999545298930415</v>
      </c>
      <c r="H263">
        <f t="shared" si="63"/>
        <v>0.74999545298930415</v>
      </c>
      <c r="I263">
        <f t="shared" si="59"/>
        <v>0.74999158764746743</v>
      </c>
      <c r="J263">
        <f t="shared" ref="J263:J270" si="69">$Q$6-(1+Q$16)*EXP(-T$6*T$12*A263)*(COS(T$5*A263)-(T$6*T$12-1)/(T$5)*SIN(T$5*A263))*T$15</f>
        <v>0.74999317948395627</v>
      </c>
      <c r="K263">
        <f t="shared" ref="K263:K270" si="70">J263-T$13</f>
        <v>0.72063991479132439</v>
      </c>
      <c r="L263">
        <f t="shared" ref="L263:L270" si="71">J263+T$13</f>
        <v>0.77934644417658816</v>
      </c>
      <c r="M263">
        <f t="shared" si="62"/>
        <v>0.74999719588248914</v>
      </c>
      <c r="N263">
        <f t="shared" si="65"/>
        <v>0.77936187123883871</v>
      </c>
      <c r="O263">
        <f t="shared" ref="O263:O270" si="72">MIN(C263,$Q$6-$T$13)</f>
        <v>0.72063812876116129</v>
      </c>
      <c r="P263" t="b">
        <f t="shared" si="64"/>
        <v>1</v>
      </c>
    </row>
    <row r="264" spans="1:16" x14ac:dyDescent="0.25">
      <c r="A264">
        <v>1.2849999999999999</v>
      </c>
      <c r="B264">
        <f t="shared" si="66"/>
        <v>0.74999499314490503</v>
      </c>
      <c r="C264">
        <f t="shared" si="58"/>
        <v>0.72063851089841824</v>
      </c>
      <c r="D264">
        <f t="shared" si="67"/>
        <v>0.75000500685509497</v>
      </c>
      <c r="E264">
        <f t="shared" si="60"/>
        <v>0.77936148910158176</v>
      </c>
      <c r="F264">
        <f t="shared" si="61"/>
        <v>0.74999725853035004</v>
      </c>
      <c r="G264">
        <f t="shared" si="68"/>
        <v>0.74999599474580991</v>
      </c>
      <c r="H264">
        <f t="shared" si="63"/>
        <v>0.74999599474580991</v>
      </c>
      <c r="I264">
        <f t="shared" si="59"/>
        <v>0.74999237441576161</v>
      </c>
      <c r="J264">
        <f t="shared" si="69"/>
        <v>0.74999399211871498</v>
      </c>
      <c r="K264">
        <f t="shared" si="70"/>
        <v>0.72064072742608309</v>
      </c>
      <c r="L264">
        <f t="shared" si="71"/>
        <v>0.77934725681134687</v>
      </c>
      <c r="M264">
        <f t="shared" si="62"/>
        <v>0.7499974581385872</v>
      </c>
      <c r="N264">
        <f t="shared" si="65"/>
        <v>0.77936148910158176</v>
      </c>
      <c r="O264">
        <f t="shared" si="72"/>
        <v>0.72063851089841824</v>
      </c>
      <c r="P264" t="b">
        <f t="shared" si="64"/>
        <v>1</v>
      </c>
    </row>
    <row r="265" spans="1:16" x14ac:dyDescent="0.25">
      <c r="A265">
        <v>1.29</v>
      </c>
      <c r="B265">
        <f t="shared" si="66"/>
        <v>0.74999521545311398</v>
      </c>
      <c r="C265">
        <f t="shared" ref="C265:C270" si="73">$Q$6-$T$8*(1+Q$16)*EXP(-$T$10*A263)-T$13</f>
        <v>0.72063887606848764</v>
      </c>
      <c r="D265">
        <f t="shared" si="67"/>
        <v>0.75000478454688602</v>
      </c>
      <c r="E265">
        <f t="shared" si="60"/>
        <v>0.77936112393151236</v>
      </c>
      <c r="F265">
        <f t="shared" si="61"/>
        <v>0.74999738025370655</v>
      </c>
      <c r="G265">
        <f t="shared" si="68"/>
        <v>0.7499965349551555</v>
      </c>
      <c r="H265">
        <f t="shared" si="63"/>
        <v>0.7499965349551555</v>
      </c>
      <c r="I265">
        <f t="shared" ref="I265:I270" si="74">$Q$6-(1+Q$16)*EXP(-T$6*T$12*A263)*(COS(T$5*A263)-(T$6*T$12-1)/(T$5)*SIN(T$5*A263))*T$15</f>
        <v>0.74999317948395627</v>
      </c>
      <c r="J265">
        <f t="shared" si="69"/>
        <v>0.74999480243273331</v>
      </c>
      <c r="K265">
        <f t="shared" si="70"/>
        <v>0.72064153774010142</v>
      </c>
      <c r="L265">
        <f t="shared" si="71"/>
        <v>0.7793480671253652</v>
      </c>
      <c r="M265">
        <f t="shared" si="62"/>
        <v>0.74999772649465213</v>
      </c>
      <c r="N265">
        <f t="shared" si="65"/>
        <v>0.77936112393151236</v>
      </c>
      <c r="O265">
        <f t="shared" si="72"/>
        <v>0.72063887606848764</v>
      </c>
      <c r="P265" t="b">
        <f t="shared" si="64"/>
        <v>1</v>
      </c>
    </row>
    <row r="266" spans="1:16" x14ac:dyDescent="0.25">
      <c r="A266">
        <v>1.2949999999999999</v>
      </c>
      <c r="B266">
        <f t="shared" si="66"/>
        <v>0.74999542789066775</v>
      </c>
      <c r="C266">
        <f t="shared" si="73"/>
        <v>0.72063922502472577</v>
      </c>
      <c r="D266">
        <f t="shared" si="67"/>
        <v>0.75000457210933225</v>
      </c>
      <c r="E266">
        <f t="shared" ref="E266:E270" si="75">$Q$6+$T$8*(1+Q$16)*EXP(-$T$10*A264)+T$13</f>
        <v>0.77936077497527423</v>
      </c>
      <c r="F266">
        <f t="shared" ref="F266:F270" si="76">$Q$6-Q$17*$T$8*EXP(-$T$10*A264)</f>
        <v>0.74999749657245252</v>
      </c>
      <c r="G266">
        <f t="shared" si="68"/>
        <v>0.74999706761572182</v>
      </c>
      <c r="H266">
        <f t="shared" si="63"/>
        <v>0.74999706761572182</v>
      </c>
      <c r="I266">
        <f t="shared" si="74"/>
        <v>0.74999399211871498</v>
      </c>
      <c r="J266">
        <f t="shared" si="69"/>
        <v>0.74999560142358279</v>
      </c>
      <c r="K266">
        <f t="shared" si="70"/>
        <v>0.72064233673095091</v>
      </c>
      <c r="L266">
        <f t="shared" si="71"/>
        <v>0.77934886611621468</v>
      </c>
      <c r="M266">
        <f t="shared" ref="M266:M270" si="77">$Q$6-Q$17*EXP(-T$6*T$12*A264)*(COS(T$5*A264)-(T$6*T$12-1)/(T$5)*SIN(T$5*A264))*T$15</f>
        <v>0.74999799737290496</v>
      </c>
      <c r="N266">
        <f t="shared" si="65"/>
        <v>0.77936077497527423</v>
      </c>
      <c r="O266">
        <f t="shared" si="72"/>
        <v>0.72063922502472577</v>
      </c>
      <c r="P266" t="b">
        <f t="shared" si="64"/>
        <v>1</v>
      </c>
    </row>
    <row r="267" spans="1:16" x14ac:dyDescent="0.25">
      <c r="A267">
        <v>1.3</v>
      </c>
      <c r="B267">
        <f t="shared" si="66"/>
        <v>0.7499956308958311</v>
      </c>
      <c r="C267">
        <f t="shared" si="73"/>
        <v>0.72063955848703898</v>
      </c>
      <c r="D267">
        <f t="shared" si="67"/>
        <v>0.7500043691041689</v>
      </c>
      <c r="E267">
        <f t="shared" si="75"/>
        <v>0.77936044151296102</v>
      </c>
      <c r="F267">
        <f t="shared" si="76"/>
        <v>0.74999760772655699</v>
      </c>
      <c r="G267">
        <f t="shared" si="68"/>
        <v>0.74999758733275379</v>
      </c>
      <c r="H267">
        <f t="shared" si="63"/>
        <v>0.74999758733275379</v>
      </c>
      <c r="I267">
        <f t="shared" si="74"/>
        <v>0.74999480243273331</v>
      </c>
      <c r="J267">
        <f t="shared" si="69"/>
        <v>0.74999638099913069</v>
      </c>
      <c r="K267">
        <f t="shared" si="70"/>
        <v>0.7206431163064988</v>
      </c>
      <c r="L267">
        <f t="shared" si="71"/>
        <v>0.77934964569176257</v>
      </c>
      <c r="M267">
        <f t="shared" si="77"/>
        <v>0.74999826747757781</v>
      </c>
      <c r="N267">
        <f t="shared" si="65"/>
        <v>0.77936044151296102</v>
      </c>
      <c r="O267">
        <f t="shared" si="72"/>
        <v>0.72063955848703898</v>
      </c>
      <c r="P267" t="b">
        <f t="shared" si="64"/>
        <v>1</v>
      </c>
    </row>
    <row r="268" spans="1:16" x14ac:dyDescent="0.25">
      <c r="A268">
        <v>1.3049999999999999</v>
      </c>
      <c r="B268">
        <f t="shared" si="66"/>
        <v>0.74999582488740935</v>
      </c>
      <c r="C268">
        <f t="shared" si="73"/>
        <v>0.72063987714336963</v>
      </c>
      <c r="D268">
        <f t="shared" si="67"/>
        <v>0.75000417511259065</v>
      </c>
      <c r="E268">
        <f t="shared" si="75"/>
        <v>0.77936012285663037</v>
      </c>
      <c r="F268">
        <f t="shared" si="76"/>
        <v>0.74999771394533388</v>
      </c>
      <c r="G268">
        <f t="shared" si="68"/>
        <v>0.74999808932694234</v>
      </c>
      <c r="H268">
        <f t="shared" si="63"/>
        <v>0.74999808932694234</v>
      </c>
      <c r="I268">
        <f t="shared" si="74"/>
        <v>0.74999560142358279</v>
      </c>
      <c r="J268">
        <f t="shared" si="69"/>
        <v>0.74999713399041346</v>
      </c>
      <c r="K268">
        <f t="shared" si="70"/>
        <v>0.72064386929778157</v>
      </c>
      <c r="L268">
        <f t="shared" si="71"/>
        <v>0.77935039868304534</v>
      </c>
      <c r="M268">
        <f t="shared" si="77"/>
        <v>0.74999853380786097</v>
      </c>
      <c r="N268">
        <f t="shared" si="65"/>
        <v>0.77936012285663037</v>
      </c>
      <c r="O268">
        <f t="shared" si="72"/>
        <v>0.72063987714336963</v>
      </c>
      <c r="P268" t="b">
        <f t="shared" si="64"/>
        <v>1</v>
      </c>
    </row>
    <row r="269" spans="1:16" x14ac:dyDescent="0.25">
      <c r="A269">
        <v>1.31</v>
      </c>
      <c r="B269">
        <f t="shared" si="66"/>
        <v>0.74999601026561269</v>
      </c>
      <c r="C269">
        <f t="shared" si="73"/>
        <v>0.72064018165111465</v>
      </c>
      <c r="D269">
        <f t="shared" si="67"/>
        <v>0.75000398973438731</v>
      </c>
      <c r="E269">
        <f t="shared" si="75"/>
        <v>0.77935981834888535</v>
      </c>
      <c r="F269">
        <f t="shared" si="76"/>
        <v>0.74999781544791555</v>
      </c>
      <c r="G269">
        <f t="shared" si="68"/>
        <v>0.74999856943527088</v>
      </c>
      <c r="H269">
        <f t="shared" si="63"/>
        <v>0.74999856943527088</v>
      </c>
      <c r="I269">
        <f t="shared" si="74"/>
        <v>0.74999638099913069</v>
      </c>
      <c r="J269">
        <f t="shared" si="69"/>
        <v>0.74999785415290632</v>
      </c>
      <c r="K269">
        <f t="shared" si="70"/>
        <v>0.72064458946027443</v>
      </c>
      <c r="L269">
        <f t="shared" si="71"/>
        <v>0.7793511188455382</v>
      </c>
      <c r="M269">
        <f t="shared" si="77"/>
        <v>0.7499987936663769</v>
      </c>
      <c r="N269">
        <f t="shared" si="65"/>
        <v>0.77935981834888535</v>
      </c>
      <c r="O269">
        <f t="shared" si="72"/>
        <v>0.72064018165111465</v>
      </c>
      <c r="P269" t="b">
        <f t="shared" si="64"/>
        <v>1</v>
      </c>
    </row>
    <row r="270" spans="1:16" x14ac:dyDescent="0.25">
      <c r="A270">
        <v>1.3149999999999999</v>
      </c>
      <c r="B270">
        <f t="shared" si="66"/>
        <v>0.74999618741288143</v>
      </c>
      <c r="C270">
        <f t="shared" si="73"/>
        <v>0.72064047263848208</v>
      </c>
      <c r="D270">
        <f t="shared" si="67"/>
        <v>0.75000381258711857</v>
      </c>
      <c r="E270">
        <f t="shared" si="75"/>
        <v>0.77935952736151792</v>
      </c>
      <c r="F270">
        <f t="shared" si="76"/>
        <v>0.74999791244370462</v>
      </c>
      <c r="G270">
        <f t="shared" si="68"/>
        <v>0.74999902410478836</v>
      </c>
      <c r="H270">
        <f t="shared" si="63"/>
        <v>0.74999902410478836</v>
      </c>
      <c r="I270">
        <f t="shared" si="74"/>
        <v>0.74999713399041346</v>
      </c>
      <c r="J270">
        <f t="shared" si="69"/>
        <v>0.74999853615718259</v>
      </c>
      <c r="K270">
        <f t="shared" si="70"/>
        <v>0.72064527146455071</v>
      </c>
      <c r="L270">
        <f t="shared" si="71"/>
        <v>0.77935180084981448</v>
      </c>
      <c r="M270">
        <f t="shared" si="77"/>
        <v>0.74999904466347111</v>
      </c>
      <c r="N270">
        <f t="shared" si="65"/>
        <v>0.77935952736151792</v>
      </c>
      <c r="O270">
        <f t="shared" si="72"/>
        <v>0.72064047263848208</v>
      </c>
      <c r="P270" t="b">
        <f t="shared" si="64"/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port_CSV_2ndorder">
                <anchor moveWithCells="1" sizeWithCells="1">
                  <from>
                    <xdr:col>14</xdr:col>
                    <xdr:colOff>85725</xdr:colOff>
                    <xdr:row>0</xdr:row>
                    <xdr:rowOff>152400</xdr:rowOff>
                  </from>
                  <to>
                    <xdr:col>16</xdr:col>
                    <xdr:colOff>714375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573B1-6E02-43AB-911B-00534E1E0DB3}">
  <sheetPr codeName="Feuil6"/>
  <dimension ref="A1:K268"/>
  <sheetViews>
    <sheetView tabSelected="1" zoomScale="102" workbookViewId="0">
      <selection activeCell="H8" sqref="H8"/>
    </sheetView>
  </sheetViews>
  <sheetFormatPr baseColWidth="10" defaultRowHeight="15" x14ac:dyDescent="0.25"/>
  <cols>
    <col min="4" max="4" width="14.5703125" bestFit="1" customWidth="1"/>
    <col min="7" max="7" width="20.42578125" customWidth="1"/>
  </cols>
  <sheetData>
    <row r="1" spans="1:11" x14ac:dyDescent="0.25">
      <c r="D1" t="s">
        <v>70</v>
      </c>
      <c r="E1" s="3" t="b">
        <v>1</v>
      </c>
      <c r="F1" s="9"/>
    </row>
    <row r="3" spans="1:11" x14ac:dyDescent="0.25">
      <c r="G3" t="s">
        <v>41</v>
      </c>
      <c r="H3" s="7">
        <v>0.05</v>
      </c>
      <c r="J3" t="s">
        <v>42</v>
      </c>
      <c r="K3" s="4">
        <f>1/H4</f>
        <v>0.1</v>
      </c>
    </row>
    <row r="4" spans="1:11" x14ac:dyDescent="0.25">
      <c r="A4" t="s">
        <v>0</v>
      </c>
      <c r="B4" t="s">
        <v>44</v>
      </c>
      <c r="C4" t="s">
        <v>45</v>
      </c>
      <c r="D4" t="s">
        <v>48</v>
      </c>
      <c r="E4" t="s">
        <v>71</v>
      </c>
      <c r="F4" t="s">
        <v>72</v>
      </c>
      <c r="G4" t="s">
        <v>2</v>
      </c>
      <c r="H4" s="3">
        <v>10</v>
      </c>
      <c r="J4" t="s">
        <v>47</v>
      </c>
      <c r="K4" s="4">
        <f>-H11/LN(0.1)</f>
        <v>4.3429448190325185E-3</v>
      </c>
    </row>
    <row r="5" spans="1:11" x14ac:dyDescent="0.25">
      <c r="A5">
        <v>0</v>
      </c>
      <c r="B5">
        <f>Q0</f>
        <v>0</v>
      </c>
      <c r="C5">
        <f>IF(A5&lt;ttunnel,Q0+DeltaIQ+Marge_haute*DeltaIQ*(EXP(-A5/(ttunnel/3)))+tunnel,Q0+tunnel+DeltaIQ)</f>
        <v>0.26999999999999996</v>
      </c>
      <c r="D5">
        <f>H$5+K$5*(1-EXP(-A5/K$4))</f>
        <v>0</v>
      </c>
      <c r="E5">
        <f>IF(EMT_simulation,B5,B5)</f>
        <v>0</v>
      </c>
      <c r="F5">
        <f>IF(EMT_simulation,C5,C5)</f>
        <v>0.26999999999999996</v>
      </c>
      <c r="G5" t="s">
        <v>43</v>
      </c>
      <c r="H5" s="3">
        <v>0</v>
      </c>
      <c r="J5" t="s">
        <v>67</v>
      </c>
      <c r="K5" s="4">
        <f>K6/K7</f>
        <v>0.19230769230769229</v>
      </c>
    </row>
    <row r="6" spans="1:11" x14ac:dyDescent="0.25">
      <c r="A6">
        <v>5.0000000000000001E-3</v>
      </c>
      <c r="B6">
        <f>Q0</f>
        <v>0</v>
      </c>
      <c r="C6">
        <f t="shared" ref="C6:C68" si="0">IF(A6&lt;ttunnel,Q0+DeltaIQ+Marge_haute*DeltaIQ*(EXP(-A6/(ttunnel/3)))+tunnel,Q0+tunnel+DeltaIQ)</f>
        <v>0.25723850671565796</v>
      </c>
      <c r="D6">
        <f>Q0+DeltaIQ*(1-EXP(-A6/tau))</f>
        <v>0.1314946603813773</v>
      </c>
      <c r="E6">
        <f>IF(EMT_simulation,B5,B6)</f>
        <v>0</v>
      </c>
      <c r="F6">
        <f>IF(EMT_simulation,C5,C6)</f>
        <v>0.26999999999999996</v>
      </c>
      <c r="G6" t="s">
        <v>4</v>
      </c>
      <c r="H6" s="3">
        <v>0.2</v>
      </c>
      <c r="J6" t="s">
        <v>49</v>
      </c>
      <c r="K6" s="4">
        <f>H3*K7/(H6+H7)</f>
        <v>6.9230769230769221E-2</v>
      </c>
    </row>
    <row r="7" spans="1:11" x14ac:dyDescent="0.25">
      <c r="A7">
        <v>0.01</v>
      </c>
      <c r="B7">
        <f t="shared" ref="B7:B70" si="1">IF(SIGN(Vstep)=1,MIN(Q0+DeltaIQ*(1-EXP(-A7/tau)),Q0+DeltaIQ-tunnel),IF(A7&lt;ttunnel,Q0+DeltaIQ+Marge_haute*DeltaIQ*(EXP(-A7/(ttunnel/3)))+tunnel,Q0+tunnel+DeltaIQ))</f>
        <v>0.1723076923076923</v>
      </c>
      <c r="C7">
        <f>IF(A7&lt;ttunnel,Q0+DeltaIQ+Marge_haute*DeltaIQ*(EXP(-A7/(ttunnel/3)))+tunnel,Q0+tunnel+DeltaIQ)</f>
        <v>0.2472998457526519</v>
      </c>
      <c r="D7">
        <f t="shared" ref="D6:D69" si="2">Q0+DeltaIQ*(1-EXP(-A7/tau))</f>
        <v>0.17307692307692307</v>
      </c>
      <c r="E7">
        <f>IF(EMT_simulation,B5,B7)</f>
        <v>0</v>
      </c>
      <c r="F7">
        <f>IF(EMT_simulation,C5,C7)</f>
        <v>0.26999999999999996</v>
      </c>
      <c r="G7" t="s">
        <v>73</v>
      </c>
      <c r="H7" s="3">
        <v>0.06</v>
      </c>
      <c r="J7" t="s">
        <v>50</v>
      </c>
      <c r="K7" s="4">
        <f>K3+H7+H6</f>
        <v>0.36</v>
      </c>
    </row>
    <row r="8" spans="1:11" x14ac:dyDescent="0.25">
      <c r="A8">
        <v>1.4999999999999999E-2</v>
      </c>
      <c r="B8">
        <f t="shared" si="1"/>
        <v>0.1723076923076923</v>
      </c>
      <c r="C8">
        <f t="shared" si="0"/>
        <v>0.23955960881198157</v>
      </c>
      <c r="D8">
        <f t="shared" si="2"/>
        <v>0.18622638911506079</v>
      </c>
      <c r="E8">
        <f>IF(EMT_simulation,B5,B8)</f>
        <v>0</v>
      </c>
      <c r="F8">
        <f>IF(EMT_simulation,C5,C8)</f>
        <v>0.26999999999999996</v>
      </c>
      <c r="G8" t="s">
        <v>68</v>
      </c>
      <c r="H8" s="7">
        <v>0.05</v>
      </c>
      <c r="J8" t="s">
        <v>51</v>
      </c>
      <c r="K8" s="4">
        <f>MAX(H9,H8*K5)</f>
        <v>0.02</v>
      </c>
    </row>
    <row r="9" spans="1:11" x14ac:dyDescent="0.25">
      <c r="A9">
        <v>0.02</v>
      </c>
      <c r="B9">
        <f t="shared" si="1"/>
        <v>0.1723076923076923</v>
      </c>
      <c r="C9">
        <f t="shared" si="0"/>
        <v>0.23353150622142935</v>
      </c>
      <c r="D9">
        <f t="shared" si="2"/>
        <v>0.19038461538461537</v>
      </c>
      <c r="E9">
        <f t="shared" ref="E9:E72" si="3">IF(EMT_simulation,B5,B9)</f>
        <v>0</v>
      </c>
      <c r="F9">
        <f t="shared" ref="F9:F72" si="4">IF(EMT_simulation,C5,C9)</f>
        <v>0.26999999999999996</v>
      </c>
      <c r="G9" t="s">
        <v>69</v>
      </c>
      <c r="H9" s="7">
        <v>0.02</v>
      </c>
    </row>
    <row r="10" spans="1:11" x14ac:dyDescent="0.25">
      <c r="A10">
        <v>2.5000000000000001E-2</v>
      </c>
      <c r="B10">
        <f t="shared" si="1"/>
        <v>0.1723076923076923</v>
      </c>
      <c r="C10">
        <f t="shared" si="0"/>
        <v>0.22883681520347246</v>
      </c>
      <c r="D10">
        <f t="shared" si="2"/>
        <v>0.19169956198842913</v>
      </c>
      <c r="E10">
        <f t="shared" si="3"/>
        <v>0</v>
      </c>
      <c r="F10">
        <f t="shared" si="4"/>
        <v>0.25723850671565796</v>
      </c>
      <c r="G10" t="s">
        <v>25</v>
      </c>
      <c r="H10" s="10">
        <v>0.3</v>
      </c>
    </row>
    <row r="11" spans="1:11" x14ac:dyDescent="0.25">
      <c r="A11">
        <v>0.03</v>
      </c>
      <c r="B11">
        <f t="shared" si="1"/>
        <v>0.1723076923076923</v>
      </c>
      <c r="C11">
        <f t="shared" si="0"/>
        <v>0.22518058616240938</v>
      </c>
      <c r="D11">
        <f t="shared" si="2"/>
        <v>0.1921153846153846</v>
      </c>
      <c r="E11">
        <f t="shared" si="3"/>
        <v>0.1723076923076923</v>
      </c>
      <c r="F11">
        <f t="shared" si="4"/>
        <v>0.2472998457526519</v>
      </c>
      <c r="G11" t="s">
        <v>46</v>
      </c>
      <c r="H11" s="3">
        <v>0.01</v>
      </c>
    </row>
    <row r="12" spans="1:11" x14ac:dyDescent="0.25">
      <c r="A12">
        <v>3.5000000000000003E-2</v>
      </c>
      <c r="B12">
        <f t="shared" si="1"/>
        <v>0.1723076923076923</v>
      </c>
      <c r="C12">
        <f t="shared" si="0"/>
        <v>0.22233311212214105</v>
      </c>
      <c r="D12">
        <f t="shared" si="2"/>
        <v>0.19224687927576598</v>
      </c>
      <c r="E12">
        <f t="shared" si="3"/>
        <v>0.1723076923076923</v>
      </c>
      <c r="F12">
        <f t="shared" si="4"/>
        <v>0.23955960881198157</v>
      </c>
      <c r="G12" t="s">
        <v>52</v>
      </c>
      <c r="H12" s="3">
        <v>0.06</v>
      </c>
    </row>
    <row r="13" spans="1:11" x14ac:dyDescent="0.25">
      <c r="A13">
        <v>0.04</v>
      </c>
      <c r="B13">
        <f t="shared" si="1"/>
        <v>0.1723076923076923</v>
      </c>
      <c r="C13">
        <f t="shared" si="0"/>
        <v>0.22011549710980455</v>
      </c>
      <c r="D13">
        <f t="shared" si="2"/>
        <v>0.19228846153846152</v>
      </c>
      <c r="E13">
        <f t="shared" si="3"/>
        <v>0.1723076923076923</v>
      </c>
      <c r="F13">
        <f t="shared" si="4"/>
        <v>0.23353150622142935</v>
      </c>
    </row>
    <row r="14" spans="1:11" x14ac:dyDescent="0.25">
      <c r="A14">
        <v>4.4999999999999998E-2</v>
      </c>
      <c r="B14">
        <f t="shared" si="1"/>
        <v>0.1723076923076923</v>
      </c>
      <c r="C14">
        <f t="shared" si="0"/>
        <v>0.218388416801646</v>
      </c>
      <c r="D14">
        <f t="shared" si="2"/>
        <v>0.19230161100449966</v>
      </c>
      <c r="E14">
        <f t="shared" si="3"/>
        <v>0.1723076923076923</v>
      </c>
      <c r="F14">
        <f t="shared" si="4"/>
        <v>0.22883681520347246</v>
      </c>
    </row>
    <row r="15" spans="1:11" x14ac:dyDescent="0.25">
      <c r="A15">
        <v>0.05</v>
      </c>
      <c r="B15">
        <f t="shared" si="1"/>
        <v>0.1723076923076923</v>
      </c>
      <c r="C15">
        <f t="shared" si="0"/>
        <v>0.21704336530522492</v>
      </c>
      <c r="D15">
        <f t="shared" si="2"/>
        <v>0.19230576923076922</v>
      </c>
      <c r="E15">
        <f t="shared" si="3"/>
        <v>0.1723076923076923</v>
      </c>
      <c r="F15">
        <f t="shared" si="4"/>
        <v>0.22518058616240938</v>
      </c>
    </row>
    <row r="16" spans="1:11" x14ac:dyDescent="0.25">
      <c r="A16">
        <v>5.5E-2</v>
      </c>
      <c r="B16">
        <f t="shared" si="1"/>
        <v>0.1723076923076923</v>
      </c>
      <c r="C16">
        <f t="shared" si="0"/>
        <v>0.2159958381465408</v>
      </c>
      <c r="D16">
        <f t="shared" si="2"/>
        <v>0.19230708417737302</v>
      </c>
      <c r="E16">
        <f t="shared" si="3"/>
        <v>0.1723076923076923</v>
      </c>
      <c r="F16">
        <f t="shared" si="4"/>
        <v>0.22233311212214105</v>
      </c>
      <c r="H16" s="11"/>
    </row>
    <row r="17" spans="1:6" x14ac:dyDescent="0.25">
      <c r="A17">
        <v>0.06</v>
      </c>
      <c r="B17">
        <f t="shared" si="1"/>
        <v>0.1723076923076923</v>
      </c>
      <c r="C17">
        <f t="shared" si="0"/>
        <v>0.21230769230769228</v>
      </c>
      <c r="D17">
        <f t="shared" si="2"/>
        <v>0.19230749999999996</v>
      </c>
      <c r="E17">
        <f t="shared" si="3"/>
        <v>0.1723076923076923</v>
      </c>
      <c r="F17">
        <f t="shared" si="4"/>
        <v>0.22011549710980455</v>
      </c>
    </row>
    <row r="18" spans="1:6" x14ac:dyDescent="0.25">
      <c r="A18">
        <v>6.5000000000000002E-2</v>
      </c>
      <c r="B18">
        <f t="shared" si="1"/>
        <v>0.1723076923076923</v>
      </c>
      <c r="C18">
        <f t="shared" si="0"/>
        <v>0.21230769230769228</v>
      </c>
      <c r="D18">
        <f t="shared" si="2"/>
        <v>0.19230763149466037</v>
      </c>
      <c r="E18">
        <f t="shared" si="3"/>
        <v>0.1723076923076923</v>
      </c>
      <c r="F18">
        <f t="shared" si="4"/>
        <v>0.218388416801646</v>
      </c>
    </row>
    <row r="19" spans="1:6" x14ac:dyDescent="0.25">
      <c r="A19">
        <v>7.0000000000000007E-2</v>
      </c>
      <c r="B19">
        <f t="shared" si="1"/>
        <v>0.1723076923076923</v>
      </c>
      <c r="C19">
        <f t="shared" si="0"/>
        <v>0.21230769230769228</v>
      </c>
      <c r="D19">
        <f t="shared" si="2"/>
        <v>0.19230767307692306</v>
      </c>
      <c r="E19">
        <f t="shared" si="3"/>
        <v>0.1723076923076923</v>
      </c>
      <c r="F19">
        <f t="shared" si="4"/>
        <v>0.21704336530522492</v>
      </c>
    </row>
    <row r="20" spans="1:6" x14ac:dyDescent="0.25">
      <c r="A20">
        <v>7.4999999999999997E-2</v>
      </c>
      <c r="B20">
        <f t="shared" si="1"/>
        <v>0.1723076923076923</v>
      </c>
      <c r="C20">
        <f t="shared" si="0"/>
        <v>0.21230769230769228</v>
      </c>
      <c r="D20">
        <f t="shared" si="2"/>
        <v>0.19230768622638911</v>
      </c>
      <c r="E20">
        <f t="shared" si="3"/>
        <v>0.1723076923076923</v>
      </c>
      <c r="F20">
        <f t="shared" si="4"/>
        <v>0.2159958381465408</v>
      </c>
    </row>
    <row r="21" spans="1:6" x14ac:dyDescent="0.25">
      <c r="A21">
        <v>0.08</v>
      </c>
      <c r="B21">
        <f t="shared" si="1"/>
        <v>0.1723076923076923</v>
      </c>
      <c r="C21">
        <f t="shared" si="0"/>
        <v>0.21230769230769228</v>
      </c>
      <c r="D21">
        <f t="shared" si="2"/>
        <v>0.19230769038461537</v>
      </c>
      <c r="E21">
        <f t="shared" si="3"/>
        <v>0.1723076923076923</v>
      </c>
      <c r="F21">
        <f t="shared" si="4"/>
        <v>0.21230769230769228</v>
      </c>
    </row>
    <row r="22" spans="1:6" x14ac:dyDescent="0.25">
      <c r="A22">
        <v>8.5000000000000006E-2</v>
      </c>
      <c r="B22">
        <f t="shared" si="1"/>
        <v>0.1723076923076923</v>
      </c>
      <c r="C22">
        <f t="shared" si="0"/>
        <v>0.21230769230769228</v>
      </c>
      <c r="D22">
        <f t="shared" si="2"/>
        <v>0.19230769169956197</v>
      </c>
      <c r="E22">
        <f t="shared" si="3"/>
        <v>0.1723076923076923</v>
      </c>
      <c r="F22">
        <f t="shared" si="4"/>
        <v>0.21230769230769228</v>
      </c>
    </row>
    <row r="23" spans="1:6" x14ac:dyDescent="0.25">
      <c r="A23">
        <v>0.09</v>
      </c>
      <c r="B23">
        <f t="shared" si="1"/>
        <v>0.1723076923076923</v>
      </c>
      <c r="C23">
        <f t="shared" si="0"/>
        <v>0.21230769230769228</v>
      </c>
      <c r="D23">
        <f t="shared" si="2"/>
        <v>0.19230769211538459</v>
      </c>
      <c r="E23">
        <f t="shared" si="3"/>
        <v>0.1723076923076923</v>
      </c>
      <c r="F23">
        <f t="shared" si="4"/>
        <v>0.21230769230769228</v>
      </c>
    </row>
    <row r="24" spans="1:6" x14ac:dyDescent="0.25">
      <c r="A24">
        <v>9.5000000000000001E-2</v>
      </c>
      <c r="B24">
        <f t="shared" si="1"/>
        <v>0.1723076923076923</v>
      </c>
      <c r="C24">
        <f t="shared" si="0"/>
        <v>0.21230769230769228</v>
      </c>
      <c r="D24">
        <f t="shared" si="2"/>
        <v>0.19230769224687927</v>
      </c>
      <c r="E24">
        <f t="shared" si="3"/>
        <v>0.1723076923076923</v>
      </c>
      <c r="F24">
        <f t="shared" si="4"/>
        <v>0.21230769230769228</v>
      </c>
    </row>
    <row r="25" spans="1:6" x14ac:dyDescent="0.25">
      <c r="A25">
        <v>0.1</v>
      </c>
      <c r="B25">
        <f t="shared" si="1"/>
        <v>0.1723076923076923</v>
      </c>
      <c r="C25">
        <f t="shared" si="0"/>
        <v>0.21230769230769228</v>
      </c>
      <c r="D25">
        <f t="shared" si="2"/>
        <v>0.19230769228846151</v>
      </c>
      <c r="E25">
        <f t="shared" si="3"/>
        <v>0.1723076923076923</v>
      </c>
      <c r="F25">
        <f t="shared" si="4"/>
        <v>0.21230769230769228</v>
      </c>
    </row>
    <row r="26" spans="1:6" x14ac:dyDescent="0.25">
      <c r="A26">
        <v>0.105</v>
      </c>
      <c r="B26">
        <f t="shared" si="1"/>
        <v>0.1723076923076923</v>
      </c>
      <c r="C26">
        <f t="shared" si="0"/>
        <v>0.21230769230769228</v>
      </c>
      <c r="D26">
        <f t="shared" si="2"/>
        <v>0.19230769230161099</v>
      </c>
      <c r="E26">
        <f t="shared" si="3"/>
        <v>0.1723076923076923</v>
      </c>
      <c r="F26">
        <f t="shared" si="4"/>
        <v>0.21230769230769228</v>
      </c>
    </row>
    <row r="27" spans="1:6" x14ac:dyDescent="0.25">
      <c r="A27">
        <v>0.11</v>
      </c>
      <c r="B27">
        <f t="shared" si="1"/>
        <v>0.1723076923076923</v>
      </c>
      <c r="C27">
        <f t="shared" si="0"/>
        <v>0.21230769230769228</v>
      </c>
      <c r="D27">
        <f t="shared" si="2"/>
        <v>0.19230769230576922</v>
      </c>
      <c r="E27">
        <f t="shared" si="3"/>
        <v>0.1723076923076923</v>
      </c>
      <c r="F27">
        <f t="shared" si="4"/>
        <v>0.21230769230769228</v>
      </c>
    </row>
    <row r="28" spans="1:6" x14ac:dyDescent="0.25">
      <c r="A28">
        <v>0.115</v>
      </c>
      <c r="B28">
        <f t="shared" si="1"/>
        <v>0.1723076923076923</v>
      </c>
      <c r="C28">
        <f t="shared" si="0"/>
        <v>0.21230769230769228</v>
      </c>
      <c r="D28">
        <f t="shared" si="2"/>
        <v>0.19230769230708417</v>
      </c>
      <c r="E28">
        <f t="shared" si="3"/>
        <v>0.1723076923076923</v>
      </c>
      <c r="F28">
        <f t="shared" si="4"/>
        <v>0.21230769230769228</v>
      </c>
    </row>
    <row r="29" spans="1:6" x14ac:dyDescent="0.25">
      <c r="A29">
        <v>0.12</v>
      </c>
      <c r="B29">
        <f t="shared" si="1"/>
        <v>0.1723076923076923</v>
      </c>
      <c r="C29">
        <f t="shared" si="0"/>
        <v>0.21230769230769228</v>
      </c>
      <c r="D29">
        <f t="shared" si="2"/>
        <v>0.1923076923075</v>
      </c>
      <c r="E29">
        <f t="shared" si="3"/>
        <v>0.1723076923076923</v>
      </c>
      <c r="F29">
        <f t="shared" si="4"/>
        <v>0.21230769230769228</v>
      </c>
    </row>
    <row r="30" spans="1:6" x14ac:dyDescent="0.25">
      <c r="A30">
        <v>0.125</v>
      </c>
      <c r="B30">
        <f t="shared" si="1"/>
        <v>0.1723076923076923</v>
      </c>
      <c r="C30">
        <f t="shared" si="0"/>
        <v>0.21230769230769228</v>
      </c>
      <c r="D30">
        <f t="shared" si="2"/>
        <v>0.19230769230763148</v>
      </c>
      <c r="E30">
        <f t="shared" si="3"/>
        <v>0.1723076923076923</v>
      </c>
      <c r="F30">
        <f t="shared" si="4"/>
        <v>0.21230769230769228</v>
      </c>
    </row>
    <row r="31" spans="1:6" x14ac:dyDescent="0.25">
      <c r="A31">
        <v>0.13</v>
      </c>
      <c r="B31">
        <f t="shared" si="1"/>
        <v>0.1723076923076923</v>
      </c>
      <c r="C31">
        <f t="shared" si="0"/>
        <v>0.21230769230769228</v>
      </c>
      <c r="D31">
        <f t="shared" si="2"/>
        <v>0.19230769230767306</v>
      </c>
      <c r="E31">
        <f t="shared" si="3"/>
        <v>0.1723076923076923</v>
      </c>
      <c r="F31">
        <f t="shared" si="4"/>
        <v>0.21230769230769228</v>
      </c>
    </row>
    <row r="32" spans="1:6" x14ac:dyDescent="0.25">
      <c r="A32">
        <v>0.13500000000000001</v>
      </c>
      <c r="B32">
        <f t="shared" si="1"/>
        <v>0.1723076923076923</v>
      </c>
      <c r="C32">
        <f t="shared" si="0"/>
        <v>0.21230769230769228</v>
      </c>
      <c r="D32">
        <f t="shared" si="2"/>
        <v>0.19230769230768621</v>
      </c>
      <c r="E32">
        <f t="shared" si="3"/>
        <v>0.1723076923076923</v>
      </c>
      <c r="F32">
        <f t="shared" si="4"/>
        <v>0.21230769230769228</v>
      </c>
    </row>
    <row r="33" spans="1:6" x14ac:dyDescent="0.25">
      <c r="A33">
        <v>0.14000000000000001</v>
      </c>
      <c r="B33">
        <f t="shared" si="1"/>
        <v>0.1723076923076923</v>
      </c>
      <c r="C33">
        <f t="shared" si="0"/>
        <v>0.21230769230769228</v>
      </c>
      <c r="D33">
        <f t="shared" si="2"/>
        <v>0.19230769230769038</v>
      </c>
      <c r="E33">
        <f t="shared" si="3"/>
        <v>0.1723076923076923</v>
      </c>
      <c r="F33">
        <f t="shared" si="4"/>
        <v>0.21230769230769228</v>
      </c>
    </row>
    <row r="34" spans="1:6" x14ac:dyDescent="0.25">
      <c r="A34">
        <v>0.14499999999999999</v>
      </c>
      <c r="B34">
        <f t="shared" si="1"/>
        <v>0.1723076923076923</v>
      </c>
      <c r="C34">
        <f t="shared" si="0"/>
        <v>0.21230769230769228</v>
      </c>
      <c r="D34">
        <f t="shared" si="2"/>
        <v>0.19230769230769168</v>
      </c>
      <c r="E34">
        <f t="shared" si="3"/>
        <v>0.1723076923076923</v>
      </c>
      <c r="F34">
        <f t="shared" si="4"/>
        <v>0.21230769230769228</v>
      </c>
    </row>
    <row r="35" spans="1:6" x14ac:dyDescent="0.25">
      <c r="A35">
        <v>0.15</v>
      </c>
      <c r="B35">
        <f t="shared" si="1"/>
        <v>0.1723076923076923</v>
      </c>
      <c r="C35">
        <f t="shared" si="0"/>
        <v>0.21230769230769228</v>
      </c>
      <c r="D35">
        <f t="shared" si="2"/>
        <v>0.1923076923076921</v>
      </c>
      <c r="E35">
        <f t="shared" si="3"/>
        <v>0.1723076923076923</v>
      </c>
      <c r="F35">
        <f t="shared" si="4"/>
        <v>0.21230769230769228</v>
      </c>
    </row>
    <row r="36" spans="1:6" x14ac:dyDescent="0.25">
      <c r="A36">
        <v>0.155</v>
      </c>
      <c r="B36">
        <f t="shared" si="1"/>
        <v>0.1723076923076923</v>
      </c>
      <c r="C36">
        <f t="shared" si="0"/>
        <v>0.21230769230769228</v>
      </c>
      <c r="D36">
        <f t="shared" si="2"/>
        <v>0.19230769230769224</v>
      </c>
      <c r="E36">
        <f t="shared" si="3"/>
        <v>0.1723076923076923</v>
      </c>
      <c r="F36">
        <f t="shared" si="4"/>
        <v>0.21230769230769228</v>
      </c>
    </row>
    <row r="37" spans="1:6" x14ac:dyDescent="0.25">
      <c r="A37">
        <v>0.16</v>
      </c>
      <c r="B37">
        <f t="shared" si="1"/>
        <v>0.1723076923076923</v>
      </c>
      <c r="C37">
        <f t="shared" si="0"/>
        <v>0.21230769230769228</v>
      </c>
      <c r="D37">
        <f t="shared" si="2"/>
        <v>0.19230769230769226</v>
      </c>
      <c r="E37">
        <f t="shared" si="3"/>
        <v>0.1723076923076923</v>
      </c>
      <c r="F37">
        <f t="shared" si="4"/>
        <v>0.21230769230769228</v>
      </c>
    </row>
    <row r="38" spans="1:6" x14ac:dyDescent="0.25">
      <c r="A38">
        <v>0.16500000000000001</v>
      </c>
      <c r="B38">
        <f t="shared" si="1"/>
        <v>0.1723076923076923</v>
      </c>
      <c r="C38">
        <f t="shared" si="0"/>
        <v>0.21230769230769228</v>
      </c>
      <c r="D38">
        <f t="shared" si="2"/>
        <v>0.19230769230769229</v>
      </c>
      <c r="E38">
        <f t="shared" si="3"/>
        <v>0.1723076923076923</v>
      </c>
      <c r="F38">
        <f t="shared" si="4"/>
        <v>0.21230769230769228</v>
      </c>
    </row>
    <row r="39" spans="1:6" x14ac:dyDescent="0.25">
      <c r="A39">
        <v>0.17</v>
      </c>
      <c r="B39">
        <f t="shared" si="1"/>
        <v>0.1723076923076923</v>
      </c>
      <c r="C39">
        <f t="shared" si="0"/>
        <v>0.21230769230769228</v>
      </c>
      <c r="D39">
        <f t="shared" si="2"/>
        <v>0.19230769230769229</v>
      </c>
      <c r="E39">
        <f t="shared" si="3"/>
        <v>0.1723076923076923</v>
      </c>
      <c r="F39">
        <f t="shared" si="4"/>
        <v>0.21230769230769228</v>
      </c>
    </row>
    <row r="40" spans="1:6" x14ac:dyDescent="0.25">
      <c r="A40">
        <v>0.17499999999999999</v>
      </c>
      <c r="B40">
        <f t="shared" si="1"/>
        <v>0.1723076923076923</v>
      </c>
      <c r="C40">
        <f t="shared" si="0"/>
        <v>0.21230769230769228</v>
      </c>
      <c r="D40">
        <f t="shared" si="2"/>
        <v>0.19230769230769229</v>
      </c>
      <c r="E40">
        <f t="shared" si="3"/>
        <v>0.1723076923076923</v>
      </c>
      <c r="F40">
        <f t="shared" si="4"/>
        <v>0.21230769230769228</v>
      </c>
    </row>
    <row r="41" spans="1:6" x14ac:dyDescent="0.25">
      <c r="A41">
        <v>0.18</v>
      </c>
      <c r="B41">
        <f t="shared" si="1"/>
        <v>0.1723076923076923</v>
      </c>
      <c r="C41">
        <f t="shared" si="0"/>
        <v>0.21230769230769228</v>
      </c>
      <c r="D41">
        <f t="shared" si="2"/>
        <v>0.19230769230769229</v>
      </c>
      <c r="E41">
        <f t="shared" si="3"/>
        <v>0.1723076923076923</v>
      </c>
      <c r="F41">
        <f t="shared" si="4"/>
        <v>0.21230769230769228</v>
      </c>
    </row>
    <row r="42" spans="1:6" x14ac:dyDescent="0.25">
      <c r="A42">
        <v>0.185</v>
      </c>
      <c r="B42">
        <f t="shared" si="1"/>
        <v>0.1723076923076923</v>
      </c>
      <c r="C42">
        <f t="shared" si="0"/>
        <v>0.21230769230769228</v>
      </c>
      <c r="D42">
        <f t="shared" si="2"/>
        <v>0.19230769230769229</v>
      </c>
      <c r="E42">
        <f t="shared" si="3"/>
        <v>0.1723076923076923</v>
      </c>
      <c r="F42">
        <f t="shared" si="4"/>
        <v>0.21230769230769228</v>
      </c>
    </row>
    <row r="43" spans="1:6" x14ac:dyDescent="0.25">
      <c r="A43">
        <v>0.19</v>
      </c>
      <c r="B43">
        <f t="shared" si="1"/>
        <v>0.1723076923076923</v>
      </c>
      <c r="C43">
        <f t="shared" si="0"/>
        <v>0.21230769230769228</v>
      </c>
      <c r="D43">
        <f t="shared" si="2"/>
        <v>0.19230769230769229</v>
      </c>
      <c r="E43">
        <f t="shared" si="3"/>
        <v>0.1723076923076923</v>
      </c>
      <c r="F43">
        <f t="shared" si="4"/>
        <v>0.21230769230769228</v>
      </c>
    </row>
    <row r="44" spans="1:6" x14ac:dyDescent="0.25">
      <c r="A44">
        <v>0.19500000000000001</v>
      </c>
      <c r="B44">
        <f t="shared" si="1"/>
        <v>0.1723076923076923</v>
      </c>
      <c r="C44">
        <f t="shared" si="0"/>
        <v>0.21230769230769228</v>
      </c>
      <c r="D44">
        <f t="shared" si="2"/>
        <v>0.19230769230769229</v>
      </c>
      <c r="E44">
        <f t="shared" si="3"/>
        <v>0.1723076923076923</v>
      </c>
      <c r="F44">
        <f t="shared" si="4"/>
        <v>0.21230769230769228</v>
      </c>
    </row>
    <row r="45" spans="1:6" x14ac:dyDescent="0.25">
      <c r="A45">
        <v>0.2</v>
      </c>
      <c r="B45">
        <f t="shared" si="1"/>
        <v>0.1723076923076923</v>
      </c>
      <c r="C45">
        <f t="shared" si="0"/>
        <v>0.21230769230769228</v>
      </c>
      <c r="D45">
        <f t="shared" si="2"/>
        <v>0.19230769230769229</v>
      </c>
      <c r="E45">
        <f t="shared" si="3"/>
        <v>0.1723076923076923</v>
      </c>
      <c r="F45">
        <f t="shared" si="4"/>
        <v>0.21230769230769228</v>
      </c>
    </row>
    <row r="46" spans="1:6" x14ac:dyDescent="0.25">
      <c r="A46">
        <v>0.20499999999999999</v>
      </c>
      <c r="B46">
        <f t="shared" si="1"/>
        <v>0.1723076923076923</v>
      </c>
      <c r="C46">
        <f t="shared" si="0"/>
        <v>0.21230769230769228</v>
      </c>
      <c r="D46">
        <f t="shared" si="2"/>
        <v>0.19230769230769229</v>
      </c>
      <c r="E46">
        <f t="shared" si="3"/>
        <v>0.1723076923076923</v>
      </c>
      <c r="F46">
        <f t="shared" si="4"/>
        <v>0.21230769230769228</v>
      </c>
    </row>
    <row r="47" spans="1:6" x14ac:dyDescent="0.25">
      <c r="A47">
        <v>0.21</v>
      </c>
      <c r="B47">
        <f t="shared" si="1"/>
        <v>0.1723076923076923</v>
      </c>
      <c r="C47">
        <f t="shared" si="0"/>
        <v>0.21230769230769228</v>
      </c>
      <c r="D47">
        <f t="shared" si="2"/>
        <v>0.19230769230769229</v>
      </c>
      <c r="E47">
        <f t="shared" si="3"/>
        <v>0.1723076923076923</v>
      </c>
      <c r="F47">
        <f t="shared" si="4"/>
        <v>0.21230769230769228</v>
      </c>
    </row>
    <row r="48" spans="1:6" x14ac:dyDescent="0.25">
      <c r="A48">
        <v>0.215</v>
      </c>
      <c r="B48">
        <f t="shared" si="1"/>
        <v>0.1723076923076923</v>
      </c>
      <c r="C48">
        <f t="shared" si="0"/>
        <v>0.21230769230769228</v>
      </c>
      <c r="D48">
        <f t="shared" si="2"/>
        <v>0.19230769230769229</v>
      </c>
      <c r="E48">
        <f t="shared" si="3"/>
        <v>0.1723076923076923</v>
      </c>
      <c r="F48">
        <f t="shared" si="4"/>
        <v>0.21230769230769228</v>
      </c>
    </row>
    <row r="49" spans="1:6" x14ac:dyDescent="0.25">
      <c r="A49">
        <v>0.22</v>
      </c>
      <c r="B49">
        <f t="shared" si="1"/>
        <v>0.1723076923076923</v>
      </c>
      <c r="C49">
        <f t="shared" si="0"/>
        <v>0.21230769230769228</v>
      </c>
      <c r="D49">
        <f t="shared" si="2"/>
        <v>0.19230769230769229</v>
      </c>
      <c r="E49">
        <f t="shared" si="3"/>
        <v>0.1723076923076923</v>
      </c>
      <c r="F49">
        <f t="shared" si="4"/>
        <v>0.21230769230769228</v>
      </c>
    </row>
    <row r="50" spans="1:6" x14ac:dyDescent="0.25">
      <c r="A50">
        <v>0.22500000000000001</v>
      </c>
      <c r="B50">
        <f t="shared" si="1"/>
        <v>0.1723076923076923</v>
      </c>
      <c r="C50">
        <f t="shared" si="0"/>
        <v>0.21230769230769228</v>
      </c>
      <c r="D50">
        <f t="shared" si="2"/>
        <v>0.19230769230769229</v>
      </c>
      <c r="E50">
        <f t="shared" si="3"/>
        <v>0.1723076923076923</v>
      </c>
      <c r="F50">
        <f t="shared" si="4"/>
        <v>0.21230769230769228</v>
      </c>
    </row>
    <row r="51" spans="1:6" x14ac:dyDescent="0.25">
      <c r="A51">
        <v>0.23</v>
      </c>
      <c r="B51">
        <f t="shared" si="1"/>
        <v>0.1723076923076923</v>
      </c>
      <c r="C51">
        <f t="shared" si="0"/>
        <v>0.21230769230769228</v>
      </c>
      <c r="D51">
        <f t="shared" si="2"/>
        <v>0.19230769230769229</v>
      </c>
      <c r="E51">
        <f t="shared" si="3"/>
        <v>0.1723076923076923</v>
      </c>
      <c r="F51">
        <f t="shared" si="4"/>
        <v>0.21230769230769228</v>
      </c>
    </row>
    <row r="52" spans="1:6" x14ac:dyDescent="0.25">
      <c r="A52">
        <v>0.23499999999999999</v>
      </c>
      <c r="B52">
        <f t="shared" si="1"/>
        <v>0.1723076923076923</v>
      </c>
      <c r="C52">
        <f t="shared" si="0"/>
        <v>0.21230769230769228</v>
      </c>
      <c r="D52">
        <f t="shared" si="2"/>
        <v>0.19230769230769229</v>
      </c>
      <c r="E52">
        <f t="shared" si="3"/>
        <v>0.1723076923076923</v>
      </c>
      <c r="F52">
        <f t="shared" si="4"/>
        <v>0.21230769230769228</v>
      </c>
    </row>
    <row r="53" spans="1:6" x14ac:dyDescent="0.25">
      <c r="A53">
        <v>0.24</v>
      </c>
      <c r="B53">
        <f t="shared" si="1"/>
        <v>0.1723076923076923</v>
      </c>
      <c r="C53">
        <f t="shared" si="0"/>
        <v>0.21230769230769228</v>
      </c>
      <c r="D53">
        <f t="shared" si="2"/>
        <v>0.19230769230769229</v>
      </c>
      <c r="E53">
        <f t="shared" si="3"/>
        <v>0.1723076923076923</v>
      </c>
      <c r="F53">
        <f t="shared" si="4"/>
        <v>0.21230769230769228</v>
      </c>
    </row>
    <row r="54" spans="1:6" x14ac:dyDescent="0.25">
      <c r="A54">
        <v>0.245</v>
      </c>
      <c r="B54">
        <f t="shared" si="1"/>
        <v>0.1723076923076923</v>
      </c>
      <c r="C54">
        <f t="shared" si="0"/>
        <v>0.21230769230769228</v>
      </c>
      <c r="D54">
        <f t="shared" si="2"/>
        <v>0.19230769230769229</v>
      </c>
      <c r="E54">
        <f t="shared" si="3"/>
        <v>0.1723076923076923</v>
      </c>
      <c r="F54">
        <f t="shared" si="4"/>
        <v>0.21230769230769228</v>
      </c>
    </row>
    <row r="55" spans="1:6" x14ac:dyDescent="0.25">
      <c r="A55">
        <v>0.25</v>
      </c>
      <c r="B55">
        <f t="shared" si="1"/>
        <v>0.1723076923076923</v>
      </c>
      <c r="C55">
        <f t="shared" si="0"/>
        <v>0.21230769230769228</v>
      </c>
      <c r="D55">
        <f t="shared" si="2"/>
        <v>0.19230769230769229</v>
      </c>
      <c r="E55">
        <f t="shared" si="3"/>
        <v>0.1723076923076923</v>
      </c>
      <c r="F55">
        <f t="shared" si="4"/>
        <v>0.21230769230769228</v>
      </c>
    </row>
    <row r="56" spans="1:6" x14ac:dyDescent="0.25">
      <c r="A56">
        <v>0.255</v>
      </c>
      <c r="B56">
        <f t="shared" si="1"/>
        <v>0.1723076923076923</v>
      </c>
      <c r="C56">
        <f t="shared" si="0"/>
        <v>0.21230769230769228</v>
      </c>
      <c r="D56">
        <f t="shared" si="2"/>
        <v>0.19230769230769229</v>
      </c>
      <c r="E56">
        <f t="shared" si="3"/>
        <v>0.1723076923076923</v>
      </c>
      <c r="F56">
        <f t="shared" si="4"/>
        <v>0.21230769230769228</v>
      </c>
    </row>
    <row r="57" spans="1:6" x14ac:dyDescent="0.25">
      <c r="A57">
        <v>0.26</v>
      </c>
      <c r="B57">
        <f t="shared" si="1"/>
        <v>0.1723076923076923</v>
      </c>
      <c r="C57">
        <f t="shared" si="0"/>
        <v>0.21230769230769228</v>
      </c>
      <c r="D57">
        <f t="shared" si="2"/>
        <v>0.19230769230769229</v>
      </c>
      <c r="E57">
        <f t="shared" si="3"/>
        <v>0.1723076923076923</v>
      </c>
      <c r="F57">
        <f t="shared" si="4"/>
        <v>0.21230769230769228</v>
      </c>
    </row>
    <row r="58" spans="1:6" x14ac:dyDescent="0.25">
      <c r="A58">
        <v>0.26500000000000001</v>
      </c>
      <c r="B58">
        <f t="shared" si="1"/>
        <v>0.1723076923076923</v>
      </c>
      <c r="C58">
        <f t="shared" si="0"/>
        <v>0.21230769230769228</v>
      </c>
      <c r="D58">
        <f t="shared" si="2"/>
        <v>0.19230769230769229</v>
      </c>
      <c r="E58">
        <f t="shared" si="3"/>
        <v>0.1723076923076923</v>
      </c>
      <c r="F58">
        <f t="shared" si="4"/>
        <v>0.21230769230769228</v>
      </c>
    </row>
    <row r="59" spans="1:6" x14ac:dyDescent="0.25">
      <c r="A59">
        <v>0.27</v>
      </c>
      <c r="B59">
        <f t="shared" si="1"/>
        <v>0.1723076923076923</v>
      </c>
      <c r="C59">
        <f t="shared" si="0"/>
        <v>0.21230769230769228</v>
      </c>
      <c r="D59">
        <f t="shared" si="2"/>
        <v>0.19230769230769229</v>
      </c>
      <c r="E59">
        <f t="shared" si="3"/>
        <v>0.1723076923076923</v>
      </c>
      <c r="F59">
        <f t="shared" si="4"/>
        <v>0.21230769230769228</v>
      </c>
    </row>
    <row r="60" spans="1:6" x14ac:dyDescent="0.25">
      <c r="A60">
        <v>0.27500000000000002</v>
      </c>
      <c r="B60">
        <f t="shared" si="1"/>
        <v>0.1723076923076923</v>
      </c>
      <c r="C60">
        <f t="shared" si="0"/>
        <v>0.21230769230769228</v>
      </c>
      <c r="D60">
        <f t="shared" si="2"/>
        <v>0.19230769230769229</v>
      </c>
      <c r="E60">
        <f t="shared" si="3"/>
        <v>0.1723076923076923</v>
      </c>
      <c r="F60">
        <f t="shared" si="4"/>
        <v>0.21230769230769228</v>
      </c>
    </row>
    <row r="61" spans="1:6" x14ac:dyDescent="0.25">
      <c r="A61">
        <v>0.28000000000000003</v>
      </c>
      <c r="B61">
        <f t="shared" si="1"/>
        <v>0.1723076923076923</v>
      </c>
      <c r="C61">
        <f t="shared" si="0"/>
        <v>0.21230769230769228</v>
      </c>
      <c r="D61">
        <f t="shared" si="2"/>
        <v>0.19230769230769229</v>
      </c>
      <c r="E61">
        <f t="shared" si="3"/>
        <v>0.1723076923076923</v>
      </c>
      <c r="F61">
        <f t="shared" si="4"/>
        <v>0.21230769230769228</v>
      </c>
    </row>
    <row r="62" spans="1:6" x14ac:dyDescent="0.25">
      <c r="A62">
        <v>0.28499999999999998</v>
      </c>
      <c r="B62">
        <f t="shared" si="1"/>
        <v>0.1723076923076923</v>
      </c>
      <c r="C62">
        <f t="shared" si="0"/>
        <v>0.21230769230769228</v>
      </c>
      <c r="D62">
        <f t="shared" si="2"/>
        <v>0.19230769230769229</v>
      </c>
      <c r="E62">
        <f t="shared" si="3"/>
        <v>0.1723076923076923</v>
      </c>
      <c r="F62">
        <f t="shared" si="4"/>
        <v>0.21230769230769228</v>
      </c>
    </row>
    <row r="63" spans="1:6" x14ac:dyDescent="0.25">
      <c r="A63">
        <v>0.28999999999999998</v>
      </c>
      <c r="B63">
        <f t="shared" si="1"/>
        <v>0.1723076923076923</v>
      </c>
      <c r="C63">
        <f t="shared" si="0"/>
        <v>0.21230769230769228</v>
      </c>
      <c r="D63">
        <f t="shared" si="2"/>
        <v>0.19230769230769229</v>
      </c>
      <c r="E63">
        <f t="shared" si="3"/>
        <v>0.1723076923076923</v>
      </c>
      <c r="F63">
        <f t="shared" si="4"/>
        <v>0.21230769230769228</v>
      </c>
    </row>
    <row r="64" spans="1:6" x14ac:dyDescent="0.25">
      <c r="A64">
        <v>0.29499999999999998</v>
      </c>
      <c r="B64">
        <f t="shared" si="1"/>
        <v>0.1723076923076923</v>
      </c>
      <c r="C64">
        <f t="shared" si="0"/>
        <v>0.21230769230769228</v>
      </c>
      <c r="D64">
        <f t="shared" si="2"/>
        <v>0.19230769230769229</v>
      </c>
      <c r="E64">
        <f t="shared" si="3"/>
        <v>0.1723076923076923</v>
      </c>
      <c r="F64">
        <f t="shared" si="4"/>
        <v>0.21230769230769228</v>
      </c>
    </row>
    <row r="65" spans="1:6" x14ac:dyDescent="0.25">
      <c r="A65">
        <v>0.3</v>
      </c>
      <c r="B65">
        <f t="shared" si="1"/>
        <v>0.1723076923076923</v>
      </c>
      <c r="C65">
        <f t="shared" si="0"/>
        <v>0.21230769230769228</v>
      </c>
      <c r="D65">
        <f t="shared" si="2"/>
        <v>0.19230769230769229</v>
      </c>
      <c r="E65">
        <f t="shared" si="3"/>
        <v>0.1723076923076923</v>
      </c>
      <c r="F65">
        <f t="shared" si="4"/>
        <v>0.21230769230769228</v>
      </c>
    </row>
    <row r="66" spans="1:6" x14ac:dyDescent="0.25">
      <c r="A66">
        <v>0.30499999999999999</v>
      </c>
      <c r="B66">
        <f t="shared" si="1"/>
        <v>0.1723076923076923</v>
      </c>
      <c r="C66">
        <f t="shared" si="0"/>
        <v>0.21230769230769228</v>
      </c>
      <c r="D66">
        <f t="shared" si="2"/>
        <v>0.19230769230769229</v>
      </c>
      <c r="E66">
        <f t="shared" si="3"/>
        <v>0.1723076923076923</v>
      </c>
      <c r="F66">
        <f t="shared" si="4"/>
        <v>0.21230769230769228</v>
      </c>
    </row>
    <row r="67" spans="1:6" x14ac:dyDescent="0.25">
      <c r="A67">
        <v>0.31</v>
      </c>
      <c r="B67">
        <f t="shared" si="1"/>
        <v>0.1723076923076923</v>
      </c>
      <c r="C67">
        <f t="shared" si="0"/>
        <v>0.21230769230769228</v>
      </c>
      <c r="D67">
        <f t="shared" si="2"/>
        <v>0.19230769230769229</v>
      </c>
      <c r="E67">
        <f t="shared" si="3"/>
        <v>0.1723076923076923</v>
      </c>
      <c r="F67">
        <f t="shared" si="4"/>
        <v>0.21230769230769228</v>
      </c>
    </row>
    <row r="68" spans="1:6" x14ac:dyDescent="0.25">
      <c r="A68">
        <v>0.315</v>
      </c>
      <c r="B68">
        <f t="shared" si="1"/>
        <v>0.1723076923076923</v>
      </c>
      <c r="C68">
        <f t="shared" si="0"/>
        <v>0.21230769230769228</v>
      </c>
      <c r="D68">
        <f t="shared" si="2"/>
        <v>0.19230769230769229</v>
      </c>
      <c r="E68">
        <f t="shared" si="3"/>
        <v>0.1723076923076923</v>
      </c>
      <c r="F68">
        <f t="shared" si="4"/>
        <v>0.21230769230769228</v>
      </c>
    </row>
    <row r="69" spans="1:6" x14ac:dyDescent="0.25">
      <c r="A69">
        <v>0.32</v>
      </c>
      <c r="B69">
        <f t="shared" si="1"/>
        <v>0.1723076923076923</v>
      </c>
      <c r="C69">
        <f t="shared" ref="C69:C132" si="5">IF(A69&lt;ttunnel,Q0+DeltaIQ+Marge_haute*DeltaIQ*(EXP(-A69/(ttunnel/3)))+tunnel,Q0+tunnel+DeltaIQ)</f>
        <v>0.21230769230769228</v>
      </c>
      <c r="D69">
        <f t="shared" si="2"/>
        <v>0.19230769230769229</v>
      </c>
      <c r="E69">
        <f t="shared" si="3"/>
        <v>0.1723076923076923</v>
      </c>
      <c r="F69">
        <f t="shared" si="4"/>
        <v>0.21230769230769228</v>
      </c>
    </row>
    <row r="70" spans="1:6" x14ac:dyDescent="0.25">
      <c r="A70">
        <v>0.32500000000000001</v>
      </c>
      <c r="B70">
        <f t="shared" si="1"/>
        <v>0.1723076923076923</v>
      </c>
      <c r="C70">
        <f t="shared" si="5"/>
        <v>0.21230769230769228</v>
      </c>
      <c r="D70">
        <f t="shared" ref="D70:D133" si="6">Q0+DeltaIQ*(1-EXP(-A70/tau))</f>
        <v>0.19230769230769229</v>
      </c>
      <c r="E70">
        <f t="shared" si="3"/>
        <v>0.1723076923076923</v>
      </c>
      <c r="F70">
        <f t="shared" si="4"/>
        <v>0.21230769230769228</v>
      </c>
    </row>
    <row r="71" spans="1:6" x14ac:dyDescent="0.25">
      <c r="A71">
        <v>0.33</v>
      </c>
      <c r="B71">
        <f t="shared" ref="B71:B134" si="7">IF(SIGN(Vstep)=1,MIN(Q0+DeltaIQ*(1-EXP(-A71/tau)),Q0+DeltaIQ-tunnel),IF(A71&lt;ttunnel,Q0+DeltaIQ+Marge_haute*DeltaIQ*(EXP(-A71/(ttunnel/3)))+tunnel,Q0+tunnel+DeltaIQ))</f>
        <v>0.1723076923076923</v>
      </c>
      <c r="C71">
        <f t="shared" si="5"/>
        <v>0.21230769230769228</v>
      </c>
      <c r="D71">
        <f t="shared" si="6"/>
        <v>0.19230769230769229</v>
      </c>
      <c r="E71">
        <f t="shared" si="3"/>
        <v>0.1723076923076923</v>
      </c>
      <c r="F71">
        <f t="shared" si="4"/>
        <v>0.21230769230769228</v>
      </c>
    </row>
    <row r="72" spans="1:6" x14ac:dyDescent="0.25">
      <c r="A72">
        <v>0.33500000000000002</v>
      </c>
      <c r="B72">
        <f t="shared" si="7"/>
        <v>0.1723076923076923</v>
      </c>
      <c r="C72">
        <f t="shared" si="5"/>
        <v>0.21230769230769228</v>
      </c>
      <c r="D72">
        <f t="shared" si="6"/>
        <v>0.19230769230769229</v>
      </c>
      <c r="E72">
        <f t="shared" si="3"/>
        <v>0.1723076923076923</v>
      </c>
      <c r="F72">
        <f t="shared" si="4"/>
        <v>0.21230769230769228</v>
      </c>
    </row>
    <row r="73" spans="1:6" x14ac:dyDescent="0.25">
      <c r="A73">
        <v>0.34</v>
      </c>
      <c r="B73">
        <f t="shared" si="7"/>
        <v>0.1723076923076923</v>
      </c>
      <c r="C73">
        <f t="shared" si="5"/>
        <v>0.21230769230769228</v>
      </c>
      <c r="D73">
        <f t="shared" si="6"/>
        <v>0.19230769230769229</v>
      </c>
      <c r="E73">
        <f t="shared" ref="E73:E136" si="8">IF(EMT_simulation,B69,B73)</f>
        <v>0.1723076923076923</v>
      </c>
      <c r="F73">
        <f t="shared" ref="F73:F136" si="9">IF(EMT_simulation,C69,C73)</f>
        <v>0.21230769230769228</v>
      </c>
    </row>
    <row r="74" spans="1:6" x14ac:dyDescent="0.25">
      <c r="A74">
        <v>0.34499999999999997</v>
      </c>
      <c r="B74">
        <f t="shared" si="7"/>
        <v>0.1723076923076923</v>
      </c>
      <c r="C74">
        <f t="shared" si="5"/>
        <v>0.21230769230769228</v>
      </c>
      <c r="D74">
        <f t="shared" si="6"/>
        <v>0.19230769230769229</v>
      </c>
      <c r="E74">
        <f t="shared" si="8"/>
        <v>0.1723076923076923</v>
      </c>
      <c r="F74">
        <f t="shared" si="9"/>
        <v>0.21230769230769228</v>
      </c>
    </row>
    <row r="75" spans="1:6" x14ac:dyDescent="0.25">
      <c r="A75">
        <v>0.35</v>
      </c>
      <c r="B75">
        <f t="shared" si="7"/>
        <v>0.1723076923076923</v>
      </c>
      <c r="C75">
        <f t="shared" si="5"/>
        <v>0.21230769230769228</v>
      </c>
      <c r="D75">
        <f t="shared" si="6"/>
        <v>0.19230769230769229</v>
      </c>
      <c r="E75">
        <f t="shared" si="8"/>
        <v>0.1723076923076923</v>
      </c>
      <c r="F75">
        <f t="shared" si="9"/>
        <v>0.21230769230769228</v>
      </c>
    </row>
    <row r="76" spans="1:6" x14ac:dyDescent="0.25">
      <c r="A76">
        <v>0.35499999999999998</v>
      </c>
      <c r="B76">
        <f t="shared" si="7"/>
        <v>0.1723076923076923</v>
      </c>
      <c r="C76">
        <f t="shared" si="5"/>
        <v>0.21230769230769228</v>
      </c>
      <c r="D76">
        <f t="shared" si="6"/>
        <v>0.19230769230769229</v>
      </c>
      <c r="E76">
        <f t="shared" si="8"/>
        <v>0.1723076923076923</v>
      </c>
      <c r="F76">
        <f t="shared" si="9"/>
        <v>0.21230769230769228</v>
      </c>
    </row>
    <row r="77" spans="1:6" x14ac:dyDescent="0.25">
      <c r="A77">
        <v>0.36</v>
      </c>
      <c r="B77">
        <f t="shared" si="7"/>
        <v>0.1723076923076923</v>
      </c>
      <c r="C77">
        <f t="shared" si="5"/>
        <v>0.21230769230769228</v>
      </c>
      <c r="D77">
        <f t="shared" si="6"/>
        <v>0.19230769230769229</v>
      </c>
      <c r="E77">
        <f t="shared" si="8"/>
        <v>0.1723076923076923</v>
      </c>
      <c r="F77">
        <f t="shared" si="9"/>
        <v>0.21230769230769228</v>
      </c>
    </row>
    <row r="78" spans="1:6" x14ac:dyDescent="0.25">
      <c r="A78">
        <v>0.36499999999999999</v>
      </c>
      <c r="B78">
        <f t="shared" si="7"/>
        <v>0.1723076923076923</v>
      </c>
      <c r="C78">
        <f t="shared" si="5"/>
        <v>0.21230769230769228</v>
      </c>
      <c r="D78">
        <f t="shared" si="6"/>
        <v>0.19230769230769229</v>
      </c>
      <c r="E78">
        <f t="shared" si="8"/>
        <v>0.1723076923076923</v>
      </c>
      <c r="F78">
        <f t="shared" si="9"/>
        <v>0.21230769230769228</v>
      </c>
    </row>
    <row r="79" spans="1:6" x14ac:dyDescent="0.25">
      <c r="A79">
        <v>0.37</v>
      </c>
      <c r="B79">
        <f t="shared" si="7"/>
        <v>0.1723076923076923</v>
      </c>
      <c r="C79">
        <f t="shared" si="5"/>
        <v>0.21230769230769228</v>
      </c>
      <c r="D79">
        <f t="shared" si="6"/>
        <v>0.19230769230769229</v>
      </c>
      <c r="E79">
        <f t="shared" si="8"/>
        <v>0.1723076923076923</v>
      </c>
      <c r="F79">
        <f t="shared" si="9"/>
        <v>0.21230769230769228</v>
      </c>
    </row>
    <row r="80" spans="1:6" x14ac:dyDescent="0.25">
      <c r="A80">
        <v>0.375</v>
      </c>
      <c r="B80">
        <f t="shared" si="7"/>
        <v>0.1723076923076923</v>
      </c>
      <c r="C80">
        <f t="shared" si="5"/>
        <v>0.21230769230769228</v>
      </c>
      <c r="D80">
        <f t="shared" si="6"/>
        <v>0.19230769230769229</v>
      </c>
      <c r="E80">
        <f t="shared" si="8"/>
        <v>0.1723076923076923</v>
      </c>
      <c r="F80">
        <f t="shared" si="9"/>
        <v>0.21230769230769228</v>
      </c>
    </row>
    <row r="81" spans="1:6" x14ac:dyDescent="0.25">
      <c r="A81">
        <v>0.38</v>
      </c>
      <c r="B81">
        <f t="shared" si="7"/>
        <v>0.1723076923076923</v>
      </c>
      <c r="C81">
        <f t="shared" si="5"/>
        <v>0.21230769230769228</v>
      </c>
      <c r="D81">
        <f t="shared" si="6"/>
        <v>0.19230769230769229</v>
      </c>
      <c r="E81">
        <f t="shared" si="8"/>
        <v>0.1723076923076923</v>
      </c>
      <c r="F81">
        <f t="shared" si="9"/>
        <v>0.21230769230769228</v>
      </c>
    </row>
    <row r="82" spans="1:6" x14ac:dyDescent="0.25">
      <c r="A82">
        <v>0.38500000000000001</v>
      </c>
      <c r="B82">
        <f t="shared" si="7"/>
        <v>0.1723076923076923</v>
      </c>
      <c r="C82">
        <f t="shared" si="5"/>
        <v>0.21230769230769228</v>
      </c>
      <c r="D82">
        <f t="shared" si="6"/>
        <v>0.19230769230769229</v>
      </c>
      <c r="E82">
        <f t="shared" si="8"/>
        <v>0.1723076923076923</v>
      </c>
      <c r="F82">
        <f t="shared" si="9"/>
        <v>0.21230769230769228</v>
      </c>
    </row>
    <row r="83" spans="1:6" x14ac:dyDescent="0.25">
      <c r="A83">
        <v>0.39</v>
      </c>
      <c r="B83">
        <f t="shared" si="7"/>
        <v>0.1723076923076923</v>
      </c>
      <c r="C83">
        <f t="shared" si="5"/>
        <v>0.21230769230769228</v>
      </c>
      <c r="D83">
        <f t="shared" si="6"/>
        <v>0.19230769230769229</v>
      </c>
      <c r="E83">
        <f t="shared" si="8"/>
        <v>0.1723076923076923</v>
      </c>
      <c r="F83">
        <f t="shared" si="9"/>
        <v>0.21230769230769228</v>
      </c>
    </row>
    <row r="84" spans="1:6" x14ac:dyDescent="0.25">
      <c r="A84">
        <v>0.39500000000000002</v>
      </c>
      <c r="B84">
        <f t="shared" si="7"/>
        <v>0.1723076923076923</v>
      </c>
      <c r="C84">
        <f t="shared" si="5"/>
        <v>0.21230769230769228</v>
      </c>
      <c r="D84">
        <f t="shared" si="6"/>
        <v>0.19230769230769229</v>
      </c>
      <c r="E84">
        <f t="shared" si="8"/>
        <v>0.1723076923076923</v>
      </c>
      <c r="F84">
        <f t="shared" si="9"/>
        <v>0.21230769230769228</v>
      </c>
    </row>
    <row r="85" spans="1:6" x14ac:dyDescent="0.25">
      <c r="A85">
        <v>0.4</v>
      </c>
      <c r="B85">
        <f t="shared" si="7"/>
        <v>0.1723076923076923</v>
      </c>
      <c r="C85">
        <f t="shared" si="5"/>
        <v>0.21230769230769228</v>
      </c>
      <c r="D85">
        <f t="shared" si="6"/>
        <v>0.19230769230769229</v>
      </c>
      <c r="E85">
        <f t="shared" si="8"/>
        <v>0.1723076923076923</v>
      </c>
      <c r="F85">
        <f t="shared" si="9"/>
        <v>0.21230769230769228</v>
      </c>
    </row>
    <row r="86" spans="1:6" x14ac:dyDescent="0.25">
      <c r="A86">
        <v>0.40500000000000003</v>
      </c>
      <c r="B86">
        <f t="shared" si="7"/>
        <v>0.1723076923076923</v>
      </c>
      <c r="C86">
        <f t="shared" si="5"/>
        <v>0.21230769230769228</v>
      </c>
      <c r="D86">
        <f t="shared" si="6"/>
        <v>0.19230769230769229</v>
      </c>
      <c r="E86">
        <f t="shared" si="8"/>
        <v>0.1723076923076923</v>
      </c>
      <c r="F86">
        <f t="shared" si="9"/>
        <v>0.21230769230769228</v>
      </c>
    </row>
    <row r="87" spans="1:6" x14ac:dyDescent="0.25">
      <c r="A87">
        <v>0.41</v>
      </c>
      <c r="B87">
        <f t="shared" si="7"/>
        <v>0.1723076923076923</v>
      </c>
      <c r="C87">
        <f t="shared" si="5"/>
        <v>0.21230769230769228</v>
      </c>
      <c r="D87">
        <f t="shared" si="6"/>
        <v>0.19230769230769229</v>
      </c>
      <c r="E87">
        <f t="shared" si="8"/>
        <v>0.1723076923076923</v>
      </c>
      <c r="F87">
        <f t="shared" si="9"/>
        <v>0.21230769230769228</v>
      </c>
    </row>
    <row r="88" spans="1:6" x14ac:dyDescent="0.25">
      <c r="A88">
        <v>0.41499999999999998</v>
      </c>
      <c r="B88">
        <f t="shared" si="7"/>
        <v>0.1723076923076923</v>
      </c>
      <c r="C88">
        <f t="shared" si="5"/>
        <v>0.21230769230769228</v>
      </c>
      <c r="D88">
        <f t="shared" si="6"/>
        <v>0.19230769230769229</v>
      </c>
      <c r="E88">
        <f t="shared" si="8"/>
        <v>0.1723076923076923</v>
      </c>
      <c r="F88">
        <f t="shared" si="9"/>
        <v>0.21230769230769228</v>
      </c>
    </row>
    <row r="89" spans="1:6" x14ac:dyDescent="0.25">
      <c r="A89">
        <v>0.42</v>
      </c>
      <c r="B89">
        <f t="shared" si="7"/>
        <v>0.1723076923076923</v>
      </c>
      <c r="C89">
        <f t="shared" si="5"/>
        <v>0.21230769230769228</v>
      </c>
      <c r="D89">
        <f t="shared" si="6"/>
        <v>0.19230769230769229</v>
      </c>
      <c r="E89">
        <f t="shared" si="8"/>
        <v>0.1723076923076923</v>
      </c>
      <c r="F89">
        <f t="shared" si="9"/>
        <v>0.21230769230769228</v>
      </c>
    </row>
    <row r="90" spans="1:6" x14ac:dyDescent="0.25">
      <c r="A90">
        <v>0.42499999999999999</v>
      </c>
      <c r="B90">
        <f t="shared" si="7"/>
        <v>0.1723076923076923</v>
      </c>
      <c r="C90">
        <f t="shared" si="5"/>
        <v>0.21230769230769228</v>
      </c>
      <c r="D90">
        <f t="shared" si="6"/>
        <v>0.19230769230769229</v>
      </c>
      <c r="E90">
        <f t="shared" si="8"/>
        <v>0.1723076923076923</v>
      </c>
      <c r="F90">
        <f t="shared" si="9"/>
        <v>0.21230769230769228</v>
      </c>
    </row>
    <row r="91" spans="1:6" x14ac:dyDescent="0.25">
      <c r="A91">
        <v>0.43</v>
      </c>
      <c r="B91">
        <f t="shared" si="7"/>
        <v>0.1723076923076923</v>
      </c>
      <c r="C91">
        <f t="shared" si="5"/>
        <v>0.21230769230769228</v>
      </c>
      <c r="D91">
        <f t="shared" si="6"/>
        <v>0.19230769230769229</v>
      </c>
      <c r="E91">
        <f t="shared" si="8"/>
        <v>0.1723076923076923</v>
      </c>
      <c r="F91">
        <f t="shared" si="9"/>
        <v>0.21230769230769228</v>
      </c>
    </row>
    <row r="92" spans="1:6" x14ac:dyDescent="0.25">
      <c r="A92">
        <v>0.435</v>
      </c>
      <c r="B92">
        <f t="shared" si="7"/>
        <v>0.1723076923076923</v>
      </c>
      <c r="C92">
        <f t="shared" si="5"/>
        <v>0.21230769230769228</v>
      </c>
      <c r="D92">
        <f t="shared" si="6"/>
        <v>0.19230769230769229</v>
      </c>
      <c r="E92">
        <f t="shared" si="8"/>
        <v>0.1723076923076923</v>
      </c>
      <c r="F92">
        <f t="shared" si="9"/>
        <v>0.21230769230769228</v>
      </c>
    </row>
    <row r="93" spans="1:6" x14ac:dyDescent="0.25">
      <c r="A93">
        <v>0.44</v>
      </c>
      <c r="B93">
        <f t="shared" si="7"/>
        <v>0.1723076923076923</v>
      </c>
      <c r="C93">
        <f t="shared" si="5"/>
        <v>0.21230769230769228</v>
      </c>
      <c r="D93">
        <f t="shared" si="6"/>
        <v>0.19230769230769229</v>
      </c>
      <c r="E93">
        <f t="shared" si="8"/>
        <v>0.1723076923076923</v>
      </c>
      <c r="F93">
        <f t="shared" si="9"/>
        <v>0.21230769230769228</v>
      </c>
    </row>
    <row r="94" spans="1:6" x14ac:dyDescent="0.25">
      <c r="A94">
        <v>0.44500000000000001</v>
      </c>
      <c r="B94">
        <f t="shared" si="7"/>
        <v>0.1723076923076923</v>
      </c>
      <c r="C94">
        <f t="shared" si="5"/>
        <v>0.21230769230769228</v>
      </c>
      <c r="D94">
        <f t="shared" si="6"/>
        <v>0.19230769230769229</v>
      </c>
      <c r="E94">
        <f t="shared" si="8"/>
        <v>0.1723076923076923</v>
      </c>
      <c r="F94">
        <f t="shared" si="9"/>
        <v>0.21230769230769228</v>
      </c>
    </row>
    <row r="95" spans="1:6" x14ac:dyDescent="0.25">
      <c r="A95">
        <v>0.45</v>
      </c>
      <c r="B95">
        <f t="shared" si="7"/>
        <v>0.1723076923076923</v>
      </c>
      <c r="C95">
        <f t="shared" si="5"/>
        <v>0.21230769230769228</v>
      </c>
      <c r="D95">
        <f t="shared" si="6"/>
        <v>0.19230769230769229</v>
      </c>
      <c r="E95">
        <f t="shared" si="8"/>
        <v>0.1723076923076923</v>
      </c>
      <c r="F95">
        <f t="shared" si="9"/>
        <v>0.21230769230769228</v>
      </c>
    </row>
    <row r="96" spans="1:6" x14ac:dyDescent="0.25">
      <c r="A96">
        <v>0.45500000000000002</v>
      </c>
      <c r="B96">
        <f t="shared" si="7"/>
        <v>0.1723076923076923</v>
      </c>
      <c r="C96">
        <f t="shared" si="5"/>
        <v>0.21230769230769228</v>
      </c>
      <c r="D96">
        <f t="shared" si="6"/>
        <v>0.19230769230769229</v>
      </c>
      <c r="E96">
        <f t="shared" si="8"/>
        <v>0.1723076923076923</v>
      </c>
      <c r="F96">
        <f t="shared" si="9"/>
        <v>0.21230769230769228</v>
      </c>
    </row>
    <row r="97" spans="1:6" x14ac:dyDescent="0.25">
      <c r="A97">
        <v>0.46</v>
      </c>
      <c r="B97">
        <f t="shared" si="7"/>
        <v>0.1723076923076923</v>
      </c>
      <c r="C97">
        <f t="shared" si="5"/>
        <v>0.21230769230769228</v>
      </c>
      <c r="D97">
        <f t="shared" si="6"/>
        <v>0.19230769230769229</v>
      </c>
      <c r="E97">
        <f t="shared" si="8"/>
        <v>0.1723076923076923</v>
      </c>
      <c r="F97">
        <f t="shared" si="9"/>
        <v>0.21230769230769228</v>
      </c>
    </row>
    <row r="98" spans="1:6" x14ac:dyDescent="0.25">
      <c r="A98">
        <v>0.46500000000000002</v>
      </c>
      <c r="B98">
        <f t="shared" si="7"/>
        <v>0.1723076923076923</v>
      </c>
      <c r="C98">
        <f t="shared" si="5"/>
        <v>0.21230769230769228</v>
      </c>
      <c r="D98">
        <f t="shared" si="6"/>
        <v>0.19230769230769229</v>
      </c>
      <c r="E98">
        <f t="shared" si="8"/>
        <v>0.1723076923076923</v>
      </c>
      <c r="F98">
        <f t="shared" si="9"/>
        <v>0.21230769230769228</v>
      </c>
    </row>
    <row r="99" spans="1:6" x14ac:dyDescent="0.25">
      <c r="A99">
        <v>0.47</v>
      </c>
      <c r="B99">
        <f t="shared" si="7"/>
        <v>0.1723076923076923</v>
      </c>
      <c r="C99">
        <f t="shared" si="5"/>
        <v>0.21230769230769228</v>
      </c>
      <c r="D99">
        <f t="shared" si="6"/>
        <v>0.19230769230769229</v>
      </c>
      <c r="E99">
        <f t="shared" si="8"/>
        <v>0.1723076923076923</v>
      </c>
      <c r="F99">
        <f t="shared" si="9"/>
        <v>0.21230769230769228</v>
      </c>
    </row>
    <row r="100" spans="1:6" x14ac:dyDescent="0.25">
      <c r="A100">
        <v>0.47499999999999998</v>
      </c>
      <c r="B100">
        <f t="shared" si="7"/>
        <v>0.1723076923076923</v>
      </c>
      <c r="C100">
        <f t="shared" si="5"/>
        <v>0.21230769230769228</v>
      </c>
      <c r="D100">
        <f t="shared" si="6"/>
        <v>0.19230769230769229</v>
      </c>
      <c r="E100">
        <f t="shared" si="8"/>
        <v>0.1723076923076923</v>
      </c>
      <c r="F100">
        <f t="shared" si="9"/>
        <v>0.21230769230769228</v>
      </c>
    </row>
    <row r="101" spans="1:6" x14ac:dyDescent="0.25">
      <c r="A101">
        <v>0.48</v>
      </c>
      <c r="B101">
        <f t="shared" si="7"/>
        <v>0.1723076923076923</v>
      </c>
      <c r="C101">
        <f t="shared" si="5"/>
        <v>0.21230769230769228</v>
      </c>
      <c r="D101">
        <f t="shared" si="6"/>
        <v>0.19230769230769229</v>
      </c>
      <c r="E101">
        <f t="shared" si="8"/>
        <v>0.1723076923076923</v>
      </c>
      <c r="F101">
        <f t="shared" si="9"/>
        <v>0.21230769230769228</v>
      </c>
    </row>
    <row r="102" spans="1:6" x14ac:dyDescent="0.25">
      <c r="A102">
        <v>0.48499999999999999</v>
      </c>
      <c r="B102">
        <f t="shared" si="7"/>
        <v>0.1723076923076923</v>
      </c>
      <c r="C102">
        <f t="shared" si="5"/>
        <v>0.21230769230769228</v>
      </c>
      <c r="D102">
        <f t="shared" si="6"/>
        <v>0.19230769230769229</v>
      </c>
      <c r="E102">
        <f t="shared" si="8"/>
        <v>0.1723076923076923</v>
      </c>
      <c r="F102">
        <f t="shared" si="9"/>
        <v>0.21230769230769228</v>
      </c>
    </row>
    <row r="103" spans="1:6" x14ac:dyDescent="0.25">
      <c r="A103">
        <v>0.49</v>
      </c>
      <c r="B103">
        <f t="shared" si="7"/>
        <v>0.1723076923076923</v>
      </c>
      <c r="C103">
        <f t="shared" si="5"/>
        <v>0.21230769230769228</v>
      </c>
      <c r="D103">
        <f t="shared" si="6"/>
        <v>0.19230769230769229</v>
      </c>
      <c r="E103">
        <f t="shared" si="8"/>
        <v>0.1723076923076923</v>
      </c>
      <c r="F103">
        <f t="shared" si="9"/>
        <v>0.21230769230769228</v>
      </c>
    </row>
    <row r="104" spans="1:6" x14ac:dyDescent="0.25">
      <c r="A104">
        <v>0.495</v>
      </c>
      <c r="B104">
        <f t="shared" si="7"/>
        <v>0.1723076923076923</v>
      </c>
      <c r="C104">
        <f t="shared" si="5"/>
        <v>0.21230769230769228</v>
      </c>
      <c r="D104">
        <f t="shared" si="6"/>
        <v>0.19230769230769229</v>
      </c>
      <c r="E104">
        <f t="shared" si="8"/>
        <v>0.1723076923076923</v>
      </c>
      <c r="F104">
        <f t="shared" si="9"/>
        <v>0.21230769230769228</v>
      </c>
    </row>
    <row r="105" spans="1:6" x14ac:dyDescent="0.25">
      <c r="A105">
        <v>0.5</v>
      </c>
      <c r="B105">
        <f t="shared" si="7"/>
        <v>0.1723076923076923</v>
      </c>
      <c r="C105">
        <f t="shared" si="5"/>
        <v>0.21230769230769228</v>
      </c>
      <c r="D105">
        <f t="shared" si="6"/>
        <v>0.19230769230769229</v>
      </c>
      <c r="E105">
        <f t="shared" si="8"/>
        <v>0.1723076923076923</v>
      </c>
      <c r="F105">
        <f t="shared" si="9"/>
        <v>0.21230769230769228</v>
      </c>
    </row>
    <row r="106" spans="1:6" x14ac:dyDescent="0.25">
      <c r="A106">
        <v>0.505</v>
      </c>
      <c r="B106">
        <f t="shared" si="7"/>
        <v>0.1723076923076923</v>
      </c>
      <c r="C106">
        <f t="shared" si="5"/>
        <v>0.21230769230769228</v>
      </c>
      <c r="D106">
        <f t="shared" si="6"/>
        <v>0.19230769230769229</v>
      </c>
      <c r="E106">
        <f t="shared" si="8"/>
        <v>0.1723076923076923</v>
      </c>
      <c r="F106">
        <f t="shared" si="9"/>
        <v>0.21230769230769228</v>
      </c>
    </row>
    <row r="107" spans="1:6" x14ac:dyDescent="0.25">
      <c r="A107">
        <v>0.51</v>
      </c>
      <c r="B107">
        <f t="shared" si="7"/>
        <v>0.1723076923076923</v>
      </c>
      <c r="C107">
        <f t="shared" si="5"/>
        <v>0.21230769230769228</v>
      </c>
      <c r="D107">
        <f t="shared" si="6"/>
        <v>0.19230769230769229</v>
      </c>
      <c r="E107">
        <f t="shared" si="8"/>
        <v>0.1723076923076923</v>
      </c>
      <c r="F107">
        <f t="shared" si="9"/>
        <v>0.21230769230769228</v>
      </c>
    </row>
    <row r="108" spans="1:6" x14ac:dyDescent="0.25">
      <c r="A108">
        <v>0.51500000000000001</v>
      </c>
      <c r="B108">
        <f t="shared" si="7"/>
        <v>0.1723076923076923</v>
      </c>
      <c r="C108">
        <f t="shared" si="5"/>
        <v>0.21230769230769228</v>
      </c>
      <c r="D108">
        <f t="shared" si="6"/>
        <v>0.19230769230769229</v>
      </c>
      <c r="E108">
        <f t="shared" si="8"/>
        <v>0.1723076923076923</v>
      </c>
      <c r="F108">
        <f t="shared" si="9"/>
        <v>0.21230769230769228</v>
      </c>
    </row>
    <row r="109" spans="1:6" x14ac:dyDescent="0.25">
      <c r="A109">
        <v>0.52</v>
      </c>
      <c r="B109">
        <f t="shared" si="7"/>
        <v>0.1723076923076923</v>
      </c>
      <c r="C109">
        <f t="shared" si="5"/>
        <v>0.21230769230769228</v>
      </c>
      <c r="D109">
        <f t="shared" si="6"/>
        <v>0.19230769230769229</v>
      </c>
      <c r="E109">
        <f t="shared" si="8"/>
        <v>0.1723076923076923</v>
      </c>
      <c r="F109">
        <f t="shared" si="9"/>
        <v>0.21230769230769228</v>
      </c>
    </row>
    <row r="110" spans="1:6" x14ac:dyDescent="0.25">
      <c r="A110">
        <v>0.52500000000000002</v>
      </c>
      <c r="B110">
        <f t="shared" si="7"/>
        <v>0.1723076923076923</v>
      </c>
      <c r="C110">
        <f t="shared" si="5"/>
        <v>0.21230769230769228</v>
      </c>
      <c r="D110">
        <f t="shared" si="6"/>
        <v>0.19230769230769229</v>
      </c>
      <c r="E110">
        <f t="shared" si="8"/>
        <v>0.1723076923076923</v>
      </c>
      <c r="F110">
        <f t="shared" si="9"/>
        <v>0.21230769230769228</v>
      </c>
    </row>
    <row r="111" spans="1:6" x14ac:dyDescent="0.25">
      <c r="A111">
        <v>0.53</v>
      </c>
      <c r="B111">
        <f t="shared" si="7"/>
        <v>0.1723076923076923</v>
      </c>
      <c r="C111">
        <f t="shared" si="5"/>
        <v>0.21230769230769228</v>
      </c>
      <c r="D111">
        <f t="shared" si="6"/>
        <v>0.19230769230769229</v>
      </c>
      <c r="E111">
        <f t="shared" si="8"/>
        <v>0.1723076923076923</v>
      </c>
      <c r="F111">
        <f t="shared" si="9"/>
        <v>0.21230769230769228</v>
      </c>
    </row>
    <row r="112" spans="1:6" x14ac:dyDescent="0.25">
      <c r="A112">
        <v>0.53500000000000003</v>
      </c>
      <c r="B112">
        <f t="shared" si="7"/>
        <v>0.1723076923076923</v>
      </c>
      <c r="C112">
        <f t="shared" si="5"/>
        <v>0.21230769230769228</v>
      </c>
      <c r="D112">
        <f t="shared" si="6"/>
        <v>0.19230769230769229</v>
      </c>
      <c r="E112">
        <f t="shared" si="8"/>
        <v>0.1723076923076923</v>
      </c>
      <c r="F112">
        <f t="shared" si="9"/>
        <v>0.21230769230769228</v>
      </c>
    </row>
    <row r="113" spans="1:6" x14ac:dyDescent="0.25">
      <c r="A113">
        <v>0.54</v>
      </c>
      <c r="B113">
        <f t="shared" si="7"/>
        <v>0.1723076923076923</v>
      </c>
      <c r="C113">
        <f t="shared" si="5"/>
        <v>0.21230769230769228</v>
      </c>
      <c r="D113">
        <f t="shared" si="6"/>
        <v>0.19230769230769229</v>
      </c>
      <c r="E113">
        <f t="shared" si="8"/>
        <v>0.1723076923076923</v>
      </c>
      <c r="F113">
        <f t="shared" si="9"/>
        <v>0.21230769230769228</v>
      </c>
    </row>
    <row r="114" spans="1:6" x14ac:dyDescent="0.25">
      <c r="A114">
        <v>0.54500000000000004</v>
      </c>
      <c r="B114">
        <f t="shared" si="7"/>
        <v>0.1723076923076923</v>
      </c>
      <c r="C114">
        <f t="shared" si="5"/>
        <v>0.21230769230769228</v>
      </c>
      <c r="D114">
        <f t="shared" si="6"/>
        <v>0.19230769230769229</v>
      </c>
      <c r="E114">
        <f t="shared" si="8"/>
        <v>0.1723076923076923</v>
      </c>
      <c r="F114">
        <f t="shared" si="9"/>
        <v>0.21230769230769228</v>
      </c>
    </row>
    <row r="115" spans="1:6" x14ac:dyDescent="0.25">
      <c r="A115">
        <v>0.55000000000000004</v>
      </c>
      <c r="B115">
        <f t="shared" si="7"/>
        <v>0.1723076923076923</v>
      </c>
      <c r="C115">
        <f t="shared" si="5"/>
        <v>0.21230769230769228</v>
      </c>
      <c r="D115">
        <f t="shared" si="6"/>
        <v>0.19230769230769229</v>
      </c>
      <c r="E115">
        <f t="shared" si="8"/>
        <v>0.1723076923076923</v>
      </c>
      <c r="F115">
        <f t="shared" si="9"/>
        <v>0.21230769230769228</v>
      </c>
    </row>
    <row r="116" spans="1:6" x14ac:dyDescent="0.25">
      <c r="A116">
        <v>0.55500000000000005</v>
      </c>
      <c r="B116">
        <f t="shared" si="7"/>
        <v>0.1723076923076923</v>
      </c>
      <c r="C116">
        <f t="shared" si="5"/>
        <v>0.21230769230769228</v>
      </c>
      <c r="D116">
        <f t="shared" si="6"/>
        <v>0.19230769230769229</v>
      </c>
      <c r="E116">
        <f t="shared" si="8"/>
        <v>0.1723076923076923</v>
      </c>
      <c r="F116">
        <f t="shared" si="9"/>
        <v>0.21230769230769228</v>
      </c>
    </row>
    <row r="117" spans="1:6" x14ac:dyDescent="0.25">
      <c r="A117">
        <v>0.56000000000000005</v>
      </c>
      <c r="B117">
        <f t="shared" si="7"/>
        <v>0.1723076923076923</v>
      </c>
      <c r="C117">
        <f t="shared" si="5"/>
        <v>0.21230769230769228</v>
      </c>
      <c r="D117">
        <f t="shared" si="6"/>
        <v>0.19230769230769229</v>
      </c>
      <c r="E117">
        <f t="shared" si="8"/>
        <v>0.1723076923076923</v>
      </c>
      <c r="F117">
        <f t="shared" si="9"/>
        <v>0.21230769230769228</v>
      </c>
    </row>
    <row r="118" spans="1:6" x14ac:dyDescent="0.25">
      <c r="A118">
        <v>0.56499999999999995</v>
      </c>
      <c r="B118">
        <f t="shared" si="7"/>
        <v>0.1723076923076923</v>
      </c>
      <c r="C118">
        <f t="shared" si="5"/>
        <v>0.21230769230769228</v>
      </c>
      <c r="D118">
        <f t="shared" si="6"/>
        <v>0.19230769230769229</v>
      </c>
      <c r="E118">
        <f t="shared" si="8"/>
        <v>0.1723076923076923</v>
      </c>
      <c r="F118">
        <f t="shared" si="9"/>
        <v>0.21230769230769228</v>
      </c>
    </row>
    <row r="119" spans="1:6" x14ac:dyDescent="0.25">
      <c r="A119">
        <v>0.56999999999999995</v>
      </c>
      <c r="B119">
        <f t="shared" si="7"/>
        <v>0.1723076923076923</v>
      </c>
      <c r="C119">
        <f t="shared" si="5"/>
        <v>0.21230769230769228</v>
      </c>
      <c r="D119">
        <f t="shared" si="6"/>
        <v>0.19230769230769229</v>
      </c>
      <c r="E119">
        <f t="shared" si="8"/>
        <v>0.1723076923076923</v>
      </c>
      <c r="F119">
        <f t="shared" si="9"/>
        <v>0.21230769230769228</v>
      </c>
    </row>
    <row r="120" spans="1:6" x14ac:dyDescent="0.25">
      <c r="A120">
        <v>0.57499999999999996</v>
      </c>
      <c r="B120">
        <f t="shared" si="7"/>
        <v>0.1723076923076923</v>
      </c>
      <c r="C120">
        <f t="shared" si="5"/>
        <v>0.21230769230769228</v>
      </c>
      <c r="D120">
        <f t="shared" si="6"/>
        <v>0.19230769230769229</v>
      </c>
      <c r="E120">
        <f t="shared" si="8"/>
        <v>0.1723076923076923</v>
      </c>
      <c r="F120">
        <f t="shared" si="9"/>
        <v>0.21230769230769228</v>
      </c>
    </row>
    <row r="121" spans="1:6" x14ac:dyDescent="0.25">
      <c r="A121">
        <v>0.57999999999999996</v>
      </c>
      <c r="B121">
        <f t="shared" si="7"/>
        <v>0.1723076923076923</v>
      </c>
      <c r="C121">
        <f t="shared" si="5"/>
        <v>0.21230769230769228</v>
      </c>
      <c r="D121">
        <f t="shared" si="6"/>
        <v>0.19230769230769229</v>
      </c>
      <c r="E121">
        <f t="shared" si="8"/>
        <v>0.1723076923076923</v>
      </c>
      <c r="F121">
        <f t="shared" si="9"/>
        <v>0.21230769230769228</v>
      </c>
    </row>
    <row r="122" spans="1:6" x14ac:dyDescent="0.25">
      <c r="A122">
        <v>0.58499999999999996</v>
      </c>
      <c r="B122">
        <f t="shared" si="7"/>
        <v>0.1723076923076923</v>
      </c>
      <c r="C122">
        <f t="shared" si="5"/>
        <v>0.21230769230769228</v>
      </c>
      <c r="D122">
        <f t="shared" si="6"/>
        <v>0.19230769230769229</v>
      </c>
      <c r="E122">
        <f t="shared" si="8"/>
        <v>0.1723076923076923</v>
      </c>
      <c r="F122">
        <f t="shared" si="9"/>
        <v>0.21230769230769228</v>
      </c>
    </row>
    <row r="123" spans="1:6" x14ac:dyDescent="0.25">
      <c r="A123">
        <v>0.59</v>
      </c>
      <c r="B123">
        <f t="shared" si="7"/>
        <v>0.1723076923076923</v>
      </c>
      <c r="C123">
        <f t="shared" si="5"/>
        <v>0.21230769230769228</v>
      </c>
      <c r="D123">
        <f t="shared" si="6"/>
        <v>0.19230769230769229</v>
      </c>
      <c r="E123">
        <f t="shared" si="8"/>
        <v>0.1723076923076923</v>
      </c>
      <c r="F123">
        <f t="shared" si="9"/>
        <v>0.21230769230769228</v>
      </c>
    </row>
    <row r="124" spans="1:6" x14ac:dyDescent="0.25">
      <c r="A124">
        <v>0.59499999999999997</v>
      </c>
      <c r="B124">
        <f t="shared" si="7"/>
        <v>0.1723076923076923</v>
      </c>
      <c r="C124">
        <f t="shared" si="5"/>
        <v>0.21230769230769228</v>
      </c>
      <c r="D124">
        <f t="shared" si="6"/>
        <v>0.19230769230769229</v>
      </c>
      <c r="E124">
        <f t="shared" si="8"/>
        <v>0.1723076923076923</v>
      </c>
      <c r="F124">
        <f t="shared" si="9"/>
        <v>0.21230769230769228</v>
      </c>
    </row>
    <row r="125" spans="1:6" x14ac:dyDescent="0.25">
      <c r="A125">
        <v>0.6</v>
      </c>
      <c r="B125">
        <f t="shared" si="7"/>
        <v>0.1723076923076923</v>
      </c>
      <c r="C125">
        <f t="shared" si="5"/>
        <v>0.21230769230769228</v>
      </c>
      <c r="D125">
        <f t="shared" si="6"/>
        <v>0.19230769230769229</v>
      </c>
      <c r="E125">
        <f t="shared" si="8"/>
        <v>0.1723076923076923</v>
      </c>
      <c r="F125">
        <f t="shared" si="9"/>
        <v>0.21230769230769228</v>
      </c>
    </row>
    <row r="126" spans="1:6" x14ac:dyDescent="0.25">
      <c r="A126">
        <v>0.60499999999999998</v>
      </c>
      <c r="B126">
        <f t="shared" si="7"/>
        <v>0.1723076923076923</v>
      </c>
      <c r="C126">
        <f t="shared" si="5"/>
        <v>0.21230769230769228</v>
      </c>
      <c r="D126">
        <f t="shared" si="6"/>
        <v>0.19230769230769229</v>
      </c>
      <c r="E126">
        <f t="shared" si="8"/>
        <v>0.1723076923076923</v>
      </c>
      <c r="F126">
        <f t="shared" si="9"/>
        <v>0.21230769230769228</v>
      </c>
    </row>
    <row r="127" spans="1:6" x14ac:dyDescent="0.25">
      <c r="A127">
        <v>0.61</v>
      </c>
      <c r="B127">
        <f t="shared" si="7"/>
        <v>0.1723076923076923</v>
      </c>
      <c r="C127">
        <f t="shared" si="5"/>
        <v>0.21230769230769228</v>
      </c>
      <c r="D127">
        <f t="shared" si="6"/>
        <v>0.19230769230769229</v>
      </c>
      <c r="E127">
        <f t="shared" si="8"/>
        <v>0.1723076923076923</v>
      </c>
      <c r="F127">
        <f t="shared" si="9"/>
        <v>0.21230769230769228</v>
      </c>
    </row>
    <row r="128" spans="1:6" x14ac:dyDescent="0.25">
      <c r="A128">
        <v>0.61499999999999999</v>
      </c>
      <c r="B128">
        <f t="shared" si="7"/>
        <v>0.1723076923076923</v>
      </c>
      <c r="C128">
        <f t="shared" si="5"/>
        <v>0.21230769230769228</v>
      </c>
      <c r="D128">
        <f t="shared" si="6"/>
        <v>0.19230769230769229</v>
      </c>
      <c r="E128">
        <f t="shared" si="8"/>
        <v>0.1723076923076923</v>
      </c>
      <c r="F128">
        <f t="shared" si="9"/>
        <v>0.21230769230769228</v>
      </c>
    </row>
    <row r="129" spans="1:6" x14ac:dyDescent="0.25">
      <c r="A129">
        <v>0.62</v>
      </c>
      <c r="B129">
        <f t="shared" si="7"/>
        <v>0.1723076923076923</v>
      </c>
      <c r="C129">
        <f t="shared" si="5"/>
        <v>0.21230769230769228</v>
      </c>
      <c r="D129">
        <f t="shared" si="6"/>
        <v>0.19230769230769229</v>
      </c>
      <c r="E129">
        <f t="shared" si="8"/>
        <v>0.1723076923076923</v>
      </c>
      <c r="F129">
        <f t="shared" si="9"/>
        <v>0.21230769230769228</v>
      </c>
    </row>
    <row r="130" spans="1:6" x14ac:dyDescent="0.25">
      <c r="A130">
        <v>0.625</v>
      </c>
      <c r="B130">
        <f t="shared" si="7"/>
        <v>0.1723076923076923</v>
      </c>
      <c r="C130">
        <f t="shared" si="5"/>
        <v>0.21230769230769228</v>
      </c>
      <c r="D130">
        <f t="shared" si="6"/>
        <v>0.19230769230769229</v>
      </c>
      <c r="E130">
        <f t="shared" si="8"/>
        <v>0.1723076923076923</v>
      </c>
      <c r="F130">
        <f t="shared" si="9"/>
        <v>0.21230769230769228</v>
      </c>
    </row>
    <row r="131" spans="1:6" x14ac:dyDescent="0.25">
      <c r="A131">
        <v>0.63</v>
      </c>
      <c r="B131">
        <f t="shared" si="7"/>
        <v>0.1723076923076923</v>
      </c>
      <c r="C131">
        <f t="shared" si="5"/>
        <v>0.21230769230769228</v>
      </c>
      <c r="D131">
        <f t="shared" si="6"/>
        <v>0.19230769230769229</v>
      </c>
      <c r="E131">
        <f t="shared" si="8"/>
        <v>0.1723076923076923</v>
      </c>
      <c r="F131">
        <f t="shared" si="9"/>
        <v>0.21230769230769228</v>
      </c>
    </row>
    <row r="132" spans="1:6" x14ac:dyDescent="0.25">
      <c r="A132">
        <v>0.63500000000000001</v>
      </c>
      <c r="B132">
        <f t="shared" si="7"/>
        <v>0.1723076923076923</v>
      </c>
      <c r="C132">
        <f t="shared" si="5"/>
        <v>0.21230769230769228</v>
      </c>
      <c r="D132">
        <f t="shared" si="6"/>
        <v>0.19230769230769229</v>
      </c>
      <c r="E132">
        <f t="shared" si="8"/>
        <v>0.1723076923076923</v>
      </c>
      <c r="F132">
        <f t="shared" si="9"/>
        <v>0.21230769230769228</v>
      </c>
    </row>
    <row r="133" spans="1:6" x14ac:dyDescent="0.25">
      <c r="A133">
        <v>0.64</v>
      </c>
      <c r="B133">
        <f t="shared" si="7"/>
        <v>0.1723076923076923</v>
      </c>
      <c r="C133">
        <f t="shared" ref="C133:C196" si="10">IF(A133&lt;ttunnel,Q0+DeltaIQ+Marge_haute*DeltaIQ*(EXP(-A133/(ttunnel/3)))+tunnel,Q0+tunnel+DeltaIQ)</f>
        <v>0.21230769230769228</v>
      </c>
      <c r="D133">
        <f t="shared" si="6"/>
        <v>0.19230769230769229</v>
      </c>
      <c r="E133">
        <f t="shared" si="8"/>
        <v>0.1723076923076923</v>
      </c>
      <c r="F133">
        <f t="shared" si="9"/>
        <v>0.21230769230769228</v>
      </c>
    </row>
    <row r="134" spans="1:6" x14ac:dyDescent="0.25">
      <c r="A134">
        <v>0.64500000000000002</v>
      </c>
      <c r="B134">
        <f t="shared" si="7"/>
        <v>0.1723076923076923</v>
      </c>
      <c r="C134">
        <f t="shared" si="10"/>
        <v>0.21230769230769228</v>
      </c>
      <c r="D134">
        <f t="shared" ref="D134:D197" si="11">Q0+DeltaIQ*(1-EXP(-A134/tau))</f>
        <v>0.19230769230769229</v>
      </c>
      <c r="E134">
        <f t="shared" si="8"/>
        <v>0.1723076923076923</v>
      </c>
      <c r="F134">
        <f t="shared" si="9"/>
        <v>0.21230769230769228</v>
      </c>
    </row>
    <row r="135" spans="1:6" x14ac:dyDescent="0.25">
      <c r="A135">
        <v>0.65</v>
      </c>
      <c r="B135">
        <f t="shared" ref="B135:B198" si="12">IF(SIGN(Vstep)=1,MIN(Q0+DeltaIQ*(1-EXP(-A135/tau)),Q0+DeltaIQ-tunnel),IF(A135&lt;ttunnel,Q0+DeltaIQ+Marge_haute*DeltaIQ*(EXP(-A135/(ttunnel/3)))+tunnel,Q0+tunnel+DeltaIQ))</f>
        <v>0.1723076923076923</v>
      </c>
      <c r="C135">
        <f t="shared" si="10"/>
        <v>0.21230769230769228</v>
      </c>
      <c r="D135">
        <f t="shared" si="11"/>
        <v>0.19230769230769229</v>
      </c>
      <c r="E135">
        <f t="shared" si="8"/>
        <v>0.1723076923076923</v>
      </c>
      <c r="F135">
        <f t="shared" si="9"/>
        <v>0.21230769230769228</v>
      </c>
    </row>
    <row r="136" spans="1:6" x14ac:dyDescent="0.25">
      <c r="A136">
        <v>0.65500000000000003</v>
      </c>
      <c r="B136">
        <f t="shared" si="12"/>
        <v>0.1723076923076923</v>
      </c>
      <c r="C136">
        <f t="shared" si="10"/>
        <v>0.21230769230769228</v>
      </c>
      <c r="D136">
        <f t="shared" si="11"/>
        <v>0.19230769230769229</v>
      </c>
      <c r="E136">
        <f t="shared" si="8"/>
        <v>0.1723076923076923</v>
      </c>
      <c r="F136">
        <f t="shared" si="9"/>
        <v>0.21230769230769228</v>
      </c>
    </row>
    <row r="137" spans="1:6" x14ac:dyDescent="0.25">
      <c r="A137">
        <v>0.66</v>
      </c>
      <c r="B137">
        <f t="shared" si="12"/>
        <v>0.1723076923076923</v>
      </c>
      <c r="C137">
        <f t="shared" si="10"/>
        <v>0.21230769230769228</v>
      </c>
      <c r="D137">
        <f t="shared" si="11"/>
        <v>0.19230769230769229</v>
      </c>
      <c r="E137">
        <f t="shared" ref="E137:E200" si="13">IF(EMT_simulation,B133,B137)</f>
        <v>0.1723076923076923</v>
      </c>
      <c r="F137">
        <f t="shared" ref="F137:F200" si="14">IF(EMT_simulation,C133,C137)</f>
        <v>0.21230769230769228</v>
      </c>
    </row>
    <row r="138" spans="1:6" x14ac:dyDescent="0.25">
      <c r="A138">
        <v>0.66500000000000004</v>
      </c>
      <c r="B138">
        <f t="shared" si="12"/>
        <v>0.1723076923076923</v>
      </c>
      <c r="C138">
        <f t="shared" si="10"/>
        <v>0.21230769230769228</v>
      </c>
      <c r="D138">
        <f t="shared" si="11"/>
        <v>0.19230769230769229</v>
      </c>
      <c r="E138">
        <f t="shared" si="13"/>
        <v>0.1723076923076923</v>
      </c>
      <c r="F138">
        <f t="shared" si="14"/>
        <v>0.21230769230769228</v>
      </c>
    </row>
    <row r="139" spans="1:6" x14ac:dyDescent="0.25">
      <c r="A139">
        <v>0.67</v>
      </c>
      <c r="B139">
        <f t="shared" si="12"/>
        <v>0.1723076923076923</v>
      </c>
      <c r="C139">
        <f t="shared" si="10"/>
        <v>0.21230769230769228</v>
      </c>
      <c r="D139">
        <f t="shared" si="11"/>
        <v>0.19230769230769229</v>
      </c>
      <c r="E139">
        <f t="shared" si="13"/>
        <v>0.1723076923076923</v>
      </c>
      <c r="F139">
        <f t="shared" si="14"/>
        <v>0.21230769230769228</v>
      </c>
    </row>
    <row r="140" spans="1:6" x14ac:dyDescent="0.25">
      <c r="A140">
        <v>0.67500000000000004</v>
      </c>
      <c r="B140">
        <f t="shared" si="12"/>
        <v>0.1723076923076923</v>
      </c>
      <c r="C140">
        <f t="shared" si="10"/>
        <v>0.21230769230769228</v>
      </c>
      <c r="D140">
        <f t="shared" si="11"/>
        <v>0.19230769230769229</v>
      </c>
      <c r="E140">
        <f t="shared" si="13"/>
        <v>0.1723076923076923</v>
      </c>
      <c r="F140">
        <f t="shared" si="14"/>
        <v>0.21230769230769228</v>
      </c>
    </row>
    <row r="141" spans="1:6" x14ac:dyDescent="0.25">
      <c r="A141">
        <v>0.68</v>
      </c>
      <c r="B141">
        <f t="shared" si="12"/>
        <v>0.1723076923076923</v>
      </c>
      <c r="C141">
        <f t="shared" si="10"/>
        <v>0.21230769230769228</v>
      </c>
      <c r="D141">
        <f t="shared" si="11"/>
        <v>0.19230769230769229</v>
      </c>
      <c r="E141">
        <f t="shared" si="13"/>
        <v>0.1723076923076923</v>
      </c>
      <c r="F141">
        <f t="shared" si="14"/>
        <v>0.21230769230769228</v>
      </c>
    </row>
    <row r="142" spans="1:6" x14ac:dyDescent="0.25">
      <c r="A142">
        <v>0.68500000000000005</v>
      </c>
      <c r="B142">
        <f t="shared" si="12"/>
        <v>0.1723076923076923</v>
      </c>
      <c r="C142">
        <f t="shared" si="10"/>
        <v>0.21230769230769228</v>
      </c>
      <c r="D142">
        <f t="shared" si="11"/>
        <v>0.19230769230769229</v>
      </c>
      <c r="E142">
        <f t="shared" si="13"/>
        <v>0.1723076923076923</v>
      </c>
      <c r="F142">
        <f t="shared" si="14"/>
        <v>0.21230769230769228</v>
      </c>
    </row>
    <row r="143" spans="1:6" x14ac:dyDescent="0.25">
      <c r="A143">
        <v>0.69</v>
      </c>
      <c r="B143">
        <f t="shared" si="12"/>
        <v>0.1723076923076923</v>
      </c>
      <c r="C143">
        <f t="shared" si="10"/>
        <v>0.21230769230769228</v>
      </c>
      <c r="D143">
        <f t="shared" si="11"/>
        <v>0.19230769230769229</v>
      </c>
      <c r="E143">
        <f t="shared" si="13"/>
        <v>0.1723076923076923</v>
      </c>
      <c r="F143">
        <f t="shared" si="14"/>
        <v>0.21230769230769228</v>
      </c>
    </row>
    <row r="144" spans="1:6" x14ac:dyDescent="0.25">
      <c r="A144">
        <v>0.69499999999999995</v>
      </c>
      <c r="B144">
        <f t="shared" si="12"/>
        <v>0.1723076923076923</v>
      </c>
      <c r="C144">
        <f t="shared" si="10"/>
        <v>0.21230769230769228</v>
      </c>
      <c r="D144">
        <f t="shared" si="11"/>
        <v>0.19230769230769229</v>
      </c>
      <c r="E144">
        <f t="shared" si="13"/>
        <v>0.1723076923076923</v>
      </c>
      <c r="F144">
        <f t="shared" si="14"/>
        <v>0.21230769230769228</v>
      </c>
    </row>
    <row r="145" spans="1:6" x14ac:dyDescent="0.25">
      <c r="A145">
        <v>0.7</v>
      </c>
      <c r="B145">
        <f t="shared" si="12"/>
        <v>0.1723076923076923</v>
      </c>
      <c r="C145">
        <f t="shared" si="10"/>
        <v>0.21230769230769228</v>
      </c>
      <c r="D145">
        <f t="shared" si="11"/>
        <v>0.19230769230769229</v>
      </c>
      <c r="E145">
        <f t="shared" si="13"/>
        <v>0.1723076923076923</v>
      </c>
      <c r="F145">
        <f t="shared" si="14"/>
        <v>0.21230769230769228</v>
      </c>
    </row>
    <row r="146" spans="1:6" x14ac:dyDescent="0.25">
      <c r="A146">
        <v>0.70499999999999996</v>
      </c>
      <c r="B146">
        <f t="shared" si="12"/>
        <v>0.1723076923076923</v>
      </c>
      <c r="C146">
        <f t="shared" si="10"/>
        <v>0.21230769230769228</v>
      </c>
      <c r="D146">
        <f t="shared" si="11"/>
        <v>0.19230769230769229</v>
      </c>
      <c r="E146">
        <f t="shared" si="13"/>
        <v>0.1723076923076923</v>
      </c>
      <c r="F146">
        <f t="shared" si="14"/>
        <v>0.21230769230769228</v>
      </c>
    </row>
    <row r="147" spans="1:6" x14ac:dyDescent="0.25">
      <c r="A147">
        <v>0.71</v>
      </c>
      <c r="B147">
        <f t="shared" si="12"/>
        <v>0.1723076923076923</v>
      </c>
      <c r="C147">
        <f t="shared" si="10"/>
        <v>0.21230769230769228</v>
      </c>
      <c r="D147">
        <f t="shared" si="11"/>
        <v>0.19230769230769229</v>
      </c>
      <c r="E147">
        <f t="shared" si="13"/>
        <v>0.1723076923076923</v>
      </c>
      <c r="F147">
        <f t="shared" si="14"/>
        <v>0.21230769230769228</v>
      </c>
    </row>
    <row r="148" spans="1:6" x14ac:dyDescent="0.25">
      <c r="A148">
        <v>0.71499999999999997</v>
      </c>
      <c r="B148">
        <f t="shared" si="12"/>
        <v>0.1723076923076923</v>
      </c>
      <c r="C148">
        <f t="shared" si="10"/>
        <v>0.21230769230769228</v>
      </c>
      <c r="D148">
        <f t="shared" si="11"/>
        <v>0.19230769230769229</v>
      </c>
      <c r="E148">
        <f t="shared" si="13"/>
        <v>0.1723076923076923</v>
      </c>
      <c r="F148">
        <f t="shared" si="14"/>
        <v>0.21230769230769228</v>
      </c>
    </row>
    <row r="149" spans="1:6" x14ac:dyDescent="0.25">
      <c r="A149">
        <v>0.72</v>
      </c>
      <c r="B149">
        <f t="shared" si="12"/>
        <v>0.1723076923076923</v>
      </c>
      <c r="C149">
        <f t="shared" si="10"/>
        <v>0.21230769230769228</v>
      </c>
      <c r="D149">
        <f t="shared" si="11"/>
        <v>0.19230769230769229</v>
      </c>
      <c r="E149">
        <f t="shared" si="13"/>
        <v>0.1723076923076923</v>
      </c>
      <c r="F149">
        <f t="shared" si="14"/>
        <v>0.21230769230769228</v>
      </c>
    </row>
    <row r="150" spans="1:6" x14ac:dyDescent="0.25">
      <c r="A150">
        <v>0.72499999999999998</v>
      </c>
      <c r="B150">
        <f t="shared" si="12"/>
        <v>0.1723076923076923</v>
      </c>
      <c r="C150">
        <f t="shared" si="10"/>
        <v>0.21230769230769228</v>
      </c>
      <c r="D150">
        <f t="shared" si="11"/>
        <v>0.19230769230769229</v>
      </c>
      <c r="E150">
        <f t="shared" si="13"/>
        <v>0.1723076923076923</v>
      </c>
      <c r="F150">
        <f t="shared" si="14"/>
        <v>0.21230769230769228</v>
      </c>
    </row>
    <row r="151" spans="1:6" x14ac:dyDescent="0.25">
      <c r="A151">
        <v>0.73</v>
      </c>
      <c r="B151">
        <f t="shared" si="12"/>
        <v>0.1723076923076923</v>
      </c>
      <c r="C151">
        <f t="shared" si="10"/>
        <v>0.21230769230769228</v>
      </c>
      <c r="D151">
        <f t="shared" si="11"/>
        <v>0.19230769230769229</v>
      </c>
      <c r="E151">
        <f t="shared" si="13"/>
        <v>0.1723076923076923</v>
      </c>
      <c r="F151">
        <f t="shared" si="14"/>
        <v>0.21230769230769228</v>
      </c>
    </row>
    <row r="152" spans="1:6" x14ac:dyDescent="0.25">
      <c r="A152">
        <v>0.73499999999999999</v>
      </c>
      <c r="B152">
        <f t="shared" si="12"/>
        <v>0.1723076923076923</v>
      </c>
      <c r="C152">
        <f t="shared" si="10"/>
        <v>0.21230769230769228</v>
      </c>
      <c r="D152">
        <f t="shared" si="11"/>
        <v>0.19230769230769229</v>
      </c>
      <c r="E152">
        <f t="shared" si="13"/>
        <v>0.1723076923076923</v>
      </c>
      <c r="F152">
        <f t="shared" si="14"/>
        <v>0.21230769230769228</v>
      </c>
    </row>
    <row r="153" spans="1:6" x14ac:dyDescent="0.25">
      <c r="A153">
        <v>0.74</v>
      </c>
      <c r="B153">
        <f t="shared" si="12"/>
        <v>0.1723076923076923</v>
      </c>
      <c r="C153">
        <f t="shared" si="10"/>
        <v>0.21230769230769228</v>
      </c>
      <c r="D153">
        <f t="shared" si="11"/>
        <v>0.19230769230769229</v>
      </c>
      <c r="E153">
        <f t="shared" si="13"/>
        <v>0.1723076923076923</v>
      </c>
      <c r="F153">
        <f t="shared" si="14"/>
        <v>0.21230769230769228</v>
      </c>
    </row>
    <row r="154" spans="1:6" x14ac:dyDescent="0.25">
      <c r="A154">
        <v>0.745</v>
      </c>
      <c r="B154">
        <f t="shared" si="12"/>
        <v>0.1723076923076923</v>
      </c>
      <c r="C154">
        <f t="shared" si="10"/>
        <v>0.21230769230769228</v>
      </c>
      <c r="D154">
        <f t="shared" si="11"/>
        <v>0.19230769230769229</v>
      </c>
      <c r="E154">
        <f t="shared" si="13"/>
        <v>0.1723076923076923</v>
      </c>
      <c r="F154">
        <f t="shared" si="14"/>
        <v>0.21230769230769228</v>
      </c>
    </row>
    <row r="155" spans="1:6" x14ac:dyDescent="0.25">
      <c r="A155">
        <v>0.75</v>
      </c>
      <c r="B155">
        <f t="shared" si="12"/>
        <v>0.1723076923076923</v>
      </c>
      <c r="C155">
        <f t="shared" si="10"/>
        <v>0.21230769230769228</v>
      </c>
      <c r="D155">
        <f t="shared" si="11"/>
        <v>0.19230769230769229</v>
      </c>
      <c r="E155">
        <f t="shared" si="13"/>
        <v>0.1723076923076923</v>
      </c>
      <c r="F155">
        <f t="shared" si="14"/>
        <v>0.21230769230769228</v>
      </c>
    </row>
    <row r="156" spans="1:6" x14ac:dyDescent="0.25">
      <c r="A156">
        <v>0.755</v>
      </c>
      <c r="B156">
        <f t="shared" si="12"/>
        <v>0.1723076923076923</v>
      </c>
      <c r="C156">
        <f t="shared" si="10"/>
        <v>0.21230769230769228</v>
      </c>
      <c r="D156">
        <f t="shared" si="11"/>
        <v>0.19230769230769229</v>
      </c>
      <c r="E156">
        <f t="shared" si="13"/>
        <v>0.1723076923076923</v>
      </c>
      <c r="F156">
        <f t="shared" si="14"/>
        <v>0.21230769230769228</v>
      </c>
    </row>
    <row r="157" spans="1:6" x14ac:dyDescent="0.25">
      <c r="A157">
        <v>0.76</v>
      </c>
      <c r="B157">
        <f t="shared" si="12"/>
        <v>0.1723076923076923</v>
      </c>
      <c r="C157">
        <f t="shared" si="10"/>
        <v>0.21230769230769228</v>
      </c>
      <c r="D157">
        <f t="shared" si="11"/>
        <v>0.19230769230769229</v>
      </c>
      <c r="E157">
        <f t="shared" si="13"/>
        <v>0.1723076923076923</v>
      </c>
      <c r="F157">
        <f t="shared" si="14"/>
        <v>0.21230769230769228</v>
      </c>
    </row>
    <row r="158" spans="1:6" x14ac:dyDescent="0.25">
      <c r="A158">
        <v>0.76500000000000001</v>
      </c>
      <c r="B158">
        <f t="shared" si="12"/>
        <v>0.1723076923076923</v>
      </c>
      <c r="C158">
        <f t="shared" si="10"/>
        <v>0.21230769230769228</v>
      </c>
      <c r="D158">
        <f t="shared" si="11"/>
        <v>0.19230769230769229</v>
      </c>
      <c r="E158">
        <f t="shared" si="13"/>
        <v>0.1723076923076923</v>
      </c>
      <c r="F158">
        <f t="shared" si="14"/>
        <v>0.21230769230769228</v>
      </c>
    </row>
    <row r="159" spans="1:6" x14ac:dyDescent="0.25">
      <c r="A159">
        <v>0.77</v>
      </c>
      <c r="B159">
        <f t="shared" si="12"/>
        <v>0.1723076923076923</v>
      </c>
      <c r="C159">
        <f t="shared" si="10"/>
        <v>0.21230769230769228</v>
      </c>
      <c r="D159">
        <f t="shared" si="11"/>
        <v>0.19230769230769229</v>
      </c>
      <c r="E159">
        <f t="shared" si="13"/>
        <v>0.1723076923076923</v>
      </c>
      <c r="F159">
        <f t="shared" si="14"/>
        <v>0.21230769230769228</v>
      </c>
    </row>
    <row r="160" spans="1:6" x14ac:dyDescent="0.25">
      <c r="A160">
        <v>0.77500000000000002</v>
      </c>
      <c r="B160">
        <f t="shared" si="12"/>
        <v>0.1723076923076923</v>
      </c>
      <c r="C160">
        <f t="shared" si="10"/>
        <v>0.21230769230769228</v>
      </c>
      <c r="D160">
        <f t="shared" si="11"/>
        <v>0.19230769230769229</v>
      </c>
      <c r="E160">
        <f t="shared" si="13"/>
        <v>0.1723076923076923</v>
      </c>
      <c r="F160">
        <f t="shared" si="14"/>
        <v>0.21230769230769228</v>
      </c>
    </row>
    <row r="161" spans="1:6" x14ac:dyDescent="0.25">
      <c r="A161">
        <v>0.78</v>
      </c>
      <c r="B161">
        <f t="shared" si="12"/>
        <v>0.1723076923076923</v>
      </c>
      <c r="C161">
        <f t="shared" si="10"/>
        <v>0.21230769230769228</v>
      </c>
      <c r="D161">
        <f t="shared" si="11"/>
        <v>0.19230769230769229</v>
      </c>
      <c r="E161">
        <f t="shared" si="13"/>
        <v>0.1723076923076923</v>
      </c>
      <c r="F161">
        <f t="shared" si="14"/>
        <v>0.21230769230769228</v>
      </c>
    </row>
    <row r="162" spans="1:6" x14ac:dyDescent="0.25">
      <c r="A162">
        <v>0.78500000000000003</v>
      </c>
      <c r="B162">
        <f t="shared" si="12"/>
        <v>0.1723076923076923</v>
      </c>
      <c r="C162">
        <f t="shared" si="10"/>
        <v>0.21230769230769228</v>
      </c>
      <c r="D162">
        <f t="shared" si="11"/>
        <v>0.19230769230769229</v>
      </c>
      <c r="E162">
        <f t="shared" si="13"/>
        <v>0.1723076923076923</v>
      </c>
      <c r="F162">
        <f t="shared" si="14"/>
        <v>0.21230769230769228</v>
      </c>
    </row>
    <row r="163" spans="1:6" x14ac:dyDescent="0.25">
      <c r="A163">
        <v>0.79</v>
      </c>
      <c r="B163">
        <f t="shared" si="12"/>
        <v>0.1723076923076923</v>
      </c>
      <c r="C163">
        <f t="shared" si="10"/>
        <v>0.21230769230769228</v>
      </c>
      <c r="D163">
        <f t="shared" si="11"/>
        <v>0.19230769230769229</v>
      </c>
      <c r="E163">
        <f t="shared" si="13"/>
        <v>0.1723076923076923</v>
      </c>
      <c r="F163">
        <f t="shared" si="14"/>
        <v>0.21230769230769228</v>
      </c>
    </row>
    <row r="164" spans="1:6" x14ac:dyDescent="0.25">
      <c r="A164">
        <v>0.79500000000000004</v>
      </c>
      <c r="B164">
        <f t="shared" si="12"/>
        <v>0.1723076923076923</v>
      </c>
      <c r="C164">
        <f t="shared" si="10"/>
        <v>0.21230769230769228</v>
      </c>
      <c r="D164">
        <f t="shared" si="11"/>
        <v>0.19230769230769229</v>
      </c>
      <c r="E164">
        <f t="shared" si="13"/>
        <v>0.1723076923076923</v>
      </c>
      <c r="F164">
        <f t="shared" si="14"/>
        <v>0.21230769230769228</v>
      </c>
    </row>
    <row r="165" spans="1:6" x14ac:dyDescent="0.25">
      <c r="A165">
        <v>0.8</v>
      </c>
      <c r="B165">
        <f t="shared" si="12"/>
        <v>0.1723076923076923</v>
      </c>
      <c r="C165">
        <f t="shared" si="10"/>
        <v>0.21230769230769228</v>
      </c>
      <c r="D165">
        <f t="shared" si="11"/>
        <v>0.19230769230769229</v>
      </c>
      <c r="E165">
        <f t="shared" si="13"/>
        <v>0.1723076923076923</v>
      </c>
      <c r="F165">
        <f t="shared" si="14"/>
        <v>0.21230769230769228</v>
      </c>
    </row>
    <row r="166" spans="1:6" x14ac:dyDescent="0.25">
      <c r="A166">
        <v>0.80500000000000005</v>
      </c>
      <c r="B166">
        <f t="shared" si="12"/>
        <v>0.1723076923076923</v>
      </c>
      <c r="C166">
        <f t="shared" si="10"/>
        <v>0.21230769230769228</v>
      </c>
      <c r="D166">
        <f t="shared" si="11"/>
        <v>0.19230769230769229</v>
      </c>
      <c r="E166">
        <f t="shared" si="13"/>
        <v>0.1723076923076923</v>
      </c>
      <c r="F166">
        <f t="shared" si="14"/>
        <v>0.21230769230769228</v>
      </c>
    </row>
    <row r="167" spans="1:6" x14ac:dyDescent="0.25">
      <c r="A167">
        <v>0.81</v>
      </c>
      <c r="B167">
        <f t="shared" si="12"/>
        <v>0.1723076923076923</v>
      </c>
      <c r="C167">
        <f t="shared" si="10"/>
        <v>0.21230769230769228</v>
      </c>
      <c r="D167">
        <f t="shared" si="11"/>
        <v>0.19230769230769229</v>
      </c>
      <c r="E167">
        <f t="shared" si="13"/>
        <v>0.1723076923076923</v>
      </c>
      <c r="F167">
        <f t="shared" si="14"/>
        <v>0.21230769230769228</v>
      </c>
    </row>
    <row r="168" spans="1:6" x14ac:dyDescent="0.25">
      <c r="A168">
        <v>0.81499999999999995</v>
      </c>
      <c r="B168">
        <f t="shared" si="12"/>
        <v>0.1723076923076923</v>
      </c>
      <c r="C168">
        <f t="shared" si="10"/>
        <v>0.21230769230769228</v>
      </c>
      <c r="D168">
        <f t="shared" si="11"/>
        <v>0.19230769230769229</v>
      </c>
      <c r="E168">
        <f t="shared" si="13"/>
        <v>0.1723076923076923</v>
      </c>
      <c r="F168">
        <f t="shared" si="14"/>
        <v>0.21230769230769228</v>
      </c>
    </row>
    <row r="169" spans="1:6" x14ac:dyDescent="0.25">
      <c r="A169">
        <v>0.82</v>
      </c>
      <c r="B169">
        <f t="shared" si="12"/>
        <v>0.1723076923076923</v>
      </c>
      <c r="C169">
        <f t="shared" si="10"/>
        <v>0.21230769230769228</v>
      </c>
      <c r="D169">
        <f t="shared" si="11"/>
        <v>0.19230769230769229</v>
      </c>
      <c r="E169">
        <f t="shared" si="13"/>
        <v>0.1723076923076923</v>
      </c>
      <c r="F169">
        <f t="shared" si="14"/>
        <v>0.21230769230769228</v>
      </c>
    </row>
    <row r="170" spans="1:6" x14ac:dyDescent="0.25">
      <c r="A170">
        <v>0.82499999999999996</v>
      </c>
      <c r="B170">
        <f t="shared" si="12"/>
        <v>0.1723076923076923</v>
      </c>
      <c r="C170">
        <f t="shared" si="10"/>
        <v>0.21230769230769228</v>
      </c>
      <c r="D170">
        <f t="shared" si="11"/>
        <v>0.19230769230769229</v>
      </c>
      <c r="E170">
        <f t="shared" si="13"/>
        <v>0.1723076923076923</v>
      </c>
      <c r="F170">
        <f t="shared" si="14"/>
        <v>0.21230769230769228</v>
      </c>
    </row>
    <row r="171" spans="1:6" x14ac:dyDescent="0.25">
      <c r="A171">
        <v>0.83</v>
      </c>
      <c r="B171">
        <f t="shared" si="12"/>
        <v>0.1723076923076923</v>
      </c>
      <c r="C171">
        <f t="shared" si="10"/>
        <v>0.21230769230769228</v>
      </c>
      <c r="D171">
        <f t="shared" si="11"/>
        <v>0.19230769230769229</v>
      </c>
      <c r="E171">
        <f t="shared" si="13"/>
        <v>0.1723076923076923</v>
      </c>
      <c r="F171">
        <f t="shared" si="14"/>
        <v>0.21230769230769228</v>
      </c>
    </row>
    <row r="172" spans="1:6" x14ac:dyDescent="0.25">
      <c r="A172">
        <v>0.83499999999999996</v>
      </c>
      <c r="B172">
        <f t="shared" si="12"/>
        <v>0.1723076923076923</v>
      </c>
      <c r="C172">
        <f t="shared" si="10"/>
        <v>0.21230769230769228</v>
      </c>
      <c r="D172">
        <f t="shared" si="11"/>
        <v>0.19230769230769229</v>
      </c>
      <c r="E172">
        <f t="shared" si="13"/>
        <v>0.1723076923076923</v>
      </c>
      <c r="F172">
        <f t="shared" si="14"/>
        <v>0.21230769230769228</v>
      </c>
    </row>
    <row r="173" spans="1:6" x14ac:dyDescent="0.25">
      <c r="A173">
        <v>0.84000000000000097</v>
      </c>
      <c r="B173">
        <f t="shared" si="12"/>
        <v>0.1723076923076923</v>
      </c>
      <c r="C173">
        <f t="shared" si="10"/>
        <v>0.21230769230769228</v>
      </c>
      <c r="D173">
        <f t="shared" si="11"/>
        <v>0.19230769230769229</v>
      </c>
      <c r="E173">
        <f t="shared" si="13"/>
        <v>0.1723076923076923</v>
      </c>
      <c r="F173">
        <f t="shared" si="14"/>
        <v>0.21230769230769228</v>
      </c>
    </row>
    <row r="174" spans="1:6" x14ac:dyDescent="0.25">
      <c r="A174">
        <v>0.84500000000000097</v>
      </c>
      <c r="B174">
        <f t="shared" si="12"/>
        <v>0.1723076923076923</v>
      </c>
      <c r="C174">
        <f t="shared" si="10"/>
        <v>0.21230769230769228</v>
      </c>
      <c r="D174">
        <f t="shared" si="11"/>
        <v>0.19230769230769229</v>
      </c>
      <c r="E174">
        <f t="shared" si="13"/>
        <v>0.1723076923076923</v>
      </c>
      <c r="F174">
        <f t="shared" si="14"/>
        <v>0.21230769230769228</v>
      </c>
    </row>
    <row r="175" spans="1:6" x14ac:dyDescent="0.25">
      <c r="A175">
        <v>0.85000000000000098</v>
      </c>
      <c r="B175">
        <f t="shared" si="12"/>
        <v>0.1723076923076923</v>
      </c>
      <c r="C175">
        <f t="shared" si="10"/>
        <v>0.21230769230769228</v>
      </c>
      <c r="D175">
        <f t="shared" si="11"/>
        <v>0.19230769230769229</v>
      </c>
      <c r="E175">
        <f t="shared" si="13"/>
        <v>0.1723076923076923</v>
      </c>
      <c r="F175">
        <f t="shared" si="14"/>
        <v>0.21230769230769228</v>
      </c>
    </row>
    <row r="176" spans="1:6" x14ac:dyDescent="0.25">
      <c r="A176">
        <v>0.85500000000000098</v>
      </c>
      <c r="B176">
        <f t="shared" si="12"/>
        <v>0.1723076923076923</v>
      </c>
      <c r="C176">
        <f t="shared" si="10"/>
        <v>0.21230769230769228</v>
      </c>
      <c r="D176">
        <f t="shared" si="11"/>
        <v>0.19230769230769229</v>
      </c>
      <c r="E176">
        <f t="shared" si="13"/>
        <v>0.1723076923076923</v>
      </c>
      <c r="F176">
        <f t="shared" si="14"/>
        <v>0.21230769230769228</v>
      </c>
    </row>
    <row r="177" spans="1:6" x14ac:dyDescent="0.25">
      <c r="A177">
        <v>0.86000000000000099</v>
      </c>
      <c r="B177">
        <f t="shared" si="12"/>
        <v>0.1723076923076923</v>
      </c>
      <c r="C177">
        <f t="shared" si="10"/>
        <v>0.21230769230769228</v>
      </c>
      <c r="D177">
        <f t="shared" si="11"/>
        <v>0.19230769230769229</v>
      </c>
      <c r="E177">
        <f t="shared" si="13"/>
        <v>0.1723076923076923</v>
      </c>
      <c r="F177">
        <f t="shared" si="14"/>
        <v>0.21230769230769228</v>
      </c>
    </row>
    <row r="178" spans="1:6" x14ac:dyDescent="0.25">
      <c r="A178">
        <v>0.86500000000000099</v>
      </c>
      <c r="B178">
        <f t="shared" si="12"/>
        <v>0.1723076923076923</v>
      </c>
      <c r="C178">
        <f t="shared" si="10"/>
        <v>0.21230769230769228</v>
      </c>
      <c r="D178">
        <f t="shared" si="11"/>
        <v>0.19230769230769229</v>
      </c>
      <c r="E178">
        <f t="shared" si="13"/>
        <v>0.1723076923076923</v>
      </c>
      <c r="F178">
        <f t="shared" si="14"/>
        <v>0.21230769230769228</v>
      </c>
    </row>
    <row r="179" spans="1:6" x14ac:dyDescent="0.25">
      <c r="A179">
        <v>0.87000000000000099</v>
      </c>
      <c r="B179">
        <f t="shared" si="12"/>
        <v>0.1723076923076923</v>
      </c>
      <c r="C179">
        <f t="shared" si="10"/>
        <v>0.21230769230769228</v>
      </c>
      <c r="D179">
        <f t="shared" si="11"/>
        <v>0.19230769230769229</v>
      </c>
      <c r="E179">
        <f t="shared" si="13"/>
        <v>0.1723076923076923</v>
      </c>
      <c r="F179">
        <f t="shared" si="14"/>
        <v>0.21230769230769228</v>
      </c>
    </row>
    <row r="180" spans="1:6" x14ac:dyDescent="0.25">
      <c r="A180">
        <v>0.875000000000001</v>
      </c>
      <c r="B180">
        <f t="shared" si="12"/>
        <v>0.1723076923076923</v>
      </c>
      <c r="C180">
        <f t="shared" si="10"/>
        <v>0.21230769230769228</v>
      </c>
      <c r="D180">
        <f t="shared" si="11"/>
        <v>0.19230769230769229</v>
      </c>
      <c r="E180">
        <f t="shared" si="13"/>
        <v>0.1723076923076923</v>
      </c>
      <c r="F180">
        <f t="shared" si="14"/>
        <v>0.21230769230769228</v>
      </c>
    </row>
    <row r="181" spans="1:6" x14ac:dyDescent="0.25">
      <c r="A181">
        <v>0.880000000000001</v>
      </c>
      <c r="B181">
        <f t="shared" si="12"/>
        <v>0.1723076923076923</v>
      </c>
      <c r="C181">
        <f t="shared" si="10"/>
        <v>0.21230769230769228</v>
      </c>
      <c r="D181">
        <f t="shared" si="11"/>
        <v>0.19230769230769229</v>
      </c>
      <c r="E181">
        <f t="shared" si="13"/>
        <v>0.1723076923076923</v>
      </c>
      <c r="F181">
        <f t="shared" si="14"/>
        <v>0.21230769230769228</v>
      </c>
    </row>
    <row r="182" spans="1:6" x14ac:dyDescent="0.25">
      <c r="A182">
        <v>0.88500000000000101</v>
      </c>
      <c r="B182">
        <f t="shared" si="12"/>
        <v>0.1723076923076923</v>
      </c>
      <c r="C182">
        <f t="shared" si="10"/>
        <v>0.21230769230769228</v>
      </c>
      <c r="D182">
        <f t="shared" si="11"/>
        <v>0.19230769230769229</v>
      </c>
      <c r="E182">
        <f t="shared" si="13"/>
        <v>0.1723076923076923</v>
      </c>
      <c r="F182">
        <f t="shared" si="14"/>
        <v>0.21230769230769228</v>
      </c>
    </row>
    <row r="183" spans="1:6" x14ac:dyDescent="0.25">
      <c r="A183">
        <v>0.89000000000000101</v>
      </c>
      <c r="B183">
        <f t="shared" si="12"/>
        <v>0.1723076923076923</v>
      </c>
      <c r="C183">
        <f t="shared" si="10"/>
        <v>0.21230769230769228</v>
      </c>
      <c r="D183">
        <f t="shared" si="11"/>
        <v>0.19230769230769229</v>
      </c>
      <c r="E183">
        <f t="shared" si="13"/>
        <v>0.1723076923076923</v>
      </c>
      <c r="F183">
        <f t="shared" si="14"/>
        <v>0.21230769230769228</v>
      </c>
    </row>
    <row r="184" spans="1:6" x14ac:dyDescent="0.25">
      <c r="A184">
        <v>0.89500000000000102</v>
      </c>
      <c r="B184">
        <f t="shared" si="12"/>
        <v>0.1723076923076923</v>
      </c>
      <c r="C184">
        <f t="shared" si="10"/>
        <v>0.21230769230769228</v>
      </c>
      <c r="D184">
        <f t="shared" si="11"/>
        <v>0.19230769230769229</v>
      </c>
      <c r="E184">
        <f t="shared" si="13"/>
        <v>0.1723076923076923</v>
      </c>
      <c r="F184">
        <f t="shared" si="14"/>
        <v>0.21230769230769228</v>
      </c>
    </row>
    <row r="185" spans="1:6" x14ac:dyDescent="0.25">
      <c r="A185">
        <v>0.90000000000000102</v>
      </c>
      <c r="B185">
        <f t="shared" si="12"/>
        <v>0.1723076923076923</v>
      </c>
      <c r="C185">
        <f t="shared" si="10"/>
        <v>0.21230769230769228</v>
      </c>
      <c r="D185">
        <f t="shared" si="11"/>
        <v>0.19230769230769229</v>
      </c>
      <c r="E185">
        <f t="shared" si="13"/>
        <v>0.1723076923076923</v>
      </c>
      <c r="F185">
        <f t="shared" si="14"/>
        <v>0.21230769230769228</v>
      </c>
    </row>
    <row r="186" spans="1:6" x14ac:dyDescent="0.25">
      <c r="A186">
        <v>0.90500000000000103</v>
      </c>
      <c r="B186">
        <f t="shared" si="12"/>
        <v>0.1723076923076923</v>
      </c>
      <c r="C186">
        <f t="shared" si="10"/>
        <v>0.21230769230769228</v>
      </c>
      <c r="D186">
        <f t="shared" si="11"/>
        <v>0.19230769230769229</v>
      </c>
      <c r="E186">
        <f t="shared" si="13"/>
        <v>0.1723076923076923</v>
      </c>
      <c r="F186">
        <f t="shared" si="14"/>
        <v>0.21230769230769228</v>
      </c>
    </row>
    <row r="187" spans="1:6" x14ac:dyDescent="0.25">
      <c r="A187">
        <v>0.91000000000000103</v>
      </c>
      <c r="B187">
        <f t="shared" si="12"/>
        <v>0.1723076923076923</v>
      </c>
      <c r="C187">
        <f t="shared" si="10"/>
        <v>0.21230769230769228</v>
      </c>
      <c r="D187">
        <f t="shared" si="11"/>
        <v>0.19230769230769229</v>
      </c>
      <c r="E187">
        <f t="shared" si="13"/>
        <v>0.1723076923076923</v>
      </c>
      <c r="F187">
        <f t="shared" si="14"/>
        <v>0.21230769230769228</v>
      </c>
    </row>
    <row r="188" spans="1:6" x14ac:dyDescent="0.25">
      <c r="A188">
        <v>0.91500000000000103</v>
      </c>
      <c r="B188">
        <f t="shared" si="12"/>
        <v>0.1723076923076923</v>
      </c>
      <c r="C188">
        <f t="shared" si="10"/>
        <v>0.21230769230769228</v>
      </c>
      <c r="D188">
        <f t="shared" si="11"/>
        <v>0.19230769230769229</v>
      </c>
      <c r="E188">
        <f t="shared" si="13"/>
        <v>0.1723076923076923</v>
      </c>
      <c r="F188">
        <f t="shared" si="14"/>
        <v>0.21230769230769228</v>
      </c>
    </row>
    <row r="189" spans="1:6" x14ac:dyDescent="0.25">
      <c r="A189">
        <v>0.92000000000000104</v>
      </c>
      <c r="B189">
        <f t="shared" si="12"/>
        <v>0.1723076923076923</v>
      </c>
      <c r="C189">
        <f t="shared" si="10"/>
        <v>0.21230769230769228</v>
      </c>
      <c r="D189">
        <f t="shared" si="11"/>
        <v>0.19230769230769229</v>
      </c>
      <c r="E189">
        <f t="shared" si="13"/>
        <v>0.1723076923076923</v>
      </c>
      <c r="F189">
        <f t="shared" si="14"/>
        <v>0.21230769230769228</v>
      </c>
    </row>
    <row r="190" spans="1:6" x14ac:dyDescent="0.25">
      <c r="A190">
        <v>0.92500000000000104</v>
      </c>
      <c r="B190">
        <f t="shared" si="12"/>
        <v>0.1723076923076923</v>
      </c>
      <c r="C190">
        <f t="shared" si="10"/>
        <v>0.21230769230769228</v>
      </c>
      <c r="D190">
        <f t="shared" si="11"/>
        <v>0.19230769230769229</v>
      </c>
      <c r="E190">
        <f t="shared" si="13"/>
        <v>0.1723076923076923</v>
      </c>
      <c r="F190">
        <f t="shared" si="14"/>
        <v>0.21230769230769228</v>
      </c>
    </row>
    <row r="191" spans="1:6" x14ac:dyDescent="0.25">
      <c r="A191">
        <v>0.93000000000000105</v>
      </c>
      <c r="B191">
        <f t="shared" si="12"/>
        <v>0.1723076923076923</v>
      </c>
      <c r="C191">
        <f t="shared" si="10"/>
        <v>0.21230769230769228</v>
      </c>
      <c r="D191">
        <f t="shared" si="11"/>
        <v>0.19230769230769229</v>
      </c>
      <c r="E191">
        <f t="shared" si="13"/>
        <v>0.1723076923076923</v>
      </c>
      <c r="F191">
        <f t="shared" si="14"/>
        <v>0.21230769230769228</v>
      </c>
    </row>
    <row r="192" spans="1:6" x14ac:dyDescent="0.25">
      <c r="A192">
        <v>0.93500000000000105</v>
      </c>
      <c r="B192">
        <f t="shared" si="12"/>
        <v>0.1723076923076923</v>
      </c>
      <c r="C192">
        <f t="shared" si="10"/>
        <v>0.21230769230769228</v>
      </c>
      <c r="D192">
        <f t="shared" si="11"/>
        <v>0.19230769230769229</v>
      </c>
      <c r="E192">
        <f t="shared" si="13"/>
        <v>0.1723076923076923</v>
      </c>
      <c r="F192">
        <f t="shared" si="14"/>
        <v>0.21230769230769228</v>
      </c>
    </row>
    <row r="193" spans="1:6" x14ac:dyDescent="0.25">
      <c r="A193">
        <v>0.94000000000000095</v>
      </c>
      <c r="B193">
        <f t="shared" si="12"/>
        <v>0.1723076923076923</v>
      </c>
      <c r="C193">
        <f t="shared" si="10"/>
        <v>0.21230769230769228</v>
      </c>
      <c r="D193">
        <f t="shared" si="11"/>
        <v>0.19230769230769229</v>
      </c>
      <c r="E193">
        <f t="shared" si="13"/>
        <v>0.1723076923076923</v>
      </c>
      <c r="F193">
        <f t="shared" si="14"/>
        <v>0.21230769230769228</v>
      </c>
    </row>
    <row r="194" spans="1:6" x14ac:dyDescent="0.25">
      <c r="A194">
        <v>0.94500000000000095</v>
      </c>
      <c r="B194">
        <f t="shared" si="12"/>
        <v>0.1723076923076923</v>
      </c>
      <c r="C194">
        <f t="shared" si="10"/>
        <v>0.21230769230769228</v>
      </c>
      <c r="D194">
        <f t="shared" si="11"/>
        <v>0.19230769230769229</v>
      </c>
      <c r="E194">
        <f t="shared" si="13"/>
        <v>0.1723076923076923</v>
      </c>
      <c r="F194">
        <f t="shared" si="14"/>
        <v>0.21230769230769228</v>
      </c>
    </row>
    <row r="195" spans="1:6" x14ac:dyDescent="0.25">
      <c r="A195">
        <v>0.95000000000000095</v>
      </c>
      <c r="B195">
        <f t="shared" si="12"/>
        <v>0.1723076923076923</v>
      </c>
      <c r="C195">
        <f t="shared" si="10"/>
        <v>0.21230769230769228</v>
      </c>
      <c r="D195">
        <f t="shared" si="11"/>
        <v>0.19230769230769229</v>
      </c>
      <c r="E195">
        <f t="shared" si="13"/>
        <v>0.1723076923076923</v>
      </c>
      <c r="F195">
        <f t="shared" si="14"/>
        <v>0.21230769230769228</v>
      </c>
    </row>
    <row r="196" spans="1:6" x14ac:dyDescent="0.25">
      <c r="A196">
        <v>0.95500000000000096</v>
      </c>
      <c r="B196">
        <f t="shared" si="12"/>
        <v>0.1723076923076923</v>
      </c>
      <c r="C196">
        <f t="shared" si="10"/>
        <v>0.21230769230769228</v>
      </c>
      <c r="D196">
        <f t="shared" si="11"/>
        <v>0.19230769230769229</v>
      </c>
      <c r="E196">
        <f t="shared" si="13"/>
        <v>0.1723076923076923</v>
      </c>
      <c r="F196">
        <f t="shared" si="14"/>
        <v>0.21230769230769228</v>
      </c>
    </row>
    <row r="197" spans="1:6" x14ac:dyDescent="0.25">
      <c r="A197">
        <v>0.96000000000000096</v>
      </c>
      <c r="B197">
        <f t="shared" si="12"/>
        <v>0.1723076923076923</v>
      </c>
      <c r="C197">
        <f t="shared" ref="C197:C260" si="15">IF(A197&lt;ttunnel,Q0+DeltaIQ+Marge_haute*DeltaIQ*(EXP(-A197/(ttunnel/3)))+tunnel,Q0+tunnel+DeltaIQ)</f>
        <v>0.21230769230769228</v>
      </c>
      <c r="D197">
        <f t="shared" si="11"/>
        <v>0.19230769230769229</v>
      </c>
      <c r="E197">
        <f t="shared" si="13"/>
        <v>0.1723076923076923</v>
      </c>
      <c r="F197">
        <f t="shared" si="14"/>
        <v>0.21230769230769228</v>
      </c>
    </row>
    <row r="198" spans="1:6" x14ac:dyDescent="0.25">
      <c r="A198">
        <v>0.96500000000000097</v>
      </c>
      <c r="B198">
        <f t="shared" si="12"/>
        <v>0.1723076923076923</v>
      </c>
      <c r="C198">
        <f t="shared" si="15"/>
        <v>0.21230769230769228</v>
      </c>
      <c r="D198">
        <f t="shared" ref="D198:D261" si="16">Q0+DeltaIQ*(1-EXP(-A198/tau))</f>
        <v>0.19230769230769229</v>
      </c>
      <c r="E198">
        <f t="shared" si="13"/>
        <v>0.1723076923076923</v>
      </c>
      <c r="F198">
        <f t="shared" si="14"/>
        <v>0.21230769230769228</v>
      </c>
    </row>
    <row r="199" spans="1:6" x14ac:dyDescent="0.25">
      <c r="A199">
        <v>0.97000000000000097</v>
      </c>
      <c r="B199">
        <f t="shared" ref="B199:B262" si="17">IF(SIGN(Vstep)=1,MIN(Q0+DeltaIQ*(1-EXP(-A199/tau)),Q0+DeltaIQ-tunnel),IF(A199&lt;ttunnel,Q0+DeltaIQ+Marge_haute*DeltaIQ*(EXP(-A199/(ttunnel/3)))+tunnel,Q0+tunnel+DeltaIQ))</f>
        <v>0.1723076923076923</v>
      </c>
      <c r="C199">
        <f t="shared" si="15"/>
        <v>0.21230769230769228</v>
      </c>
      <c r="D199">
        <f t="shared" si="16"/>
        <v>0.19230769230769229</v>
      </c>
      <c r="E199">
        <f t="shared" si="13"/>
        <v>0.1723076923076923</v>
      </c>
      <c r="F199">
        <f t="shared" si="14"/>
        <v>0.21230769230769228</v>
      </c>
    </row>
    <row r="200" spans="1:6" x14ac:dyDescent="0.25">
      <c r="A200">
        <v>0.97500000000000098</v>
      </c>
      <c r="B200">
        <f t="shared" si="17"/>
        <v>0.1723076923076923</v>
      </c>
      <c r="C200">
        <f t="shared" si="15"/>
        <v>0.21230769230769228</v>
      </c>
      <c r="D200">
        <f t="shared" si="16"/>
        <v>0.19230769230769229</v>
      </c>
      <c r="E200">
        <f t="shared" si="13"/>
        <v>0.1723076923076923</v>
      </c>
      <c r="F200">
        <f t="shared" si="14"/>
        <v>0.21230769230769228</v>
      </c>
    </row>
    <row r="201" spans="1:6" x14ac:dyDescent="0.25">
      <c r="A201">
        <v>0.98000000000000098</v>
      </c>
      <c r="B201">
        <f t="shared" si="17"/>
        <v>0.1723076923076923</v>
      </c>
      <c r="C201">
        <f t="shared" si="15"/>
        <v>0.21230769230769228</v>
      </c>
      <c r="D201">
        <f t="shared" si="16"/>
        <v>0.19230769230769229</v>
      </c>
      <c r="E201">
        <f t="shared" ref="E201:E264" si="18">IF(EMT_simulation,B197,B201)</f>
        <v>0.1723076923076923</v>
      </c>
      <c r="F201">
        <f t="shared" ref="F201:F264" si="19">IF(EMT_simulation,C197,C201)</f>
        <v>0.21230769230769228</v>
      </c>
    </row>
    <row r="202" spans="1:6" x14ac:dyDescent="0.25">
      <c r="A202">
        <v>0.98500000000000099</v>
      </c>
      <c r="B202">
        <f t="shared" si="17"/>
        <v>0.1723076923076923</v>
      </c>
      <c r="C202">
        <f t="shared" si="15"/>
        <v>0.21230769230769228</v>
      </c>
      <c r="D202">
        <f t="shared" si="16"/>
        <v>0.19230769230769229</v>
      </c>
      <c r="E202">
        <f t="shared" si="18"/>
        <v>0.1723076923076923</v>
      </c>
      <c r="F202">
        <f t="shared" si="19"/>
        <v>0.21230769230769228</v>
      </c>
    </row>
    <row r="203" spans="1:6" x14ac:dyDescent="0.25">
      <c r="A203">
        <v>0.99000000000000099</v>
      </c>
      <c r="B203">
        <f t="shared" si="17"/>
        <v>0.1723076923076923</v>
      </c>
      <c r="C203">
        <f t="shared" si="15"/>
        <v>0.21230769230769228</v>
      </c>
      <c r="D203">
        <f t="shared" si="16"/>
        <v>0.19230769230769229</v>
      </c>
      <c r="E203">
        <f t="shared" si="18"/>
        <v>0.1723076923076923</v>
      </c>
      <c r="F203">
        <f t="shared" si="19"/>
        <v>0.21230769230769228</v>
      </c>
    </row>
    <row r="204" spans="1:6" x14ac:dyDescent="0.25">
      <c r="A204">
        <v>0.99500000000000099</v>
      </c>
      <c r="B204">
        <f t="shared" si="17"/>
        <v>0.1723076923076923</v>
      </c>
      <c r="C204">
        <f t="shared" si="15"/>
        <v>0.21230769230769228</v>
      </c>
      <c r="D204">
        <f t="shared" si="16"/>
        <v>0.19230769230769229</v>
      </c>
      <c r="E204">
        <f t="shared" si="18"/>
        <v>0.1723076923076923</v>
      </c>
      <c r="F204">
        <f t="shared" si="19"/>
        <v>0.21230769230769228</v>
      </c>
    </row>
    <row r="205" spans="1:6" x14ac:dyDescent="0.25">
      <c r="A205">
        <v>1</v>
      </c>
      <c r="B205">
        <f t="shared" si="17"/>
        <v>0.1723076923076923</v>
      </c>
      <c r="C205">
        <f t="shared" si="15"/>
        <v>0.21230769230769228</v>
      </c>
      <c r="D205">
        <f t="shared" si="16"/>
        <v>0.19230769230769229</v>
      </c>
      <c r="E205">
        <f t="shared" si="18"/>
        <v>0.1723076923076923</v>
      </c>
      <c r="F205">
        <f t="shared" si="19"/>
        <v>0.21230769230769228</v>
      </c>
    </row>
    <row r="206" spans="1:6" x14ac:dyDescent="0.25">
      <c r="A206">
        <v>1.0049999999999999</v>
      </c>
      <c r="B206">
        <f t="shared" si="17"/>
        <v>0.1723076923076923</v>
      </c>
      <c r="C206">
        <f t="shared" si="15"/>
        <v>0.21230769230769228</v>
      </c>
      <c r="D206">
        <f t="shared" si="16"/>
        <v>0.19230769230769229</v>
      </c>
      <c r="E206">
        <f t="shared" si="18"/>
        <v>0.1723076923076923</v>
      </c>
      <c r="F206">
        <f t="shared" si="19"/>
        <v>0.21230769230769228</v>
      </c>
    </row>
    <row r="207" spans="1:6" x14ac:dyDescent="0.25">
      <c r="A207">
        <v>1.01</v>
      </c>
      <c r="B207">
        <f t="shared" si="17"/>
        <v>0.1723076923076923</v>
      </c>
      <c r="C207">
        <f t="shared" si="15"/>
        <v>0.21230769230769228</v>
      </c>
      <c r="D207">
        <f t="shared" si="16"/>
        <v>0.19230769230769229</v>
      </c>
      <c r="E207">
        <f t="shared" si="18"/>
        <v>0.1723076923076923</v>
      </c>
      <c r="F207">
        <f t="shared" si="19"/>
        <v>0.21230769230769228</v>
      </c>
    </row>
    <row r="208" spans="1:6" x14ac:dyDescent="0.25">
      <c r="A208">
        <v>1.0149999999999999</v>
      </c>
      <c r="B208">
        <f t="shared" si="17"/>
        <v>0.1723076923076923</v>
      </c>
      <c r="C208">
        <f t="shared" si="15"/>
        <v>0.21230769230769228</v>
      </c>
      <c r="D208">
        <f t="shared" si="16"/>
        <v>0.19230769230769229</v>
      </c>
      <c r="E208">
        <f t="shared" si="18"/>
        <v>0.1723076923076923</v>
      </c>
      <c r="F208">
        <f t="shared" si="19"/>
        <v>0.21230769230769228</v>
      </c>
    </row>
    <row r="209" spans="1:6" x14ac:dyDescent="0.25">
      <c r="A209">
        <v>1.02</v>
      </c>
      <c r="B209">
        <f t="shared" si="17"/>
        <v>0.1723076923076923</v>
      </c>
      <c r="C209">
        <f t="shared" si="15"/>
        <v>0.21230769230769228</v>
      </c>
      <c r="D209">
        <f t="shared" si="16"/>
        <v>0.19230769230769229</v>
      </c>
      <c r="E209">
        <f t="shared" si="18"/>
        <v>0.1723076923076923</v>
      </c>
      <c r="F209">
        <f t="shared" si="19"/>
        <v>0.21230769230769228</v>
      </c>
    </row>
    <row r="210" spans="1:6" x14ac:dyDescent="0.25">
      <c r="A210">
        <v>1.0249999999999999</v>
      </c>
      <c r="B210">
        <f t="shared" si="17"/>
        <v>0.1723076923076923</v>
      </c>
      <c r="C210">
        <f t="shared" si="15"/>
        <v>0.21230769230769228</v>
      </c>
      <c r="D210">
        <f t="shared" si="16"/>
        <v>0.19230769230769229</v>
      </c>
      <c r="E210">
        <f t="shared" si="18"/>
        <v>0.1723076923076923</v>
      </c>
      <c r="F210">
        <f t="shared" si="19"/>
        <v>0.21230769230769228</v>
      </c>
    </row>
    <row r="211" spans="1:6" x14ac:dyDescent="0.25">
      <c r="A211">
        <v>1.03</v>
      </c>
      <c r="B211">
        <f t="shared" si="17"/>
        <v>0.1723076923076923</v>
      </c>
      <c r="C211">
        <f t="shared" si="15"/>
        <v>0.21230769230769228</v>
      </c>
      <c r="D211">
        <f t="shared" si="16"/>
        <v>0.19230769230769229</v>
      </c>
      <c r="E211">
        <f t="shared" si="18"/>
        <v>0.1723076923076923</v>
      </c>
      <c r="F211">
        <f t="shared" si="19"/>
        <v>0.21230769230769228</v>
      </c>
    </row>
    <row r="212" spans="1:6" x14ac:dyDescent="0.25">
      <c r="A212">
        <v>1.0349999999999999</v>
      </c>
      <c r="B212">
        <f t="shared" si="17"/>
        <v>0.1723076923076923</v>
      </c>
      <c r="C212">
        <f t="shared" si="15"/>
        <v>0.21230769230769228</v>
      </c>
      <c r="D212">
        <f t="shared" si="16"/>
        <v>0.19230769230769229</v>
      </c>
      <c r="E212">
        <f t="shared" si="18"/>
        <v>0.1723076923076923</v>
      </c>
      <c r="F212">
        <f t="shared" si="19"/>
        <v>0.21230769230769228</v>
      </c>
    </row>
    <row r="213" spans="1:6" x14ac:dyDescent="0.25">
      <c r="A213">
        <v>1.04</v>
      </c>
      <c r="B213">
        <f t="shared" si="17"/>
        <v>0.1723076923076923</v>
      </c>
      <c r="C213">
        <f t="shared" si="15"/>
        <v>0.21230769230769228</v>
      </c>
      <c r="D213">
        <f t="shared" si="16"/>
        <v>0.19230769230769229</v>
      </c>
      <c r="E213">
        <f t="shared" si="18"/>
        <v>0.1723076923076923</v>
      </c>
      <c r="F213">
        <f t="shared" si="19"/>
        <v>0.21230769230769228</v>
      </c>
    </row>
    <row r="214" spans="1:6" x14ac:dyDescent="0.25">
      <c r="A214">
        <v>1.0449999999999999</v>
      </c>
      <c r="B214">
        <f t="shared" si="17"/>
        <v>0.1723076923076923</v>
      </c>
      <c r="C214">
        <f t="shared" si="15"/>
        <v>0.21230769230769228</v>
      </c>
      <c r="D214">
        <f t="shared" si="16"/>
        <v>0.19230769230769229</v>
      </c>
      <c r="E214">
        <f t="shared" si="18"/>
        <v>0.1723076923076923</v>
      </c>
      <c r="F214">
        <f t="shared" si="19"/>
        <v>0.21230769230769228</v>
      </c>
    </row>
    <row r="215" spans="1:6" x14ac:dyDescent="0.25">
      <c r="A215">
        <v>1.05</v>
      </c>
      <c r="B215">
        <f t="shared" si="17"/>
        <v>0.1723076923076923</v>
      </c>
      <c r="C215">
        <f t="shared" si="15"/>
        <v>0.21230769230769228</v>
      </c>
      <c r="D215">
        <f t="shared" si="16"/>
        <v>0.19230769230769229</v>
      </c>
      <c r="E215">
        <f t="shared" si="18"/>
        <v>0.1723076923076923</v>
      </c>
      <c r="F215">
        <f t="shared" si="19"/>
        <v>0.21230769230769228</v>
      </c>
    </row>
    <row r="216" spans="1:6" x14ac:dyDescent="0.25">
      <c r="A216">
        <v>1.0549999999999999</v>
      </c>
      <c r="B216">
        <f t="shared" si="17"/>
        <v>0.1723076923076923</v>
      </c>
      <c r="C216">
        <f t="shared" si="15"/>
        <v>0.21230769230769228</v>
      </c>
      <c r="D216">
        <f t="shared" si="16"/>
        <v>0.19230769230769229</v>
      </c>
      <c r="E216">
        <f t="shared" si="18"/>
        <v>0.1723076923076923</v>
      </c>
      <c r="F216">
        <f t="shared" si="19"/>
        <v>0.21230769230769228</v>
      </c>
    </row>
    <row r="217" spans="1:6" x14ac:dyDescent="0.25">
      <c r="A217">
        <v>1.06</v>
      </c>
      <c r="B217">
        <f t="shared" si="17"/>
        <v>0.1723076923076923</v>
      </c>
      <c r="C217">
        <f t="shared" si="15"/>
        <v>0.21230769230769228</v>
      </c>
      <c r="D217">
        <f t="shared" si="16"/>
        <v>0.19230769230769229</v>
      </c>
      <c r="E217">
        <f t="shared" si="18"/>
        <v>0.1723076923076923</v>
      </c>
      <c r="F217">
        <f t="shared" si="19"/>
        <v>0.21230769230769228</v>
      </c>
    </row>
    <row r="218" spans="1:6" x14ac:dyDescent="0.25">
      <c r="A218">
        <v>1.0649999999999999</v>
      </c>
      <c r="B218">
        <f t="shared" si="17"/>
        <v>0.1723076923076923</v>
      </c>
      <c r="C218">
        <f t="shared" si="15"/>
        <v>0.21230769230769228</v>
      </c>
      <c r="D218">
        <f t="shared" si="16"/>
        <v>0.19230769230769229</v>
      </c>
      <c r="E218">
        <f t="shared" si="18"/>
        <v>0.1723076923076923</v>
      </c>
      <c r="F218">
        <f t="shared" si="19"/>
        <v>0.21230769230769228</v>
      </c>
    </row>
    <row r="219" spans="1:6" x14ac:dyDescent="0.25">
      <c r="A219">
        <v>1.07</v>
      </c>
      <c r="B219">
        <f t="shared" si="17"/>
        <v>0.1723076923076923</v>
      </c>
      <c r="C219">
        <f t="shared" si="15"/>
        <v>0.21230769230769228</v>
      </c>
      <c r="D219">
        <f t="shared" si="16"/>
        <v>0.19230769230769229</v>
      </c>
      <c r="E219">
        <f t="shared" si="18"/>
        <v>0.1723076923076923</v>
      </c>
      <c r="F219">
        <f t="shared" si="19"/>
        <v>0.21230769230769228</v>
      </c>
    </row>
    <row r="220" spans="1:6" x14ac:dyDescent="0.25">
      <c r="A220">
        <v>1.075</v>
      </c>
      <c r="B220">
        <f t="shared" si="17"/>
        <v>0.1723076923076923</v>
      </c>
      <c r="C220">
        <f t="shared" si="15"/>
        <v>0.21230769230769228</v>
      </c>
      <c r="D220">
        <f t="shared" si="16"/>
        <v>0.19230769230769229</v>
      </c>
      <c r="E220">
        <f t="shared" si="18"/>
        <v>0.1723076923076923</v>
      </c>
      <c r="F220">
        <f t="shared" si="19"/>
        <v>0.21230769230769228</v>
      </c>
    </row>
    <row r="221" spans="1:6" x14ac:dyDescent="0.25">
      <c r="A221">
        <v>1.08</v>
      </c>
      <c r="B221">
        <f t="shared" si="17"/>
        <v>0.1723076923076923</v>
      </c>
      <c r="C221">
        <f t="shared" si="15"/>
        <v>0.21230769230769228</v>
      </c>
      <c r="D221">
        <f t="shared" si="16"/>
        <v>0.19230769230769229</v>
      </c>
      <c r="E221">
        <f t="shared" si="18"/>
        <v>0.1723076923076923</v>
      </c>
      <c r="F221">
        <f t="shared" si="19"/>
        <v>0.21230769230769228</v>
      </c>
    </row>
    <row r="222" spans="1:6" x14ac:dyDescent="0.25">
      <c r="A222">
        <v>1.085</v>
      </c>
      <c r="B222">
        <f t="shared" si="17"/>
        <v>0.1723076923076923</v>
      </c>
      <c r="C222">
        <f t="shared" si="15"/>
        <v>0.21230769230769228</v>
      </c>
      <c r="D222">
        <f t="shared" si="16"/>
        <v>0.19230769230769229</v>
      </c>
      <c r="E222">
        <f t="shared" si="18"/>
        <v>0.1723076923076923</v>
      </c>
      <c r="F222">
        <f t="shared" si="19"/>
        <v>0.21230769230769228</v>
      </c>
    </row>
    <row r="223" spans="1:6" x14ac:dyDescent="0.25">
      <c r="A223">
        <v>1.0900000000000001</v>
      </c>
      <c r="B223">
        <f t="shared" si="17"/>
        <v>0.1723076923076923</v>
      </c>
      <c r="C223">
        <f t="shared" si="15"/>
        <v>0.21230769230769228</v>
      </c>
      <c r="D223">
        <f t="shared" si="16"/>
        <v>0.19230769230769229</v>
      </c>
      <c r="E223">
        <f t="shared" si="18"/>
        <v>0.1723076923076923</v>
      </c>
      <c r="F223">
        <f t="shared" si="19"/>
        <v>0.21230769230769228</v>
      </c>
    </row>
    <row r="224" spans="1:6" x14ac:dyDescent="0.25">
      <c r="A224">
        <v>1.095</v>
      </c>
      <c r="B224">
        <f t="shared" si="17"/>
        <v>0.1723076923076923</v>
      </c>
      <c r="C224">
        <f t="shared" si="15"/>
        <v>0.21230769230769228</v>
      </c>
      <c r="D224">
        <f t="shared" si="16"/>
        <v>0.19230769230769229</v>
      </c>
      <c r="E224">
        <f t="shared" si="18"/>
        <v>0.1723076923076923</v>
      </c>
      <c r="F224">
        <f t="shared" si="19"/>
        <v>0.21230769230769228</v>
      </c>
    </row>
    <row r="225" spans="1:6" x14ac:dyDescent="0.25">
      <c r="A225">
        <v>1.1000000000000001</v>
      </c>
      <c r="B225">
        <f t="shared" si="17"/>
        <v>0.1723076923076923</v>
      </c>
      <c r="C225">
        <f t="shared" si="15"/>
        <v>0.21230769230769228</v>
      </c>
      <c r="D225">
        <f t="shared" si="16"/>
        <v>0.19230769230769229</v>
      </c>
      <c r="E225">
        <f t="shared" si="18"/>
        <v>0.1723076923076923</v>
      </c>
      <c r="F225">
        <f t="shared" si="19"/>
        <v>0.21230769230769228</v>
      </c>
    </row>
    <row r="226" spans="1:6" x14ac:dyDescent="0.25">
      <c r="A226">
        <v>1.105</v>
      </c>
      <c r="B226">
        <f t="shared" si="17"/>
        <v>0.1723076923076923</v>
      </c>
      <c r="C226">
        <f t="shared" si="15"/>
        <v>0.21230769230769228</v>
      </c>
      <c r="D226">
        <f t="shared" si="16"/>
        <v>0.19230769230769229</v>
      </c>
      <c r="E226">
        <f t="shared" si="18"/>
        <v>0.1723076923076923</v>
      </c>
      <c r="F226">
        <f t="shared" si="19"/>
        <v>0.21230769230769228</v>
      </c>
    </row>
    <row r="227" spans="1:6" x14ac:dyDescent="0.25">
      <c r="A227">
        <v>1.1100000000000001</v>
      </c>
      <c r="B227">
        <f t="shared" si="17"/>
        <v>0.1723076923076923</v>
      </c>
      <c r="C227">
        <f t="shared" si="15"/>
        <v>0.21230769230769228</v>
      </c>
      <c r="D227">
        <f t="shared" si="16"/>
        <v>0.19230769230769229</v>
      </c>
      <c r="E227">
        <f t="shared" si="18"/>
        <v>0.1723076923076923</v>
      </c>
      <c r="F227">
        <f t="shared" si="19"/>
        <v>0.21230769230769228</v>
      </c>
    </row>
    <row r="228" spans="1:6" x14ac:dyDescent="0.25">
      <c r="A228">
        <v>1.115</v>
      </c>
      <c r="B228">
        <f t="shared" si="17"/>
        <v>0.1723076923076923</v>
      </c>
      <c r="C228">
        <f t="shared" si="15"/>
        <v>0.21230769230769228</v>
      </c>
      <c r="D228">
        <f t="shared" si="16"/>
        <v>0.19230769230769229</v>
      </c>
      <c r="E228">
        <f t="shared" si="18"/>
        <v>0.1723076923076923</v>
      </c>
      <c r="F228">
        <f t="shared" si="19"/>
        <v>0.21230769230769228</v>
      </c>
    </row>
    <row r="229" spans="1:6" x14ac:dyDescent="0.25">
      <c r="A229">
        <v>1.1200000000000001</v>
      </c>
      <c r="B229">
        <f t="shared" si="17"/>
        <v>0.1723076923076923</v>
      </c>
      <c r="C229">
        <f t="shared" si="15"/>
        <v>0.21230769230769228</v>
      </c>
      <c r="D229">
        <f t="shared" si="16"/>
        <v>0.19230769230769229</v>
      </c>
      <c r="E229">
        <f t="shared" si="18"/>
        <v>0.1723076923076923</v>
      </c>
      <c r="F229">
        <f t="shared" si="19"/>
        <v>0.21230769230769228</v>
      </c>
    </row>
    <row r="230" spans="1:6" x14ac:dyDescent="0.25">
      <c r="A230">
        <v>1.125</v>
      </c>
      <c r="B230">
        <f t="shared" si="17"/>
        <v>0.1723076923076923</v>
      </c>
      <c r="C230">
        <f t="shared" si="15"/>
        <v>0.21230769230769228</v>
      </c>
      <c r="D230">
        <f t="shared" si="16"/>
        <v>0.19230769230769229</v>
      </c>
      <c r="E230">
        <f t="shared" si="18"/>
        <v>0.1723076923076923</v>
      </c>
      <c r="F230">
        <f t="shared" si="19"/>
        <v>0.21230769230769228</v>
      </c>
    </row>
    <row r="231" spans="1:6" x14ac:dyDescent="0.25">
      <c r="A231">
        <v>1.1299999999999999</v>
      </c>
      <c r="B231">
        <f t="shared" si="17"/>
        <v>0.1723076923076923</v>
      </c>
      <c r="C231">
        <f t="shared" si="15"/>
        <v>0.21230769230769228</v>
      </c>
      <c r="D231">
        <f t="shared" si="16"/>
        <v>0.19230769230769229</v>
      </c>
      <c r="E231">
        <f t="shared" si="18"/>
        <v>0.1723076923076923</v>
      </c>
      <c r="F231">
        <f t="shared" si="19"/>
        <v>0.21230769230769228</v>
      </c>
    </row>
    <row r="232" spans="1:6" x14ac:dyDescent="0.25">
      <c r="A232">
        <v>1.135</v>
      </c>
      <c r="B232">
        <f t="shared" si="17"/>
        <v>0.1723076923076923</v>
      </c>
      <c r="C232">
        <f t="shared" si="15"/>
        <v>0.21230769230769228</v>
      </c>
      <c r="D232">
        <f t="shared" si="16"/>
        <v>0.19230769230769229</v>
      </c>
      <c r="E232">
        <f t="shared" si="18"/>
        <v>0.1723076923076923</v>
      </c>
      <c r="F232">
        <f t="shared" si="19"/>
        <v>0.21230769230769228</v>
      </c>
    </row>
    <row r="233" spans="1:6" x14ac:dyDescent="0.25">
      <c r="A233">
        <v>1.1399999999999999</v>
      </c>
      <c r="B233">
        <f t="shared" si="17"/>
        <v>0.1723076923076923</v>
      </c>
      <c r="C233">
        <f t="shared" si="15"/>
        <v>0.21230769230769228</v>
      </c>
      <c r="D233">
        <f t="shared" si="16"/>
        <v>0.19230769230769229</v>
      </c>
      <c r="E233">
        <f t="shared" si="18"/>
        <v>0.1723076923076923</v>
      </c>
      <c r="F233">
        <f t="shared" si="19"/>
        <v>0.21230769230769228</v>
      </c>
    </row>
    <row r="234" spans="1:6" x14ac:dyDescent="0.25">
      <c r="A234">
        <v>1.145</v>
      </c>
      <c r="B234">
        <f t="shared" si="17"/>
        <v>0.1723076923076923</v>
      </c>
      <c r="C234">
        <f t="shared" si="15"/>
        <v>0.21230769230769228</v>
      </c>
      <c r="D234">
        <f t="shared" si="16"/>
        <v>0.19230769230769229</v>
      </c>
      <c r="E234">
        <f t="shared" si="18"/>
        <v>0.1723076923076923</v>
      </c>
      <c r="F234">
        <f t="shared" si="19"/>
        <v>0.21230769230769228</v>
      </c>
    </row>
    <row r="235" spans="1:6" x14ac:dyDescent="0.25">
      <c r="A235">
        <v>1.1499999999999999</v>
      </c>
      <c r="B235">
        <f t="shared" si="17"/>
        <v>0.1723076923076923</v>
      </c>
      <c r="C235">
        <f t="shared" si="15"/>
        <v>0.21230769230769228</v>
      </c>
      <c r="D235">
        <f t="shared" si="16"/>
        <v>0.19230769230769229</v>
      </c>
      <c r="E235">
        <f t="shared" si="18"/>
        <v>0.1723076923076923</v>
      </c>
      <c r="F235">
        <f t="shared" si="19"/>
        <v>0.21230769230769228</v>
      </c>
    </row>
    <row r="236" spans="1:6" x14ac:dyDescent="0.25">
      <c r="A236">
        <v>1.155</v>
      </c>
      <c r="B236">
        <f t="shared" si="17"/>
        <v>0.1723076923076923</v>
      </c>
      <c r="C236">
        <f t="shared" si="15"/>
        <v>0.21230769230769228</v>
      </c>
      <c r="D236">
        <f t="shared" si="16"/>
        <v>0.19230769230769229</v>
      </c>
      <c r="E236">
        <f t="shared" si="18"/>
        <v>0.1723076923076923</v>
      </c>
      <c r="F236">
        <f t="shared" si="19"/>
        <v>0.21230769230769228</v>
      </c>
    </row>
    <row r="237" spans="1:6" x14ac:dyDescent="0.25">
      <c r="A237">
        <v>1.1599999999999999</v>
      </c>
      <c r="B237">
        <f t="shared" si="17"/>
        <v>0.1723076923076923</v>
      </c>
      <c r="C237">
        <f t="shared" si="15"/>
        <v>0.21230769230769228</v>
      </c>
      <c r="D237">
        <f t="shared" si="16"/>
        <v>0.19230769230769229</v>
      </c>
      <c r="E237">
        <f t="shared" si="18"/>
        <v>0.1723076923076923</v>
      </c>
      <c r="F237">
        <f t="shared" si="19"/>
        <v>0.21230769230769228</v>
      </c>
    </row>
    <row r="238" spans="1:6" x14ac:dyDescent="0.25">
      <c r="A238">
        <v>1.165</v>
      </c>
      <c r="B238">
        <f t="shared" si="17"/>
        <v>0.1723076923076923</v>
      </c>
      <c r="C238">
        <f t="shared" si="15"/>
        <v>0.21230769230769228</v>
      </c>
      <c r="D238">
        <f t="shared" si="16"/>
        <v>0.19230769230769229</v>
      </c>
      <c r="E238">
        <f t="shared" si="18"/>
        <v>0.1723076923076923</v>
      </c>
      <c r="F238">
        <f t="shared" si="19"/>
        <v>0.21230769230769228</v>
      </c>
    </row>
    <row r="239" spans="1:6" x14ac:dyDescent="0.25">
      <c r="A239">
        <v>1.17</v>
      </c>
      <c r="B239">
        <f t="shared" si="17"/>
        <v>0.1723076923076923</v>
      </c>
      <c r="C239">
        <f t="shared" si="15"/>
        <v>0.21230769230769228</v>
      </c>
      <c r="D239">
        <f t="shared" si="16"/>
        <v>0.19230769230769229</v>
      </c>
      <c r="E239">
        <f t="shared" si="18"/>
        <v>0.1723076923076923</v>
      </c>
      <c r="F239">
        <f t="shared" si="19"/>
        <v>0.21230769230769228</v>
      </c>
    </row>
    <row r="240" spans="1:6" x14ac:dyDescent="0.25">
      <c r="A240">
        <v>1.175</v>
      </c>
      <c r="B240">
        <f t="shared" si="17"/>
        <v>0.1723076923076923</v>
      </c>
      <c r="C240">
        <f t="shared" si="15"/>
        <v>0.21230769230769228</v>
      </c>
      <c r="D240">
        <f t="shared" si="16"/>
        <v>0.19230769230769229</v>
      </c>
      <c r="E240">
        <f t="shared" si="18"/>
        <v>0.1723076923076923</v>
      </c>
      <c r="F240">
        <f t="shared" si="19"/>
        <v>0.21230769230769228</v>
      </c>
    </row>
    <row r="241" spans="1:6" x14ac:dyDescent="0.25">
      <c r="A241">
        <v>1.18</v>
      </c>
      <c r="B241">
        <f t="shared" si="17"/>
        <v>0.1723076923076923</v>
      </c>
      <c r="C241">
        <f t="shared" si="15"/>
        <v>0.21230769230769228</v>
      </c>
      <c r="D241">
        <f t="shared" si="16"/>
        <v>0.19230769230769229</v>
      </c>
      <c r="E241">
        <f t="shared" si="18"/>
        <v>0.1723076923076923</v>
      </c>
      <c r="F241">
        <f t="shared" si="19"/>
        <v>0.21230769230769228</v>
      </c>
    </row>
    <row r="242" spans="1:6" x14ac:dyDescent="0.25">
      <c r="A242">
        <v>1.1850000000000001</v>
      </c>
      <c r="B242">
        <f t="shared" si="17"/>
        <v>0.1723076923076923</v>
      </c>
      <c r="C242">
        <f t="shared" si="15"/>
        <v>0.21230769230769228</v>
      </c>
      <c r="D242">
        <f t="shared" si="16"/>
        <v>0.19230769230769229</v>
      </c>
      <c r="E242">
        <f t="shared" si="18"/>
        <v>0.1723076923076923</v>
      </c>
      <c r="F242">
        <f t="shared" si="19"/>
        <v>0.21230769230769228</v>
      </c>
    </row>
    <row r="243" spans="1:6" x14ac:dyDescent="0.25">
      <c r="A243">
        <v>1.19</v>
      </c>
      <c r="B243">
        <f t="shared" si="17"/>
        <v>0.1723076923076923</v>
      </c>
      <c r="C243">
        <f t="shared" si="15"/>
        <v>0.21230769230769228</v>
      </c>
      <c r="D243">
        <f t="shared" si="16"/>
        <v>0.19230769230769229</v>
      </c>
      <c r="E243">
        <f t="shared" si="18"/>
        <v>0.1723076923076923</v>
      </c>
      <c r="F243">
        <f t="shared" si="19"/>
        <v>0.21230769230769228</v>
      </c>
    </row>
    <row r="244" spans="1:6" x14ac:dyDescent="0.25">
      <c r="A244">
        <v>1.1950000000000001</v>
      </c>
      <c r="B244">
        <f t="shared" si="17"/>
        <v>0.1723076923076923</v>
      </c>
      <c r="C244">
        <f t="shared" si="15"/>
        <v>0.21230769230769228</v>
      </c>
      <c r="D244">
        <f t="shared" si="16"/>
        <v>0.19230769230769229</v>
      </c>
      <c r="E244">
        <f t="shared" si="18"/>
        <v>0.1723076923076923</v>
      </c>
      <c r="F244">
        <f t="shared" si="19"/>
        <v>0.21230769230769228</v>
      </c>
    </row>
    <row r="245" spans="1:6" x14ac:dyDescent="0.25">
      <c r="A245">
        <v>1.2</v>
      </c>
      <c r="B245">
        <f t="shared" si="17"/>
        <v>0.1723076923076923</v>
      </c>
      <c r="C245">
        <f t="shared" si="15"/>
        <v>0.21230769230769228</v>
      </c>
      <c r="D245">
        <f t="shared" si="16"/>
        <v>0.19230769230769229</v>
      </c>
      <c r="E245">
        <f t="shared" si="18"/>
        <v>0.1723076923076923</v>
      </c>
      <c r="F245">
        <f t="shared" si="19"/>
        <v>0.21230769230769228</v>
      </c>
    </row>
    <row r="246" spans="1:6" x14ac:dyDescent="0.25">
      <c r="A246">
        <v>1.2050000000000001</v>
      </c>
      <c r="B246">
        <f t="shared" si="17"/>
        <v>0.1723076923076923</v>
      </c>
      <c r="C246">
        <f t="shared" si="15"/>
        <v>0.21230769230769228</v>
      </c>
      <c r="D246">
        <f t="shared" si="16"/>
        <v>0.19230769230769229</v>
      </c>
      <c r="E246">
        <f t="shared" si="18"/>
        <v>0.1723076923076923</v>
      </c>
      <c r="F246">
        <f t="shared" si="19"/>
        <v>0.21230769230769228</v>
      </c>
    </row>
    <row r="247" spans="1:6" x14ac:dyDescent="0.25">
      <c r="A247">
        <v>1.21</v>
      </c>
      <c r="B247">
        <f t="shared" si="17"/>
        <v>0.1723076923076923</v>
      </c>
      <c r="C247">
        <f t="shared" si="15"/>
        <v>0.21230769230769228</v>
      </c>
      <c r="D247">
        <f t="shared" si="16"/>
        <v>0.19230769230769229</v>
      </c>
      <c r="E247">
        <f t="shared" si="18"/>
        <v>0.1723076923076923</v>
      </c>
      <c r="F247">
        <f t="shared" si="19"/>
        <v>0.21230769230769228</v>
      </c>
    </row>
    <row r="248" spans="1:6" x14ac:dyDescent="0.25">
      <c r="A248">
        <v>1.2150000000000001</v>
      </c>
      <c r="B248">
        <f t="shared" si="17"/>
        <v>0.1723076923076923</v>
      </c>
      <c r="C248">
        <f t="shared" si="15"/>
        <v>0.21230769230769228</v>
      </c>
      <c r="D248">
        <f t="shared" si="16"/>
        <v>0.19230769230769229</v>
      </c>
      <c r="E248">
        <f t="shared" si="18"/>
        <v>0.1723076923076923</v>
      </c>
      <c r="F248">
        <f t="shared" si="19"/>
        <v>0.21230769230769228</v>
      </c>
    </row>
    <row r="249" spans="1:6" x14ac:dyDescent="0.25">
      <c r="A249">
        <v>1.22</v>
      </c>
      <c r="B249">
        <f t="shared" si="17"/>
        <v>0.1723076923076923</v>
      </c>
      <c r="C249">
        <f t="shared" si="15"/>
        <v>0.21230769230769228</v>
      </c>
      <c r="D249">
        <f t="shared" si="16"/>
        <v>0.19230769230769229</v>
      </c>
      <c r="E249">
        <f t="shared" si="18"/>
        <v>0.1723076923076923</v>
      </c>
      <c r="F249">
        <f t="shared" si="19"/>
        <v>0.21230769230769228</v>
      </c>
    </row>
    <row r="250" spans="1:6" x14ac:dyDescent="0.25">
      <c r="A250">
        <v>1.2250000000000001</v>
      </c>
      <c r="B250">
        <f t="shared" si="17"/>
        <v>0.1723076923076923</v>
      </c>
      <c r="C250">
        <f t="shared" si="15"/>
        <v>0.21230769230769228</v>
      </c>
      <c r="D250">
        <f t="shared" si="16"/>
        <v>0.19230769230769229</v>
      </c>
      <c r="E250">
        <f t="shared" si="18"/>
        <v>0.1723076923076923</v>
      </c>
      <c r="F250">
        <f t="shared" si="19"/>
        <v>0.21230769230769228</v>
      </c>
    </row>
    <row r="251" spans="1:6" x14ac:dyDescent="0.25">
      <c r="A251">
        <v>1.23</v>
      </c>
      <c r="B251">
        <f t="shared" si="17"/>
        <v>0.1723076923076923</v>
      </c>
      <c r="C251">
        <f t="shared" si="15"/>
        <v>0.21230769230769228</v>
      </c>
      <c r="D251">
        <f t="shared" si="16"/>
        <v>0.19230769230769229</v>
      </c>
      <c r="E251">
        <f t="shared" si="18"/>
        <v>0.1723076923076923</v>
      </c>
      <c r="F251">
        <f t="shared" si="19"/>
        <v>0.21230769230769228</v>
      </c>
    </row>
    <row r="252" spans="1:6" x14ac:dyDescent="0.25">
      <c r="A252">
        <v>1.2350000000000001</v>
      </c>
      <c r="B252">
        <f t="shared" si="17"/>
        <v>0.1723076923076923</v>
      </c>
      <c r="C252">
        <f t="shared" si="15"/>
        <v>0.21230769230769228</v>
      </c>
      <c r="D252">
        <f t="shared" si="16"/>
        <v>0.19230769230769229</v>
      </c>
      <c r="E252">
        <f t="shared" si="18"/>
        <v>0.1723076923076923</v>
      </c>
      <c r="F252">
        <f t="shared" si="19"/>
        <v>0.21230769230769228</v>
      </c>
    </row>
    <row r="253" spans="1:6" x14ac:dyDescent="0.25">
      <c r="A253">
        <v>1.24</v>
      </c>
      <c r="B253">
        <f t="shared" si="17"/>
        <v>0.1723076923076923</v>
      </c>
      <c r="C253">
        <f t="shared" si="15"/>
        <v>0.21230769230769228</v>
      </c>
      <c r="D253">
        <f t="shared" si="16"/>
        <v>0.19230769230769229</v>
      </c>
      <c r="E253">
        <f t="shared" si="18"/>
        <v>0.1723076923076923</v>
      </c>
      <c r="F253">
        <f t="shared" si="19"/>
        <v>0.21230769230769228</v>
      </c>
    </row>
    <row r="254" spans="1:6" x14ac:dyDescent="0.25">
      <c r="A254">
        <v>1.2450000000000001</v>
      </c>
      <c r="B254">
        <f t="shared" si="17"/>
        <v>0.1723076923076923</v>
      </c>
      <c r="C254">
        <f t="shared" si="15"/>
        <v>0.21230769230769228</v>
      </c>
      <c r="D254">
        <f t="shared" si="16"/>
        <v>0.19230769230769229</v>
      </c>
      <c r="E254">
        <f t="shared" si="18"/>
        <v>0.1723076923076923</v>
      </c>
      <c r="F254">
        <f t="shared" si="19"/>
        <v>0.21230769230769228</v>
      </c>
    </row>
    <row r="255" spans="1:6" x14ac:dyDescent="0.25">
      <c r="A255">
        <v>1.25</v>
      </c>
      <c r="B255">
        <f t="shared" si="17"/>
        <v>0.1723076923076923</v>
      </c>
      <c r="C255">
        <f t="shared" si="15"/>
        <v>0.21230769230769228</v>
      </c>
      <c r="D255">
        <f t="shared" si="16"/>
        <v>0.19230769230769229</v>
      </c>
      <c r="E255">
        <f t="shared" si="18"/>
        <v>0.1723076923076923</v>
      </c>
      <c r="F255">
        <f t="shared" si="19"/>
        <v>0.21230769230769228</v>
      </c>
    </row>
    <row r="256" spans="1:6" x14ac:dyDescent="0.25">
      <c r="A256">
        <v>1.2549999999999999</v>
      </c>
      <c r="B256">
        <f t="shared" si="17"/>
        <v>0.1723076923076923</v>
      </c>
      <c r="C256">
        <f t="shared" si="15"/>
        <v>0.21230769230769228</v>
      </c>
      <c r="D256">
        <f t="shared" si="16"/>
        <v>0.19230769230769229</v>
      </c>
      <c r="E256">
        <f t="shared" si="18"/>
        <v>0.1723076923076923</v>
      </c>
      <c r="F256">
        <f t="shared" si="19"/>
        <v>0.21230769230769228</v>
      </c>
    </row>
    <row r="257" spans="1:6" x14ac:dyDescent="0.25">
      <c r="A257">
        <v>1.26</v>
      </c>
      <c r="B257">
        <f t="shared" si="17"/>
        <v>0.1723076923076923</v>
      </c>
      <c r="C257">
        <f t="shared" si="15"/>
        <v>0.21230769230769228</v>
      </c>
      <c r="D257">
        <f t="shared" si="16"/>
        <v>0.19230769230769229</v>
      </c>
      <c r="E257">
        <f t="shared" si="18"/>
        <v>0.1723076923076923</v>
      </c>
      <c r="F257">
        <f t="shared" si="19"/>
        <v>0.21230769230769228</v>
      </c>
    </row>
    <row r="258" spans="1:6" x14ac:dyDescent="0.25">
      <c r="A258">
        <v>1.2649999999999999</v>
      </c>
      <c r="B258">
        <f t="shared" si="17"/>
        <v>0.1723076923076923</v>
      </c>
      <c r="C258">
        <f t="shared" si="15"/>
        <v>0.21230769230769228</v>
      </c>
      <c r="D258">
        <f t="shared" si="16"/>
        <v>0.19230769230769229</v>
      </c>
      <c r="E258">
        <f t="shared" si="18"/>
        <v>0.1723076923076923</v>
      </c>
      <c r="F258">
        <f t="shared" si="19"/>
        <v>0.21230769230769228</v>
      </c>
    </row>
    <row r="259" spans="1:6" x14ac:dyDescent="0.25">
      <c r="A259">
        <v>1.27</v>
      </c>
      <c r="B259">
        <f t="shared" si="17"/>
        <v>0.1723076923076923</v>
      </c>
      <c r="C259">
        <f t="shared" si="15"/>
        <v>0.21230769230769228</v>
      </c>
      <c r="D259">
        <f t="shared" si="16"/>
        <v>0.19230769230769229</v>
      </c>
      <c r="E259">
        <f t="shared" si="18"/>
        <v>0.1723076923076923</v>
      </c>
      <c r="F259">
        <f t="shared" si="19"/>
        <v>0.21230769230769228</v>
      </c>
    </row>
    <row r="260" spans="1:6" x14ac:dyDescent="0.25">
      <c r="A260">
        <v>1.2749999999999999</v>
      </c>
      <c r="B260">
        <f t="shared" si="17"/>
        <v>0.1723076923076923</v>
      </c>
      <c r="C260">
        <f t="shared" si="15"/>
        <v>0.21230769230769228</v>
      </c>
      <c r="D260">
        <f t="shared" si="16"/>
        <v>0.19230769230769229</v>
      </c>
      <c r="E260">
        <f t="shared" si="18"/>
        <v>0.1723076923076923</v>
      </c>
      <c r="F260">
        <f t="shared" si="19"/>
        <v>0.21230769230769228</v>
      </c>
    </row>
    <row r="261" spans="1:6" x14ac:dyDescent="0.25">
      <c r="A261">
        <v>1.28</v>
      </c>
      <c r="B261">
        <f t="shared" si="17"/>
        <v>0.1723076923076923</v>
      </c>
      <c r="C261">
        <f t="shared" ref="C261:C268" si="20">IF(A261&lt;ttunnel,Q0+DeltaIQ+Marge_haute*DeltaIQ*(EXP(-A261/(ttunnel/3)))+tunnel,Q0+tunnel+DeltaIQ)</f>
        <v>0.21230769230769228</v>
      </c>
      <c r="D261">
        <f t="shared" si="16"/>
        <v>0.19230769230769229</v>
      </c>
      <c r="E261">
        <f t="shared" si="18"/>
        <v>0.1723076923076923</v>
      </c>
      <c r="F261">
        <f t="shared" si="19"/>
        <v>0.21230769230769228</v>
      </c>
    </row>
    <row r="262" spans="1:6" x14ac:dyDescent="0.25">
      <c r="A262">
        <v>1.2849999999999999</v>
      </c>
      <c r="B262">
        <f t="shared" si="17"/>
        <v>0.1723076923076923</v>
      </c>
      <c r="C262">
        <f t="shared" si="20"/>
        <v>0.21230769230769228</v>
      </c>
      <c r="D262">
        <f t="shared" ref="D262:D268" si="21">Q0+DeltaIQ*(1-EXP(-A262/tau))</f>
        <v>0.19230769230769229</v>
      </c>
      <c r="E262">
        <f t="shared" si="18"/>
        <v>0.1723076923076923</v>
      </c>
      <c r="F262">
        <f t="shared" si="19"/>
        <v>0.21230769230769228</v>
      </c>
    </row>
    <row r="263" spans="1:6" x14ac:dyDescent="0.25">
      <c r="A263">
        <v>1.29</v>
      </c>
      <c r="B263">
        <f t="shared" ref="B263:B326" si="22">IF(SIGN(Vstep)=1,MIN(Q0+DeltaIQ*(1-EXP(-A263/tau)),Q0+DeltaIQ-tunnel),IF(A263&lt;ttunnel,Q0+DeltaIQ+Marge_haute*DeltaIQ*(EXP(-A263/(ttunnel/3)))+tunnel,Q0+tunnel+DeltaIQ))</f>
        <v>0.1723076923076923</v>
      </c>
      <c r="C263">
        <f t="shared" si="20"/>
        <v>0.21230769230769228</v>
      </c>
      <c r="D263">
        <f t="shared" si="21"/>
        <v>0.19230769230769229</v>
      </c>
      <c r="E263">
        <f t="shared" si="18"/>
        <v>0.1723076923076923</v>
      </c>
      <c r="F263">
        <f t="shared" si="19"/>
        <v>0.21230769230769228</v>
      </c>
    </row>
    <row r="264" spans="1:6" x14ac:dyDescent="0.25">
      <c r="A264">
        <v>1.2949999999999999</v>
      </c>
      <c r="B264">
        <f t="shared" si="22"/>
        <v>0.1723076923076923</v>
      </c>
      <c r="C264">
        <f t="shared" si="20"/>
        <v>0.21230769230769228</v>
      </c>
      <c r="D264">
        <f t="shared" si="21"/>
        <v>0.19230769230769229</v>
      </c>
      <c r="E264">
        <f t="shared" si="18"/>
        <v>0.1723076923076923</v>
      </c>
      <c r="F264">
        <f t="shared" si="19"/>
        <v>0.21230769230769228</v>
      </c>
    </row>
    <row r="265" spans="1:6" x14ac:dyDescent="0.25">
      <c r="A265">
        <v>1.3</v>
      </c>
      <c r="B265">
        <f t="shared" si="22"/>
        <v>0.1723076923076923</v>
      </c>
      <c r="C265">
        <f t="shared" si="20"/>
        <v>0.21230769230769228</v>
      </c>
      <c r="D265">
        <f t="shared" si="21"/>
        <v>0.19230769230769229</v>
      </c>
      <c r="E265">
        <f t="shared" ref="E265:E328" si="23">IF(EMT_simulation,B261,B265)</f>
        <v>0.1723076923076923</v>
      </c>
      <c r="F265">
        <f t="shared" ref="F265:F328" si="24">IF(EMT_simulation,C261,C265)</f>
        <v>0.21230769230769228</v>
      </c>
    </row>
    <row r="266" spans="1:6" x14ac:dyDescent="0.25">
      <c r="A266">
        <v>1.3049999999999999</v>
      </c>
      <c r="B266">
        <f t="shared" si="22"/>
        <v>0.1723076923076923</v>
      </c>
      <c r="C266">
        <f t="shared" si="20"/>
        <v>0.21230769230769228</v>
      </c>
      <c r="D266">
        <f t="shared" si="21"/>
        <v>0.19230769230769229</v>
      </c>
      <c r="E266">
        <f t="shared" si="23"/>
        <v>0.1723076923076923</v>
      </c>
      <c r="F266">
        <f t="shared" si="24"/>
        <v>0.21230769230769228</v>
      </c>
    </row>
    <row r="267" spans="1:6" x14ac:dyDescent="0.25">
      <c r="A267">
        <v>1.31</v>
      </c>
      <c r="B267">
        <f t="shared" si="22"/>
        <v>0.1723076923076923</v>
      </c>
      <c r="C267">
        <f t="shared" si="20"/>
        <v>0.21230769230769228</v>
      </c>
      <c r="D267">
        <f t="shared" si="21"/>
        <v>0.19230769230769229</v>
      </c>
      <c r="E267">
        <f t="shared" si="23"/>
        <v>0.1723076923076923</v>
      </c>
      <c r="F267">
        <f t="shared" si="24"/>
        <v>0.21230769230769228</v>
      </c>
    </row>
    <row r="268" spans="1:6" x14ac:dyDescent="0.25">
      <c r="A268">
        <v>1.3149999999999999</v>
      </c>
      <c r="B268">
        <f t="shared" si="22"/>
        <v>0.1723076923076923</v>
      </c>
      <c r="C268">
        <f t="shared" si="20"/>
        <v>0.21230769230769228</v>
      </c>
      <c r="D268">
        <f t="shared" si="21"/>
        <v>0.19230769230769229</v>
      </c>
      <c r="E268">
        <f t="shared" si="23"/>
        <v>0.1723076923076923</v>
      </c>
      <c r="F268">
        <f t="shared" si="24"/>
        <v>0.21230769230769228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odule1.Export_CSV_amplitude">
                <anchor moveWithCells="1" sizeWithCells="1">
                  <from>
                    <xdr:col>11</xdr:col>
                    <xdr:colOff>400050</xdr:colOff>
                    <xdr:row>2</xdr:row>
                    <xdr:rowOff>28575</xdr:rowOff>
                  </from>
                  <to>
                    <xdr:col>14</xdr:col>
                    <xdr:colOff>285750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9B888-980F-467D-B5F7-ABF6EA643A62}">
  <sheetPr codeName="Feuil7"/>
  <dimension ref="A1:C265"/>
  <sheetViews>
    <sheetView workbookViewId="0">
      <selection activeCell="K13" sqref="K13"/>
    </sheetView>
  </sheetViews>
  <sheetFormatPr baseColWidth="10" defaultRowHeight="15" x14ac:dyDescent="0.25"/>
  <sheetData>
    <row r="1" spans="1:3" x14ac:dyDescent="0.25">
      <c r="A1" t="str">
        <f>'Amplitude Jump'!A4</f>
        <v>Time</v>
      </c>
      <c r="B1" t="str">
        <f>'Amplitude Jump'!B4</f>
        <v>Qmin</v>
      </c>
      <c r="C1" t="str">
        <f>'Amplitude Jump'!C4</f>
        <v>Qmax</v>
      </c>
    </row>
    <row r="2" spans="1:3" x14ac:dyDescent="0.25">
      <c r="A2">
        <f>'Amplitude Jump'!A5</f>
        <v>0</v>
      </c>
      <c r="B2">
        <f>'Amplitude Jump'!E5</f>
        <v>0</v>
      </c>
      <c r="C2">
        <f>'Amplitude Jump'!F5</f>
        <v>0.26999999999999996</v>
      </c>
    </row>
    <row r="3" spans="1:3" x14ac:dyDescent="0.25">
      <c r="A3">
        <f>'Amplitude Jump'!A6</f>
        <v>5.0000000000000001E-3</v>
      </c>
      <c r="B3">
        <f>'Amplitude Jump'!E6</f>
        <v>0</v>
      </c>
      <c r="C3">
        <f>'Amplitude Jump'!F6</f>
        <v>0.26999999999999996</v>
      </c>
    </row>
    <row r="4" spans="1:3" x14ac:dyDescent="0.25">
      <c r="A4">
        <f>'Amplitude Jump'!A7</f>
        <v>0.01</v>
      </c>
      <c r="B4">
        <f>'Amplitude Jump'!E7</f>
        <v>0</v>
      </c>
      <c r="C4">
        <f>'Amplitude Jump'!F7</f>
        <v>0.26999999999999996</v>
      </c>
    </row>
    <row r="5" spans="1:3" x14ac:dyDescent="0.25">
      <c r="A5">
        <f>'Amplitude Jump'!A8</f>
        <v>1.4999999999999999E-2</v>
      </c>
      <c r="B5">
        <f>'Amplitude Jump'!E8</f>
        <v>0</v>
      </c>
      <c r="C5">
        <f>'Amplitude Jump'!F8</f>
        <v>0.26999999999999996</v>
      </c>
    </row>
    <row r="6" spans="1:3" x14ac:dyDescent="0.25">
      <c r="A6">
        <f>'Amplitude Jump'!A9</f>
        <v>0.02</v>
      </c>
      <c r="B6">
        <f>'Amplitude Jump'!E9</f>
        <v>0</v>
      </c>
      <c r="C6">
        <f>'Amplitude Jump'!F9</f>
        <v>0.26999999999999996</v>
      </c>
    </row>
    <row r="7" spans="1:3" x14ac:dyDescent="0.25">
      <c r="A7">
        <f>'Amplitude Jump'!A10</f>
        <v>2.5000000000000001E-2</v>
      </c>
      <c r="B7">
        <f>'Amplitude Jump'!E10</f>
        <v>0</v>
      </c>
      <c r="C7">
        <f>'Amplitude Jump'!F10</f>
        <v>0.25723850671565796</v>
      </c>
    </row>
    <row r="8" spans="1:3" x14ac:dyDescent="0.25">
      <c r="A8">
        <f>'Amplitude Jump'!A11</f>
        <v>0.03</v>
      </c>
      <c r="B8">
        <f>'Amplitude Jump'!E11</f>
        <v>0.1723076923076923</v>
      </c>
      <c r="C8">
        <f>'Amplitude Jump'!F11</f>
        <v>0.2472998457526519</v>
      </c>
    </row>
    <row r="9" spans="1:3" x14ac:dyDescent="0.25">
      <c r="A9">
        <f>'Amplitude Jump'!A12</f>
        <v>3.5000000000000003E-2</v>
      </c>
      <c r="B9">
        <f>'Amplitude Jump'!E12</f>
        <v>0.1723076923076923</v>
      </c>
      <c r="C9">
        <f>'Amplitude Jump'!F12</f>
        <v>0.23955960881198157</v>
      </c>
    </row>
    <row r="10" spans="1:3" x14ac:dyDescent="0.25">
      <c r="A10">
        <f>'Amplitude Jump'!A13</f>
        <v>0.04</v>
      </c>
      <c r="B10">
        <f>'Amplitude Jump'!E13</f>
        <v>0.1723076923076923</v>
      </c>
      <c r="C10">
        <f>'Amplitude Jump'!F13</f>
        <v>0.23353150622142935</v>
      </c>
    </row>
    <row r="11" spans="1:3" x14ac:dyDescent="0.25">
      <c r="A11">
        <f>'Amplitude Jump'!A14</f>
        <v>4.4999999999999998E-2</v>
      </c>
      <c r="B11">
        <f>'Amplitude Jump'!E14</f>
        <v>0.1723076923076923</v>
      </c>
      <c r="C11">
        <f>'Amplitude Jump'!F14</f>
        <v>0.22883681520347246</v>
      </c>
    </row>
    <row r="12" spans="1:3" x14ac:dyDescent="0.25">
      <c r="A12">
        <f>'Amplitude Jump'!A15</f>
        <v>0.05</v>
      </c>
      <c r="B12">
        <f>'Amplitude Jump'!E15</f>
        <v>0.1723076923076923</v>
      </c>
      <c r="C12">
        <f>'Amplitude Jump'!F15</f>
        <v>0.22518058616240938</v>
      </c>
    </row>
    <row r="13" spans="1:3" x14ac:dyDescent="0.25">
      <c r="A13">
        <f>'Amplitude Jump'!A16</f>
        <v>5.5E-2</v>
      </c>
      <c r="B13">
        <f>'Amplitude Jump'!E16</f>
        <v>0.1723076923076923</v>
      </c>
      <c r="C13">
        <f>'Amplitude Jump'!F16</f>
        <v>0.22233311212214105</v>
      </c>
    </row>
    <row r="14" spans="1:3" x14ac:dyDescent="0.25">
      <c r="A14">
        <f>'Amplitude Jump'!A17</f>
        <v>0.06</v>
      </c>
      <c r="B14">
        <f>'Amplitude Jump'!E17</f>
        <v>0.1723076923076923</v>
      </c>
      <c r="C14">
        <f>'Amplitude Jump'!F17</f>
        <v>0.22011549710980455</v>
      </c>
    </row>
    <row r="15" spans="1:3" x14ac:dyDescent="0.25">
      <c r="A15">
        <f>'Amplitude Jump'!A18</f>
        <v>6.5000000000000002E-2</v>
      </c>
      <c r="B15">
        <f>'Amplitude Jump'!E18</f>
        <v>0.1723076923076923</v>
      </c>
      <c r="C15">
        <f>'Amplitude Jump'!F18</f>
        <v>0.218388416801646</v>
      </c>
    </row>
    <row r="16" spans="1:3" x14ac:dyDescent="0.25">
      <c r="A16">
        <f>'Amplitude Jump'!A19</f>
        <v>7.0000000000000007E-2</v>
      </c>
      <c r="B16">
        <f>'Amplitude Jump'!E19</f>
        <v>0.1723076923076923</v>
      </c>
      <c r="C16">
        <f>'Amplitude Jump'!F19</f>
        <v>0.21704336530522492</v>
      </c>
    </row>
    <row r="17" spans="1:3" x14ac:dyDescent="0.25">
      <c r="A17">
        <f>'Amplitude Jump'!A20</f>
        <v>7.4999999999999997E-2</v>
      </c>
      <c r="B17">
        <f>'Amplitude Jump'!E20</f>
        <v>0.1723076923076923</v>
      </c>
      <c r="C17">
        <f>'Amplitude Jump'!F20</f>
        <v>0.2159958381465408</v>
      </c>
    </row>
    <row r="18" spans="1:3" x14ac:dyDescent="0.25">
      <c r="A18">
        <f>'Amplitude Jump'!A21</f>
        <v>0.08</v>
      </c>
      <c r="B18">
        <f>'Amplitude Jump'!E21</f>
        <v>0.1723076923076923</v>
      </c>
      <c r="C18">
        <f>'Amplitude Jump'!F21</f>
        <v>0.21230769230769228</v>
      </c>
    </row>
    <row r="19" spans="1:3" x14ac:dyDescent="0.25">
      <c r="A19">
        <f>'Amplitude Jump'!A22</f>
        <v>8.5000000000000006E-2</v>
      </c>
      <c r="B19">
        <f>'Amplitude Jump'!E22</f>
        <v>0.1723076923076923</v>
      </c>
      <c r="C19">
        <f>'Amplitude Jump'!F22</f>
        <v>0.21230769230769228</v>
      </c>
    </row>
    <row r="20" spans="1:3" x14ac:dyDescent="0.25">
      <c r="A20">
        <f>'Amplitude Jump'!A23</f>
        <v>0.09</v>
      </c>
      <c r="B20">
        <f>'Amplitude Jump'!E23</f>
        <v>0.1723076923076923</v>
      </c>
      <c r="C20">
        <f>'Amplitude Jump'!F23</f>
        <v>0.21230769230769228</v>
      </c>
    </row>
    <row r="21" spans="1:3" x14ac:dyDescent="0.25">
      <c r="A21">
        <f>'Amplitude Jump'!A24</f>
        <v>9.5000000000000001E-2</v>
      </c>
      <c r="B21">
        <f>'Amplitude Jump'!E24</f>
        <v>0.1723076923076923</v>
      </c>
      <c r="C21">
        <f>'Amplitude Jump'!F24</f>
        <v>0.21230769230769228</v>
      </c>
    </row>
    <row r="22" spans="1:3" x14ac:dyDescent="0.25">
      <c r="A22">
        <f>'Amplitude Jump'!A25</f>
        <v>0.1</v>
      </c>
      <c r="B22">
        <f>'Amplitude Jump'!E25</f>
        <v>0.1723076923076923</v>
      </c>
      <c r="C22">
        <f>'Amplitude Jump'!F25</f>
        <v>0.21230769230769228</v>
      </c>
    </row>
    <row r="23" spans="1:3" x14ac:dyDescent="0.25">
      <c r="A23">
        <f>'Amplitude Jump'!A26</f>
        <v>0.105</v>
      </c>
      <c r="B23">
        <f>'Amplitude Jump'!E26</f>
        <v>0.1723076923076923</v>
      </c>
      <c r="C23">
        <f>'Amplitude Jump'!F26</f>
        <v>0.21230769230769228</v>
      </c>
    </row>
    <row r="24" spans="1:3" x14ac:dyDescent="0.25">
      <c r="A24">
        <f>'Amplitude Jump'!A27</f>
        <v>0.11</v>
      </c>
      <c r="B24">
        <f>'Amplitude Jump'!E27</f>
        <v>0.1723076923076923</v>
      </c>
      <c r="C24">
        <f>'Amplitude Jump'!F27</f>
        <v>0.21230769230769228</v>
      </c>
    </row>
    <row r="25" spans="1:3" x14ac:dyDescent="0.25">
      <c r="A25">
        <f>'Amplitude Jump'!A28</f>
        <v>0.115</v>
      </c>
      <c r="B25">
        <f>'Amplitude Jump'!E28</f>
        <v>0.1723076923076923</v>
      </c>
      <c r="C25">
        <f>'Amplitude Jump'!F28</f>
        <v>0.21230769230769228</v>
      </c>
    </row>
    <row r="26" spans="1:3" x14ac:dyDescent="0.25">
      <c r="A26">
        <f>'Amplitude Jump'!A29</f>
        <v>0.12</v>
      </c>
      <c r="B26">
        <f>'Amplitude Jump'!E29</f>
        <v>0.1723076923076923</v>
      </c>
      <c r="C26">
        <f>'Amplitude Jump'!F29</f>
        <v>0.21230769230769228</v>
      </c>
    </row>
    <row r="27" spans="1:3" x14ac:dyDescent="0.25">
      <c r="A27">
        <f>'Amplitude Jump'!A30</f>
        <v>0.125</v>
      </c>
      <c r="B27">
        <f>'Amplitude Jump'!E30</f>
        <v>0.1723076923076923</v>
      </c>
      <c r="C27">
        <f>'Amplitude Jump'!F30</f>
        <v>0.21230769230769228</v>
      </c>
    </row>
    <row r="28" spans="1:3" x14ac:dyDescent="0.25">
      <c r="A28">
        <f>'Amplitude Jump'!A31</f>
        <v>0.13</v>
      </c>
      <c r="B28">
        <f>'Amplitude Jump'!E31</f>
        <v>0.1723076923076923</v>
      </c>
      <c r="C28">
        <f>'Amplitude Jump'!F31</f>
        <v>0.21230769230769228</v>
      </c>
    </row>
    <row r="29" spans="1:3" x14ac:dyDescent="0.25">
      <c r="A29">
        <f>'Amplitude Jump'!A32</f>
        <v>0.13500000000000001</v>
      </c>
      <c r="B29">
        <f>'Amplitude Jump'!E32</f>
        <v>0.1723076923076923</v>
      </c>
      <c r="C29">
        <f>'Amplitude Jump'!F32</f>
        <v>0.21230769230769228</v>
      </c>
    </row>
    <row r="30" spans="1:3" x14ac:dyDescent="0.25">
      <c r="A30">
        <f>'Amplitude Jump'!A33</f>
        <v>0.14000000000000001</v>
      </c>
      <c r="B30">
        <f>'Amplitude Jump'!E33</f>
        <v>0.1723076923076923</v>
      </c>
      <c r="C30">
        <f>'Amplitude Jump'!F33</f>
        <v>0.21230769230769228</v>
      </c>
    </row>
    <row r="31" spans="1:3" x14ac:dyDescent="0.25">
      <c r="A31">
        <f>'Amplitude Jump'!A34</f>
        <v>0.14499999999999999</v>
      </c>
      <c r="B31">
        <f>'Amplitude Jump'!E34</f>
        <v>0.1723076923076923</v>
      </c>
      <c r="C31">
        <f>'Amplitude Jump'!F34</f>
        <v>0.21230769230769228</v>
      </c>
    </row>
    <row r="32" spans="1:3" x14ac:dyDescent="0.25">
      <c r="A32">
        <f>'Amplitude Jump'!A35</f>
        <v>0.15</v>
      </c>
      <c r="B32">
        <f>'Amplitude Jump'!E35</f>
        <v>0.1723076923076923</v>
      </c>
      <c r="C32">
        <f>'Amplitude Jump'!F35</f>
        <v>0.21230769230769228</v>
      </c>
    </row>
    <row r="33" spans="1:3" x14ac:dyDescent="0.25">
      <c r="A33">
        <f>'Amplitude Jump'!A36</f>
        <v>0.155</v>
      </c>
      <c r="B33">
        <f>'Amplitude Jump'!E36</f>
        <v>0.1723076923076923</v>
      </c>
      <c r="C33">
        <f>'Amplitude Jump'!F36</f>
        <v>0.21230769230769228</v>
      </c>
    </row>
    <row r="34" spans="1:3" x14ac:dyDescent="0.25">
      <c r="A34">
        <f>'Amplitude Jump'!A37</f>
        <v>0.16</v>
      </c>
      <c r="B34">
        <f>'Amplitude Jump'!E37</f>
        <v>0.1723076923076923</v>
      </c>
      <c r="C34">
        <f>'Amplitude Jump'!F37</f>
        <v>0.21230769230769228</v>
      </c>
    </row>
    <row r="35" spans="1:3" x14ac:dyDescent="0.25">
      <c r="A35">
        <f>'Amplitude Jump'!A38</f>
        <v>0.16500000000000001</v>
      </c>
      <c r="B35">
        <f>'Amplitude Jump'!E38</f>
        <v>0.1723076923076923</v>
      </c>
      <c r="C35">
        <f>'Amplitude Jump'!F38</f>
        <v>0.21230769230769228</v>
      </c>
    </row>
    <row r="36" spans="1:3" x14ac:dyDescent="0.25">
      <c r="A36">
        <f>'Amplitude Jump'!A39</f>
        <v>0.17</v>
      </c>
      <c r="B36">
        <f>'Amplitude Jump'!E39</f>
        <v>0.1723076923076923</v>
      </c>
      <c r="C36">
        <f>'Amplitude Jump'!F39</f>
        <v>0.21230769230769228</v>
      </c>
    </row>
    <row r="37" spans="1:3" x14ac:dyDescent="0.25">
      <c r="A37">
        <f>'Amplitude Jump'!A40</f>
        <v>0.17499999999999999</v>
      </c>
      <c r="B37">
        <f>'Amplitude Jump'!E40</f>
        <v>0.1723076923076923</v>
      </c>
      <c r="C37">
        <f>'Amplitude Jump'!F40</f>
        <v>0.21230769230769228</v>
      </c>
    </row>
    <row r="38" spans="1:3" x14ac:dyDescent="0.25">
      <c r="A38">
        <f>'Amplitude Jump'!A41</f>
        <v>0.18</v>
      </c>
      <c r="B38">
        <f>'Amplitude Jump'!E41</f>
        <v>0.1723076923076923</v>
      </c>
      <c r="C38">
        <f>'Amplitude Jump'!F41</f>
        <v>0.21230769230769228</v>
      </c>
    </row>
    <row r="39" spans="1:3" x14ac:dyDescent="0.25">
      <c r="A39">
        <f>'Amplitude Jump'!A42</f>
        <v>0.185</v>
      </c>
      <c r="B39">
        <f>'Amplitude Jump'!E42</f>
        <v>0.1723076923076923</v>
      </c>
      <c r="C39">
        <f>'Amplitude Jump'!F42</f>
        <v>0.21230769230769228</v>
      </c>
    </row>
    <row r="40" spans="1:3" x14ac:dyDescent="0.25">
      <c r="A40">
        <f>'Amplitude Jump'!A43</f>
        <v>0.19</v>
      </c>
      <c r="B40">
        <f>'Amplitude Jump'!E43</f>
        <v>0.1723076923076923</v>
      </c>
      <c r="C40">
        <f>'Amplitude Jump'!F43</f>
        <v>0.21230769230769228</v>
      </c>
    </row>
    <row r="41" spans="1:3" x14ac:dyDescent="0.25">
      <c r="A41">
        <f>'Amplitude Jump'!A44</f>
        <v>0.19500000000000001</v>
      </c>
      <c r="B41">
        <f>'Amplitude Jump'!E44</f>
        <v>0.1723076923076923</v>
      </c>
      <c r="C41">
        <f>'Amplitude Jump'!F44</f>
        <v>0.21230769230769228</v>
      </c>
    </row>
    <row r="42" spans="1:3" x14ac:dyDescent="0.25">
      <c r="A42">
        <f>'Amplitude Jump'!A45</f>
        <v>0.2</v>
      </c>
      <c r="B42">
        <f>'Amplitude Jump'!E45</f>
        <v>0.1723076923076923</v>
      </c>
      <c r="C42">
        <f>'Amplitude Jump'!F45</f>
        <v>0.21230769230769228</v>
      </c>
    </row>
    <row r="43" spans="1:3" x14ac:dyDescent="0.25">
      <c r="A43">
        <f>'Amplitude Jump'!A46</f>
        <v>0.20499999999999999</v>
      </c>
      <c r="B43">
        <f>'Amplitude Jump'!E46</f>
        <v>0.1723076923076923</v>
      </c>
      <c r="C43">
        <f>'Amplitude Jump'!F46</f>
        <v>0.21230769230769228</v>
      </c>
    </row>
    <row r="44" spans="1:3" x14ac:dyDescent="0.25">
      <c r="A44">
        <f>'Amplitude Jump'!A47</f>
        <v>0.21</v>
      </c>
      <c r="B44">
        <f>'Amplitude Jump'!E47</f>
        <v>0.1723076923076923</v>
      </c>
      <c r="C44">
        <f>'Amplitude Jump'!F47</f>
        <v>0.21230769230769228</v>
      </c>
    </row>
    <row r="45" spans="1:3" x14ac:dyDescent="0.25">
      <c r="A45">
        <f>'Amplitude Jump'!A48</f>
        <v>0.215</v>
      </c>
      <c r="B45">
        <f>'Amplitude Jump'!E48</f>
        <v>0.1723076923076923</v>
      </c>
      <c r="C45">
        <f>'Amplitude Jump'!F48</f>
        <v>0.21230769230769228</v>
      </c>
    </row>
    <row r="46" spans="1:3" x14ac:dyDescent="0.25">
      <c r="A46">
        <f>'Amplitude Jump'!A49</f>
        <v>0.22</v>
      </c>
      <c r="B46">
        <f>'Amplitude Jump'!E49</f>
        <v>0.1723076923076923</v>
      </c>
      <c r="C46">
        <f>'Amplitude Jump'!F49</f>
        <v>0.21230769230769228</v>
      </c>
    </row>
    <row r="47" spans="1:3" x14ac:dyDescent="0.25">
      <c r="A47">
        <f>'Amplitude Jump'!A50</f>
        <v>0.22500000000000001</v>
      </c>
      <c r="B47">
        <f>'Amplitude Jump'!E50</f>
        <v>0.1723076923076923</v>
      </c>
      <c r="C47">
        <f>'Amplitude Jump'!F50</f>
        <v>0.21230769230769228</v>
      </c>
    </row>
    <row r="48" spans="1:3" x14ac:dyDescent="0.25">
      <c r="A48">
        <f>'Amplitude Jump'!A51</f>
        <v>0.23</v>
      </c>
      <c r="B48">
        <f>'Amplitude Jump'!E51</f>
        <v>0.1723076923076923</v>
      </c>
      <c r="C48">
        <f>'Amplitude Jump'!F51</f>
        <v>0.21230769230769228</v>
      </c>
    </row>
    <row r="49" spans="1:3" x14ac:dyDescent="0.25">
      <c r="A49">
        <f>'Amplitude Jump'!A52</f>
        <v>0.23499999999999999</v>
      </c>
      <c r="B49">
        <f>'Amplitude Jump'!E52</f>
        <v>0.1723076923076923</v>
      </c>
      <c r="C49">
        <f>'Amplitude Jump'!F52</f>
        <v>0.21230769230769228</v>
      </c>
    </row>
    <row r="50" spans="1:3" x14ac:dyDescent="0.25">
      <c r="A50">
        <f>'Amplitude Jump'!A53</f>
        <v>0.24</v>
      </c>
      <c r="B50">
        <f>'Amplitude Jump'!E53</f>
        <v>0.1723076923076923</v>
      </c>
      <c r="C50">
        <f>'Amplitude Jump'!F53</f>
        <v>0.21230769230769228</v>
      </c>
    </row>
    <row r="51" spans="1:3" x14ac:dyDescent="0.25">
      <c r="A51">
        <f>'Amplitude Jump'!A54</f>
        <v>0.245</v>
      </c>
      <c r="B51">
        <f>'Amplitude Jump'!E54</f>
        <v>0.1723076923076923</v>
      </c>
      <c r="C51">
        <f>'Amplitude Jump'!F54</f>
        <v>0.21230769230769228</v>
      </c>
    </row>
    <row r="52" spans="1:3" x14ac:dyDescent="0.25">
      <c r="A52">
        <f>'Amplitude Jump'!A55</f>
        <v>0.25</v>
      </c>
      <c r="B52">
        <f>'Amplitude Jump'!E55</f>
        <v>0.1723076923076923</v>
      </c>
      <c r="C52">
        <f>'Amplitude Jump'!F55</f>
        <v>0.21230769230769228</v>
      </c>
    </row>
    <row r="53" spans="1:3" x14ac:dyDescent="0.25">
      <c r="A53">
        <f>'Amplitude Jump'!A56</f>
        <v>0.255</v>
      </c>
      <c r="B53">
        <f>'Amplitude Jump'!E56</f>
        <v>0.1723076923076923</v>
      </c>
      <c r="C53">
        <f>'Amplitude Jump'!F56</f>
        <v>0.21230769230769228</v>
      </c>
    </row>
    <row r="54" spans="1:3" x14ac:dyDescent="0.25">
      <c r="A54">
        <f>'Amplitude Jump'!A57</f>
        <v>0.26</v>
      </c>
      <c r="B54">
        <f>'Amplitude Jump'!E57</f>
        <v>0.1723076923076923</v>
      </c>
      <c r="C54">
        <f>'Amplitude Jump'!F57</f>
        <v>0.21230769230769228</v>
      </c>
    </row>
    <row r="55" spans="1:3" x14ac:dyDescent="0.25">
      <c r="A55">
        <f>'Amplitude Jump'!A58</f>
        <v>0.26500000000000001</v>
      </c>
      <c r="B55">
        <f>'Amplitude Jump'!E58</f>
        <v>0.1723076923076923</v>
      </c>
      <c r="C55">
        <f>'Amplitude Jump'!F58</f>
        <v>0.21230769230769228</v>
      </c>
    </row>
    <row r="56" spans="1:3" x14ac:dyDescent="0.25">
      <c r="A56">
        <f>'Amplitude Jump'!A59</f>
        <v>0.27</v>
      </c>
      <c r="B56">
        <f>'Amplitude Jump'!E59</f>
        <v>0.1723076923076923</v>
      </c>
      <c r="C56">
        <f>'Amplitude Jump'!F59</f>
        <v>0.21230769230769228</v>
      </c>
    </row>
    <row r="57" spans="1:3" x14ac:dyDescent="0.25">
      <c r="A57">
        <f>'Amplitude Jump'!A60</f>
        <v>0.27500000000000002</v>
      </c>
      <c r="B57">
        <f>'Amplitude Jump'!E60</f>
        <v>0.1723076923076923</v>
      </c>
      <c r="C57">
        <f>'Amplitude Jump'!F60</f>
        <v>0.21230769230769228</v>
      </c>
    </row>
    <row r="58" spans="1:3" x14ac:dyDescent="0.25">
      <c r="A58">
        <f>'Amplitude Jump'!A61</f>
        <v>0.28000000000000003</v>
      </c>
      <c r="B58">
        <f>'Amplitude Jump'!E61</f>
        <v>0.1723076923076923</v>
      </c>
      <c r="C58">
        <f>'Amplitude Jump'!F61</f>
        <v>0.21230769230769228</v>
      </c>
    </row>
    <row r="59" spans="1:3" x14ac:dyDescent="0.25">
      <c r="A59">
        <f>'Amplitude Jump'!A62</f>
        <v>0.28499999999999998</v>
      </c>
      <c r="B59">
        <f>'Amplitude Jump'!E62</f>
        <v>0.1723076923076923</v>
      </c>
      <c r="C59">
        <f>'Amplitude Jump'!F62</f>
        <v>0.21230769230769228</v>
      </c>
    </row>
    <row r="60" spans="1:3" x14ac:dyDescent="0.25">
      <c r="A60">
        <f>'Amplitude Jump'!A63</f>
        <v>0.28999999999999998</v>
      </c>
      <c r="B60">
        <f>'Amplitude Jump'!E63</f>
        <v>0.1723076923076923</v>
      </c>
      <c r="C60">
        <f>'Amplitude Jump'!F63</f>
        <v>0.21230769230769228</v>
      </c>
    </row>
    <row r="61" spans="1:3" x14ac:dyDescent="0.25">
      <c r="A61">
        <f>'Amplitude Jump'!A64</f>
        <v>0.29499999999999998</v>
      </c>
      <c r="B61">
        <f>'Amplitude Jump'!E64</f>
        <v>0.1723076923076923</v>
      </c>
      <c r="C61">
        <f>'Amplitude Jump'!F64</f>
        <v>0.21230769230769228</v>
      </c>
    </row>
    <row r="62" spans="1:3" x14ac:dyDescent="0.25">
      <c r="A62">
        <f>'Amplitude Jump'!A65</f>
        <v>0.3</v>
      </c>
      <c r="B62">
        <f>'Amplitude Jump'!E65</f>
        <v>0.1723076923076923</v>
      </c>
      <c r="C62">
        <f>'Amplitude Jump'!F65</f>
        <v>0.21230769230769228</v>
      </c>
    </row>
    <row r="63" spans="1:3" x14ac:dyDescent="0.25">
      <c r="A63">
        <f>'Amplitude Jump'!A66</f>
        <v>0.30499999999999999</v>
      </c>
      <c r="B63">
        <f>'Amplitude Jump'!E66</f>
        <v>0.1723076923076923</v>
      </c>
      <c r="C63">
        <f>'Amplitude Jump'!F66</f>
        <v>0.21230769230769228</v>
      </c>
    </row>
    <row r="64" spans="1:3" x14ac:dyDescent="0.25">
      <c r="A64">
        <f>'Amplitude Jump'!A67</f>
        <v>0.31</v>
      </c>
      <c r="B64">
        <f>'Amplitude Jump'!E67</f>
        <v>0.1723076923076923</v>
      </c>
      <c r="C64">
        <f>'Amplitude Jump'!F67</f>
        <v>0.21230769230769228</v>
      </c>
    </row>
    <row r="65" spans="1:3" x14ac:dyDescent="0.25">
      <c r="A65">
        <f>'Amplitude Jump'!A68</f>
        <v>0.315</v>
      </c>
      <c r="B65">
        <f>'Amplitude Jump'!E68</f>
        <v>0.1723076923076923</v>
      </c>
      <c r="C65">
        <f>'Amplitude Jump'!F68</f>
        <v>0.21230769230769228</v>
      </c>
    </row>
    <row r="66" spans="1:3" x14ac:dyDescent="0.25">
      <c r="A66">
        <f>'Amplitude Jump'!A69</f>
        <v>0.32</v>
      </c>
      <c r="B66">
        <f>'Amplitude Jump'!E69</f>
        <v>0.1723076923076923</v>
      </c>
      <c r="C66">
        <f>'Amplitude Jump'!F69</f>
        <v>0.21230769230769228</v>
      </c>
    </row>
    <row r="67" spans="1:3" x14ac:dyDescent="0.25">
      <c r="A67">
        <f>'Amplitude Jump'!A70</f>
        <v>0.32500000000000001</v>
      </c>
      <c r="B67">
        <f>'Amplitude Jump'!E70</f>
        <v>0.1723076923076923</v>
      </c>
      <c r="C67">
        <f>'Amplitude Jump'!F70</f>
        <v>0.21230769230769228</v>
      </c>
    </row>
    <row r="68" spans="1:3" x14ac:dyDescent="0.25">
      <c r="A68">
        <f>'Amplitude Jump'!A71</f>
        <v>0.33</v>
      </c>
      <c r="B68">
        <f>'Amplitude Jump'!E71</f>
        <v>0.1723076923076923</v>
      </c>
      <c r="C68">
        <f>'Amplitude Jump'!F71</f>
        <v>0.21230769230769228</v>
      </c>
    </row>
    <row r="69" spans="1:3" x14ac:dyDescent="0.25">
      <c r="A69">
        <f>'Amplitude Jump'!A72</f>
        <v>0.33500000000000002</v>
      </c>
      <c r="B69">
        <f>'Amplitude Jump'!E72</f>
        <v>0.1723076923076923</v>
      </c>
      <c r="C69">
        <f>'Amplitude Jump'!F72</f>
        <v>0.21230769230769228</v>
      </c>
    </row>
    <row r="70" spans="1:3" x14ac:dyDescent="0.25">
      <c r="A70">
        <f>'Amplitude Jump'!A73</f>
        <v>0.34</v>
      </c>
      <c r="B70">
        <f>'Amplitude Jump'!E73</f>
        <v>0.1723076923076923</v>
      </c>
      <c r="C70">
        <f>'Amplitude Jump'!F73</f>
        <v>0.21230769230769228</v>
      </c>
    </row>
    <row r="71" spans="1:3" x14ac:dyDescent="0.25">
      <c r="A71">
        <f>'Amplitude Jump'!A74</f>
        <v>0.34499999999999997</v>
      </c>
      <c r="B71">
        <f>'Amplitude Jump'!E74</f>
        <v>0.1723076923076923</v>
      </c>
      <c r="C71">
        <f>'Amplitude Jump'!F74</f>
        <v>0.21230769230769228</v>
      </c>
    </row>
    <row r="72" spans="1:3" x14ac:dyDescent="0.25">
      <c r="A72">
        <f>'Amplitude Jump'!A75</f>
        <v>0.35</v>
      </c>
      <c r="B72">
        <f>'Amplitude Jump'!E75</f>
        <v>0.1723076923076923</v>
      </c>
      <c r="C72">
        <f>'Amplitude Jump'!F75</f>
        <v>0.21230769230769228</v>
      </c>
    </row>
    <row r="73" spans="1:3" x14ac:dyDescent="0.25">
      <c r="A73">
        <f>'Amplitude Jump'!A76</f>
        <v>0.35499999999999998</v>
      </c>
      <c r="B73">
        <f>'Amplitude Jump'!E76</f>
        <v>0.1723076923076923</v>
      </c>
      <c r="C73">
        <f>'Amplitude Jump'!F76</f>
        <v>0.21230769230769228</v>
      </c>
    </row>
    <row r="74" spans="1:3" x14ac:dyDescent="0.25">
      <c r="A74">
        <f>'Amplitude Jump'!A77</f>
        <v>0.36</v>
      </c>
      <c r="B74">
        <f>'Amplitude Jump'!E77</f>
        <v>0.1723076923076923</v>
      </c>
      <c r="C74">
        <f>'Amplitude Jump'!F77</f>
        <v>0.21230769230769228</v>
      </c>
    </row>
    <row r="75" spans="1:3" x14ac:dyDescent="0.25">
      <c r="A75">
        <f>'Amplitude Jump'!A78</f>
        <v>0.36499999999999999</v>
      </c>
      <c r="B75">
        <f>'Amplitude Jump'!E78</f>
        <v>0.1723076923076923</v>
      </c>
      <c r="C75">
        <f>'Amplitude Jump'!F78</f>
        <v>0.21230769230769228</v>
      </c>
    </row>
    <row r="76" spans="1:3" x14ac:dyDescent="0.25">
      <c r="A76">
        <f>'Amplitude Jump'!A79</f>
        <v>0.37</v>
      </c>
      <c r="B76">
        <f>'Amplitude Jump'!E79</f>
        <v>0.1723076923076923</v>
      </c>
      <c r="C76">
        <f>'Amplitude Jump'!F79</f>
        <v>0.21230769230769228</v>
      </c>
    </row>
    <row r="77" spans="1:3" x14ac:dyDescent="0.25">
      <c r="A77">
        <f>'Amplitude Jump'!A80</f>
        <v>0.375</v>
      </c>
      <c r="B77">
        <f>'Amplitude Jump'!E80</f>
        <v>0.1723076923076923</v>
      </c>
      <c r="C77">
        <f>'Amplitude Jump'!F80</f>
        <v>0.21230769230769228</v>
      </c>
    </row>
    <row r="78" spans="1:3" x14ac:dyDescent="0.25">
      <c r="A78">
        <f>'Amplitude Jump'!A81</f>
        <v>0.38</v>
      </c>
      <c r="B78">
        <f>'Amplitude Jump'!E81</f>
        <v>0.1723076923076923</v>
      </c>
      <c r="C78">
        <f>'Amplitude Jump'!F81</f>
        <v>0.21230769230769228</v>
      </c>
    </row>
    <row r="79" spans="1:3" x14ac:dyDescent="0.25">
      <c r="A79">
        <f>'Amplitude Jump'!A82</f>
        <v>0.38500000000000001</v>
      </c>
      <c r="B79">
        <f>'Amplitude Jump'!E82</f>
        <v>0.1723076923076923</v>
      </c>
      <c r="C79">
        <f>'Amplitude Jump'!F82</f>
        <v>0.21230769230769228</v>
      </c>
    </row>
    <row r="80" spans="1:3" x14ac:dyDescent="0.25">
      <c r="A80">
        <f>'Amplitude Jump'!A83</f>
        <v>0.39</v>
      </c>
      <c r="B80">
        <f>'Amplitude Jump'!E83</f>
        <v>0.1723076923076923</v>
      </c>
      <c r="C80">
        <f>'Amplitude Jump'!F83</f>
        <v>0.21230769230769228</v>
      </c>
    </row>
    <row r="81" spans="1:3" x14ac:dyDescent="0.25">
      <c r="A81">
        <f>'Amplitude Jump'!A84</f>
        <v>0.39500000000000002</v>
      </c>
      <c r="B81">
        <f>'Amplitude Jump'!E84</f>
        <v>0.1723076923076923</v>
      </c>
      <c r="C81">
        <f>'Amplitude Jump'!F84</f>
        <v>0.21230769230769228</v>
      </c>
    </row>
    <row r="82" spans="1:3" x14ac:dyDescent="0.25">
      <c r="A82">
        <f>'Amplitude Jump'!A85</f>
        <v>0.4</v>
      </c>
      <c r="B82">
        <f>'Amplitude Jump'!E85</f>
        <v>0.1723076923076923</v>
      </c>
      <c r="C82">
        <f>'Amplitude Jump'!F85</f>
        <v>0.21230769230769228</v>
      </c>
    </row>
    <row r="83" spans="1:3" x14ac:dyDescent="0.25">
      <c r="A83">
        <f>'Amplitude Jump'!A86</f>
        <v>0.40500000000000003</v>
      </c>
      <c r="B83">
        <f>'Amplitude Jump'!E86</f>
        <v>0.1723076923076923</v>
      </c>
      <c r="C83">
        <f>'Amplitude Jump'!F86</f>
        <v>0.21230769230769228</v>
      </c>
    </row>
    <row r="84" spans="1:3" x14ac:dyDescent="0.25">
      <c r="A84">
        <f>'Amplitude Jump'!A87</f>
        <v>0.41</v>
      </c>
      <c r="B84">
        <f>'Amplitude Jump'!E87</f>
        <v>0.1723076923076923</v>
      </c>
      <c r="C84">
        <f>'Amplitude Jump'!F87</f>
        <v>0.21230769230769228</v>
      </c>
    </row>
    <row r="85" spans="1:3" x14ac:dyDescent="0.25">
      <c r="A85">
        <f>'Amplitude Jump'!A88</f>
        <v>0.41499999999999998</v>
      </c>
      <c r="B85">
        <f>'Amplitude Jump'!E88</f>
        <v>0.1723076923076923</v>
      </c>
      <c r="C85">
        <f>'Amplitude Jump'!F88</f>
        <v>0.21230769230769228</v>
      </c>
    </row>
    <row r="86" spans="1:3" x14ac:dyDescent="0.25">
      <c r="A86">
        <f>'Amplitude Jump'!A89</f>
        <v>0.42</v>
      </c>
      <c r="B86">
        <f>'Amplitude Jump'!E89</f>
        <v>0.1723076923076923</v>
      </c>
      <c r="C86">
        <f>'Amplitude Jump'!F89</f>
        <v>0.21230769230769228</v>
      </c>
    </row>
    <row r="87" spans="1:3" x14ac:dyDescent="0.25">
      <c r="A87">
        <f>'Amplitude Jump'!A90</f>
        <v>0.42499999999999999</v>
      </c>
      <c r="B87">
        <f>'Amplitude Jump'!E90</f>
        <v>0.1723076923076923</v>
      </c>
      <c r="C87">
        <f>'Amplitude Jump'!F90</f>
        <v>0.21230769230769228</v>
      </c>
    </row>
    <row r="88" spans="1:3" x14ac:dyDescent="0.25">
      <c r="A88">
        <f>'Amplitude Jump'!A91</f>
        <v>0.43</v>
      </c>
      <c r="B88">
        <f>'Amplitude Jump'!E91</f>
        <v>0.1723076923076923</v>
      </c>
      <c r="C88">
        <f>'Amplitude Jump'!F91</f>
        <v>0.21230769230769228</v>
      </c>
    </row>
    <row r="89" spans="1:3" x14ac:dyDescent="0.25">
      <c r="A89">
        <f>'Amplitude Jump'!A92</f>
        <v>0.435</v>
      </c>
      <c r="B89">
        <f>'Amplitude Jump'!E92</f>
        <v>0.1723076923076923</v>
      </c>
      <c r="C89">
        <f>'Amplitude Jump'!F92</f>
        <v>0.21230769230769228</v>
      </c>
    </row>
    <row r="90" spans="1:3" x14ac:dyDescent="0.25">
      <c r="A90">
        <f>'Amplitude Jump'!A93</f>
        <v>0.44</v>
      </c>
      <c r="B90">
        <f>'Amplitude Jump'!E93</f>
        <v>0.1723076923076923</v>
      </c>
      <c r="C90">
        <f>'Amplitude Jump'!F93</f>
        <v>0.21230769230769228</v>
      </c>
    </row>
    <row r="91" spans="1:3" x14ac:dyDescent="0.25">
      <c r="A91">
        <f>'Amplitude Jump'!A94</f>
        <v>0.44500000000000001</v>
      </c>
      <c r="B91">
        <f>'Amplitude Jump'!E94</f>
        <v>0.1723076923076923</v>
      </c>
      <c r="C91">
        <f>'Amplitude Jump'!F94</f>
        <v>0.21230769230769228</v>
      </c>
    </row>
    <row r="92" spans="1:3" x14ac:dyDescent="0.25">
      <c r="A92">
        <f>'Amplitude Jump'!A95</f>
        <v>0.45</v>
      </c>
      <c r="B92">
        <f>'Amplitude Jump'!E95</f>
        <v>0.1723076923076923</v>
      </c>
      <c r="C92">
        <f>'Amplitude Jump'!F95</f>
        <v>0.21230769230769228</v>
      </c>
    </row>
    <row r="93" spans="1:3" x14ac:dyDescent="0.25">
      <c r="A93">
        <f>'Amplitude Jump'!A96</f>
        <v>0.45500000000000002</v>
      </c>
      <c r="B93">
        <f>'Amplitude Jump'!E96</f>
        <v>0.1723076923076923</v>
      </c>
      <c r="C93">
        <f>'Amplitude Jump'!F96</f>
        <v>0.21230769230769228</v>
      </c>
    </row>
    <row r="94" spans="1:3" x14ac:dyDescent="0.25">
      <c r="A94">
        <f>'Amplitude Jump'!A97</f>
        <v>0.46</v>
      </c>
      <c r="B94">
        <f>'Amplitude Jump'!E97</f>
        <v>0.1723076923076923</v>
      </c>
      <c r="C94">
        <f>'Amplitude Jump'!F97</f>
        <v>0.21230769230769228</v>
      </c>
    </row>
    <row r="95" spans="1:3" x14ac:dyDescent="0.25">
      <c r="A95">
        <f>'Amplitude Jump'!A98</f>
        <v>0.46500000000000002</v>
      </c>
      <c r="B95">
        <f>'Amplitude Jump'!E98</f>
        <v>0.1723076923076923</v>
      </c>
      <c r="C95">
        <f>'Amplitude Jump'!F98</f>
        <v>0.21230769230769228</v>
      </c>
    </row>
    <row r="96" spans="1:3" x14ac:dyDescent="0.25">
      <c r="A96">
        <f>'Amplitude Jump'!A99</f>
        <v>0.47</v>
      </c>
      <c r="B96">
        <f>'Amplitude Jump'!E99</f>
        <v>0.1723076923076923</v>
      </c>
      <c r="C96">
        <f>'Amplitude Jump'!F99</f>
        <v>0.21230769230769228</v>
      </c>
    </row>
    <row r="97" spans="1:3" x14ac:dyDescent="0.25">
      <c r="A97">
        <f>'Amplitude Jump'!A100</f>
        <v>0.47499999999999998</v>
      </c>
      <c r="B97">
        <f>'Amplitude Jump'!E100</f>
        <v>0.1723076923076923</v>
      </c>
      <c r="C97">
        <f>'Amplitude Jump'!F100</f>
        <v>0.21230769230769228</v>
      </c>
    </row>
    <row r="98" spans="1:3" x14ac:dyDescent="0.25">
      <c r="A98">
        <f>'Amplitude Jump'!A101</f>
        <v>0.48</v>
      </c>
      <c r="B98">
        <f>'Amplitude Jump'!E101</f>
        <v>0.1723076923076923</v>
      </c>
      <c r="C98">
        <f>'Amplitude Jump'!F101</f>
        <v>0.21230769230769228</v>
      </c>
    </row>
    <row r="99" spans="1:3" x14ac:dyDescent="0.25">
      <c r="A99">
        <f>'Amplitude Jump'!A102</f>
        <v>0.48499999999999999</v>
      </c>
      <c r="B99">
        <f>'Amplitude Jump'!E102</f>
        <v>0.1723076923076923</v>
      </c>
      <c r="C99">
        <f>'Amplitude Jump'!F102</f>
        <v>0.21230769230769228</v>
      </c>
    </row>
    <row r="100" spans="1:3" x14ac:dyDescent="0.25">
      <c r="A100">
        <f>'Amplitude Jump'!A103</f>
        <v>0.49</v>
      </c>
      <c r="B100">
        <f>'Amplitude Jump'!E103</f>
        <v>0.1723076923076923</v>
      </c>
      <c r="C100">
        <f>'Amplitude Jump'!F103</f>
        <v>0.21230769230769228</v>
      </c>
    </row>
    <row r="101" spans="1:3" x14ac:dyDescent="0.25">
      <c r="A101">
        <f>'Amplitude Jump'!A104</f>
        <v>0.495</v>
      </c>
      <c r="B101">
        <f>'Amplitude Jump'!E104</f>
        <v>0.1723076923076923</v>
      </c>
      <c r="C101">
        <f>'Amplitude Jump'!F104</f>
        <v>0.21230769230769228</v>
      </c>
    </row>
    <row r="102" spans="1:3" x14ac:dyDescent="0.25">
      <c r="A102">
        <f>'Amplitude Jump'!A105</f>
        <v>0.5</v>
      </c>
      <c r="B102">
        <f>'Amplitude Jump'!E105</f>
        <v>0.1723076923076923</v>
      </c>
      <c r="C102">
        <f>'Amplitude Jump'!F105</f>
        <v>0.21230769230769228</v>
      </c>
    </row>
    <row r="103" spans="1:3" x14ac:dyDescent="0.25">
      <c r="A103">
        <f>'Amplitude Jump'!A106</f>
        <v>0.505</v>
      </c>
      <c r="B103">
        <f>'Amplitude Jump'!E106</f>
        <v>0.1723076923076923</v>
      </c>
      <c r="C103">
        <f>'Amplitude Jump'!F106</f>
        <v>0.21230769230769228</v>
      </c>
    </row>
    <row r="104" spans="1:3" x14ac:dyDescent="0.25">
      <c r="A104">
        <f>'Amplitude Jump'!A107</f>
        <v>0.51</v>
      </c>
      <c r="B104">
        <f>'Amplitude Jump'!E107</f>
        <v>0.1723076923076923</v>
      </c>
      <c r="C104">
        <f>'Amplitude Jump'!F107</f>
        <v>0.21230769230769228</v>
      </c>
    </row>
    <row r="105" spans="1:3" x14ac:dyDescent="0.25">
      <c r="A105">
        <f>'Amplitude Jump'!A108</f>
        <v>0.51500000000000001</v>
      </c>
      <c r="B105">
        <f>'Amplitude Jump'!E108</f>
        <v>0.1723076923076923</v>
      </c>
      <c r="C105">
        <f>'Amplitude Jump'!F108</f>
        <v>0.21230769230769228</v>
      </c>
    </row>
    <row r="106" spans="1:3" x14ac:dyDescent="0.25">
      <c r="A106">
        <f>'Amplitude Jump'!A109</f>
        <v>0.52</v>
      </c>
      <c r="B106">
        <f>'Amplitude Jump'!E109</f>
        <v>0.1723076923076923</v>
      </c>
      <c r="C106">
        <f>'Amplitude Jump'!F109</f>
        <v>0.21230769230769228</v>
      </c>
    </row>
    <row r="107" spans="1:3" x14ac:dyDescent="0.25">
      <c r="A107">
        <f>'Amplitude Jump'!A110</f>
        <v>0.52500000000000002</v>
      </c>
      <c r="B107">
        <f>'Amplitude Jump'!E110</f>
        <v>0.1723076923076923</v>
      </c>
      <c r="C107">
        <f>'Amplitude Jump'!F110</f>
        <v>0.21230769230769228</v>
      </c>
    </row>
    <row r="108" spans="1:3" x14ac:dyDescent="0.25">
      <c r="A108">
        <f>'Amplitude Jump'!A111</f>
        <v>0.53</v>
      </c>
      <c r="B108">
        <f>'Amplitude Jump'!E111</f>
        <v>0.1723076923076923</v>
      </c>
      <c r="C108">
        <f>'Amplitude Jump'!F111</f>
        <v>0.21230769230769228</v>
      </c>
    </row>
    <row r="109" spans="1:3" x14ac:dyDescent="0.25">
      <c r="A109">
        <f>'Amplitude Jump'!A112</f>
        <v>0.53500000000000003</v>
      </c>
      <c r="B109">
        <f>'Amplitude Jump'!E112</f>
        <v>0.1723076923076923</v>
      </c>
      <c r="C109">
        <f>'Amplitude Jump'!F112</f>
        <v>0.21230769230769228</v>
      </c>
    </row>
    <row r="110" spans="1:3" x14ac:dyDescent="0.25">
      <c r="A110">
        <f>'Amplitude Jump'!A113</f>
        <v>0.54</v>
      </c>
      <c r="B110">
        <f>'Amplitude Jump'!E113</f>
        <v>0.1723076923076923</v>
      </c>
      <c r="C110">
        <f>'Amplitude Jump'!F113</f>
        <v>0.21230769230769228</v>
      </c>
    </row>
    <row r="111" spans="1:3" x14ac:dyDescent="0.25">
      <c r="A111">
        <f>'Amplitude Jump'!A114</f>
        <v>0.54500000000000004</v>
      </c>
      <c r="B111">
        <f>'Amplitude Jump'!E114</f>
        <v>0.1723076923076923</v>
      </c>
      <c r="C111">
        <f>'Amplitude Jump'!F114</f>
        <v>0.21230769230769228</v>
      </c>
    </row>
    <row r="112" spans="1:3" x14ac:dyDescent="0.25">
      <c r="A112">
        <f>'Amplitude Jump'!A115</f>
        <v>0.55000000000000004</v>
      </c>
      <c r="B112">
        <f>'Amplitude Jump'!E115</f>
        <v>0.1723076923076923</v>
      </c>
      <c r="C112">
        <f>'Amplitude Jump'!F115</f>
        <v>0.21230769230769228</v>
      </c>
    </row>
    <row r="113" spans="1:3" x14ac:dyDescent="0.25">
      <c r="A113">
        <f>'Amplitude Jump'!A116</f>
        <v>0.55500000000000005</v>
      </c>
      <c r="B113">
        <f>'Amplitude Jump'!E116</f>
        <v>0.1723076923076923</v>
      </c>
      <c r="C113">
        <f>'Amplitude Jump'!F116</f>
        <v>0.21230769230769228</v>
      </c>
    </row>
    <row r="114" spans="1:3" x14ac:dyDescent="0.25">
      <c r="A114">
        <f>'Amplitude Jump'!A117</f>
        <v>0.56000000000000005</v>
      </c>
      <c r="B114">
        <f>'Amplitude Jump'!E117</f>
        <v>0.1723076923076923</v>
      </c>
      <c r="C114">
        <f>'Amplitude Jump'!F117</f>
        <v>0.21230769230769228</v>
      </c>
    </row>
    <row r="115" spans="1:3" x14ac:dyDescent="0.25">
      <c r="A115">
        <f>'Amplitude Jump'!A118</f>
        <v>0.56499999999999995</v>
      </c>
      <c r="B115">
        <f>'Amplitude Jump'!E118</f>
        <v>0.1723076923076923</v>
      </c>
      <c r="C115">
        <f>'Amplitude Jump'!F118</f>
        <v>0.21230769230769228</v>
      </c>
    </row>
    <row r="116" spans="1:3" x14ac:dyDescent="0.25">
      <c r="A116">
        <f>'Amplitude Jump'!A119</f>
        <v>0.56999999999999995</v>
      </c>
      <c r="B116">
        <f>'Amplitude Jump'!E119</f>
        <v>0.1723076923076923</v>
      </c>
      <c r="C116">
        <f>'Amplitude Jump'!F119</f>
        <v>0.21230769230769228</v>
      </c>
    </row>
    <row r="117" spans="1:3" x14ac:dyDescent="0.25">
      <c r="A117">
        <f>'Amplitude Jump'!A120</f>
        <v>0.57499999999999996</v>
      </c>
      <c r="B117">
        <f>'Amplitude Jump'!E120</f>
        <v>0.1723076923076923</v>
      </c>
      <c r="C117">
        <f>'Amplitude Jump'!F120</f>
        <v>0.21230769230769228</v>
      </c>
    </row>
    <row r="118" spans="1:3" x14ac:dyDescent="0.25">
      <c r="A118">
        <f>'Amplitude Jump'!A121</f>
        <v>0.57999999999999996</v>
      </c>
      <c r="B118">
        <f>'Amplitude Jump'!E121</f>
        <v>0.1723076923076923</v>
      </c>
      <c r="C118">
        <f>'Amplitude Jump'!F121</f>
        <v>0.21230769230769228</v>
      </c>
    </row>
    <row r="119" spans="1:3" x14ac:dyDescent="0.25">
      <c r="A119">
        <f>'Amplitude Jump'!A122</f>
        <v>0.58499999999999996</v>
      </c>
      <c r="B119">
        <f>'Amplitude Jump'!E122</f>
        <v>0.1723076923076923</v>
      </c>
      <c r="C119">
        <f>'Amplitude Jump'!F122</f>
        <v>0.21230769230769228</v>
      </c>
    </row>
    <row r="120" spans="1:3" x14ac:dyDescent="0.25">
      <c r="A120">
        <f>'Amplitude Jump'!A123</f>
        <v>0.59</v>
      </c>
      <c r="B120">
        <f>'Amplitude Jump'!E123</f>
        <v>0.1723076923076923</v>
      </c>
      <c r="C120">
        <f>'Amplitude Jump'!F123</f>
        <v>0.21230769230769228</v>
      </c>
    </row>
    <row r="121" spans="1:3" x14ac:dyDescent="0.25">
      <c r="A121">
        <f>'Amplitude Jump'!A124</f>
        <v>0.59499999999999997</v>
      </c>
      <c r="B121">
        <f>'Amplitude Jump'!E124</f>
        <v>0.1723076923076923</v>
      </c>
      <c r="C121">
        <f>'Amplitude Jump'!F124</f>
        <v>0.21230769230769228</v>
      </c>
    </row>
    <row r="122" spans="1:3" x14ac:dyDescent="0.25">
      <c r="A122">
        <f>'Amplitude Jump'!A125</f>
        <v>0.6</v>
      </c>
      <c r="B122">
        <f>'Amplitude Jump'!E125</f>
        <v>0.1723076923076923</v>
      </c>
      <c r="C122">
        <f>'Amplitude Jump'!F125</f>
        <v>0.21230769230769228</v>
      </c>
    </row>
    <row r="123" spans="1:3" x14ac:dyDescent="0.25">
      <c r="A123">
        <f>'Amplitude Jump'!A126</f>
        <v>0.60499999999999998</v>
      </c>
      <c r="B123">
        <f>'Amplitude Jump'!E126</f>
        <v>0.1723076923076923</v>
      </c>
      <c r="C123">
        <f>'Amplitude Jump'!F126</f>
        <v>0.21230769230769228</v>
      </c>
    </row>
    <row r="124" spans="1:3" x14ac:dyDescent="0.25">
      <c r="A124">
        <f>'Amplitude Jump'!A127</f>
        <v>0.61</v>
      </c>
      <c r="B124">
        <f>'Amplitude Jump'!E127</f>
        <v>0.1723076923076923</v>
      </c>
      <c r="C124">
        <f>'Amplitude Jump'!F127</f>
        <v>0.21230769230769228</v>
      </c>
    </row>
    <row r="125" spans="1:3" x14ac:dyDescent="0.25">
      <c r="A125">
        <f>'Amplitude Jump'!A128</f>
        <v>0.61499999999999999</v>
      </c>
      <c r="B125">
        <f>'Amplitude Jump'!E128</f>
        <v>0.1723076923076923</v>
      </c>
      <c r="C125">
        <f>'Amplitude Jump'!F128</f>
        <v>0.21230769230769228</v>
      </c>
    </row>
    <row r="126" spans="1:3" x14ac:dyDescent="0.25">
      <c r="A126">
        <f>'Amplitude Jump'!A129</f>
        <v>0.62</v>
      </c>
      <c r="B126">
        <f>'Amplitude Jump'!E129</f>
        <v>0.1723076923076923</v>
      </c>
      <c r="C126">
        <f>'Amplitude Jump'!F129</f>
        <v>0.21230769230769228</v>
      </c>
    </row>
    <row r="127" spans="1:3" x14ac:dyDescent="0.25">
      <c r="A127">
        <f>'Amplitude Jump'!A130</f>
        <v>0.625</v>
      </c>
      <c r="B127">
        <f>'Amplitude Jump'!E130</f>
        <v>0.1723076923076923</v>
      </c>
      <c r="C127">
        <f>'Amplitude Jump'!F130</f>
        <v>0.21230769230769228</v>
      </c>
    </row>
    <row r="128" spans="1:3" x14ac:dyDescent="0.25">
      <c r="A128">
        <f>'Amplitude Jump'!A131</f>
        <v>0.63</v>
      </c>
      <c r="B128">
        <f>'Amplitude Jump'!E131</f>
        <v>0.1723076923076923</v>
      </c>
      <c r="C128">
        <f>'Amplitude Jump'!F131</f>
        <v>0.21230769230769228</v>
      </c>
    </row>
    <row r="129" spans="1:3" x14ac:dyDescent="0.25">
      <c r="A129">
        <f>'Amplitude Jump'!A132</f>
        <v>0.63500000000000001</v>
      </c>
      <c r="B129">
        <f>'Amplitude Jump'!E132</f>
        <v>0.1723076923076923</v>
      </c>
      <c r="C129">
        <f>'Amplitude Jump'!F132</f>
        <v>0.21230769230769228</v>
      </c>
    </row>
    <row r="130" spans="1:3" x14ac:dyDescent="0.25">
      <c r="A130">
        <f>'Amplitude Jump'!A133</f>
        <v>0.64</v>
      </c>
      <c r="B130">
        <f>'Amplitude Jump'!E133</f>
        <v>0.1723076923076923</v>
      </c>
      <c r="C130">
        <f>'Amplitude Jump'!F133</f>
        <v>0.21230769230769228</v>
      </c>
    </row>
    <row r="131" spans="1:3" x14ac:dyDescent="0.25">
      <c r="A131">
        <f>'Amplitude Jump'!A134</f>
        <v>0.64500000000000002</v>
      </c>
      <c r="B131">
        <f>'Amplitude Jump'!E134</f>
        <v>0.1723076923076923</v>
      </c>
      <c r="C131">
        <f>'Amplitude Jump'!F134</f>
        <v>0.21230769230769228</v>
      </c>
    </row>
    <row r="132" spans="1:3" x14ac:dyDescent="0.25">
      <c r="A132">
        <f>'Amplitude Jump'!A135</f>
        <v>0.65</v>
      </c>
      <c r="B132">
        <f>'Amplitude Jump'!E135</f>
        <v>0.1723076923076923</v>
      </c>
      <c r="C132">
        <f>'Amplitude Jump'!F135</f>
        <v>0.21230769230769228</v>
      </c>
    </row>
    <row r="133" spans="1:3" x14ac:dyDescent="0.25">
      <c r="A133">
        <f>'Amplitude Jump'!A136</f>
        <v>0.65500000000000003</v>
      </c>
      <c r="B133">
        <f>'Amplitude Jump'!E136</f>
        <v>0.1723076923076923</v>
      </c>
      <c r="C133">
        <f>'Amplitude Jump'!F136</f>
        <v>0.21230769230769228</v>
      </c>
    </row>
    <row r="134" spans="1:3" x14ac:dyDescent="0.25">
      <c r="A134">
        <f>'Amplitude Jump'!A137</f>
        <v>0.66</v>
      </c>
      <c r="B134">
        <f>'Amplitude Jump'!E137</f>
        <v>0.1723076923076923</v>
      </c>
      <c r="C134">
        <f>'Amplitude Jump'!F137</f>
        <v>0.21230769230769228</v>
      </c>
    </row>
    <row r="135" spans="1:3" x14ac:dyDescent="0.25">
      <c r="A135">
        <f>'Amplitude Jump'!A138</f>
        <v>0.66500000000000004</v>
      </c>
      <c r="B135">
        <f>'Amplitude Jump'!E138</f>
        <v>0.1723076923076923</v>
      </c>
      <c r="C135">
        <f>'Amplitude Jump'!F138</f>
        <v>0.21230769230769228</v>
      </c>
    </row>
    <row r="136" spans="1:3" x14ac:dyDescent="0.25">
      <c r="A136">
        <f>'Amplitude Jump'!A139</f>
        <v>0.67</v>
      </c>
      <c r="B136">
        <f>'Amplitude Jump'!E139</f>
        <v>0.1723076923076923</v>
      </c>
      <c r="C136">
        <f>'Amplitude Jump'!F139</f>
        <v>0.21230769230769228</v>
      </c>
    </row>
    <row r="137" spans="1:3" x14ac:dyDescent="0.25">
      <c r="A137">
        <f>'Amplitude Jump'!A140</f>
        <v>0.67500000000000004</v>
      </c>
      <c r="B137">
        <f>'Amplitude Jump'!E140</f>
        <v>0.1723076923076923</v>
      </c>
      <c r="C137">
        <f>'Amplitude Jump'!F140</f>
        <v>0.21230769230769228</v>
      </c>
    </row>
    <row r="138" spans="1:3" x14ac:dyDescent="0.25">
      <c r="A138">
        <f>'Amplitude Jump'!A141</f>
        <v>0.68</v>
      </c>
      <c r="B138">
        <f>'Amplitude Jump'!E141</f>
        <v>0.1723076923076923</v>
      </c>
      <c r="C138">
        <f>'Amplitude Jump'!F141</f>
        <v>0.21230769230769228</v>
      </c>
    </row>
    <row r="139" spans="1:3" x14ac:dyDescent="0.25">
      <c r="A139">
        <f>'Amplitude Jump'!A142</f>
        <v>0.68500000000000005</v>
      </c>
      <c r="B139">
        <f>'Amplitude Jump'!E142</f>
        <v>0.1723076923076923</v>
      </c>
      <c r="C139">
        <f>'Amplitude Jump'!F142</f>
        <v>0.21230769230769228</v>
      </c>
    </row>
    <row r="140" spans="1:3" x14ac:dyDescent="0.25">
      <c r="A140">
        <f>'Amplitude Jump'!A143</f>
        <v>0.69</v>
      </c>
      <c r="B140">
        <f>'Amplitude Jump'!E143</f>
        <v>0.1723076923076923</v>
      </c>
      <c r="C140">
        <f>'Amplitude Jump'!F143</f>
        <v>0.21230769230769228</v>
      </c>
    </row>
    <row r="141" spans="1:3" x14ac:dyDescent="0.25">
      <c r="A141">
        <f>'Amplitude Jump'!A144</f>
        <v>0.69499999999999995</v>
      </c>
      <c r="B141">
        <f>'Amplitude Jump'!E144</f>
        <v>0.1723076923076923</v>
      </c>
      <c r="C141">
        <f>'Amplitude Jump'!F144</f>
        <v>0.21230769230769228</v>
      </c>
    </row>
    <row r="142" spans="1:3" x14ac:dyDescent="0.25">
      <c r="A142">
        <f>'Amplitude Jump'!A145</f>
        <v>0.7</v>
      </c>
      <c r="B142">
        <f>'Amplitude Jump'!E145</f>
        <v>0.1723076923076923</v>
      </c>
      <c r="C142">
        <f>'Amplitude Jump'!F145</f>
        <v>0.21230769230769228</v>
      </c>
    </row>
    <row r="143" spans="1:3" x14ac:dyDescent="0.25">
      <c r="A143">
        <f>'Amplitude Jump'!A146</f>
        <v>0.70499999999999996</v>
      </c>
      <c r="B143">
        <f>'Amplitude Jump'!E146</f>
        <v>0.1723076923076923</v>
      </c>
      <c r="C143">
        <f>'Amplitude Jump'!F146</f>
        <v>0.21230769230769228</v>
      </c>
    </row>
    <row r="144" spans="1:3" x14ac:dyDescent="0.25">
      <c r="A144">
        <f>'Amplitude Jump'!A147</f>
        <v>0.71</v>
      </c>
      <c r="B144">
        <f>'Amplitude Jump'!E147</f>
        <v>0.1723076923076923</v>
      </c>
      <c r="C144">
        <f>'Amplitude Jump'!F147</f>
        <v>0.21230769230769228</v>
      </c>
    </row>
    <row r="145" spans="1:3" x14ac:dyDescent="0.25">
      <c r="A145">
        <f>'Amplitude Jump'!A148</f>
        <v>0.71499999999999997</v>
      </c>
      <c r="B145">
        <f>'Amplitude Jump'!E148</f>
        <v>0.1723076923076923</v>
      </c>
      <c r="C145">
        <f>'Amplitude Jump'!F148</f>
        <v>0.21230769230769228</v>
      </c>
    </row>
    <row r="146" spans="1:3" x14ac:dyDescent="0.25">
      <c r="A146">
        <f>'Amplitude Jump'!A149</f>
        <v>0.72</v>
      </c>
      <c r="B146">
        <f>'Amplitude Jump'!E149</f>
        <v>0.1723076923076923</v>
      </c>
      <c r="C146">
        <f>'Amplitude Jump'!F149</f>
        <v>0.21230769230769228</v>
      </c>
    </row>
    <row r="147" spans="1:3" x14ac:dyDescent="0.25">
      <c r="A147">
        <f>'Amplitude Jump'!A150</f>
        <v>0.72499999999999998</v>
      </c>
      <c r="B147">
        <f>'Amplitude Jump'!E150</f>
        <v>0.1723076923076923</v>
      </c>
      <c r="C147">
        <f>'Amplitude Jump'!F150</f>
        <v>0.21230769230769228</v>
      </c>
    </row>
    <row r="148" spans="1:3" x14ac:dyDescent="0.25">
      <c r="A148">
        <f>'Amplitude Jump'!A151</f>
        <v>0.73</v>
      </c>
      <c r="B148">
        <f>'Amplitude Jump'!E151</f>
        <v>0.1723076923076923</v>
      </c>
      <c r="C148">
        <f>'Amplitude Jump'!F151</f>
        <v>0.21230769230769228</v>
      </c>
    </row>
    <row r="149" spans="1:3" x14ac:dyDescent="0.25">
      <c r="A149">
        <f>'Amplitude Jump'!A152</f>
        <v>0.73499999999999999</v>
      </c>
      <c r="B149">
        <f>'Amplitude Jump'!E152</f>
        <v>0.1723076923076923</v>
      </c>
      <c r="C149">
        <f>'Amplitude Jump'!F152</f>
        <v>0.21230769230769228</v>
      </c>
    </row>
    <row r="150" spans="1:3" x14ac:dyDescent="0.25">
      <c r="A150">
        <f>'Amplitude Jump'!A153</f>
        <v>0.74</v>
      </c>
      <c r="B150">
        <f>'Amplitude Jump'!E153</f>
        <v>0.1723076923076923</v>
      </c>
      <c r="C150">
        <f>'Amplitude Jump'!F153</f>
        <v>0.21230769230769228</v>
      </c>
    </row>
    <row r="151" spans="1:3" x14ac:dyDescent="0.25">
      <c r="A151">
        <f>'Amplitude Jump'!A154</f>
        <v>0.745</v>
      </c>
      <c r="B151">
        <f>'Amplitude Jump'!E154</f>
        <v>0.1723076923076923</v>
      </c>
      <c r="C151">
        <f>'Amplitude Jump'!F154</f>
        <v>0.21230769230769228</v>
      </c>
    </row>
    <row r="152" spans="1:3" x14ac:dyDescent="0.25">
      <c r="A152">
        <f>'Amplitude Jump'!A155</f>
        <v>0.75</v>
      </c>
      <c r="B152">
        <f>'Amplitude Jump'!E155</f>
        <v>0.1723076923076923</v>
      </c>
      <c r="C152">
        <f>'Amplitude Jump'!F155</f>
        <v>0.21230769230769228</v>
      </c>
    </row>
    <row r="153" spans="1:3" x14ac:dyDescent="0.25">
      <c r="A153">
        <f>'Amplitude Jump'!A156</f>
        <v>0.755</v>
      </c>
      <c r="B153">
        <f>'Amplitude Jump'!E156</f>
        <v>0.1723076923076923</v>
      </c>
      <c r="C153">
        <f>'Amplitude Jump'!F156</f>
        <v>0.21230769230769228</v>
      </c>
    </row>
    <row r="154" spans="1:3" x14ac:dyDescent="0.25">
      <c r="A154">
        <f>'Amplitude Jump'!A157</f>
        <v>0.76</v>
      </c>
      <c r="B154">
        <f>'Amplitude Jump'!E157</f>
        <v>0.1723076923076923</v>
      </c>
      <c r="C154">
        <f>'Amplitude Jump'!F157</f>
        <v>0.21230769230769228</v>
      </c>
    </row>
    <row r="155" spans="1:3" x14ac:dyDescent="0.25">
      <c r="A155">
        <f>'Amplitude Jump'!A158</f>
        <v>0.76500000000000001</v>
      </c>
      <c r="B155">
        <f>'Amplitude Jump'!E158</f>
        <v>0.1723076923076923</v>
      </c>
      <c r="C155">
        <f>'Amplitude Jump'!F158</f>
        <v>0.21230769230769228</v>
      </c>
    </row>
    <row r="156" spans="1:3" x14ac:dyDescent="0.25">
      <c r="A156">
        <f>'Amplitude Jump'!A159</f>
        <v>0.77</v>
      </c>
      <c r="B156">
        <f>'Amplitude Jump'!E159</f>
        <v>0.1723076923076923</v>
      </c>
      <c r="C156">
        <f>'Amplitude Jump'!F159</f>
        <v>0.21230769230769228</v>
      </c>
    </row>
    <row r="157" spans="1:3" x14ac:dyDescent="0.25">
      <c r="A157">
        <f>'Amplitude Jump'!A160</f>
        <v>0.77500000000000002</v>
      </c>
      <c r="B157">
        <f>'Amplitude Jump'!E160</f>
        <v>0.1723076923076923</v>
      </c>
      <c r="C157">
        <f>'Amplitude Jump'!F160</f>
        <v>0.21230769230769228</v>
      </c>
    </row>
    <row r="158" spans="1:3" x14ac:dyDescent="0.25">
      <c r="A158">
        <f>'Amplitude Jump'!A161</f>
        <v>0.78</v>
      </c>
      <c r="B158">
        <f>'Amplitude Jump'!E161</f>
        <v>0.1723076923076923</v>
      </c>
      <c r="C158">
        <f>'Amplitude Jump'!F161</f>
        <v>0.21230769230769228</v>
      </c>
    </row>
    <row r="159" spans="1:3" x14ac:dyDescent="0.25">
      <c r="A159">
        <f>'Amplitude Jump'!A162</f>
        <v>0.78500000000000003</v>
      </c>
      <c r="B159">
        <f>'Amplitude Jump'!E162</f>
        <v>0.1723076923076923</v>
      </c>
      <c r="C159">
        <f>'Amplitude Jump'!F162</f>
        <v>0.21230769230769228</v>
      </c>
    </row>
    <row r="160" spans="1:3" x14ac:dyDescent="0.25">
      <c r="A160">
        <f>'Amplitude Jump'!A163</f>
        <v>0.79</v>
      </c>
      <c r="B160">
        <f>'Amplitude Jump'!E163</f>
        <v>0.1723076923076923</v>
      </c>
      <c r="C160">
        <f>'Amplitude Jump'!F163</f>
        <v>0.21230769230769228</v>
      </c>
    </row>
    <row r="161" spans="1:3" x14ac:dyDescent="0.25">
      <c r="A161">
        <f>'Amplitude Jump'!A164</f>
        <v>0.79500000000000004</v>
      </c>
      <c r="B161">
        <f>'Amplitude Jump'!E164</f>
        <v>0.1723076923076923</v>
      </c>
      <c r="C161">
        <f>'Amplitude Jump'!F164</f>
        <v>0.21230769230769228</v>
      </c>
    </row>
    <row r="162" spans="1:3" x14ac:dyDescent="0.25">
      <c r="A162">
        <f>'Amplitude Jump'!A165</f>
        <v>0.8</v>
      </c>
      <c r="B162">
        <f>'Amplitude Jump'!E165</f>
        <v>0.1723076923076923</v>
      </c>
      <c r="C162">
        <f>'Amplitude Jump'!F165</f>
        <v>0.21230769230769228</v>
      </c>
    </row>
    <row r="163" spans="1:3" x14ac:dyDescent="0.25">
      <c r="A163">
        <f>'Amplitude Jump'!A166</f>
        <v>0.80500000000000005</v>
      </c>
      <c r="B163">
        <f>'Amplitude Jump'!E166</f>
        <v>0.1723076923076923</v>
      </c>
      <c r="C163">
        <f>'Amplitude Jump'!F166</f>
        <v>0.21230769230769228</v>
      </c>
    </row>
    <row r="164" spans="1:3" x14ac:dyDescent="0.25">
      <c r="A164">
        <f>'Amplitude Jump'!A167</f>
        <v>0.81</v>
      </c>
      <c r="B164">
        <f>'Amplitude Jump'!E167</f>
        <v>0.1723076923076923</v>
      </c>
      <c r="C164">
        <f>'Amplitude Jump'!F167</f>
        <v>0.21230769230769228</v>
      </c>
    </row>
    <row r="165" spans="1:3" x14ac:dyDescent="0.25">
      <c r="A165">
        <f>'Amplitude Jump'!A168</f>
        <v>0.81499999999999995</v>
      </c>
      <c r="B165">
        <f>'Amplitude Jump'!E168</f>
        <v>0.1723076923076923</v>
      </c>
      <c r="C165">
        <f>'Amplitude Jump'!F168</f>
        <v>0.21230769230769228</v>
      </c>
    </row>
    <row r="166" spans="1:3" x14ac:dyDescent="0.25">
      <c r="A166">
        <f>'Amplitude Jump'!A169</f>
        <v>0.82</v>
      </c>
      <c r="B166">
        <f>'Amplitude Jump'!E169</f>
        <v>0.1723076923076923</v>
      </c>
      <c r="C166">
        <f>'Amplitude Jump'!F169</f>
        <v>0.21230769230769228</v>
      </c>
    </row>
    <row r="167" spans="1:3" x14ac:dyDescent="0.25">
      <c r="A167">
        <f>'Amplitude Jump'!A170</f>
        <v>0.82499999999999996</v>
      </c>
      <c r="B167">
        <f>'Amplitude Jump'!E170</f>
        <v>0.1723076923076923</v>
      </c>
      <c r="C167">
        <f>'Amplitude Jump'!F170</f>
        <v>0.21230769230769228</v>
      </c>
    </row>
    <row r="168" spans="1:3" x14ac:dyDescent="0.25">
      <c r="A168">
        <f>'Amplitude Jump'!A171</f>
        <v>0.83</v>
      </c>
      <c r="B168">
        <f>'Amplitude Jump'!E171</f>
        <v>0.1723076923076923</v>
      </c>
      <c r="C168">
        <f>'Amplitude Jump'!F171</f>
        <v>0.21230769230769228</v>
      </c>
    </row>
    <row r="169" spans="1:3" x14ac:dyDescent="0.25">
      <c r="A169">
        <f>'Amplitude Jump'!A172</f>
        <v>0.83499999999999996</v>
      </c>
      <c r="B169">
        <f>'Amplitude Jump'!E172</f>
        <v>0.1723076923076923</v>
      </c>
      <c r="C169">
        <f>'Amplitude Jump'!F172</f>
        <v>0.21230769230769228</v>
      </c>
    </row>
    <row r="170" spans="1:3" x14ac:dyDescent="0.25">
      <c r="A170">
        <f>'Amplitude Jump'!A173</f>
        <v>0.84000000000000097</v>
      </c>
      <c r="B170">
        <f>'Amplitude Jump'!E173</f>
        <v>0.1723076923076923</v>
      </c>
      <c r="C170">
        <f>'Amplitude Jump'!F173</f>
        <v>0.21230769230769228</v>
      </c>
    </row>
    <row r="171" spans="1:3" x14ac:dyDescent="0.25">
      <c r="A171">
        <f>'Amplitude Jump'!A174</f>
        <v>0.84500000000000097</v>
      </c>
      <c r="B171">
        <f>'Amplitude Jump'!E174</f>
        <v>0.1723076923076923</v>
      </c>
      <c r="C171">
        <f>'Amplitude Jump'!F174</f>
        <v>0.21230769230769228</v>
      </c>
    </row>
    <row r="172" spans="1:3" x14ac:dyDescent="0.25">
      <c r="A172">
        <f>'Amplitude Jump'!A175</f>
        <v>0.85000000000000098</v>
      </c>
      <c r="B172">
        <f>'Amplitude Jump'!E175</f>
        <v>0.1723076923076923</v>
      </c>
      <c r="C172">
        <f>'Amplitude Jump'!F175</f>
        <v>0.21230769230769228</v>
      </c>
    </row>
    <row r="173" spans="1:3" x14ac:dyDescent="0.25">
      <c r="A173">
        <f>'Amplitude Jump'!A176</f>
        <v>0.85500000000000098</v>
      </c>
      <c r="B173">
        <f>'Amplitude Jump'!E176</f>
        <v>0.1723076923076923</v>
      </c>
      <c r="C173">
        <f>'Amplitude Jump'!F176</f>
        <v>0.21230769230769228</v>
      </c>
    </row>
    <row r="174" spans="1:3" x14ac:dyDescent="0.25">
      <c r="A174">
        <f>'Amplitude Jump'!A177</f>
        <v>0.86000000000000099</v>
      </c>
      <c r="B174">
        <f>'Amplitude Jump'!E177</f>
        <v>0.1723076923076923</v>
      </c>
      <c r="C174">
        <f>'Amplitude Jump'!F177</f>
        <v>0.21230769230769228</v>
      </c>
    </row>
    <row r="175" spans="1:3" x14ac:dyDescent="0.25">
      <c r="A175">
        <f>'Amplitude Jump'!A178</f>
        <v>0.86500000000000099</v>
      </c>
      <c r="B175">
        <f>'Amplitude Jump'!E178</f>
        <v>0.1723076923076923</v>
      </c>
      <c r="C175">
        <f>'Amplitude Jump'!F178</f>
        <v>0.21230769230769228</v>
      </c>
    </row>
    <row r="176" spans="1:3" x14ac:dyDescent="0.25">
      <c r="A176">
        <f>'Amplitude Jump'!A179</f>
        <v>0.87000000000000099</v>
      </c>
      <c r="B176">
        <f>'Amplitude Jump'!E179</f>
        <v>0.1723076923076923</v>
      </c>
      <c r="C176">
        <f>'Amplitude Jump'!F179</f>
        <v>0.21230769230769228</v>
      </c>
    </row>
    <row r="177" spans="1:3" x14ac:dyDescent="0.25">
      <c r="A177">
        <f>'Amplitude Jump'!A180</f>
        <v>0.875000000000001</v>
      </c>
      <c r="B177">
        <f>'Amplitude Jump'!E180</f>
        <v>0.1723076923076923</v>
      </c>
      <c r="C177">
        <f>'Amplitude Jump'!F180</f>
        <v>0.21230769230769228</v>
      </c>
    </row>
    <row r="178" spans="1:3" x14ac:dyDescent="0.25">
      <c r="A178">
        <f>'Amplitude Jump'!A181</f>
        <v>0.880000000000001</v>
      </c>
      <c r="B178">
        <f>'Amplitude Jump'!E181</f>
        <v>0.1723076923076923</v>
      </c>
      <c r="C178">
        <f>'Amplitude Jump'!F181</f>
        <v>0.21230769230769228</v>
      </c>
    </row>
    <row r="179" spans="1:3" x14ac:dyDescent="0.25">
      <c r="A179">
        <f>'Amplitude Jump'!A182</f>
        <v>0.88500000000000101</v>
      </c>
      <c r="B179">
        <f>'Amplitude Jump'!E182</f>
        <v>0.1723076923076923</v>
      </c>
      <c r="C179">
        <f>'Amplitude Jump'!F182</f>
        <v>0.21230769230769228</v>
      </c>
    </row>
    <row r="180" spans="1:3" x14ac:dyDescent="0.25">
      <c r="A180">
        <f>'Amplitude Jump'!A183</f>
        <v>0.89000000000000101</v>
      </c>
      <c r="B180">
        <f>'Amplitude Jump'!E183</f>
        <v>0.1723076923076923</v>
      </c>
      <c r="C180">
        <f>'Amplitude Jump'!F183</f>
        <v>0.21230769230769228</v>
      </c>
    </row>
    <row r="181" spans="1:3" x14ac:dyDescent="0.25">
      <c r="A181">
        <f>'Amplitude Jump'!A184</f>
        <v>0.89500000000000102</v>
      </c>
      <c r="B181">
        <f>'Amplitude Jump'!E184</f>
        <v>0.1723076923076923</v>
      </c>
      <c r="C181">
        <f>'Amplitude Jump'!F184</f>
        <v>0.21230769230769228</v>
      </c>
    </row>
    <row r="182" spans="1:3" x14ac:dyDescent="0.25">
      <c r="A182">
        <f>'Amplitude Jump'!A185</f>
        <v>0.90000000000000102</v>
      </c>
      <c r="B182">
        <f>'Amplitude Jump'!E185</f>
        <v>0.1723076923076923</v>
      </c>
      <c r="C182">
        <f>'Amplitude Jump'!F185</f>
        <v>0.21230769230769228</v>
      </c>
    </row>
    <row r="183" spans="1:3" x14ac:dyDescent="0.25">
      <c r="A183">
        <f>'Amplitude Jump'!A186</f>
        <v>0.90500000000000103</v>
      </c>
      <c r="B183">
        <f>'Amplitude Jump'!E186</f>
        <v>0.1723076923076923</v>
      </c>
      <c r="C183">
        <f>'Amplitude Jump'!F186</f>
        <v>0.21230769230769228</v>
      </c>
    </row>
    <row r="184" spans="1:3" x14ac:dyDescent="0.25">
      <c r="A184">
        <f>'Amplitude Jump'!A187</f>
        <v>0.91000000000000103</v>
      </c>
      <c r="B184">
        <f>'Amplitude Jump'!E187</f>
        <v>0.1723076923076923</v>
      </c>
      <c r="C184">
        <f>'Amplitude Jump'!F187</f>
        <v>0.21230769230769228</v>
      </c>
    </row>
    <row r="185" spans="1:3" x14ac:dyDescent="0.25">
      <c r="A185">
        <f>'Amplitude Jump'!A188</f>
        <v>0.91500000000000103</v>
      </c>
      <c r="B185">
        <f>'Amplitude Jump'!E188</f>
        <v>0.1723076923076923</v>
      </c>
      <c r="C185">
        <f>'Amplitude Jump'!F188</f>
        <v>0.21230769230769228</v>
      </c>
    </row>
    <row r="186" spans="1:3" x14ac:dyDescent="0.25">
      <c r="A186">
        <f>'Amplitude Jump'!A189</f>
        <v>0.92000000000000104</v>
      </c>
      <c r="B186">
        <f>'Amplitude Jump'!E189</f>
        <v>0.1723076923076923</v>
      </c>
      <c r="C186">
        <f>'Amplitude Jump'!F189</f>
        <v>0.21230769230769228</v>
      </c>
    </row>
    <row r="187" spans="1:3" x14ac:dyDescent="0.25">
      <c r="A187">
        <f>'Amplitude Jump'!A190</f>
        <v>0.92500000000000104</v>
      </c>
      <c r="B187">
        <f>'Amplitude Jump'!E190</f>
        <v>0.1723076923076923</v>
      </c>
      <c r="C187">
        <f>'Amplitude Jump'!F190</f>
        <v>0.21230769230769228</v>
      </c>
    </row>
    <row r="188" spans="1:3" x14ac:dyDescent="0.25">
      <c r="A188">
        <f>'Amplitude Jump'!A191</f>
        <v>0.93000000000000105</v>
      </c>
      <c r="B188">
        <f>'Amplitude Jump'!E191</f>
        <v>0.1723076923076923</v>
      </c>
      <c r="C188">
        <f>'Amplitude Jump'!F191</f>
        <v>0.21230769230769228</v>
      </c>
    </row>
    <row r="189" spans="1:3" x14ac:dyDescent="0.25">
      <c r="A189">
        <f>'Amplitude Jump'!A192</f>
        <v>0.93500000000000105</v>
      </c>
      <c r="B189">
        <f>'Amplitude Jump'!E192</f>
        <v>0.1723076923076923</v>
      </c>
      <c r="C189">
        <f>'Amplitude Jump'!F192</f>
        <v>0.21230769230769228</v>
      </c>
    </row>
    <row r="190" spans="1:3" x14ac:dyDescent="0.25">
      <c r="A190">
        <f>'Amplitude Jump'!A193</f>
        <v>0.94000000000000095</v>
      </c>
      <c r="B190">
        <f>'Amplitude Jump'!E193</f>
        <v>0.1723076923076923</v>
      </c>
      <c r="C190">
        <f>'Amplitude Jump'!F193</f>
        <v>0.21230769230769228</v>
      </c>
    </row>
    <row r="191" spans="1:3" x14ac:dyDescent="0.25">
      <c r="A191">
        <f>'Amplitude Jump'!A194</f>
        <v>0.94500000000000095</v>
      </c>
      <c r="B191">
        <f>'Amplitude Jump'!E194</f>
        <v>0.1723076923076923</v>
      </c>
      <c r="C191">
        <f>'Amplitude Jump'!F194</f>
        <v>0.21230769230769228</v>
      </c>
    </row>
    <row r="192" spans="1:3" x14ac:dyDescent="0.25">
      <c r="A192">
        <f>'Amplitude Jump'!A195</f>
        <v>0.95000000000000095</v>
      </c>
      <c r="B192">
        <f>'Amplitude Jump'!E195</f>
        <v>0.1723076923076923</v>
      </c>
      <c r="C192">
        <f>'Amplitude Jump'!F195</f>
        <v>0.21230769230769228</v>
      </c>
    </row>
    <row r="193" spans="1:3" x14ac:dyDescent="0.25">
      <c r="A193">
        <f>'Amplitude Jump'!A196</f>
        <v>0.95500000000000096</v>
      </c>
      <c r="B193">
        <f>'Amplitude Jump'!E196</f>
        <v>0.1723076923076923</v>
      </c>
      <c r="C193">
        <f>'Amplitude Jump'!F196</f>
        <v>0.21230769230769228</v>
      </c>
    </row>
    <row r="194" spans="1:3" x14ac:dyDescent="0.25">
      <c r="A194">
        <f>'Amplitude Jump'!A197</f>
        <v>0.96000000000000096</v>
      </c>
      <c r="B194">
        <f>'Amplitude Jump'!E197</f>
        <v>0.1723076923076923</v>
      </c>
      <c r="C194">
        <f>'Amplitude Jump'!F197</f>
        <v>0.21230769230769228</v>
      </c>
    </row>
    <row r="195" spans="1:3" x14ac:dyDescent="0.25">
      <c r="A195">
        <f>'Amplitude Jump'!A198</f>
        <v>0.96500000000000097</v>
      </c>
      <c r="B195">
        <f>'Amplitude Jump'!E198</f>
        <v>0.1723076923076923</v>
      </c>
      <c r="C195">
        <f>'Amplitude Jump'!F198</f>
        <v>0.21230769230769228</v>
      </c>
    </row>
    <row r="196" spans="1:3" x14ac:dyDescent="0.25">
      <c r="A196">
        <f>'Amplitude Jump'!A199</f>
        <v>0.97000000000000097</v>
      </c>
      <c r="B196">
        <f>'Amplitude Jump'!E199</f>
        <v>0.1723076923076923</v>
      </c>
      <c r="C196">
        <f>'Amplitude Jump'!F199</f>
        <v>0.21230769230769228</v>
      </c>
    </row>
    <row r="197" spans="1:3" x14ac:dyDescent="0.25">
      <c r="A197">
        <f>'Amplitude Jump'!A200</f>
        <v>0.97500000000000098</v>
      </c>
      <c r="B197">
        <f>'Amplitude Jump'!E200</f>
        <v>0.1723076923076923</v>
      </c>
      <c r="C197">
        <f>'Amplitude Jump'!F200</f>
        <v>0.21230769230769228</v>
      </c>
    </row>
    <row r="198" spans="1:3" x14ac:dyDescent="0.25">
      <c r="A198">
        <f>'Amplitude Jump'!A201</f>
        <v>0.98000000000000098</v>
      </c>
      <c r="B198">
        <f>'Amplitude Jump'!E201</f>
        <v>0.1723076923076923</v>
      </c>
      <c r="C198">
        <f>'Amplitude Jump'!F201</f>
        <v>0.21230769230769228</v>
      </c>
    </row>
    <row r="199" spans="1:3" x14ac:dyDescent="0.25">
      <c r="A199">
        <f>'Amplitude Jump'!A202</f>
        <v>0.98500000000000099</v>
      </c>
      <c r="B199">
        <f>'Amplitude Jump'!E202</f>
        <v>0.1723076923076923</v>
      </c>
      <c r="C199">
        <f>'Amplitude Jump'!F202</f>
        <v>0.21230769230769228</v>
      </c>
    </row>
    <row r="200" spans="1:3" x14ac:dyDescent="0.25">
      <c r="A200">
        <f>'Amplitude Jump'!A203</f>
        <v>0.99000000000000099</v>
      </c>
      <c r="B200">
        <f>'Amplitude Jump'!E203</f>
        <v>0.1723076923076923</v>
      </c>
      <c r="C200">
        <f>'Amplitude Jump'!F203</f>
        <v>0.21230769230769228</v>
      </c>
    </row>
    <row r="201" spans="1:3" x14ac:dyDescent="0.25">
      <c r="A201">
        <f>'Amplitude Jump'!A204</f>
        <v>0.99500000000000099</v>
      </c>
      <c r="B201">
        <f>'Amplitude Jump'!E204</f>
        <v>0.1723076923076923</v>
      </c>
      <c r="C201">
        <f>'Amplitude Jump'!F204</f>
        <v>0.21230769230769228</v>
      </c>
    </row>
    <row r="202" spans="1:3" x14ac:dyDescent="0.25">
      <c r="A202">
        <f>'Amplitude Jump'!A205</f>
        <v>1</v>
      </c>
      <c r="B202">
        <f>'Amplitude Jump'!E205</f>
        <v>0.1723076923076923</v>
      </c>
      <c r="C202">
        <f>'Amplitude Jump'!F205</f>
        <v>0.21230769230769228</v>
      </c>
    </row>
    <row r="203" spans="1:3" x14ac:dyDescent="0.25">
      <c r="A203">
        <f>'Amplitude Jump'!A206</f>
        <v>1.0049999999999999</v>
      </c>
      <c r="B203">
        <f>'Amplitude Jump'!E206</f>
        <v>0.1723076923076923</v>
      </c>
      <c r="C203">
        <f>'Amplitude Jump'!F206</f>
        <v>0.21230769230769228</v>
      </c>
    </row>
    <row r="204" spans="1:3" x14ac:dyDescent="0.25">
      <c r="A204">
        <f>'Amplitude Jump'!A207</f>
        <v>1.01</v>
      </c>
      <c r="B204">
        <f>'Amplitude Jump'!E207</f>
        <v>0.1723076923076923</v>
      </c>
      <c r="C204">
        <f>'Amplitude Jump'!F207</f>
        <v>0.21230769230769228</v>
      </c>
    </row>
    <row r="205" spans="1:3" x14ac:dyDescent="0.25">
      <c r="A205">
        <f>'Amplitude Jump'!A208</f>
        <v>1.0149999999999999</v>
      </c>
      <c r="B205">
        <f>'Amplitude Jump'!E208</f>
        <v>0.1723076923076923</v>
      </c>
      <c r="C205">
        <f>'Amplitude Jump'!F208</f>
        <v>0.21230769230769228</v>
      </c>
    </row>
    <row r="206" spans="1:3" x14ac:dyDescent="0.25">
      <c r="A206">
        <f>'Amplitude Jump'!A209</f>
        <v>1.02</v>
      </c>
      <c r="B206">
        <f>'Amplitude Jump'!E209</f>
        <v>0.1723076923076923</v>
      </c>
      <c r="C206">
        <f>'Amplitude Jump'!F209</f>
        <v>0.21230769230769228</v>
      </c>
    </row>
    <row r="207" spans="1:3" x14ac:dyDescent="0.25">
      <c r="A207">
        <f>'Amplitude Jump'!A210</f>
        <v>1.0249999999999999</v>
      </c>
      <c r="B207">
        <f>'Amplitude Jump'!E210</f>
        <v>0.1723076923076923</v>
      </c>
      <c r="C207">
        <f>'Amplitude Jump'!F210</f>
        <v>0.21230769230769228</v>
      </c>
    </row>
    <row r="208" spans="1:3" x14ac:dyDescent="0.25">
      <c r="A208">
        <f>'Amplitude Jump'!A211</f>
        <v>1.03</v>
      </c>
      <c r="B208">
        <f>'Amplitude Jump'!E211</f>
        <v>0.1723076923076923</v>
      </c>
      <c r="C208">
        <f>'Amplitude Jump'!F211</f>
        <v>0.21230769230769228</v>
      </c>
    </row>
    <row r="209" spans="1:3" x14ac:dyDescent="0.25">
      <c r="A209">
        <f>'Amplitude Jump'!A212</f>
        <v>1.0349999999999999</v>
      </c>
      <c r="B209">
        <f>'Amplitude Jump'!E212</f>
        <v>0.1723076923076923</v>
      </c>
      <c r="C209">
        <f>'Amplitude Jump'!F212</f>
        <v>0.21230769230769228</v>
      </c>
    </row>
    <row r="210" spans="1:3" x14ac:dyDescent="0.25">
      <c r="A210">
        <f>'Amplitude Jump'!A213</f>
        <v>1.04</v>
      </c>
      <c r="B210">
        <f>'Amplitude Jump'!E213</f>
        <v>0.1723076923076923</v>
      </c>
      <c r="C210">
        <f>'Amplitude Jump'!F213</f>
        <v>0.21230769230769228</v>
      </c>
    </row>
    <row r="211" spans="1:3" x14ac:dyDescent="0.25">
      <c r="A211">
        <f>'Amplitude Jump'!A214</f>
        <v>1.0449999999999999</v>
      </c>
      <c r="B211">
        <f>'Amplitude Jump'!E214</f>
        <v>0.1723076923076923</v>
      </c>
      <c r="C211">
        <f>'Amplitude Jump'!F214</f>
        <v>0.21230769230769228</v>
      </c>
    </row>
    <row r="212" spans="1:3" x14ac:dyDescent="0.25">
      <c r="A212">
        <f>'Amplitude Jump'!A215</f>
        <v>1.05</v>
      </c>
      <c r="B212">
        <f>'Amplitude Jump'!E215</f>
        <v>0.1723076923076923</v>
      </c>
      <c r="C212">
        <f>'Amplitude Jump'!F215</f>
        <v>0.21230769230769228</v>
      </c>
    </row>
    <row r="213" spans="1:3" x14ac:dyDescent="0.25">
      <c r="A213">
        <f>'Amplitude Jump'!A216</f>
        <v>1.0549999999999999</v>
      </c>
      <c r="B213">
        <f>'Amplitude Jump'!E216</f>
        <v>0.1723076923076923</v>
      </c>
      <c r="C213">
        <f>'Amplitude Jump'!F216</f>
        <v>0.21230769230769228</v>
      </c>
    </row>
    <row r="214" spans="1:3" x14ac:dyDescent="0.25">
      <c r="A214">
        <f>'Amplitude Jump'!A217</f>
        <v>1.06</v>
      </c>
      <c r="B214">
        <f>'Amplitude Jump'!E217</f>
        <v>0.1723076923076923</v>
      </c>
      <c r="C214">
        <f>'Amplitude Jump'!F217</f>
        <v>0.21230769230769228</v>
      </c>
    </row>
    <row r="215" spans="1:3" x14ac:dyDescent="0.25">
      <c r="A215">
        <f>'Amplitude Jump'!A218</f>
        <v>1.0649999999999999</v>
      </c>
      <c r="B215">
        <f>'Amplitude Jump'!E218</f>
        <v>0.1723076923076923</v>
      </c>
      <c r="C215">
        <f>'Amplitude Jump'!F218</f>
        <v>0.21230769230769228</v>
      </c>
    </row>
    <row r="216" spans="1:3" x14ac:dyDescent="0.25">
      <c r="A216">
        <f>'Amplitude Jump'!A219</f>
        <v>1.07</v>
      </c>
      <c r="B216">
        <f>'Amplitude Jump'!E219</f>
        <v>0.1723076923076923</v>
      </c>
      <c r="C216">
        <f>'Amplitude Jump'!F219</f>
        <v>0.21230769230769228</v>
      </c>
    </row>
    <row r="217" spans="1:3" x14ac:dyDescent="0.25">
      <c r="A217">
        <f>'Amplitude Jump'!A220</f>
        <v>1.075</v>
      </c>
      <c r="B217">
        <f>'Amplitude Jump'!E220</f>
        <v>0.1723076923076923</v>
      </c>
      <c r="C217">
        <f>'Amplitude Jump'!F220</f>
        <v>0.21230769230769228</v>
      </c>
    </row>
    <row r="218" spans="1:3" x14ac:dyDescent="0.25">
      <c r="A218">
        <f>'Amplitude Jump'!A221</f>
        <v>1.08</v>
      </c>
      <c r="B218">
        <f>'Amplitude Jump'!E221</f>
        <v>0.1723076923076923</v>
      </c>
      <c r="C218">
        <f>'Amplitude Jump'!F221</f>
        <v>0.21230769230769228</v>
      </c>
    </row>
    <row r="219" spans="1:3" x14ac:dyDescent="0.25">
      <c r="A219">
        <f>'Amplitude Jump'!A222</f>
        <v>1.085</v>
      </c>
      <c r="B219">
        <f>'Amplitude Jump'!E222</f>
        <v>0.1723076923076923</v>
      </c>
      <c r="C219">
        <f>'Amplitude Jump'!F222</f>
        <v>0.21230769230769228</v>
      </c>
    </row>
    <row r="220" spans="1:3" x14ac:dyDescent="0.25">
      <c r="A220">
        <f>'Amplitude Jump'!A223</f>
        <v>1.0900000000000001</v>
      </c>
      <c r="B220">
        <f>'Amplitude Jump'!E223</f>
        <v>0.1723076923076923</v>
      </c>
      <c r="C220">
        <f>'Amplitude Jump'!F223</f>
        <v>0.21230769230769228</v>
      </c>
    </row>
    <row r="221" spans="1:3" x14ac:dyDescent="0.25">
      <c r="A221">
        <f>'Amplitude Jump'!A224</f>
        <v>1.095</v>
      </c>
      <c r="B221">
        <f>'Amplitude Jump'!E224</f>
        <v>0.1723076923076923</v>
      </c>
      <c r="C221">
        <f>'Amplitude Jump'!F224</f>
        <v>0.21230769230769228</v>
      </c>
    </row>
    <row r="222" spans="1:3" x14ac:dyDescent="0.25">
      <c r="A222">
        <f>'Amplitude Jump'!A225</f>
        <v>1.1000000000000001</v>
      </c>
      <c r="B222">
        <f>'Amplitude Jump'!E225</f>
        <v>0.1723076923076923</v>
      </c>
      <c r="C222">
        <f>'Amplitude Jump'!F225</f>
        <v>0.21230769230769228</v>
      </c>
    </row>
    <row r="223" spans="1:3" x14ac:dyDescent="0.25">
      <c r="A223">
        <f>'Amplitude Jump'!A226</f>
        <v>1.105</v>
      </c>
      <c r="B223">
        <f>'Amplitude Jump'!E226</f>
        <v>0.1723076923076923</v>
      </c>
      <c r="C223">
        <f>'Amplitude Jump'!F226</f>
        <v>0.21230769230769228</v>
      </c>
    </row>
    <row r="224" spans="1:3" x14ac:dyDescent="0.25">
      <c r="A224">
        <f>'Amplitude Jump'!A227</f>
        <v>1.1100000000000001</v>
      </c>
      <c r="B224">
        <f>'Amplitude Jump'!E227</f>
        <v>0.1723076923076923</v>
      </c>
      <c r="C224">
        <f>'Amplitude Jump'!F227</f>
        <v>0.21230769230769228</v>
      </c>
    </row>
    <row r="225" spans="1:3" x14ac:dyDescent="0.25">
      <c r="A225">
        <f>'Amplitude Jump'!A228</f>
        <v>1.115</v>
      </c>
      <c r="B225">
        <f>'Amplitude Jump'!E228</f>
        <v>0.1723076923076923</v>
      </c>
      <c r="C225">
        <f>'Amplitude Jump'!F228</f>
        <v>0.21230769230769228</v>
      </c>
    </row>
    <row r="226" spans="1:3" x14ac:dyDescent="0.25">
      <c r="A226">
        <f>'Amplitude Jump'!A229</f>
        <v>1.1200000000000001</v>
      </c>
      <c r="B226">
        <f>'Amplitude Jump'!E229</f>
        <v>0.1723076923076923</v>
      </c>
      <c r="C226">
        <f>'Amplitude Jump'!F229</f>
        <v>0.21230769230769228</v>
      </c>
    </row>
    <row r="227" spans="1:3" x14ac:dyDescent="0.25">
      <c r="A227">
        <f>'Amplitude Jump'!A230</f>
        <v>1.125</v>
      </c>
      <c r="B227">
        <f>'Amplitude Jump'!E230</f>
        <v>0.1723076923076923</v>
      </c>
      <c r="C227">
        <f>'Amplitude Jump'!F230</f>
        <v>0.21230769230769228</v>
      </c>
    </row>
    <row r="228" spans="1:3" x14ac:dyDescent="0.25">
      <c r="A228">
        <f>'Amplitude Jump'!A231</f>
        <v>1.1299999999999999</v>
      </c>
      <c r="B228">
        <f>'Amplitude Jump'!E231</f>
        <v>0.1723076923076923</v>
      </c>
      <c r="C228">
        <f>'Amplitude Jump'!F231</f>
        <v>0.21230769230769228</v>
      </c>
    </row>
    <row r="229" spans="1:3" x14ac:dyDescent="0.25">
      <c r="A229">
        <f>'Amplitude Jump'!A232</f>
        <v>1.135</v>
      </c>
      <c r="B229">
        <f>'Amplitude Jump'!E232</f>
        <v>0.1723076923076923</v>
      </c>
      <c r="C229">
        <f>'Amplitude Jump'!F232</f>
        <v>0.21230769230769228</v>
      </c>
    </row>
    <row r="230" spans="1:3" x14ac:dyDescent="0.25">
      <c r="A230">
        <f>'Amplitude Jump'!A233</f>
        <v>1.1399999999999999</v>
      </c>
      <c r="B230">
        <f>'Amplitude Jump'!E233</f>
        <v>0.1723076923076923</v>
      </c>
      <c r="C230">
        <f>'Amplitude Jump'!F233</f>
        <v>0.21230769230769228</v>
      </c>
    </row>
    <row r="231" spans="1:3" x14ac:dyDescent="0.25">
      <c r="A231">
        <f>'Amplitude Jump'!A234</f>
        <v>1.145</v>
      </c>
      <c r="B231">
        <f>'Amplitude Jump'!E234</f>
        <v>0.1723076923076923</v>
      </c>
      <c r="C231">
        <f>'Amplitude Jump'!F234</f>
        <v>0.21230769230769228</v>
      </c>
    </row>
    <row r="232" spans="1:3" x14ac:dyDescent="0.25">
      <c r="A232">
        <f>'Amplitude Jump'!A235</f>
        <v>1.1499999999999999</v>
      </c>
      <c r="B232">
        <f>'Amplitude Jump'!E235</f>
        <v>0.1723076923076923</v>
      </c>
      <c r="C232">
        <f>'Amplitude Jump'!F235</f>
        <v>0.21230769230769228</v>
      </c>
    </row>
    <row r="233" spans="1:3" x14ac:dyDescent="0.25">
      <c r="A233">
        <f>'Amplitude Jump'!A236</f>
        <v>1.155</v>
      </c>
      <c r="B233">
        <f>'Amplitude Jump'!E236</f>
        <v>0.1723076923076923</v>
      </c>
      <c r="C233">
        <f>'Amplitude Jump'!F236</f>
        <v>0.21230769230769228</v>
      </c>
    </row>
    <row r="234" spans="1:3" x14ac:dyDescent="0.25">
      <c r="A234">
        <f>'Amplitude Jump'!A237</f>
        <v>1.1599999999999999</v>
      </c>
      <c r="B234">
        <f>'Amplitude Jump'!E237</f>
        <v>0.1723076923076923</v>
      </c>
      <c r="C234">
        <f>'Amplitude Jump'!F237</f>
        <v>0.21230769230769228</v>
      </c>
    </row>
    <row r="235" spans="1:3" x14ac:dyDescent="0.25">
      <c r="A235">
        <f>'Amplitude Jump'!A238</f>
        <v>1.165</v>
      </c>
      <c r="B235">
        <f>'Amplitude Jump'!E238</f>
        <v>0.1723076923076923</v>
      </c>
      <c r="C235">
        <f>'Amplitude Jump'!F238</f>
        <v>0.21230769230769228</v>
      </c>
    </row>
    <row r="236" spans="1:3" x14ac:dyDescent="0.25">
      <c r="A236">
        <f>'Amplitude Jump'!A239</f>
        <v>1.17</v>
      </c>
      <c r="B236">
        <f>'Amplitude Jump'!E239</f>
        <v>0.1723076923076923</v>
      </c>
      <c r="C236">
        <f>'Amplitude Jump'!F239</f>
        <v>0.21230769230769228</v>
      </c>
    </row>
    <row r="237" spans="1:3" x14ac:dyDescent="0.25">
      <c r="A237">
        <f>'Amplitude Jump'!A240</f>
        <v>1.175</v>
      </c>
      <c r="B237">
        <f>'Amplitude Jump'!E240</f>
        <v>0.1723076923076923</v>
      </c>
      <c r="C237">
        <f>'Amplitude Jump'!F240</f>
        <v>0.21230769230769228</v>
      </c>
    </row>
    <row r="238" spans="1:3" x14ac:dyDescent="0.25">
      <c r="A238">
        <f>'Amplitude Jump'!A241</f>
        <v>1.18</v>
      </c>
      <c r="B238">
        <f>'Amplitude Jump'!E241</f>
        <v>0.1723076923076923</v>
      </c>
      <c r="C238">
        <f>'Amplitude Jump'!F241</f>
        <v>0.21230769230769228</v>
      </c>
    </row>
    <row r="239" spans="1:3" x14ac:dyDescent="0.25">
      <c r="A239">
        <f>'Amplitude Jump'!A242</f>
        <v>1.1850000000000001</v>
      </c>
      <c r="B239">
        <f>'Amplitude Jump'!E242</f>
        <v>0.1723076923076923</v>
      </c>
      <c r="C239">
        <f>'Amplitude Jump'!F242</f>
        <v>0.21230769230769228</v>
      </c>
    </row>
    <row r="240" spans="1:3" x14ac:dyDescent="0.25">
      <c r="A240">
        <f>'Amplitude Jump'!A243</f>
        <v>1.19</v>
      </c>
      <c r="B240">
        <f>'Amplitude Jump'!E243</f>
        <v>0.1723076923076923</v>
      </c>
      <c r="C240">
        <f>'Amplitude Jump'!F243</f>
        <v>0.21230769230769228</v>
      </c>
    </row>
    <row r="241" spans="1:3" x14ac:dyDescent="0.25">
      <c r="A241">
        <f>'Amplitude Jump'!A244</f>
        <v>1.1950000000000001</v>
      </c>
      <c r="B241">
        <f>'Amplitude Jump'!E244</f>
        <v>0.1723076923076923</v>
      </c>
      <c r="C241">
        <f>'Amplitude Jump'!F244</f>
        <v>0.21230769230769228</v>
      </c>
    </row>
    <row r="242" spans="1:3" x14ac:dyDescent="0.25">
      <c r="A242">
        <f>'Amplitude Jump'!A245</f>
        <v>1.2</v>
      </c>
      <c r="B242">
        <f>'Amplitude Jump'!E245</f>
        <v>0.1723076923076923</v>
      </c>
      <c r="C242">
        <f>'Amplitude Jump'!F245</f>
        <v>0.21230769230769228</v>
      </c>
    </row>
    <row r="243" spans="1:3" x14ac:dyDescent="0.25">
      <c r="A243">
        <f>'Amplitude Jump'!A246</f>
        <v>1.2050000000000001</v>
      </c>
      <c r="B243">
        <f>'Amplitude Jump'!E246</f>
        <v>0.1723076923076923</v>
      </c>
      <c r="C243">
        <f>'Amplitude Jump'!F246</f>
        <v>0.21230769230769228</v>
      </c>
    </row>
    <row r="244" spans="1:3" x14ac:dyDescent="0.25">
      <c r="A244">
        <f>'Amplitude Jump'!A247</f>
        <v>1.21</v>
      </c>
      <c r="B244">
        <f>'Amplitude Jump'!E247</f>
        <v>0.1723076923076923</v>
      </c>
      <c r="C244">
        <f>'Amplitude Jump'!F247</f>
        <v>0.21230769230769228</v>
      </c>
    </row>
    <row r="245" spans="1:3" x14ac:dyDescent="0.25">
      <c r="A245">
        <f>'Amplitude Jump'!A248</f>
        <v>1.2150000000000001</v>
      </c>
      <c r="B245">
        <f>'Amplitude Jump'!E248</f>
        <v>0.1723076923076923</v>
      </c>
      <c r="C245">
        <f>'Amplitude Jump'!F248</f>
        <v>0.21230769230769228</v>
      </c>
    </row>
    <row r="246" spans="1:3" x14ac:dyDescent="0.25">
      <c r="A246">
        <f>'Amplitude Jump'!A249</f>
        <v>1.22</v>
      </c>
      <c r="B246">
        <f>'Amplitude Jump'!E249</f>
        <v>0.1723076923076923</v>
      </c>
      <c r="C246">
        <f>'Amplitude Jump'!F249</f>
        <v>0.21230769230769228</v>
      </c>
    </row>
    <row r="247" spans="1:3" x14ac:dyDescent="0.25">
      <c r="A247">
        <f>'Amplitude Jump'!A250</f>
        <v>1.2250000000000001</v>
      </c>
      <c r="B247">
        <f>'Amplitude Jump'!E250</f>
        <v>0.1723076923076923</v>
      </c>
      <c r="C247">
        <f>'Amplitude Jump'!F250</f>
        <v>0.21230769230769228</v>
      </c>
    </row>
    <row r="248" spans="1:3" x14ac:dyDescent="0.25">
      <c r="A248">
        <f>'Amplitude Jump'!A251</f>
        <v>1.23</v>
      </c>
      <c r="B248">
        <f>'Amplitude Jump'!E251</f>
        <v>0.1723076923076923</v>
      </c>
      <c r="C248">
        <f>'Amplitude Jump'!F251</f>
        <v>0.21230769230769228</v>
      </c>
    </row>
    <row r="249" spans="1:3" x14ac:dyDescent="0.25">
      <c r="A249">
        <f>'Amplitude Jump'!A252</f>
        <v>1.2350000000000001</v>
      </c>
      <c r="B249">
        <f>'Amplitude Jump'!E252</f>
        <v>0.1723076923076923</v>
      </c>
      <c r="C249">
        <f>'Amplitude Jump'!F252</f>
        <v>0.21230769230769228</v>
      </c>
    </row>
    <row r="250" spans="1:3" x14ac:dyDescent="0.25">
      <c r="A250">
        <f>'Amplitude Jump'!A253</f>
        <v>1.24</v>
      </c>
      <c r="B250">
        <f>'Amplitude Jump'!E253</f>
        <v>0.1723076923076923</v>
      </c>
      <c r="C250">
        <f>'Amplitude Jump'!F253</f>
        <v>0.21230769230769228</v>
      </c>
    </row>
    <row r="251" spans="1:3" x14ac:dyDescent="0.25">
      <c r="A251">
        <f>'Amplitude Jump'!A254</f>
        <v>1.2450000000000001</v>
      </c>
      <c r="B251">
        <f>'Amplitude Jump'!E254</f>
        <v>0.1723076923076923</v>
      </c>
      <c r="C251">
        <f>'Amplitude Jump'!F254</f>
        <v>0.21230769230769228</v>
      </c>
    </row>
    <row r="252" spans="1:3" x14ac:dyDescent="0.25">
      <c r="A252">
        <f>'Amplitude Jump'!A255</f>
        <v>1.25</v>
      </c>
      <c r="B252">
        <f>'Amplitude Jump'!E255</f>
        <v>0.1723076923076923</v>
      </c>
      <c r="C252">
        <f>'Amplitude Jump'!F255</f>
        <v>0.21230769230769228</v>
      </c>
    </row>
    <row r="253" spans="1:3" x14ac:dyDescent="0.25">
      <c r="A253">
        <f>'Amplitude Jump'!A256</f>
        <v>1.2549999999999999</v>
      </c>
      <c r="B253">
        <f>'Amplitude Jump'!E256</f>
        <v>0.1723076923076923</v>
      </c>
      <c r="C253">
        <f>'Amplitude Jump'!F256</f>
        <v>0.21230769230769228</v>
      </c>
    </row>
    <row r="254" spans="1:3" x14ac:dyDescent="0.25">
      <c r="A254">
        <f>'Amplitude Jump'!A257</f>
        <v>1.26</v>
      </c>
      <c r="B254">
        <f>'Amplitude Jump'!E257</f>
        <v>0.1723076923076923</v>
      </c>
      <c r="C254">
        <f>'Amplitude Jump'!F257</f>
        <v>0.21230769230769228</v>
      </c>
    </row>
    <row r="255" spans="1:3" x14ac:dyDescent="0.25">
      <c r="A255">
        <f>'Amplitude Jump'!A258</f>
        <v>1.2649999999999999</v>
      </c>
      <c r="B255">
        <f>'Amplitude Jump'!E258</f>
        <v>0.1723076923076923</v>
      </c>
      <c r="C255">
        <f>'Amplitude Jump'!F258</f>
        <v>0.21230769230769228</v>
      </c>
    </row>
    <row r="256" spans="1:3" x14ac:dyDescent="0.25">
      <c r="A256">
        <f>'Amplitude Jump'!A259</f>
        <v>1.27</v>
      </c>
      <c r="B256">
        <f>'Amplitude Jump'!E259</f>
        <v>0.1723076923076923</v>
      </c>
      <c r="C256">
        <f>'Amplitude Jump'!F259</f>
        <v>0.21230769230769228</v>
      </c>
    </row>
    <row r="257" spans="1:3" x14ac:dyDescent="0.25">
      <c r="A257">
        <f>'Amplitude Jump'!A260</f>
        <v>1.2749999999999999</v>
      </c>
      <c r="B257">
        <f>'Amplitude Jump'!E260</f>
        <v>0.1723076923076923</v>
      </c>
      <c r="C257">
        <f>'Amplitude Jump'!F260</f>
        <v>0.21230769230769228</v>
      </c>
    </row>
    <row r="258" spans="1:3" x14ac:dyDescent="0.25">
      <c r="A258">
        <f>'Amplitude Jump'!A261</f>
        <v>1.28</v>
      </c>
      <c r="B258">
        <f>'Amplitude Jump'!E261</f>
        <v>0.1723076923076923</v>
      </c>
      <c r="C258">
        <f>'Amplitude Jump'!F261</f>
        <v>0.21230769230769228</v>
      </c>
    </row>
    <row r="259" spans="1:3" x14ac:dyDescent="0.25">
      <c r="A259">
        <f>'Amplitude Jump'!A262</f>
        <v>1.2849999999999999</v>
      </c>
      <c r="B259">
        <f>'Amplitude Jump'!E262</f>
        <v>0.1723076923076923</v>
      </c>
      <c r="C259">
        <f>'Amplitude Jump'!F262</f>
        <v>0.21230769230769228</v>
      </c>
    </row>
    <row r="260" spans="1:3" x14ac:dyDescent="0.25">
      <c r="A260">
        <f>'Amplitude Jump'!A263</f>
        <v>1.29</v>
      </c>
      <c r="B260">
        <f>'Amplitude Jump'!E263</f>
        <v>0.1723076923076923</v>
      </c>
      <c r="C260">
        <f>'Amplitude Jump'!F263</f>
        <v>0.21230769230769228</v>
      </c>
    </row>
    <row r="261" spans="1:3" x14ac:dyDescent="0.25">
      <c r="A261">
        <f>'Amplitude Jump'!A264</f>
        <v>1.2949999999999999</v>
      </c>
      <c r="B261">
        <f>'Amplitude Jump'!E264</f>
        <v>0.1723076923076923</v>
      </c>
      <c r="C261">
        <f>'Amplitude Jump'!F264</f>
        <v>0.21230769230769228</v>
      </c>
    </row>
    <row r="262" spans="1:3" x14ac:dyDescent="0.25">
      <c r="A262">
        <f>'Amplitude Jump'!A265</f>
        <v>1.3</v>
      </c>
      <c r="B262">
        <f>'Amplitude Jump'!E265</f>
        <v>0.1723076923076923</v>
      </c>
      <c r="C262">
        <f>'Amplitude Jump'!F265</f>
        <v>0.21230769230769228</v>
      </c>
    </row>
    <row r="263" spans="1:3" x14ac:dyDescent="0.25">
      <c r="A263">
        <f>'Amplitude Jump'!A266</f>
        <v>1.3049999999999999</v>
      </c>
      <c r="B263">
        <f>'Amplitude Jump'!E266</f>
        <v>0.1723076923076923</v>
      </c>
      <c r="C263">
        <f>'Amplitude Jump'!F266</f>
        <v>0.21230769230769228</v>
      </c>
    </row>
    <row r="264" spans="1:3" x14ac:dyDescent="0.25">
      <c r="A264">
        <f>'Amplitude Jump'!A267</f>
        <v>1.31</v>
      </c>
      <c r="B264">
        <f>'Amplitude Jump'!E267</f>
        <v>0.1723076923076923</v>
      </c>
      <c r="C264">
        <f>'Amplitude Jump'!F267</f>
        <v>0.21230769230769228</v>
      </c>
    </row>
    <row r="265" spans="1:3" x14ac:dyDescent="0.25">
      <c r="A265">
        <f>'Amplitude Jump'!A268</f>
        <v>1.3149999999999999</v>
      </c>
      <c r="B265">
        <f>'Amplitude Jump'!E268</f>
        <v>0.1723076923076923</v>
      </c>
      <c r="C265">
        <f>'Amplitude Jump'!F268</f>
        <v>0.21230769230769228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0BE2F22448964A80482586689DB88E" ma:contentTypeVersion="11" ma:contentTypeDescription="Crée un document." ma:contentTypeScope="" ma:versionID="89889e301d09a8759004ac61f1730116">
  <xsd:schema xmlns:xsd="http://www.w3.org/2001/XMLSchema" xmlns:xs="http://www.w3.org/2001/XMLSchema" xmlns:p="http://schemas.microsoft.com/office/2006/metadata/properties" xmlns:ns2="9e6ba65f-8721-4074-b199-fd478b67dab4" xmlns:ns3="20efa537-de19-4a3d-ad17-7cd27164d04c" targetNamespace="http://schemas.microsoft.com/office/2006/metadata/properties" ma:root="true" ma:fieldsID="e3b324981af3cf0c8817829f2dd05705" ns2:_="" ns3:_="">
    <xsd:import namespace="9e6ba65f-8721-4074-b199-fd478b67dab4"/>
    <xsd:import namespace="20efa537-de19-4a3d-ad17-7cd27164d04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6ba65f-8721-4074-b199-fd478b67da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Balises d’images" ma:readOnly="false" ma:fieldId="{5cf76f15-5ced-4ddc-b409-7134ff3c332f}" ma:taxonomyMulti="true" ma:sspId="098e9ab0-fafa-442d-a8b4-a7f3d9cdd5a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efa537-de19-4a3d-ad17-7cd27164d04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4d633c37-d626-4f08-8883-dec1b221df59}" ma:internalName="TaxCatchAll" ma:showField="CatchAllData" ma:web="20efa537-de19-4a3d-ad17-7cd27164d04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0efa537-de19-4a3d-ad17-7cd27164d04c" xsi:nil="true"/>
    <lcf76f155ced4ddcb4097134ff3c332f xmlns="9e6ba65f-8721-4074-b199-fd478b67dab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D73A8FE-671C-43E0-AB68-B0E6DE1A527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0F2126D-3C6C-410F-BEE9-63E1D187DCE4}"/>
</file>

<file path=customXml/itemProps3.xml><?xml version="1.0" encoding="utf-8"?>
<ds:datastoreItem xmlns:ds="http://schemas.openxmlformats.org/officeDocument/2006/customXml" ds:itemID="{C363B8AC-C95B-4921-8533-B59ADC662F53}">
  <ds:schemaRefs>
    <ds:schemaRef ds:uri="http://schemas.microsoft.com/office/infopath/2007/PartnerControls"/>
    <ds:schemaRef ds:uri="9e6ba65f-8721-4074-b199-fd478b67dab4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20efa537-de19-4a3d-ad17-7cd27164d04c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</vt:i4>
      </vt:variant>
    </vt:vector>
  </HeadingPairs>
  <TitlesOfParts>
    <vt:vector size="17" baseType="lpstr">
      <vt:lpstr>Overdamped system</vt:lpstr>
      <vt:lpstr>Overdamped V2</vt:lpstr>
      <vt:lpstr>Second Order system</vt:lpstr>
      <vt:lpstr>Second Order V2</vt:lpstr>
      <vt:lpstr>Amplitude Jump</vt:lpstr>
      <vt:lpstr>csv_amplitude</vt:lpstr>
      <vt:lpstr>DeltaIQ</vt:lpstr>
      <vt:lpstr>deltaVinf</vt:lpstr>
      <vt:lpstr>DetlaIQ</vt:lpstr>
      <vt:lpstr>EMT_simulation</vt:lpstr>
      <vt:lpstr>Marge_haute</vt:lpstr>
      <vt:lpstr>Q0</vt:lpstr>
      <vt:lpstr>t90pc</vt:lpstr>
      <vt:lpstr>tau</vt:lpstr>
      <vt:lpstr>ttunnel</vt:lpstr>
      <vt:lpstr>tunnel</vt:lpstr>
      <vt:lpstr>Vstep</vt:lpstr>
    </vt:vector>
  </TitlesOfParts>
  <Company>RTE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PREVOST Thibault</dc:creator>
  <cp:lastModifiedBy>MBEROU Elias</cp:lastModifiedBy>
  <dcterms:created xsi:type="dcterms:W3CDTF">2025-02-19T13:26:37Z</dcterms:created>
  <dcterms:modified xsi:type="dcterms:W3CDTF">2025-04-03T08:09:17Z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0x010100BD0BE2F22448964A80482586689DB88E</vt:lpwstr>
  </property>
  <property fmtid="{D5CDD505-2E9C-101B-9397-08002B2CF9AE}" pid="3" name="MediaServiceImageTags">
    <vt:lpwstr/>
  </property>
</Properties>
</file>